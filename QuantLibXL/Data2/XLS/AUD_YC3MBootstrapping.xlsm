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4" i="7" l="1"/>
  <c r="I5" i="7"/>
  <c r="I6" i="7"/>
  <c r="I7" i="7"/>
  <c r="I9" i="7"/>
  <c r="H3" i="7"/>
  <c r="H5" i="7"/>
  <c r="H6" i="7"/>
  <c r="H7" i="7"/>
  <c r="H4" i="7"/>
  <c r="J5" i="7"/>
  <c r="J4" i="7"/>
  <c r="J7" i="7"/>
  <c r="J6" i="7"/>
  <c r="K6" i="7" s="1"/>
  <c r="K5" i="7"/>
  <c r="K4" i="7"/>
  <c r="K7" i="7"/>
  <c r="B5" i="4" l="1"/>
  <c r="B6" i="4"/>
  <c r="B3" i="4"/>
  <c r="B4" i="4"/>
  <c r="J6" i="11"/>
  <c r="J7" i="11"/>
  <c r="J8" i="11"/>
  <c r="J9" i="11"/>
  <c r="J10" i="11"/>
  <c r="J6" i="4"/>
  <c r="J4" i="4"/>
  <c r="I5" i="4"/>
  <c r="I3" i="4"/>
  <c r="J5" i="4"/>
  <c r="J3" i="4"/>
  <c r="C5" i="4"/>
  <c r="C3" i="4"/>
  <c r="D5" i="4"/>
  <c r="D3" i="4"/>
  <c r="C6" i="4"/>
  <c r="C4" i="4"/>
  <c r="D6" i="4"/>
  <c r="D4" i="4"/>
  <c r="I6" i="4"/>
  <c r="I4" i="4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H9" i="7"/>
  <c r="H8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9" i="13"/>
  <c r="B16" i="13"/>
  <c r="B4" i="13"/>
  <c r="B8" i="13"/>
  <c r="B5" i="13"/>
  <c r="B10" i="13"/>
  <c r="B6" i="13"/>
  <c r="B7" i="13"/>
  <c r="B12" i="13"/>
  <c r="B14" i="13"/>
  <c r="B15" i="13"/>
  <c r="B13" i="13"/>
  <c r="B3" i="13"/>
  <c r="B11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D8" i="4"/>
  <c r="C8" i="4"/>
  <c r="J8" i="4"/>
  <c r="I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G6" i="12"/>
  <c r="G5" i="12"/>
  <c r="G9" i="12"/>
  <c r="J3" i="7"/>
  <c r="G8" i="12"/>
  <c r="K9" i="7"/>
  <c r="B1" i="6"/>
  <c r="G4" i="12"/>
  <c r="L2" i="11"/>
  <c r="K2" i="7"/>
  <c r="C5" i="13"/>
  <c r="C4" i="13"/>
  <c r="G7" i="12"/>
  <c r="D3" i="9" a="1"/>
  <c r="G3" i="12"/>
  <c r="C3" i="13"/>
  <c r="J8" i="7"/>
  <c r="D21" i="6"/>
  <c r="Y19" i="13"/>
  <c r="I2" i="9"/>
  <c r="K3" i="11"/>
  <c r="K23" i="11"/>
  <c r="K9" i="11"/>
  <c r="K5" i="11"/>
  <c r="K17" i="11"/>
  <c r="K20" i="11"/>
  <c r="K31" i="11"/>
  <c r="K36" i="11"/>
  <c r="K38" i="11"/>
  <c r="K39" i="11"/>
  <c r="K11" i="11"/>
  <c r="K16" i="11"/>
  <c r="K34" i="11"/>
  <c r="K12" i="11"/>
  <c r="K15" i="11"/>
  <c r="L3" i="11"/>
  <c r="K25" i="11"/>
  <c r="K41" i="11"/>
  <c r="K33" i="11"/>
  <c r="K30" i="11"/>
  <c r="K18" i="11"/>
  <c r="K8" i="11"/>
  <c r="K22" i="11"/>
  <c r="K21" i="11"/>
  <c r="K6" i="11"/>
  <c r="K24" i="11"/>
  <c r="K19" i="11"/>
  <c r="K27" i="11"/>
  <c r="K10" i="11"/>
  <c r="K13" i="11"/>
  <c r="K14" i="11"/>
  <c r="K26" i="11"/>
  <c r="K40" i="11"/>
  <c r="K35" i="11"/>
  <c r="K37" i="11"/>
  <c r="K32" i="11"/>
  <c r="K28" i="11"/>
  <c r="K7" i="11"/>
  <c r="K29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K8" i="7"/>
  <c r="C7" i="4"/>
  <c r="J7" i="4"/>
  <c r="Z19" i="13"/>
  <c r="D7" i="4"/>
  <c r="C2" i="4"/>
  <c r="I7" i="4"/>
  <c r="K3" i="7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I70" i="4"/>
  <c r="E58" i="4"/>
  <c r="E57" i="4"/>
  <c r="J93" i="4"/>
  <c r="J58" i="4"/>
  <c r="J81" i="4"/>
  <c r="E73" i="4"/>
  <c r="L22" i="11"/>
  <c r="I89" i="4"/>
  <c r="D62" i="4"/>
  <c r="L37" i="11"/>
  <c r="H30" i="9"/>
  <c r="C12" i="4"/>
  <c r="J9" i="4"/>
  <c r="E67" i="4"/>
  <c r="D91" i="4"/>
  <c r="L34" i="11"/>
  <c r="L41" i="11"/>
  <c r="E86" i="4"/>
  <c r="E88" i="4"/>
  <c r="L29" i="11"/>
  <c r="L19" i="11"/>
  <c r="J75" i="4"/>
  <c r="I88" i="4"/>
  <c r="I67" i="4"/>
  <c r="J13" i="4"/>
  <c r="D75" i="4"/>
  <c r="J71" i="4"/>
  <c r="C92" i="4"/>
  <c r="E87" i="4"/>
  <c r="I60" i="4"/>
  <c r="J80" i="4"/>
  <c r="D87" i="4"/>
  <c r="H6" i="9"/>
  <c r="H15" i="9"/>
  <c r="L11" i="11"/>
  <c r="C65" i="4"/>
  <c r="J88" i="4"/>
  <c r="J12" i="4"/>
  <c r="I76" i="4"/>
  <c r="C62" i="4"/>
  <c r="L35" i="11"/>
  <c r="C87" i="4"/>
  <c r="E71" i="4"/>
  <c r="I63" i="4"/>
  <c r="J68" i="4"/>
  <c r="C66" i="4"/>
  <c r="C86" i="4"/>
  <c r="H37" i="9"/>
  <c r="Y20" i="13"/>
  <c r="I62" i="4"/>
  <c r="E75" i="4"/>
  <c r="C64" i="4"/>
  <c r="C14" i="4"/>
  <c r="H34" i="9"/>
  <c r="H4" i="9"/>
  <c r="J82" i="4"/>
  <c r="I64" i="4"/>
  <c r="E84" i="4"/>
  <c r="H36" i="9"/>
  <c r="C75" i="4"/>
  <c r="I83" i="4"/>
  <c r="D68" i="4"/>
  <c r="I4" i="9"/>
  <c r="E90" i="4"/>
  <c r="H22" i="9"/>
  <c r="L24" i="11"/>
  <c r="I34" i="9"/>
  <c r="D60" i="4"/>
  <c r="H17" i="9"/>
  <c r="J2" i="4"/>
  <c r="D92" i="4"/>
  <c r="H20" i="9"/>
  <c r="C60" i="4"/>
  <c r="I80" i="4"/>
  <c r="L12" i="11"/>
  <c r="J66" i="4"/>
  <c r="D10" i="4"/>
  <c r="I74" i="4"/>
  <c r="H31" i="9"/>
  <c r="E64" i="4"/>
  <c r="H41" i="9"/>
  <c r="D14" i="4"/>
  <c r="J78" i="4"/>
  <c r="H19" i="9"/>
  <c r="E83" i="4"/>
  <c r="J79" i="4"/>
  <c r="L7" i="11"/>
  <c r="L25" i="11"/>
  <c r="E93" i="4"/>
  <c r="E59" i="4"/>
  <c r="H39" i="9"/>
  <c r="L31" i="11"/>
  <c r="E82" i="4"/>
  <c r="C79" i="4"/>
  <c r="C83" i="4"/>
  <c r="J77" i="4"/>
  <c r="I9" i="4"/>
  <c r="E89" i="4"/>
  <c r="C13" i="4"/>
  <c r="E79" i="4"/>
  <c r="D67" i="4"/>
  <c r="E62" i="4"/>
  <c r="J92" i="4"/>
  <c r="C69" i="4"/>
  <c r="E61" i="4"/>
  <c r="I11" i="4"/>
  <c r="C9" i="4"/>
  <c r="L28" i="11"/>
  <c r="H5" i="9"/>
  <c r="D71" i="4"/>
  <c r="C88" i="4"/>
  <c r="H28" i="9"/>
  <c r="H11" i="9"/>
  <c r="I91" i="4"/>
  <c r="E85" i="4"/>
  <c r="L18" i="11"/>
  <c r="E76" i="4"/>
  <c r="E69" i="4"/>
  <c r="C85" i="4"/>
  <c r="J85" i="4"/>
  <c r="E70" i="4"/>
  <c r="I81" i="4"/>
  <c r="H33" i="9"/>
  <c r="D93" i="4"/>
  <c r="I59" i="4"/>
  <c r="L5" i="11"/>
  <c r="C82" i="4"/>
  <c r="C80" i="4"/>
  <c r="E65" i="4"/>
  <c r="C77" i="4"/>
  <c r="I2" i="4"/>
  <c r="I90" i="4"/>
  <c r="C68" i="4"/>
  <c r="J86" i="4"/>
  <c r="D9" i="4"/>
  <c r="I19" i="9"/>
  <c r="C10" i="4"/>
  <c r="D84" i="4"/>
  <c r="H44" i="9"/>
  <c r="I72" i="4"/>
  <c r="I61" i="4"/>
  <c r="D59" i="4"/>
  <c r="I85" i="4"/>
  <c r="I44" i="9"/>
  <c r="I77" i="4"/>
  <c r="D85" i="4"/>
  <c r="H42" i="9"/>
  <c r="C72" i="4"/>
  <c r="D72" i="4"/>
  <c r="C78" i="4"/>
  <c r="E92" i="4"/>
  <c r="L8" i="11"/>
  <c r="C89" i="4"/>
  <c r="H40" i="9"/>
  <c r="L27" i="11"/>
  <c r="L17" i="11"/>
  <c r="L10" i="11"/>
  <c r="C71" i="4"/>
  <c r="D70" i="4"/>
  <c r="H35" i="9"/>
  <c r="H12" i="9"/>
  <c r="J65" i="4"/>
  <c r="C73" i="4"/>
  <c r="D86" i="4"/>
  <c r="J10" i="4"/>
  <c r="D80" i="4"/>
  <c r="L30" i="11"/>
  <c r="D89" i="4"/>
  <c r="H21" i="9"/>
  <c r="D57" i="4"/>
  <c r="L39" i="11"/>
  <c r="C57" i="4"/>
  <c r="J90" i="4"/>
  <c r="C58" i="4"/>
  <c r="L16" i="11"/>
  <c r="J84" i="4"/>
  <c r="C63" i="4"/>
  <c r="J70" i="4"/>
  <c r="D64" i="4"/>
  <c r="D66" i="4"/>
  <c r="I86" i="4"/>
  <c r="H29" i="9"/>
  <c r="I75" i="4"/>
  <c r="D74" i="4"/>
  <c r="E74" i="4"/>
  <c r="J64" i="4"/>
  <c r="E66" i="4"/>
  <c r="L9" i="11"/>
  <c r="D82" i="4"/>
  <c r="J62" i="4"/>
  <c r="C7" i="13"/>
  <c r="C67" i="4"/>
  <c r="J14" i="4"/>
  <c r="C11" i="4"/>
  <c r="E63" i="4"/>
  <c r="D90" i="4"/>
  <c r="L26" i="11"/>
  <c r="L13" i="11"/>
  <c r="D12" i="4"/>
  <c r="L32" i="11"/>
  <c r="H38" i="9"/>
  <c r="E81" i="4"/>
  <c r="I38" i="9"/>
  <c r="E72" i="4"/>
  <c r="J91" i="4"/>
  <c r="D77" i="4"/>
  <c r="L20" i="11"/>
  <c r="J89" i="4"/>
  <c r="L38" i="11"/>
  <c r="I69" i="4"/>
  <c r="I79" i="4"/>
  <c r="D73" i="4"/>
  <c r="L15" i="11"/>
  <c r="I14" i="4"/>
  <c r="I71" i="4"/>
  <c r="C59" i="4"/>
  <c r="J11" i="4"/>
  <c r="I78" i="4"/>
  <c r="L36" i="11"/>
  <c r="I68" i="4"/>
  <c r="I22" i="9"/>
  <c r="H18" i="9"/>
  <c r="H10" i="9"/>
  <c r="H13" i="9"/>
  <c r="H14" i="9"/>
  <c r="C90" i="4"/>
  <c r="D76" i="4"/>
  <c r="H25" i="9"/>
  <c r="D2" i="4"/>
  <c r="J73" i="4"/>
  <c r="C84" i="4"/>
  <c r="D88" i="4"/>
  <c r="E68" i="4"/>
  <c r="J63" i="4"/>
  <c r="D61" i="4"/>
  <c r="C61" i="4"/>
  <c r="I10" i="4"/>
  <c r="H7" i="9"/>
  <c r="H32" i="9"/>
  <c r="I37" i="9"/>
  <c r="L23" i="11"/>
  <c r="J61" i="4"/>
  <c r="H43" i="9"/>
  <c r="D83" i="4"/>
  <c r="I57" i="4"/>
  <c r="E91" i="4"/>
  <c r="L21" i="11"/>
  <c r="H26" i="9"/>
  <c r="J67" i="4"/>
  <c r="I87" i="4"/>
  <c r="I65" i="4"/>
  <c r="I13" i="4"/>
  <c r="H3" i="9"/>
  <c r="D13" i="4"/>
  <c r="E60" i="4"/>
  <c r="J60" i="4"/>
  <c r="I30" i="9"/>
  <c r="I11" i="9"/>
  <c r="H23" i="9"/>
  <c r="I92" i="4"/>
  <c r="H9" i="9"/>
  <c r="L33" i="11"/>
  <c r="C91" i="4"/>
  <c r="D78" i="4"/>
  <c r="D79" i="4"/>
  <c r="E78" i="4"/>
  <c r="I84" i="4"/>
  <c r="J69" i="4"/>
  <c r="I58" i="4"/>
  <c r="D58" i="4"/>
  <c r="C74" i="4"/>
  <c r="I42" i="9"/>
  <c r="D11" i="4"/>
  <c r="L14" i="11"/>
  <c r="I12" i="9"/>
  <c r="I6" i="9"/>
  <c r="D81" i="4"/>
  <c r="E80" i="4"/>
  <c r="I66" i="4"/>
  <c r="I40" i="9"/>
  <c r="I3" i="9"/>
  <c r="D69" i="4"/>
  <c r="E77" i="4"/>
  <c r="J87" i="4"/>
  <c r="I39" i="9"/>
  <c r="I5" i="9"/>
  <c r="C81" i="4"/>
  <c r="I93" i="4"/>
  <c r="J76" i="4"/>
  <c r="C76" i="4"/>
  <c r="I15" i="9"/>
  <c r="I12" i="4"/>
  <c r="I73" i="4"/>
  <c r="I36" i="9"/>
  <c r="H24" i="9"/>
  <c r="I13" i="9"/>
  <c r="C93" i="4"/>
  <c r="L6" i="11"/>
  <c r="J57" i="4"/>
  <c r="H16" i="9"/>
  <c r="J72" i="4"/>
  <c r="D65" i="4"/>
  <c r="I82" i="4"/>
  <c r="H8" i="9"/>
  <c r="J59" i="4"/>
  <c r="H27" i="9"/>
  <c r="D63" i="4"/>
  <c r="J83" i="4"/>
  <c r="L40" i="11"/>
  <c r="J74" i="4"/>
  <c r="I20" i="9"/>
  <c r="C70" i="4"/>
  <c r="Y21" i="13"/>
  <c r="I17" i="9"/>
  <c r="I31" i="9"/>
  <c r="I41" i="9"/>
  <c r="I28" i="9"/>
  <c r="I33" i="9"/>
  <c r="I35" i="9"/>
  <c r="I21" i="9"/>
  <c r="I29" i="9"/>
  <c r="I18" i="9"/>
  <c r="I10" i="9"/>
  <c r="I14" i="9"/>
  <c r="I25" i="9"/>
  <c r="I7" i="9"/>
  <c r="I32" i="9"/>
  <c r="I43" i="9"/>
  <c r="I26" i="9"/>
  <c r="I23" i="9"/>
  <c r="I9" i="9"/>
  <c r="I24" i="9"/>
  <c r="I16" i="9"/>
  <c r="I8" i="9"/>
  <c r="I27" i="9"/>
  <c r="Y22" i="13"/>
  <c r="Y23" i="13"/>
  <c r="Z22" i="13"/>
  <c r="Z23" i="13"/>
  <c r="Y24" i="13"/>
  <c r="Y25" i="13"/>
  <c r="Z24" i="13"/>
  <c r="Y26" i="13"/>
  <c r="Z25" i="13"/>
  <c r="Y27" i="13"/>
  <c r="Z26" i="13"/>
  <c r="Y28" i="13"/>
  <c r="Z27" i="13"/>
  <c r="Z28" i="13"/>
  <c r="Y29" i="13"/>
  <c r="Z29" i="13"/>
  <c r="Y30" i="13"/>
  <c r="Y31" i="13"/>
  <c r="Z30" i="13"/>
  <c r="Z31" i="13"/>
  <c r="Y32" i="13"/>
  <c r="Z32" i="13"/>
  <c r="Y33" i="13"/>
  <c r="Y34" i="13"/>
  <c r="Z33" i="13"/>
  <c r="Z34" i="13"/>
  <c r="Y35" i="13"/>
  <c r="Y36" i="13"/>
  <c r="Z35" i="13"/>
  <c r="Z36" i="13"/>
  <c r="Y37" i="13"/>
  <c r="Y38" i="13"/>
  <c r="Z37" i="13"/>
  <c r="Y39" i="13"/>
  <c r="Z38" i="13"/>
  <c r="Z39" i="13"/>
  <c r="Y40" i="13"/>
  <c r="Y41" i="13"/>
  <c r="Z40" i="13"/>
  <c r="Y42" i="13"/>
  <c r="Z41" i="13"/>
  <c r="Z42" i="13"/>
  <c r="Y43" i="13"/>
  <c r="Y44" i="13"/>
  <c r="Z43" i="13"/>
  <c r="Z44" i="13"/>
  <c r="Y45" i="13"/>
  <c r="Y46" i="13"/>
  <c r="Z45" i="13"/>
  <c r="Z46" i="13"/>
  <c r="Y47" i="13"/>
  <c r="Z47" i="13"/>
  <c r="Y48" i="13"/>
  <c r="Z48" i="13"/>
  <c r="Y49" i="13"/>
  <c r="Z49" i="13"/>
  <c r="Y50" i="13"/>
  <c r="Z50" i="13"/>
  <c r="Y51" i="13"/>
  <c r="Y52" i="13"/>
  <c r="Z51" i="13"/>
  <c r="Z52" i="13"/>
  <c r="Y53" i="13"/>
  <c r="Y54" i="13"/>
  <c r="Z53" i="13"/>
  <c r="Y55" i="13"/>
  <c r="Z54" i="13"/>
  <c r="Z55" i="13"/>
  <c r="Y56" i="13"/>
  <c r="Y57" i="13"/>
  <c r="Z56" i="13"/>
  <c r="Z57" i="13"/>
  <c r="Y58" i="13"/>
  <c r="Z58" i="13"/>
  <c r="Y59" i="13"/>
  <c r="Y60" i="13"/>
  <c r="Z59" i="13"/>
  <c r="Y61" i="13"/>
  <c r="Z60" i="13"/>
  <c r="Z61" i="13"/>
  <c r="Y62" i="13"/>
  <c r="Z62" i="13"/>
  <c r="Y63" i="13"/>
  <c r="Z63" i="13"/>
  <c r="Y64" i="13"/>
  <c r="Z64" i="13"/>
  <c r="Y65" i="13"/>
  <c r="Y66" i="13"/>
  <c r="Z65" i="13"/>
  <c r="Z66" i="13"/>
  <c r="Y67" i="13"/>
  <c r="Z67" i="13"/>
  <c r="Y68" i="13"/>
  <c r="Y69" i="13"/>
  <c r="Z68" i="13"/>
  <c r="Z69" i="13"/>
  <c r="Y70" i="13"/>
  <c r="Y71" i="13"/>
  <c r="Z70" i="13"/>
  <c r="Z71" i="13"/>
  <c r="Y72" i="13"/>
  <c r="Y73" i="13"/>
  <c r="Z72" i="13"/>
  <c r="Y74" i="13"/>
  <c r="Z73" i="13"/>
  <c r="Z74" i="13"/>
  <c r="Y75" i="13"/>
  <c r="Y76" i="13"/>
  <c r="Z75" i="13"/>
  <c r="Y77" i="13"/>
  <c r="Z76" i="13"/>
  <c r="Y78" i="13"/>
  <c r="Z77" i="13"/>
  <c r="Z78" i="13"/>
  <c r="Y79" i="13"/>
  <c r="Z79" i="13"/>
  <c r="Y80" i="13"/>
  <c r="Y81" i="13"/>
  <c r="Z80" i="13"/>
  <c r="Z81" i="13"/>
  <c r="Y82" i="13"/>
  <c r="Y83" i="13"/>
  <c r="Z82" i="13"/>
  <c r="Z83" i="13"/>
  <c r="Y84" i="13"/>
  <c r="Z84" i="13"/>
  <c r="Y85" i="13"/>
  <c r="Z85" i="13"/>
  <c r="Y86" i="13"/>
  <c r="Z86" i="13"/>
  <c r="Y87" i="13"/>
  <c r="Y88" i="13"/>
  <c r="Z87" i="13"/>
  <c r="Z88" i="13"/>
  <c r="Y89" i="13"/>
  <c r="Z89" i="13"/>
  <c r="Y90" i="13"/>
  <c r="Z90" i="13"/>
  <c r="Y91" i="13"/>
  <c r="Z91" i="13"/>
  <c r="Y92" i="13"/>
  <c r="Y93" i="13"/>
  <c r="Z92" i="13"/>
  <c r="Z93" i="13"/>
  <c r="Y94" i="13"/>
  <c r="Z94" i="13"/>
  <c r="Y95" i="13"/>
  <c r="Z95" i="13"/>
  <c r="Y96" i="13"/>
  <c r="Z96" i="13"/>
  <c r="Y97" i="13"/>
  <c r="Z97" i="13"/>
  <c r="Y98" i="13"/>
  <c r="Z98" i="13"/>
  <c r="Y99" i="13"/>
  <c r="Z99" i="13"/>
  <c r="Y100" i="13"/>
  <c r="Y101" i="13"/>
  <c r="Z100" i="13"/>
  <c r="Y102" i="13"/>
  <c r="Z101" i="13"/>
  <c r="Z102" i="13"/>
  <c r="Y103" i="13"/>
  <c r="Z103" i="13"/>
  <c r="Y104" i="13"/>
  <c r="Z104" i="13"/>
  <c r="Y105" i="13"/>
  <c r="Y106" i="13"/>
  <c r="Z105" i="13"/>
  <c r="Y107" i="13"/>
  <c r="Z106" i="13"/>
  <c r="Z107" i="13"/>
  <c r="Y108" i="13"/>
  <c r="Z108" i="13"/>
  <c r="Y109" i="13"/>
  <c r="Z109" i="13"/>
  <c r="Y110" i="13"/>
  <c r="Y111" i="13"/>
  <c r="Z110" i="13"/>
  <c r="Y112" i="13"/>
  <c r="Z111" i="13"/>
  <c r="Y113" i="13"/>
  <c r="Z112" i="13"/>
  <c r="Y114" i="13"/>
  <c r="Z113" i="13"/>
  <c r="Z114" i="13"/>
  <c r="Y115" i="13"/>
  <c r="Z115" i="13"/>
  <c r="Y116" i="13"/>
  <c r="Z116" i="13"/>
  <c r="Y117" i="13"/>
  <c r="Z117" i="13"/>
  <c r="Y118" i="13"/>
  <c r="Y119" i="13"/>
  <c r="Z118" i="13"/>
  <c r="Y120" i="13"/>
  <c r="Z119" i="13"/>
  <c r="Z120" i="13"/>
  <c r="Y121" i="13"/>
  <c r="Z121" i="13"/>
  <c r="Y122" i="13"/>
  <c r="Z122" i="13"/>
  <c r="Y123" i="13"/>
  <c r="Y124" i="13"/>
  <c r="Z123" i="13"/>
  <c r="Z124" i="13"/>
  <c r="Y125" i="13"/>
  <c r="Y126" i="13"/>
  <c r="Z125" i="13"/>
  <c r="Y127" i="13"/>
  <c r="Z126" i="13"/>
  <c r="Y128" i="13"/>
  <c r="Z127" i="13"/>
  <c r="Z128" i="13"/>
  <c r="Y129" i="13"/>
  <c r="Z129" i="13"/>
  <c r="Y130" i="13"/>
  <c r="Y131" i="13"/>
  <c r="Z130" i="13"/>
  <c r="Z131" i="13"/>
  <c r="Y132" i="13"/>
  <c r="Z132" i="13"/>
  <c r="Y133" i="13"/>
  <c r="Y134" i="13"/>
  <c r="Z133" i="13"/>
  <c r="Y135" i="13"/>
  <c r="Z134" i="13"/>
  <c r="Z135" i="13"/>
  <c r="Y136" i="13"/>
  <c r="Y137" i="13"/>
  <c r="Z136" i="13"/>
  <c r="Z137" i="13"/>
  <c r="Y138" i="13"/>
  <c r="Z138" i="13"/>
  <c r="Y139" i="13"/>
  <c r="Z139" i="13"/>
  <c r="Y140" i="13"/>
  <c r="Z140" i="13"/>
  <c r="Y141" i="13"/>
  <c r="Z141" i="13"/>
  <c r="Y142" i="13"/>
  <c r="Y143" i="13"/>
  <c r="Z142" i="13"/>
  <c r="Z143" i="13"/>
  <c r="Y144" i="13"/>
  <c r="Y145" i="13"/>
  <c r="Z144" i="13"/>
  <c r="Y146" i="13"/>
  <c r="Z145" i="13"/>
  <c r="Z146" i="13"/>
  <c r="Y147" i="13"/>
  <c r="Z147" i="13"/>
  <c r="Y148" i="13"/>
  <c r="Y149" i="13"/>
  <c r="Z148" i="13"/>
  <c r="Y150" i="13"/>
  <c r="Z149" i="13"/>
  <c r="Y151" i="13"/>
  <c r="Z150" i="13"/>
  <c r="Z151" i="13"/>
  <c r="Y152" i="13"/>
  <c r="Y153" i="13"/>
  <c r="Z152" i="13"/>
  <c r="Y154" i="13"/>
  <c r="Z153" i="13"/>
  <c r="Y155" i="13"/>
  <c r="Z154" i="13"/>
  <c r="Z155" i="13"/>
  <c r="Y156" i="13"/>
  <c r="Z156" i="13"/>
  <c r="Y157" i="13"/>
  <c r="Y158" i="13"/>
  <c r="Z157" i="13"/>
  <c r="Y159" i="13"/>
  <c r="Z158" i="13"/>
  <c r="Y160" i="13"/>
  <c r="Z159" i="13"/>
  <c r="Y161" i="13"/>
  <c r="Z160" i="13"/>
  <c r="Z161" i="13"/>
  <c r="Y162" i="13"/>
  <c r="Y163" i="13"/>
  <c r="Z162" i="13"/>
  <c r="Z163" i="13"/>
  <c r="Y164" i="13"/>
  <c r="Z164" i="13"/>
  <c r="Y165" i="13"/>
  <c r="Z165" i="13"/>
  <c r="Y166" i="13"/>
  <c r="Y167" i="13"/>
  <c r="Z166" i="13"/>
  <c r="Z167" i="13"/>
  <c r="Y168" i="13"/>
  <c r="Z168" i="13"/>
  <c r="Y169" i="13"/>
  <c r="Y170" i="13"/>
  <c r="Z169" i="13"/>
  <c r="Z170" i="13"/>
  <c r="Y171" i="13"/>
  <c r="Y172" i="13"/>
  <c r="Z171" i="13"/>
  <c r="Z172" i="13"/>
  <c r="Y173" i="13"/>
  <c r="Y174" i="13"/>
  <c r="Z173" i="13"/>
  <c r="Y175" i="13"/>
  <c r="Z174" i="13"/>
  <c r="Z175" i="13"/>
  <c r="Y176" i="13"/>
  <c r="Y177" i="13"/>
  <c r="Z176" i="13"/>
  <c r="Z177" i="13"/>
  <c r="Y178" i="13"/>
  <c r="Y179" i="13"/>
  <c r="Z178" i="13"/>
  <c r="Z179" i="13"/>
  <c r="Y180" i="13"/>
  <c r="Y181" i="13"/>
  <c r="Z180" i="13"/>
  <c r="Y182" i="13"/>
  <c r="Z181" i="13"/>
  <c r="Y183" i="13"/>
  <c r="Z182" i="13"/>
  <c r="Y184" i="13"/>
  <c r="Z183" i="13"/>
  <c r="Z184" i="13"/>
  <c r="Y185" i="13"/>
  <c r="Z185" i="13"/>
  <c r="Y186" i="13"/>
  <c r="Z186" i="13"/>
  <c r="Y187" i="13"/>
  <c r="Z187" i="13"/>
  <c r="Y188" i="13"/>
  <c r="Z188" i="13"/>
  <c r="Y189" i="13"/>
  <c r="Z189" i="13"/>
  <c r="Y190" i="13"/>
  <c r="Z190" i="13"/>
  <c r="Y191" i="13"/>
  <c r="Z191" i="13"/>
  <c r="Y192" i="13"/>
  <c r="Z192" i="13"/>
  <c r="Y193" i="13"/>
  <c r="Z193" i="13"/>
  <c r="Y194" i="13"/>
  <c r="Y195" i="13"/>
  <c r="Z194" i="13"/>
  <c r="Z195" i="13"/>
  <c r="Y196" i="13"/>
  <c r="Y197" i="13"/>
  <c r="Z196" i="13"/>
  <c r="Z197" i="13"/>
  <c r="Y198" i="13"/>
  <c r="Y199" i="13"/>
  <c r="Z198" i="13"/>
  <c r="Z199" i="13"/>
  <c r="Y200" i="13"/>
  <c r="Y201" i="13"/>
  <c r="Z200" i="13"/>
  <c r="Y202" i="13"/>
  <c r="Z201" i="13"/>
  <c r="Z202" i="13"/>
  <c r="Y203" i="13"/>
  <c r="Z203" i="13"/>
  <c r="Y204" i="13"/>
  <c r="Z204" i="13"/>
  <c r="Y205" i="13"/>
  <c r="Z205" i="13"/>
  <c r="Y206" i="13"/>
  <c r="Z206" i="13"/>
  <c r="Y207" i="13"/>
  <c r="Y208" i="13"/>
  <c r="Z207" i="13"/>
  <c r="Z208" i="13"/>
  <c r="Y209" i="13"/>
  <c r="Y210" i="13"/>
  <c r="Z209" i="13"/>
  <c r="Y211" i="13"/>
  <c r="Z210" i="13"/>
  <c r="Z211" i="13"/>
  <c r="Y212" i="13"/>
  <c r="Y213" i="13"/>
  <c r="Z212" i="13"/>
  <c r="Z213" i="13"/>
  <c r="Y214" i="13"/>
  <c r="Z214" i="13"/>
  <c r="Y215" i="13"/>
  <c r="Y216" i="13"/>
  <c r="Z215" i="13"/>
  <c r="Z216" i="13"/>
  <c r="Y217" i="13"/>
  <c r="Y218" i="13"/>
  <c r="Z217" i="13"/>
  <c r="Y219" i="13"/>
  <c r="Z218" i="13"/>
  <c r="Z219" i="13"/>
  <c r="Y220" i="13"/>
  <c r="Y221" i="13"/>
  <c r="Z220" i="13"/>
  <c r="Z221" i="13"/>
  <c r="Y222" i="13"/>
  <c r="Z222" i="13"/>
  <c r="Y223" i="13"/>
  <c r="Z223" i="13"/>
  <c r="Y224" i="13"/>
  <c r="Y225" i="13"/>
  <c r="Z224" i="13"/>
  <c r="Y226" i="13"/>
  <c r="Z225" i="13"/>
  <c r="Z226" i="13"/>
  <c r="Y227" i="13"/>
  <c r="Z227" i="13"/>
  <c r="Y228" i="13"/>
  <c r="Z228" i="13"/>
  <c r="Y229" i="13"/>
  <c r="Z229" i="13"/>
  <c r="Y230" i="13"/>
  <c r="Y231" i="13"/>
  <c r="Z230" i="13"/>
  <c r="Y232" i="13"/>
  <c r="Z231" i="13"/>
  <c r="Z232" i="13"/>
  <c r="Y233" i="13"/>
  <c r="Y234" i="13"/>
  <c r="Z233" i="13"/>
  <c r="Z234" i="13"/>
  <c r="Y235" i="13"/>
  <c r="Y236" i="13"/>
  <c r="Z235" i="13"/>
  <c r="Y237" i="13"/>
  <c r="Z236" i="13"/>
  <c r="Y238" i="13"/>
  <c r="Z237" i="13"/>
  <c r="Z238" i="13"/>
  <c r="Y239" i="13"/>
  <c r="Y240" i="13"/>
  <c r="Z239" i="13"/>
  <c r="Z240" i="13"/>
  <c r="Y241" i="13"/>
  <c r="Z241" i="13"/>
  <c r="Y242" i="13"/>
  <c r="Z242" i="13"/>
  <c r="Y243" i="13"/>
  <c r="Y244" i="13"/>
  <c r="Z243" i="13"/>
  <c r="Z244" i="13"/>
  <c r="Y245" i="13"/>
  <c r="Z245" i="13"/>
  <c r="Y246" i="13"/>
  <c r="Z246" i="13"/>
  <c r="Y247" i="13"/>
  <c r="Y248" i="13"/>
  <c r="Z247" i="13"/>
  <c r="Z248" i="13"/>
  <c r="Y249" i="13"/>
  <c r="Z249" i="13"/>
  <c r="Y250" i="13"/>
  <c r="Y251" i="13"/>
  <c r="Z250" i="13"/>
  <c r="Y252" i="13"/>
  <c r="Z251" i="13"/>
  <c r="Y253" i="13"/>
  <c r="Z252" i="13"/>
  <c r="Y254" i="13"/>
  <c r="Z253" i="13"/>
  <c r="Y255" i="13"/>
  <c r="Z254" i="13"/>
  <c r="Z255" i="13"/>
  <c r="Y256" i="13"/>
  <c r="Y257" i="13"/>
  <c r="Z256" i="13"/>
  <c r="Y258" i="13"/>
  <c r="Z257" i="13"/>
  <c r="Y259" i="13"/>
  <c r="Z258" i="13"/>
  <c r="Z259" i="13"/>
  <c r="Y260" i="13"/>
  <c r="Y261" i="13"/>
  <c r="Z260" i="13"/>
  <c r="Z261" i="13"/>
  <c r="Y262" i="13"/>
  <c r="Y263" i="13"/>
  <c r="Z262" i="13"/>
  <c r="Y264" i="13"/>
  <c r="Z263" i="13"/>
  <c r="Z264" i="13"/>
  <c r="Y265" i="13"/>
  <c r="Y266" i="13"/>
  <c r="Z265" i="13"/>
  <c r="Z266" i="13"/>
  <c r="Y267" i="13"/>
  <c r="Z267" i="13"/>
  <c r="Y268" i="13"/>
  <c r="Y269" i="13"/>
  <c r="Z268" i="13"/>
  <c r="Y270" i="13"/>
  <c r="Z269" i="13"/>
  <c r="Z270" i="13"/>
  <c r="Y271" i="13"/>
  <c r="Z271" i="13"/>
  <c r="Y272" i="13"/>
  <c r="Z272" i="13"/>
  <c r="Y273" i="13"/>
  <c r="Z273" i="13"/>
  <c r="Y274" i="13"/>
  <c r="Z274" i="13"/>
  <c r="Y275" i="13"/>
  <c r="Z275" i="13"/>
  <c r="Y276" i="13"/>
  <c r="Z276" i="13"/>
  <c r="Y277" i="13"/>
  <c r="Z277" i="13"/>
  <c r="Y278" i="13"/>
  <c r="Y279" i="13"/>
  <c r="Z278" i="13"/>
  <c r="Y280" i="13"/>
  <c r="Z279" i="13"/>
  <c r="Y281" i="13"/>
  <c r="Z280" i="13"/>
  <c r="Z281" i="13"/>
  <c r="Y282" i="13"/>
  <c r="Y283" i="13"/>
  <c r="Z282" i="13"/>
  <c r="Y284" i="13"/>
  <c r="Z283" i="13"/>
  <c r="Y285" i="13"/>
  <c r="Z284" i="13"/>
  <c r="Z285" i="13"/>
  <c r="Y286" i="13"/>
  <c r="Y287" i="13"/>
  <c r="Z286" i="13"/>
  <c r="Y288" i="13"/>
  <c r="Z287" i="13"/>
  <c r="Y289" i="13"/>
  <c r="Z288" i="13"/>
  <c r="Y290" i="13"/>
  <c r="Z289" i="13"/>
  <c r="Z290" i="13"/>
  <c r="Y291" i="13"/>
  <c r="Z291" i="13"/>
  <c r="Y292" i="13"/>
  <c r="Y293" i="13"/>
  <c r="Z292" i="13"/>
  <c r="Z293" i="13"/>
  <c r="Y294" i="13"/>
  <c r="Z294" i="13"/>
  <c r="Y295" i="13"/>
  <c r="Z295" i="13"/>
  <c r="Y296" i="13"/>
  <c r="Y297" i="13"/>
  <c r="Z296" i="13"/>
  <c r="Y298" i="13"/>
  <c r="Z297" i="13"/>
  <c r="Z298" i="13"/>
  <c r="Y299" i="13"/>
  <c r="Y300" i="13"/>
  <c r="Z299" i="13"/>
  <c r="Z300" i="13"/>
  <c r="Y301" i="13"/>
  <c r="Y302" i="13"/>
  <c r="Z301" i="13"/>
  <c r="Y303" i="13"/>
  <c r="Z302" i="13"/>
  <c r="Y304" i="13"/>
  <c r="Z303" i="13"/>
  <c r="Y305" i="13"/>
  <c r="Z304" i="13"/>
  <c r="Z305" i="13"/>
  <c r="Y306" i="13"/>
  <c r="Z306" i="13"/>
  <c r="Y307" i="13"/>
  <c r="Z307" i="13"/>
  <c r="Y308" i="13"/>
  <c r="Z308" i="13"/>
  <c r="Y309" i="13"/>
  <c r="Z309" i="13"/>
  <c r="Y310" i="13"/>
  <c r="Y311" i="13"/>
  <c r="Z310" i="13"/>
  <c r="Y312" i="13"/>
  <c r="Z311" i="13"/>
  <c r="Y313" i="13"/>
  <c r="Z312" i="13"/>
  <c r="Z313" i="13"/>
  <c r="Y314" i="13"/>
  <c r="Z314" i="13"/>
  <c r="Y315" i="13"/>
  <c r="Z315" i="13"/>
  <c r="Y316" i="13"/>
  <c r="Z316" i="13"/>
  <c r="Y317" i="13"/>
  <c r="Z317" i="13"/>
  <c r="Y318" i="13"/>
  <c r="Z318" i="13"/>
  <c r="Y319" i="13"/>
  <c r="Z319" i="13"/>
  <c r="Y320" i="13"/>
  <c r="Y321" i="13"/>
  <c r="Z320" i="13"/>
  <c r="Y322" i="13"/>
  <c r="Z321" i="13"/>
  <c r="Z322" i="13"/>
  <c r="Y323" i="13"/>
  <c r="Z323" i="13"/>
  <c r="Y324" i="13"/>
  <c r="Y325" i="13"/>
  <c r="Z324" i="13"/>
  <c r="Z325" i="13"/>
  <c r="Y326" i="13"/>
  <c r="Z326" i="13"/>
  <c r="Y327" i="13"/>
  <c r="Z327" i="13"/>
  <c r="Y328" i="13"/>
  <c r="Y329" i="13"/>
  <c r="Z328" i="13"/>
  <c r="Z329" i="13"/>
  <c r="Y330" i="13"/>
  <c r="Z330" i="13"/>
  <c r="Y331" i="13"/>
  <c r="Y332" i="13"/>
  <c r="Z331" i="13"/>
  <c r="Y333" i="13"/>
  <c r="Z332" i="13"/>
  <c r="Z333" i="13"/>
  <c r="Y334" i="13"/>
  <c r="Z334" i="13"/>
  <c r="Y335" i="13"/>
  <c r="Y336" i="13"/>
  <c r="Z335" i="13"/>
  <c r="Y337" i="13"/>
  <c r="Z336" i="13"/>
  <c r="Y338" i="13"/>
  <c r="Z337" i="13"/>
  <c r="Z338" i="13"/>
  <c r="Y339" i="13"/>
  <c r="Z339" i="13"/>
  <c r="Y340" i="13"/>
  <c r="Y341" i="13"/>
  <c r="Z340" i="13"/>
  <c r="Y342" i="13"/>
  <c r="Z341" i="13"/>
  <c r="Y343" i="13"/>
  <c r="Z342" i="13"/>
  <c r="Y344" i="13"/>
  <c r="Z343" i="13"/>
  <c r="Z344" i="13"/>
  <c r="Y345" i="13"/>
  <c r="Z345" i="13"/>
  <c r="Y346" i="13"/>
  <c r="Y347" i="13"/>
  <c r="Z346" i="13"/>
  <c r="Y348" i="13"/>
  <c r="Z347" i="13"/>
  <c r="Y349" i="13"/>
  <c r="Z348" i="13"/>
  <c r="Z349" i="13"/>
  <c r="Y350" i="13"/>
  <c r="Z350" i="13"/>
  <c r="Y351" i="13"/>
  <c r="Z351" i="13"/>
  <c r="Y352" i="13"/>
  <c r="Y353" i="13"/>
  <c r="Z352" i="13"/>
  <c r="Y354" i="13"/>
  <c r="Z353" i="13"/>
  <c r="Z354" i="13"/>
  <c r="Y355" i="13"/>
  <c r="Y356" i="13"/>
  <c r="Z355" i="13"/>
  <c r="Z356" i="13"/>
  <c r="Y357" i="13"/>
  <c r="Z357" i="13"/>
  <c r="Y358" i="13"/>
  <c r="Z358" i="13"/>
  <c r="Y359" i="13"/>
  <c r="Z359" i="13"/>
  <c r="Y360" i="13"/>
  <c r="Z360" i="13"/>
  <c r="Y361" i="13"/>
  <c r="Y362" i="13"/>
  <c r="Z361" i="13"/>
  <c r="Y363" i="13"/>
  <c r="Z362" i="13"/>
  <c r="Y364" i="13"/>
  <c r="Z363" i="13"/>
  <c r="Z364" i="13"/>
  <c r="Y365" i="13"/>
  <c r="Z365" i="13"/>
  <c r="Y366" i="13"/>
  <c r="Y367" i="13"/>
  <c r="Z366" i="13"/>
  <c r="Y368" i="13"/>
  <c r="Z367" i="13"/>
  <c r="Z368" i="13"/>
  <c r="Y369" i="13"/>
  <c r="Y370" i="13"/>
  <c r="Z369" i="13"/>
  <c r="Z370" i="13"/>
  <c r="Y371" i="13"/>
  <c r="Y372" i="13"/>
  <c r="Z371" i="13"/>
  <c r="Z372" i="13"/>
  <c r="Y373" i="13"/>
  <c r="Z373" i="13"/>
  <c r="Y374" i="13"/>
  <c r="Y375" i="13"/>
  <c r="Z374" i="13"/>
  <c r="Z375" i="13"/>
  <c r="Y376" i="13"/>
  <c r="Y377" i="13"/>
  <c r="Z376" i="13"/>
  <c r="Y378" i="13"/>
  <c r="Z377" i="13"/>
  <c r="Z378" i="13"/>
  <c r="Y379" i="13"/>
  <c r="Z379" i="13"/>
  <c r="Y380" i="13"/>
  <c r="Y381" i="13"/>
  <c r="Z380" i="13"/>
  <c r="Z381" i="13"/>
  <c r="Y382" i="13"/>
  <c r="Y383" i="13"/>
  <c r="Z382" i="13"/>
  <c r="Y384" i="13"/>
  <c r="Z383" i="13"/>
  <c r="Y385" i="13"/>
  <c r="Z384" i="13"/>
  <c r="Z385" i="13"/>
  <c r="Y386" i="13"/>
  <c r="Z386" i="13"/>
  <c r="Y387" i="13"/>
  <c r="Y388" i="13"/>
  <c r="Z387" i="13"/>
  <c r="Z388" i="13"/>
  <c r="Y389" i="13"/>
  <c r="Y390" i="13"/>
  <c r="Z389" i="13"/>
  <c r="Z390" i="13"/>
  <c r="Y391" i="13"/>
  <c r="Z391" i="13"/>
  <c r="Y392" i="13"/>
  <c r="Y393" i="13"/>
  <c r="Z392" i="13"/>
  <c r="Y394" i="13"/>
  <c r="Z393" i="13"/>
  <c r="Y395" i="13"/>
  <c r="Z394" i="13"/>
  <c r="Y396" i="13"/>
  <c r="Z395" i="13"/>
  <c r="Z396" i="13"/>
  <c r="Y397" i="13"/>
  <c r="Y398" i="13"/>
  <c r="Z397" i="13"/>
  <c r="Z398" i="13"/>
  <c r="Y399" i="13"/>
  <c r="Y400" i="13"/>
  <c r="Z399" i="13"/>
  <c r="Y401" i="13"/>
  <c r="Z400" i="13"/>
  <c r="Z401" i="13"/>
  <c r="Y402" i="13"/>
  <c r="Y403" i="13"/>
  <c r="Z402" i="13"/>
  <c r="Y404" i="13"/>
  <c r="Z403" i="13"/>
  <c r="Y405" i="13"/>
  <c r="Z404" i="13"/>
  <c r="Y406" i="13"/>
  <c r="Z405" i="13"/>
  <c r="Z406" i="13"/>
  <c r="Y407" i="13"/>
  <c r="Z407" i="13"/>
  <c r="Y408" i="13"/>
  <c r="Y409" i="13"/>
  <c r="Z408" i="13"/>
  <c r="Z409" i="13"/>
  <c r="Y410" i="13"/>
  <c r="Z410" i="13"/>
  <c r="Y411" i="13"/>
  <c r="Z411" i="13"/>
  <c r="Y412" i="13"/>
  <c r="Y413" i="13"/>
  <c r="Z412" i="13"/>
  <c r="Y414" i="13"/>
  <c r="Z413" i="13"/>
  <c r="Z414" i="13"/>
  <c r="Y415" i="13"/>
  <c r="Z415" i="13"/>
  <c r="Y416" i="13"/>
  <c r="Z416" i="13"/>
  <c r="Y417" i="13"/>
  <c r="Z417" i="13"/>
  <c r="Y418" i="13"/>
  <c r="Y419" i="13"/>
  <c r="Z418" i="13"/>
  <c r="Y420" i="13"/>
  <c r="Z419" i="13"/>
  <c r="Z420" i="13"/>
  <c r="Y421" i="13"/>
  <c r="Y422" i="13"/>
  <c r="Z421" i="13"/>
  <c r="Y423" i="13"/>
  <c r="Z422" i="13"/>
  <c r="Y424" i="13"/>
  <c r="Z423" i="13"/>
  <c r="Z424" i="13"/>
  <c r="Y425" i="13"/>
  <c r="Z425" i="13"/>
  <c r="Y426" i="13"/>
  <c r="Z426" i="13"/>
  <c r="Y427" i="13"/>
  <c r="Z427" i="13"/>
  <c r="Y428" i="13"/>
  <c r="Z428" i="13"/>
  <c r="Y429" i="13"/>
  <c r="Z429" i="13"/>
  <c r="Y430" i="13"/>
  <c r="Y431" i="13"/>
  <c r="Z430" i="13"/>
  <c r="Z431" i="13"/>
  <c r="Y432" i="13"/>
  <c r="Z432" i="13"/>
  <c r="Y433" i="13"/>
  <c r="Z433" i="13"/>
  <c r="Y434" i="13"/>
  <c r="Y435" i="13"/>
  <c r="Z434" i="13"/>
  <c r="Y436" i="13"/>
  <c r="Z435" i="13"/>
  <c r="Y437" i="13"/>
  <c r="Z436" i="13"/>
  <c r="Z437" i="13"/>
  <c r="Y438" i="13"/>
  <c r="Z438" i="13"/>
  <c r="Y439" i="13"/>
  <c r="Y440" i="13"/>
  <c r="Z439" i="13"/>
  <c r="Z440" i="13"/>
  <c r="Y441" i="13"/>
  <c r="Y442" i="13"/>
  <c r="Z441" i="13"/>
  <c r="Y443" i="13"/>
  <c r="Z442" i="13"/>
  <c r="Y444" i="13"/>
  <c r="Z443" i="13"/>
  <c r="Y445" i="13"/>
  <c r="Z444" i="13"/>
  <c r="Z445" i="13"/>
  <c r="Y446" i="13"/>
  <c r="Y447" i="13"/>
  <c r="Z446" i="13"/>
  <c r="Y448" i="13"/>
  <c r="Z447" i="13"/>
  <c r="Z448" i="13"/>
  <c r="Y449" i="13"/>
  <c r="Z449" i="13"/>
  <c r="Y450" i="13"/>
  <c r="Y451" i="13"/>
  <c r="Z450" i="13"/>
  <c r="Y452" i="13"/>
  <c r="Z451" i="13"/>
  <c r="Z452" i="13"/>
  <c r="Y453" i="13"/>
  <c r="Y454" i="13"/>
  <c r="Z453" i="13"/>
  <c r="Z454" i="13"/>
  <c r="Y455" i="13"/>
  <c r="Z455" i="13"/>
  <c r="Y456" i="13"/>
  <c r="Z456" i="13"/>
  <c r="Y457" i="13"/>
  <c r="Y458" i="13"/>
  <c r="Z457" i="13"/>
  <c r="Z458" i="13"/>
  <c r="Y459" i="13"/>
  <c r="Y460" i="13"/>
  <c r="Z459" i="13"/>
  <c r="Y461" i="13"/>
  <c r="Z460" i="13"/>
  <c r="Y462" i="13"/>
  <c r="Z461" i="13"/>
  <c r="Z462" i="13"/>
  <c r="Y463" i="13"/>
  <c r="Z463" i="13"/>
  <c r="Y464" i="13"/>
  <c r="Z464" i="13"/>
  <c r="Y465" i="13"/>
  <c r="Z465" i="13"/>
  <c r="Y466" i="13"/>
  <c r="Y467" i="13"/>
  <c r="Z466" i="13"/>
  <c r="Y468" i="13"/>
  <c r="Z467" i="13"/>
  <c r="Z468" i="13"/>
  <c r="Y469" i="13"/>
  <c r="Z469" i="13"/>
  <c r="Y470" i="13"/>
  <c r="Y471" i="13"/>
  <c r="Z470" i="13"/>
  <c r="Z471" i="13"/>
  <c r="Y472" i="13"/>
  <c r="Z472" i="13"/>
  <c r="Y473" i="13"/>
  <c r="Z473" i="13"/>
  <c r="Y474" i="13"/>
  <c r="Z474" i="13"/>
  <c r="Y475" i="13"/>
  <c r="Y476" i="13"/>
  <c r="Z475" i="13"/>
  <c r="Y477" i="13"/>
  <c r="Z476" i="13"/>
  <c r="Z477" i="13"/>
  <c r="Y478" i="13"/>
  <c r="Y479" i="13"/>
  <c r="Z478" i="13"/>
  <c r="Z479" i="13"/>
  <c r="Y480" i="13"/>
  <c r="Z480" i="13"/>
  <c r="Y481" i="13"/>
  <c r="Y482" i="13"/>
  <c r="Z481" i="13"/>
  <c r="Y483" i="13"/>
  <c r="Z482" i="13"/>
  <c r="Z483" i="13"/>
  <c r="Y484" i="13"/>
  <c r="Z484" i="13"/>
  <c r="Y485" i="13"/>
  <c r="Z485" i="13"/>
  <c r="Y486" i="13"/>
  <c r="Z486" i="13"/>
  <c r="Y487" i="13"/>
  <c r="Y488" i="13"/>
  <c r="Z487" i="13"/>
  <c r="Y489" i="13"/>
  <c r="Z488" i="13"/>
  <c r="Y490" i="13"/>
  <c r="Z489" i="13"/>
  <c r="Y491" i="13"/>
  <c r="Z490" i="13"/>
  <c r="Z491" i="13"/>
  <c r="Y492" i="13"/>
  <c r="Z492" i="13"/>
  <c r="Y493" i="13"/>
  <c r="Y494" i="13"/>
  <c r="Z493" i="13"/>
  <c r="Y495" i="13"/>
  <c r="Z494" i="13"/>
  <c r="Y496" i="13"/>
  <c r="Z495" i="13"/>
  <c r="Y497" i="13"/>
  <c r="Z496" i="13"/>
  <c r="Z497" i="13"/>
  <c r="Y498" i="13"/>
  <c r="Y499" i="13"/>
  <c r="Z498" i="13"/>
  <c r="Y500" i="13"/>
  <c r="Z499" i="13"/>
  <c r="Y501" i="13"/>
  <c r="Z500" i="13"/>
  <c r="Y502" i="13"/>
  <c r="Z501" i="13"/>
  <c r="Z502" i="13"/>
  <c r="Y503" i="13"/>
  <c r="Z503" i="13"/>
  <c r="Y504" i="13"/>
  <c r="Z504" i="13"/>
  <c r="Y505" i="13"/>
  <c r="Z505" i="13"/>
  <c r="Y506" i="13"/>
  <c r="Z506" i="13"/>
  <c r="Y507" i="13"/>
  <c r="Z507" i="13"/>
  <c r="Y508" i="13"/>
  <c r="Z508" i="13"/>
  <c r="Y509" i="13"/>
  <c r="Y510" i="13"/>
  <c r="Z509" i="13"/>
  <c r="Y511" i="13"/>
  <c r="Z510" i="13"/>
  <c r="Y512" i="13"/>
  <c r="Z511" i="13"/>
  <c r="Y513" i="13"/>
  <c r="Z512" i="13"/>
  <c r="Y514" i="13"/>
  <c r="Z513" i="13"/>
  <c r="Z514" i="13"/>
  <c r="Y515" i="13"/>
  <c r="Z515" i="13"/>
  <c r="Y516" i="13"/>
  <c r="Z516" i="13"/>
  <c r="Y517" i="13"/>
  <c r="Y518" i="13"/>
  <c r="Z517" i="13"/>
  <c r="Z518" i="13"/>
  <c r="Y519" i="13"/>
  <c r="Y520" i="13"/>
  <c r="Z519" i="13"/>
  <c r="Y521" i="13"/>
  <c r="Z520" i="13"/>
  <c r="Z521" i="13"/>
  <c r="Y522" i="13"/>
  <c r="Z522" i="13"/>
  <c r="Y523" i="13"/>
  <c r="Z523" i="13"/>
  <c r="Y524" i="13"/>
  <c r="Z524" i="13"/>
  <c r="Y525" i="13"/>
  <c r="Z525" i="13"/>
  <c r="Y526" i="13"/>
  <c r="Z526" i="13"/>
  <c r="Y527" i="13"/>
  <c r="Y528" i="13"/>
  <c r="Z527" i="13"/>
  <c r="Z528" i="13"/>
  <c r="Y529" i="13"/>
  <c r="Y530" i="13"/>
  <c r="Z529" i="13"/>
  <c r="Y531" i="13"/>
  <c r="Z530" i="13"/>
  <c r="Y532" i="13"/>
  <c r="Z531" i="13"/>
  <c r="Z532" i="13"/>
  <c r="Y533" i="13"/>
  <c r="Z533" i="13"/>
  <c r="Y534" i="13"/>
  <c r="Y535" i="13"/>
  <c r="Z534" i="13"/>
  <c r="Z535" i="13"/>
  <c r="Y536" i="13"/>
  <c r="Z536" i="13"/>
  <c r="Y537" i="13"/>
  <c r="Z537" i="13"/>
  <c r="Y538" i="13"/>
  <c r="Y539" i="13"/>
  <c r="Z538" i="13"/>
  <c r="Y540" i="13"/>
  <c r="Z539" i="13"/>
  <c r="Z540" i="13"/>
  <c r="Y541" i="13"/>
  <c r="Y542" i="13"/>
  <c r="Z541" i="13"/>
  <c r="Y543" i="13"/>
  <c r="Z542" i="13"/>
  <c r="Y544" i="13"/>
  <c r="Z543" i="13"/>
  <c r="Y545" i="13"/>
  <c r="Z544" i="13"/>
  <c r="Y546" i="13"/>
  <c r="Z545" i="13"/>
  <c r="Y547" i="13"/>
  <c r="Z546" i="13"/>
  <c r="Y548" i="13"/>
  <c r="Z547" i="13"/>
  <c r="Z548" i="13"/>
  <c r="Y549" i="13"/>
  <c r="Z549" i="13"/>
  <c r="Y550" i="13"/>
  <c r="Y551" i="13"/>
  <c r="Z550" i="13"/>
  <c r="Y552" i="13"/>
  <c r="Z551" i="13"/>
  <c r="Y553" i="13"/>
  <c r="Z552" i="13"/>
  <c r="Y554" i="13"/>
  <c r="Z553" i="13"/>
  <c r="Z554" i="13"/>
  <c r="Y555" i="13"/>
  <c r="Y556" i="13"/>
  <c r="Z555" i="13"/>
  <c r="Z556" i="13"/>
  <c r="Y557" i="13"/>
  <c r="Y558" i="13"/>
  <c r="Z557" i="13"/>
  <c r="Y559" i="13"/>
  <c r="Z558" i="13"/>
  <c r="Y560" i="13"/>
  <c r="Z559" i="13"/>
  <c r="Z560" i="13"/>
  <c r="Y561" i="13"/>
  <c r="Z561" i="13"/>
  <c r="Y562" i="13"/>
  <c r="Z562" i="13"/>
  <c r="Y563" i="13"/>
  <c r="Z563" i="13"/>
  <c r="Y564" i="13"/>
  <c r="Y565" i="13"/>
  <c r="Z564" i="13"/>
  <c r="Z565" i="13"/>
  <c r="Y566" i="13"/>
  <c r="Z566" i="13"/>
  <c r="Y567" i="13"/>
  <c r="Z567" i="13"/>
  <c r="Y568" i="13"/>
  <c r="Y569" i="13"/>
  <c r="Z568" i="13"/>
  <c r="Y570" i="13"/>
  <c r="Z569" i="13"/>
  <c r="Y571" i="13"/>
  <c r="Z570" i="13"/>
  <c r="Z571" i="13"/>
  <c r="Y572" i="13"/>
  <c r="Z572" i="13"/>
  <c r="Y573" i="13"/>
  <c r="Z573" i="13"/>
  <c r="Y574" i="13"/>
  <c r="Z574" i="13"/>
  <c r="Y575" i="13"/>
  <c r="Y576" i="13"/>
  <c r="Z575" i="13"/>
  <c r="Y577" i="13"/>
  <c r="Z576" i="13"/>
  <c r="Z577" i="13"/>
  <c r="Y578" i="13"/>
  <c r="Z578" i="13"/>
  <c r="Y579" i="13"/>
  <c r="Z579" i="13"/>
  <c r="Y580" i="13"/>
  <c r="Y581" i="13"/>
  <c r="Z580" i="13"/>
  <c r="Y582" i="13"/>
  <c r="Z581" i="13"/>
  <c r="Z582" i="13"/>
  <c r="Y583" i="13"/>
  <c r="Y584" i="13"/>
  <c r="Z583" i="13"/>
  <c r="Y585" i="13"/>
  <c r="Z584" i="13"/>
  <c r="Y586" i="13"/>
  <c r="Z585" i="13"/>
  <c r="Z586" i="13"/>
  <c r="Y587" i="13"/>
  <c r="Y588" i="13"/>
  <c r="Z587" i="13"/>
  <c r="Z588" i="13"/>
  <c r="Y589" i="13"/>
  <c r="Z589" i="13"/>
  <c r="Y590" i="13"/>
  <c r="Y591" i="13"/>
  <c r="Z590" i="13"/>
  <c r="Y592" i="13"/>
  <c r="Z591" i="13"/>
  <c r="Z592" i="13"/>
  <c r="Y593" i="13"/>
  <c r="Z593" i="13"/>
  <c r="Y594" i="13"/>
  <c r="Y595" i="13"/>
  <c r="Z594" i="13"/>
  <c r="Y596" i="13"/>
  <c r="Z595" i="13"/>
  <c r="Z596" i="13"/>
  <c r="Y597" i="13"/>
  <c r="Z597" i="13"/>
  <c r="Y598" i="13"/>
  <c r="Y599" i="13"/>
  <c r="Z598" i="13"/>
  <c r="Y600" i="13"/>
  <c r="Z599" i="13"/>
  <c r="Z600" i="13"/>
  <c r="Y601" i="13"/>
  <c r="Z601" i="13"/>
  <c r="Y602" i="13"/>
  <c r="Y603" i="13"/>
  <c r="Z602" i="13"/>
  <c r="Y604" i="13"/>
  <c r="Z603" i="13"/>
  <c r="Z604" i="13"/>
  <c r="Y605" i="13"/>
  <c r="Z605" i="13"/>
  <c r="Y606" i="13"/>
  <c r="Z606" i="13"/>
  <c r="Y607" i="13"/>
  <c r="Y608" i="13"/>
  <c r="Z607" i="13"/>
  <c r="Y609" i="13"/>
  <c r="Z608" i="13"/>
  <c r="Z609" i="13"/>
  <c r="Y610" i="13"/>
  <c r="Z610" i="13"/>
  <c r="Y611" i="13"/>
  <c r="Y612" i="13"/>
  <c r="Z611" i="13"/>
  <c r="Z612" i="13"/>
  <c r="Y613" i="13"/>
  <c r="Z613" i="13"/>
  <c r="Y614" i="13"/>
  <c r="Z614" i="13"/>
  <c r="Y615" i="13"/>
  <c r="Y616" i="13"/>
  <c r="Z615" i="13"/>
  <c r="Z616" i="13"/>
  <c r="Y617" i="13"/>
  <c r="Y618" i="13"/>
  <c r="Z617" i="13"/>
  <c r="Z618" i="13"/>
  <c r="Y619" i="13"/>
  <c r="Z619" i="13"/>
  <c r="Y620" i="13"/>
  <c r="Z620" i="13"/>
  <c r="Y621" i="13"/>
  <c r="Y622" i="13"/>
  <c r="Z621" i="13"/>
  <c r="Z622" i="13"/>
  <c r="Y623" i="13"/>
  <c r="Z623" i="13"/>
  <c r="Y624" i="13"/>
  <c r="Z624" i="13"/>
  <c r="Y625" i="13"/>
  <c r="Z625" i="13"/>
  <c r="Y626" i="13"/>
  <c r="Z626" i="13"/>
  <c r="Y627" i="13"/>
  <c r="Z627" i="13"/>
  <c r="Y628" i="13"/>
  <c r="Z628" i="13"/>
  <c r="Y629" i="13"/>
  <c r="Y630" i="13"/>
  <c r="Z629" i="13"/>
  <c r="Z630" i="13"/>
  <c r="Y631" i="13"/>
  <c r="Y632" i="13"/>
  <c r="Z631" i="13"/>
  <c r="Z632" i="13"/>
  <c r="Y633" i="13"/>
  <c r="Y634" i="13"/>
  <c r="Z633" i="13"/>
  <c r="Y635" i="13"/>
  <c r="Z634" i="13"/>
  <c r="Y636" i="13"/>
  <c r="Z635" i="13"/>
  <c r="Y637" i="13"/>
  <c r="Z636" i="13"/>
  <c r="Y638" i="13"/>
  <c r="Z637" i="13"/>
  <c r="Y639" i="13"/>
  <c r="Z638" i="13"/>
  <c r="Y640" i="13"/>
  <c r="Z639" i="13"/>
  <c r="Y641" i="13"/>
  <c r="Z640" i="13"/>
  <c r="Z641" i="13"/>
  <c r="Y642" i="13"/>
  <c r="Z642" i="13"/>
  <c r="Y643" i="13"/>
  <c r="Z643" i="13"/>
  <c r="Y644" i="13"/>
  <c r="Z644" i="13"/>
  <c r="Y645" i="13"/>
  <c r="Z645" i="13"/>
  <c r="Y646" i="13"/>
  <c r="Y647" i="13"/>
  <c r="Z646" i="13"/>
  <c r="Z647" i="13"/>
  <c r="Y648" i="13"/>
  <c r="Z648" i="13"/>
  <c r="Y649" i="13"/>
  <c r="Y650" i="13"/>
  <c r="Z649" i="13"/>
  <c r="Z650" i="13"/>
  <c r="Y651" i="13"/>
  <c r="Y652" i="13"/>
  <c r="Z651" i="13"/>
  <c r="Y653" i="13"/>
  <c r="Z652" i="13"/>
  <c r="Z653" i="13"/>
  <c r="Y654" i="13"/>
  <c r="Y655" i="13"/>
  <c r="Z654" i="13"/>
  <c r="Z655" i="13"/>
  <c r="Y656" i="13"/>
  <c r="Y657" i="13"/>
  <c r="Z656" i="13"/>
  <c r="Z657" i="13"/>
  <c r="Y658" i="13"/>
  <c r="Y659" i="13"/>
  <c r="Z658" i="13"/>
  <c r="Z659" i="13"/>
  <c r="Y660" i="13"/>
  <c r="Y661" i="13"/>
  <c r="Z660" i="13"/>
  <c r="Y662" i="13"/>
  <c r="Z661" i="13"/>
  <c r="Z662" i="13"/>
  <c r="Y663" i="13"/>
  <c r="Z663" i="13"/>
  <c r="Y664" i="13"/>
  <c r="Z664" i="13"/>
  <c r="Y665" i="13"/>
  <c r="Z665" i="13"/>
  <c r="Y666" i="13"/>
  <c r="Y667" i="13"/>
  <c r="Z666" i="13"/>
  <c r="Y668" i="13"/>
  <c r="Z667" i="13"/>
  <c r="Z668" i="13"/>
  <c r="Y669" i="13"/>
  <c r="Z669" i="13"/>
  <c r="Y670" i="13"/>
  <c r="Y671" i="13"/>
  <c r="Z670" i="13"/>
  <c r="Z671" i="13"/>
  <c r="Y672" i="13"/>
  <c r="Z672" i="13"/>
  <c r="Y673" i="13"/>
  <c r="Y674" i="13"/>
  <c r="Z673" i="13"/>
  <c r="Y675" i="13"/>
  <c r="Z674" i="13"/>
  <c r="Z675" i="13"/>
  <c r="Y676" i="13"/>
  <c r="Z676" i="13"/>
  <c r="Y677" i="13"/>
  <c r="Z677" i="13"/>
  <c r="Y678" i="13"/>
  <c r="Z678" i="13"/>
  <c r="Y679" i="13"/>
  <c r="Z679" i="13"/>
  <c r="Y680" i="13"/>
  <c r="Y681" i="13"/>
  <c r="Z680" i="13"/>
  <c r="Y682" i="13"/>
  <c r="Z681" i="13"/>
  <c r="Z682" i="13"/>
  <c r="Y683" i="13"/>
  <c r="Z683" i="13"/>
  <c r="Y684" i="13"/>
  <c r="Z684" i="13"/>
  <c r="Y685" i="13"/>
  <c r="Z685" i="13"/>
  <c r="Y686" i="13"/>
  <c r="Z686" i="13"/>
  <c r="Y687" i="13"/>
  <c r="Y688" i="13"/>
  <c r="Z687" i="13"/>
  <c r="Z688" i="13"/>
  <c r="Y689" i="13"/>
  <c r="Y690" i="13"/>
  <c r="Z689" i="13"/>
  <c r="Y691" i="13"/>
  <c r="Z690" i="13"/>
  <c r="Z691" i="13"/>
  <c r="Y692" i="13"/>
  <c r="Y693" i="13"/>
  <c r="Z692" i="13"/>
  <c r="Y694" i="13"/>
  <c r="Z693" i="13"/>
  <c r="Y695" i="13"/>
  <c r="Z694" i="13"/>
  <c r="Z695" i="13"/>
  <c r="Y696" i="13"/>
  <c r="Y697" i="13"/>
  <c r="Z696" i="13"/>
  <c r="Z697" i="13"/>
  <c r="Y698" i="13"/>
  <c r="Z698" i="13"/>
  <c r="Y699" i="13"/>
  <c r="Y700" i="13"/>
  <c r="Z699" i="13"/>
  <c r="Z700" i="13"/>
  <c r="Y701" i="13"/>
  <c r="Z701" i="13"/>
  <c r="Y702" i="13"/>
  <c r="Y703" i="13"/>
  <c r="Z702" i="13"/>
  <c r="Z703" i="13"/>
  <c r="Y704" i="13"/>
  <c r="Y705" i="13"/>
  <c r="Z704" i="13"/>
  <c r="Z705" i="13"/>
  <c r="Y706" i="13"/>
  <c r="Z706" i="13"/>
  <c r="Y707" i="13"/>
  <c r="Y708" i="13"/>
  <c r="Z707" i="13"/>
  <c r="Z708" i="13"/>
  <c r="Y709" i="13"/>
  <c r="Y710" i="13"/>
  <c r="Z709" i="13"/>
  <c r="Z710" i="13"/>
  <c r="Y711" i="13"/>
  <c r="Y712" i="13"/>
  <c r="Z711" i="13"/>
  <c r="Y713" i="13"/>
  <c r="Z712" i="13"/>
  <c r="Y714" i="13"/>
  <c r="Z713" i="13"/>
  <c r="Z714" i="13"/>
  <c r="Y715" i="13"/>
  <c r="Z715" i="13"/>
  <c r="Y716" i="13"/>
  <c r="Y717" i="13"/>
  <c r="Z716" i="13"/>
  <c r="Z717" i="13"/>
  <c r="Y718" i="13"/>
  <c r="Y719" i="13"/>
  <c r="Z718" i="13"/>
  <c r="Y720" i="13"/>
  <c r="Z719" i="13"/>
  <c r="Z720" i="13"/>
  <c r="Y721" i="13"/>
  <c r="Y722" i="13"/>
  <c r="Z721" i="13"/>
  <c r="Y723" i="13"/>
  <c r="Z722" i="13"/>
  <c r="Z723" i="13"/>
  <c r="Y724" i="13"/>
  <c r="Z724" i="13"/>
  <c r="Y725" i="13"/>
  <c r="Y726" i="13"/>
  <c r="Z725" i="13"/>
  <c r="Z726" i="13"/>
  <c r="Y727" i="13"/>
  <c r="Z727" i="13"/>
  <c r="Y728" i="13"/>
  <c r="Y729" i="13"/>
  <c r="Z728" i="13"/>
  <c r="Z729" i="13"/>
  <c r="Y730" i="13"/>
  <c r="Z730" i="13"/>
  <c r="Y731" i="13"/>
  <c r="Y732" i="13"/>
  <c r="Z731" i="13"/>
  <c r="Y733" i="13"/>
  <c r="Z732" i="13"/>
  <c r="Y734" i="13"/>
  <c r="Z733" i="13"/>
  <c r="Y735" i="13"/>
  <c r="Z734" i="13"/>
  <c r="Z735" i="13"/>
  <c r="Y736" i="13"/>
  <c r="Z736" i="13"/>
  <c r="Y737" i="13"/>
  <c r="Y738" i="13"/>
  <c r="Z737" i="13"/>
  <c r="Z738" i="13"/>
  <c r="Y739" i="13"/>
  <c r="Z739" i="13"/>
  <c r="Y740" i="13"/>
  <c r="Z740" i="13"/>
  <c r="Y741" i="13"/>
  <c r="Y742" i="13"/>
  <c r="Z741" i="13"/>
  <c r="Y743" i="13"/>
  <c r="Z742" i="13"/>
  <c r="Y744" i="13"/>
  <c r="Z743" i="13"/>
  <c r="Y745" i="13"/>
  <c r="Z744" i="13"/>
  <c r="Z745" i="13"/>
  <c r="Y746" i="13"/>
  <c r="Z746" i="13"/>
  <c r="Y747" i="13"/>
  <c r="Y748" i="13"/>
  <c r="Z747" i="13"/>
  <c r="Z748" i="13"/>
  <c r="Y749" i="13"/>
  <c r="Z749" i="13"/>
  <c r="Y750" i="13"/>
  <c r="Y751" i="13"/>
  <c r="Z750" i="13"/>
  <c r="Y752" i="13"/>
  <c r="Z751" i="13"/>
  <c r="Y753" i="13"/>
  <c r="Z752" i="13"/>
  <c r="Z753" i="13"/>
  <c r="Y754" i="13"/>
  <c r="Y755" i="13"/>
  <c r="Z754" i="13"/>
  <c r="Z755" i="13"/>
  <c r="Y756" i="13"/>
  <c r="Y757" i="13"/>
  <c r="Z756" i="13"/>
  <c r="Y758" i="13"/>
  <c r="Z757" i="13"/>
  <c r="Y759" i="13"/>
  <c r="Z758" i="13"/>
  <c r="Z759" i="13"/>
  <c r="Y760" i="13"/>
  <c r="Z760" i="13"/>
  <c r="Y761" i="13"/>
  <c r="Y762" i="13"/>
  <c r="Z761" i="13"/>
  <c r="Y763" i="13"/>
  <c r="Z762" i="13"/>
  <c r="Z763" i="13"/>
  <c r="Y764" i="13"/>
  <c r="Z764" i="13"/>
  <c r="Y765" i="13"/>
  <c r="Y766" i="13"/>
  <c r="Z765" i="13"/>
  <c r="Y767" i="13"/>
  <c r="Z766" i="13"/>
  <c r="Z767" i="13"/>
  <c r="Y768" i="13"/>
  <c r="Y769" i="13"/>
  <c r="Z768" i="13"/>
  <c r="Z769" i="13"/>
  <c r="Y770" i="13"/>
  <c r="Y771" i="13"/>
  <c r="Z770" i="13"/>
  <c r="Z771" i="13"/>
  <c r="Y772" i="13"/>
  <c r="Y773" i="13"/>
  <c r="Z772" i="13"/>
  <c r="Z773" i="13"/>
  <c r="Y774" i="13"/>
  <c r="Y775" i="13"/>
  <c r="Z774" i="13"/>
  <c r="Y776" i="13"/>
  <c r="Z775" i="13"/>
  <c r="Z776" i="13"/>
  <c r="Y777" i="13"/>
  <c r="Y778" i="13"/>
  <c r="Z777" i="13"/>
  <c r="Z778" i="13"/>
  <c r="Y779" i="13"/>
  <c r="Z779" i="13"/>
  <c r="Y780" i="13"/>
  <c r="Y781" i="13"/>
  <c r="Z780" i="13"/>
  <c r="Z781" i="13"/>
  <c r="Y782" i="13"/>
  <c r="Z782" i="13"/>
  <c r="Y783" i="13"/>
  <c r="Z783" i="13"/>
  <c r="Y784" i="13"/>
  <c r="Y785" i="13"/>
  <c r="Z784" i="13"/>
  <c r="Y786" i="13"/>
  <c r="Z785" i="13"/>
  <c r="Z786" i="13"/>
  <c r="Y787" i="13"/>
  <c r="Y788" i="13"/>
  <c r="Z787" i="13"/>
  <c r="Y789" i="13"/>
  <c r="Z788" i="13"/>
  <c r="Z789" i="13"/>
  <c r="Y790" i="13"/>
  <c r="Y791" i="13"/>
  <c r="Z790" i="13"/>
  <c r="Z791" i="13"/>
  <c r="Y792" i="13"/>
  <c r="Z792" i="13"/>
  <c r="Y793" i="13"/>
  <c r="Y794" i="13"/>
  <c r="Z793" i="13"/>
  <c r="Z794" i="13"/>
  <c r="Y795" i="13"/>
  <c r="Z795" i="13"/>
  <c r="Y796" i="13"/>
  <c r="Y797" i="13"/>
  <c r="Z796" i="13"/>
  <c r="Z797" i="13"/>
  <c r="Y798" i="13"/>
  <c r="Z798" i="13"/>
  <c r="Y799" i="13"/>
  <c r="Z799" i="13"/>
  <c r="Y800" i="13"/>
  <c r="Z800" i="13"/>
  <c r="Y801" i="13"/>
  <c r="Z801" i="13"/>
  <c r="Y802" i="13"/>
  <c r="Y803" i="13"/>
  <c r="Z802" i="13"/>
  <c r="Y804" i="13"/>
  <c r="Z803" i="13"/>
  <c r="Z804" i="13"/>
  <c r="Y805" i="13"/>
  <c r="Z805" i="13"/>
  <c r="Y806" i="13"/>
  <c r="Z806" i="13"/>
  <c r="Y807" i="13"/>
  <c r="Z807" i="13"/>
  <c r="Y808" i="13"/>
  <c r="Y809" i="13"/>
  <c r="Z808" i="13"/>
  <c r="Z809" i="13"/>
  <c r="Y810" i="13"/>
  <c r="Z810" i="13"/>
  <c r="Y811" i="13"/>
  <c r="Y812" i="13"/>
  <c r="Z811" i="13"/>
  <c r="Z812" i="13"/>
  <c r="Y813" i="13"/>
  <c r="Z813" i="13"/>
  <c r="Y814" i="13"/>
  <c r="Z814" i="13"/>
  <c r="Y815" i="13"/>
  <c r="Z815" i="13"/>
  <c r="Y816" i="13"/>
  <c r="Y817" i="13"/>
  <c r="Z816" i="13"/>
  <c r="Y818" i="13"/>
  <c r="Z817" i="13"/>
  <c r="Z818" i="13"/>
  <c r="Y819" i="13"/>
  <c r="Z819" i="13"/>
  <c r="Y820" i="13"/>
  <c r="Z820" i="13"/>
  <c r="Y821" i="13"/>
  <c r="Z821" i="13"/>
  <c r="Y822" i="13"/>
  <c r="Y823" i="13"/>
  <c r="Z822" i="13"/>
  <c r="Y824" i="13"/>
  <c r="Z823" i="13"/>
  <c r="Y825" i="13"/>
  <c r="Z824" i="13"/>
  <c r="Z825" i="13"/>
  <c r="Y826" i="13"/>
  <c r="Z826" i="13"/>
  <c r="Y827" i="13"/>
  <c r="Z827" i="13"/>
  <c r="Y828" i="13"/>
  <c r="Y829" i="13"/>
  <c r="Z828" i="13"/>
  <c r="Z829" i="13"/>
  <c r="Y830" i="13"/>
  <c r="Z830" i="13"/>
  <c r="Y831" i="13"/>
  <c r="Y832" i="13"/>
  <c r="Z831" i="13"/>
  <c r="Z832" i="13"/>
  <c r="Y833" i="13"/>
  <c r="Y834" i="13"/>
  <c r="Z833" i="13"/>
  <c r="Z834" i="13"/>
  <c r="Y835" i="13"/>
  <c r="Z835" i="13"/>
  <c r="Y836" i="13"/>
  <c r="Y837" i="13"/>
  <c r="Z836" i="13"/>
  <c r="Y838" i="13"/>
  <c r="Z837" i="13"/>
  <c r="Y839" i="13"/>
  <c r="Z838" i="13"/>
  <c r="Y840" i="13"/>
  <c r="Z839" i="13"/>
  <c r="Z840" i="13"/>
  <c r="Y841" i="13"/>
  <c r="Z841" i="13"/>
  <c r="Y842" i="13"/>
  <c r="Y843" i="13"/>
  <c r="Z842" i="13"/>
  <c r="Y844" i="13"/>
  <c r="Z843" i="13"/>
  <c r="Y845" i="13"/>
  <c r="Z844" i="13"/>
  <c r="Y846" i="13"/>
  <c r="Z845" i="13"/>
  <c r="Y847" i="13"/>
  <c r="Z846" i="13"/>
  <c r="Z847" i="13"/>
  <c r="Y848" i="13"/>
  <c r="Z848" i="13"/>
  <c r="Y849" i="13"/>
  <c r="Z849" i="13"/>
  <c r="Y850" i="13"/>
  <c r="Y851" i="13"/>
  <c r="Z850" i="13"/>
  <c r="Y852" i="13"/>
  <c r="Z851" i="13"/>
  <c r="Y853" i="13"/>
  <c r="Z852" i="13"/>
  <c r="Z853" i="13"/>
  <c r="Y854" i="13"/>
  <c r="Y855" i="13"/>
  <c r="Z854" i="13"/>
  <c r="Z855" i="13"/>
  <c r="Y856" i="13"/>
  <c r="Y857" i="13"/>
  <c r="Z856" i="13"/>
  <c r="Y858" i="13"/>
  <c r="Z857" i="13"/>
  <c r="Z858" i="13"/>
  <c r="Y859" i="13"/>
  <c r="Y860" i="13"/>
  <c r="Z859" i="13"/>
  <c r="Z860" i="13"/>
  <c r="Y861" i="13"/>
  <c r="Y862" i="13"/>
  <c r="Z861" i="13"/>
  <c r="Z862" i="13"/>
  <c r="Y863" i="13"/>
  <c r="Z863" i="13"/>
  <c r="Y864" i="13"/>
  <c r="Z864" i="13"/>
  <c r="Y865" i="13"/>
  <c r="Z865" i="13"/>
  <c r="Y866" i="13"/>
  <c r="Z866" i="13"/>
  <c r="Y867" i="13"/>
  <c r="Z867" i="13"/>
  <c r="Y868" i="13"/>
  <c r="Z868" i="13"/>
  <c r="Y869" i="13"/>
  <c r="Z869" i="13"/>
  <c r="Y870" i="13"/>
  <c r="Y871" i="13"/>
  <c r="Z870" i="13"/>
  <c r="Y872" i="13"/>
  <c r="Z871" i="13"/>
  <c r="Y873" i="13"/>
  <c r="Z872" i="13"/>
  <c r="Z873" i="13"/>
  <c r="Y874" i="13"/>
  <c r="Z874" i="13"/>
  <c r="Y875" i="13"/>
  <c r="Y876" i="13"/>
  <c r="Z875" i="13"/>
  <c r="Z876" i="13"/>
  <c r="Y877" i="13"/>
  <c r="Z877" i="13"/>
  <c r="Y878" i="13"/>
  <c r="Z878" i="13"/>
  <c r="Y879" i="13"/>
  <c r="Z879" i="13"/>
  <c r="Y880" i="13"/>
  <c r="Y881" i="13"/>
  <c r="Z880" i="13"/>
  <c r="Y882" i="13"/>
  <c r="Z881" i="13"/>
  <c r="Z882" i="13"/>
  <c r="Y883" i="13"/>
  <c r="Z883" i="13"/>
  <c r="Y884" i="13"/>
  <c r="Y885" i="13"/>
  <c r="Z884" i="13"/>
  <c r="Y886" i="13"/>
  <c r="Z885" i="13"/>
  <c r="Y887" i="13"/>
  <c r="Z886" i="13"/>
  <c r="Z887" i="13"/>
  <c r="Y888" i="13"/>
  <c r="Z888" i="13"/>
  <c r="Y889" i="13"/>
  <c r="Z889" i="13"/>
  <c r="Y890" i="13"/>
  <c r="Z890" i="13"/>
  <c r="Y891" i="13"/>
  <c r="Y892" i="13"/>
  <c r="Z891" i="13"/>
  <c r="Z892" i="13"/>
  <c r="Y893" i="13"/>
  <c r="Z893" i="13"/>
  <c r="Y894" i="13"/>
  <c r="Z894" i="13"/>
  <c r="Y895" i="13"/>
  <c r="Z895" i="13"/>
  <c r="Y896" i="13"/>
  <c r="Z896" i="13"/>
  <c r="Y897" i="13"/>
  <c r="Y898" i="13"/>
  <c r="Z897" i="13"/>
  <c r="Y899" i="13"/>
  <c r="Z898" i="13"/>
  <c r="Y900" i="13"/>
  <c r="Z899" i="13"/>
  <c r="Y901" i="13"/>
  <c r="Z900" i="13"/>
  <c r="Y902" i="13"/>
  <c r="Z901" i="13"/>
  <c r="Y903" i="13"/>
  <c r="Z902" i="13"/>
  <c r="Y904" i="13"/>
  <c r="Z903" i="13"/>
  <c r="Y905" i="13"/>
  <c r="Z904" i="13"/>
  <c r="Z905" i="13"/>
  <c r="Y906" i="13"/>
  <c r="Y907" i="13"/>
  <c r="Z906" i="13"/>
  <c r="Z907" i="13"/>
  <c r="Y908" i="13"/>
  <c r="Z908" i="13"/>
  <c r="Y909" i="13"/>
  <c r="Z909" i="13"/>
  <c r="Y910" i="13"/>
  <c r="Y911" i="13"/>
  <c r="Z910" i="13"/>
  <c r="Y912" i="13"/>
  <c r="Z911" i="13"/>
  <c r="Z912" i="13"/>
  <c r="Y913" i="13"/>
  <c r="Y914" i="13"/>
  <c r="Z913" i="13"/>
  <c r="Y915" i="13"/>
  <c r="Z914" i="13"/>
  <c r="Y916" i="13"/>
  <c r="Z915" i="13"/>
  <c r="Z916" i="13"/>
  <c r="Y917" i="13"/>
  <c r="Y918" i="13"/>
  <c r="Z917" i="13"/>
  <c r="Y919" i="13"/>
  <c r="Z918" i="13"/>
  <c r="Y920" i="13"/>
  <c r="Z919" i="13"/>
  <c r="Z920" i="13"/>
  <c r="Y921" i="13"/>
  <c r="Z921" i="13"/>
  <c r="Y922" i="13"/>
  <c r="Z922" i="13"/>
  <c r="Y923" i="13"/>
  <c r="Y924" i="13"/>
  <c r="Z923" i="13"/>
  <c r="Y925" i="13"/>
  <c r="Z924" i="13"/>
  <c r="Y926" i="13"/>
  <c r="Z925" i="13"/>
  <c r="Y927" i="13"/>
  <c r="Z926" i="13"/>
  <c r="Y928" i="13"/>
  <c r="Z927" i="13"/>
  <c r="Z928" i="13"/>
  <c r="Y929" i="13"/>
  <c r="Z929" i="13"/>
  <c r="Y930" i="13"/>
  <c r="Z930" i="13"/>
  <c r="Y931" i="13"/>
  <c r="Z931" i="13"/>
  <c r="Y932" i="13"/>
  <c r="Z932" i="13"/>
  <c r="Y933" i="13"/>
  <c r="Z933" i="13"/>
  <c r="Y934" i="13"/>
  <c r="Y935" i="13"/>
  <c r="Z934" i="13"/>
  <c r="Y936" i="13"/>
  <c r="Z935" i="13"/>
  <c r="Z936" i="13"/>
  <c r="Y937" i="13"/>
  <c r="Z937" i="13"/>
  <c r="Y938" i="13"/>
  <c r="Y939" i="13"/>
  <c r="Z938" i="13"/>
  <c r="Z939" i="13"/>
  <c r="Y940" i="13"/>
  <c r="Z940" i="13"/>
  <c r="Y941" i="13"/>
  <c r="Y942" i="13"/>
  <c r="Z941" i="13"/>
  <c r="Y943" i="13"/>
  <c r="Z942" i="13"/>
  <c r="Z943" i="13"/>
  <c r="Y944" i="13"/>
  <c r="Y945" i="13"/>
  <c r="Z944" i="13"/>
  <c r="Z945" i="13"/>
  <c r="Y946" i="13"/>
  <c r="Y947" i="13"/>
  <c r="Z946" i="13"/>
  <c r="Z947" i="13"/>
  <c r="Y948" i="13"/>
  <c r="Y949" i="13"/>
  <c r="Z948" i="13"/>
  <c r="Z949" i="13"/>
  <c r="Y950" i="13"/>
  <c r="Z950" i="13"/>
  <c r="Y951" i="13"/>
  <c r="Y952" i="13"/>
  <c r="Z951" i="13"/>
  <c r="Z952" i="13"/>
  <c r="Y953" i="13"/>
  <c r="Z953" i="13"/>
  <c r="Y954" i="13"/>
  <c r="Z954" i="13"/>
  <c r="Y955" i="13"/>
  <c r="Y956" i="13"/>
  <c r="Z955" i="13"/>
  <c r="Y957" i="13"/>
  <c r="Z956" i="13"/>
  <c r="Z957" i="13"/>
  <c r="Y958" i="13"/>
  <c r="Z958" i="13"/>
  <c r="Y959" i="13"/>
  <c r="Z959" i="13"/>
  <c r="Y960" i="13"/>
  <c r="Z960" i="13"/>
  <c r="Y961" i="13"/>
  <c r="Z961" i="13"/>
  <c r="Y962" i="13"/>
  <c r="Y963" i="13"/>
  <c r="Z962" i="13"/>
  <c r="Z963" i="13"/>
  <c r="Y964" i="13"/>
  <c r="Y965" i="13"/>
  <c r="Z964" i="13"/>
  <c r="Y966" i="13"/>
  <c r="Z965" i="13"/>
  <c r="Y967" i="13"/>
  <c r="Z966" i="13"/>
  <c r="Z967" i="13"/>
  <c r="Y968" i="13"/>
  <c r="Y969" i="13"/>
  <c r="Z968" i="13"/>
  <c r="Z969" i="13"/>
  <c r="Y970" i="13"/>
  <c r="Z970" i="13"/>
  <c r="Y971" i="13"/>
  <c r="Z971" i="13"/>
  <c r="Y972" i="13"/>
  <c r="Y973" i="13"/>
  <c r="Z972" i="13"/>
  <c r="Z973" i="13"/>
  <c r="Y974" i="13"/>
  <c r="Z974" i="13"/>
  <c r="Y975" i="13"/>
  <c r="Z975" i="13"/>
  <c r="Y976" i="13"/>
  <c r="Y977" i="13"/>
  <c r="Z976" i="13"/>
  <c r="Z977" i="13"/>
  <c r="Y978" i="13"/>
  <c r="Z978" i="13"/>
  <c r="Y979" i="13"/>
  <c r="Z979" i="13"/>
  <c r="Y980" i="13"/>
  <c r="Y981" i="13"/>
  <c r="Z980" i="13"/>
  <c r="Y982" i="13"/>
  <c r="Z981" i="13"/>
  <c r="Y983" i="13"/>
  <c r="Z982" i="13"/>
  <c r="Z983" i="13"/>
  <c r="Y984" i="13"/>
  <c r="Z984" i="13"/>
  <c r="Y985" i="13"/>
  <c r="Z985" i="13"/>
  <c r="Y986" i="13"/>
  <c r="Z986" i="13"/>
  <c r="Y987" i="13"/>
  <c r="Z987" i="13"/>
  <c r="Y988" i="13"/>
  <c r="Y989" i="13"/>
  <c r="Z988" i="13"/>
  <c r="Z989" i="13"/>
  <c r="Y990" i="13"/>
  <c r="Z990" i="13"/>
  <c r="Y991" i="13"/>
  <c r="Y992" i="13"/>
  <c r="Z991" i="13"/>
  <c r="Z992" i="13"/>
  <c r="Y993" i="13"/>
  <c r="Z993" i="13"/>
  <c r="Y994" i="13"/>
  <c r="Y995" i="13"/>
  <c r="Z994" i="13"/>
  <c r="Z995" i="13"/>
  <c r="Y996" i="13"/>
  <c r="Z996" i="13"/>
  <c r="Y997" i="13"/>
  <c r="Z997" i="13"/>
  <c r="Y998" i="13"/>
  <c r="Y999" i="13"/>
  <c r="Z998" i="13"/>
  <c r="Z999" i="13"/>
  <c r="Y1000" i="13"/>
  <c r="Y1001" i="13"/>
  <c r="Z1000" i="13"/>
  <c r="Y1002" i="13"/>
  <c r="Z1001" i="13"/>
  <c r="Z1002" i="13"/>
  <c r="Y1003" i="13"/>
  <c r="Z1003" i="13"/>
  <c r="Y1004" i="13"/>
  <c r="Z1004" i="13"/>
  <c r="Y1005" i="13"/>
  <c r="Z1005" i="13"/>
  <c r="Y1006" i="13"/>
  <c r="Z1006" i="13"/>
  <c r="Y1007" i="13"/>
  <c r="Z1007" i="13"/>
  <c r="Y1008" i="13"/>
  <c r="Y1009" i="13"/>
  <c r="Z1008" i="13"/>
  <c r="Y1010" i="13"/>
  <c r="Z1009" i="13"/>
  <c r="Z1010" i="13"/>
  <c r="Y1011" i="13"/>
  <c r="Y1012" i="13"/>
  <c r="Z1011" i="13"/>
  <c r="Y1013" i="13"/>
  <c r="Z1012" i="13"/>
  <c r="Z1013" i="13"/>
  <c r="Y1014" i="13"/>
  <c r="Y1015" i="13"/>
  <c r="Z1014" i="13"/>
  <c r="Z1015" i="13"/>
  <c r="Y1016" i="13"/>
  <c r="Y1017" i="13"/>
  <c r="Z1016" i="13"/>
  <c r="Y1018" i="13"/>
  <c r="Z1017" i="13"/>
  <c r="Y1019" i="13"/>
  <c r="Z1018" i="13"/>
  <c r="Z1019" i="13"/>
  <c r="Y1020" i="13"/>
  <c r="Z1020" i="13"/>
  <c r="Y1021" i="13"/>
  <c r="Y1022" i="13"/>
  <c r="Z1021" i="13"/>
  <c r="Y1023" i="13"/>
  <c r="Z1022" i="13"/>
  <c r="Z1023" i="13"/>
  <c r="Y1024" i="13"/>
  <c r="Y1025" i="13"/>
  <c r="Z1024" i="13"/>
  <c r="Z1025" i="13"/>
  <c r="Y1026" i="13"/>
  <c r="Y1027" i="13"/>
  <c r="Z1026" i="13"/>
  <c r="Z1027" i="13"/>
  <c r="Y1028" i="13"/>
  <c r="Y1029" i="13"/>
  <c r="Z1028" i="13"/>
  <c r="Y1030" i="13"/>
  <c r="Z1029" i="13"/>
  <c r="Y1031" i="13"/>
  <c r="Z1030" i="13"/>
  <c r="Y1032" i="13"/>
  <c r="Z1031" i="13"/>
  <c r="Z1032" i="13"/>
  <c r="Y1033" i="13"/>
  <c r="Z1033" i="13"/>
  <c r="Y1034" i="13"/>
  <c r="Y1035" i="13"/>
  <c r="Z1034" i="13"/>
  <c r="Y1036" i="13"/>
  <c r="Z1035" i="13"/>
  <c r="Z1036" i="13"/>
  <c r="Y1037" i="13"/>
  <c r="Y1038" i="13"/>
  <c r="Z1037" i="13"/>
  <c r="Z1038" i="13"/>
  <c r="Y1039" i="13"/>
  <c r="Y1040" i="13"/>
  <c r="Z1039" i="13"/>
  <c r="Y1041" i="13"/>
  <c r="Z1040" i="13"/>
  <c r="Z1041" i="13"/>
  <c r="Y1042" i="13"/>
  <c r="Y1043" i="13"/>
  <c r="Z1042" i="13"/>
  <c r="Z1043" i="13"/>
  <c r="Y1044" i="13"/>
  <c r="Y1045" i="13"/>
  <c r="Z1044" i="13"/>
  <c r="Y1046" i="13"/>
  <c r="Z1045" i="13"/>
  <c r="Z1046" i="13"/>
  <c r="Y1047" i="13"/>
  <c r="Z1047" i="13"/>
  <c r="Y1048" i="13"/>
  <c r="Z1048" i="13"/>
  <c r="Y1049" i="13"/>
  <c r="Z1049" i="13"/>
  <c r="Y1050" i="13"/>
  <c r="Y1051" i="13"/>
  <c r="Z1050" i="13"/>
  <c r="Y1052" i="13"/>
  <c r="Z1051" i="13"/>
  <c r="Z1052" i="13"/>
  <c r="Y1053" i="13"/>
  <c r="Y1054" i="13"/>
  <c r="Z1053" i="13"/>
  <c r="Y1055" i="13"/>
  <c r="Z1054" i="13"/>
  <c r="Y1056" i="13"/>
  <c r="Z1055" i="13"/>
  <c r="Y1057" i="13"/>
  <c r="Z1056" i="13"/>
  <c r="Z1057" i="13"/>
  <c r="Y1058" i="13"/>
  <c r="Z1058" i="13"/>
  <c r="Y1059" i="13"/>
  <c r="Z1059" i="13"/>
  <c r="Y1060" i="13"/>
  <c r="Z1060" i="13"/>
  <c r="Y1061" i="13"/>
  <c r="Z1061" i="13"/>
  <c r="Y1062" i="13"/>
  <c r="Y1063" i="13"/>
  <c r="Z1062" i="13"/>
  <c r="Z1063" i="13"/>
  <c r="Y1064" i="13"/>
  <c r="Y1065" i="13"/>
  <c r="Z1064" i="13"/>
  <c r="Z1065" i="13"/>
  <c r="Y1066" i="13"/>
  <c r="Y1067" i="13"/>
  <c r="Z1066" i="13"/>
  <c r="Z1067" i="13"/>
  <c r="Y1068" i="13"/>
  <c r="Z1068" i="13"/>
  <c r="Y1069" i="13"/>
  <c r="Y1070" i="13"/>
  <c r="Z1069" i="13"/>
  <c r="Z1070" i="13"/>
  <c r="Y1071" i="13"/>
  <c r="Z1071" i="13"/>
  <c r="Y1072" i="13"/>
  <c r="Z1072" i="13"/>
  <c r="Y1073" i="13"/>
  <c r="Z1073" i="13"/>
  <c r="Y1074" i="13"/>
  <c r="Y1075" i="13"/>
  <c r="Z1074" i="13"/>
  <c r="Z1075" i="13"/>
  <c r="Y1076" i="13"/>
  <c r="Z1076" i="13"/>
  <c r="Y1077" i="13"/>
  <c r="Z1077" i="13"/>
  <c r="Y1078" i="13"/>
  <c r="Z1078" i="13"/>
  <c r="Y1079" i="13"/>
  <c r="Y1080" i="13"/>
  <c r="Z1079" i="13"/>
  <c r="Y1081" i="13"/>
  <c r="Z1080" i="13"/>
  <c r="Y1082" i="13"/>
  <c r="Z1081" i="13"/>
  <c r="Y1083" i="13"/>
  <c r="Z1082" i="13"/>
  <c r="Z1083" i="13"/>
  <c r="Y1084" i="13"/>
  <c r="Y1085" i="13"/>
  <c r="Z1084" i="13"/>
  <c r="Z1085" i="13"/>
  <c r="Y1086" i="13"/>
  <c r="Y1087" i="13"/>
  <c r="Z1086" i="13"/>
  <c r="Z1087" i="13"/>
  <c r="Y1088" i="13"/>
  <c r="Z1088" i="13"/>
  <c r="Y1089" i="13"/>
  <c r="Z1089" i="13"/>
  <c r="Y1090" i="13"/>
  <c r="Z1090" i="13"/>
  <c r="Y1091" i="13"/>
  <c r="Z1091" i="13"/>
  <c r="Y1092" i="13"/>
  <c r="Z1092" i="13"/>
  <c r="Y1093" i="13"/>
  <c r="Z1093" i="13"/>
  <c r="Y1094" i="13"/>
  <c r="Y1095" i="13"/>
  <c r="Z1094" i="13"/>
  <c r="Z1095" i="13"/>
  <c r="Y1096" i="13"/>
  <c r="Z1096" i="13"/>
  <c r="Y1097" i="13"/>
  <c r="Z1097" i="13"/>
  <c r="Y1098" i="13"/>
  <c r="Y1099" i="13"/>
  <c r="Z1098" i="13"/>
  <c r="Z1099" i="13"/>
  <c r="Y1100" i="13"/>
  <c r="Y1101" i="13"/>
  <c r="Z1100" i="13"/>
  <c r="Y1102" i="13"/>
  <c r="Z1101" i="13"/>
  <c r="Y1103" i="13"/>
  <c r="Z1102" i="13"/>
  <c r="Z1103" i="13"/>
  <c r="Y1104" i="13"/>
  <c r="Y1105" i="13"/>
  <c r="Z1104" i="13"/>
  <c r="Z1105" i="13"/>
  <c r="Y1106" i="13"/>
  <c r="Y1107" i="13"/>
  <c r="Z1106" i="13"/>
  <c r="Z1107" i="13"/>
  <c r="Y1108" i="13"/>
  <c r="Y1109" i="13"/>
  <c r="Z1108" i="13"/>
  <c r="Z1109" i="13"/>
  <c r="Y1110" i="13"/>
  <c r="Y1111" i="13"/>
  <c r="Z1110" i="13"/>
  <c r="Z1111" i="13"/>
  <c r="Y1112" i="13"/>
  <c r="Y1113" i="13"/>
  <c r="Z1112" i="13"/>
  <c r="Y1114" i="13"/>
  <c r="Z1113" i="13"/>
  <c r="Y1115" i="13"/>
  <c r="Z1114" i="13"/>
  <c r="Y1116" i="13"/>
  <c r="Z1115" i="13"/>
  <c r="Z1116" i="13"/>
  <c r="Y1117" i="13"/>
  <c r="Z1117" i="13"/>
  <c r="Y1118" i="13"/>
  <c r="Y1119" i="13"/>
  <c r="Z1118" i="13"/>
  <c r="Y1120" i="13"/>
  <c r="Z1119" i="13"/>
  <c r="Z1120" i="13"/>
  <c r="Y1121" i="13"/>
  <c r="Y1122" i="13"/>
  <c r="Z1121" i="13"/>
  <c r="Z1122" i="13"/>
  <c r="Y1123" i="13"/>
  <c r="Y1124" i="13"/>
  <c r="Z1123" i="13"/>
  <c r="Z1124" i="13"/>
  <c r="Y1125" i="13"/>
  <c r="Y1126" i="13"/>
  <c r="Z1125" i="13"/>
  <c r="Y1127" i="13"/>
  <c r="Z1126" i="13"/>
  <c r="Y1128" i="13"/>
  <c r="Z1127" i="13"/>
  <c r="Y1129" i="13"/>
  <c r="Z1128" i="13"/>
  <c r="Y1130" i="13"/>
  <c r="Z1129" i="13"/>
  <c r="Y1131" i="13"/>
  <c r="Z1130" i="13"/>
  <c r="Y1132" i="13"/>
  <c r="Z1131" i="13"/>
  <c r="Y1133" i="13"/>
  <c r="Z1132" i="13"/>
  <c r="Y1134" i="13"/>
  <c r="Z1133" i="13"/>
  <c r="Y1135" i="13"/>
  <c r="Z1134" i="13"/>
  <c r="Z1135" i="13"/>
  <c r="Y1136" i="13"/>
  <c r="Z1136" i="13"/>
  <c r="Y1137" i="13"/>
  <c r="Y1138" i="13"/>
  <c r="Z1137" i="13"/>
  <c r="Y1139" i="13"/>
  <c r="Z1138" i="13"/>
  <c r="Z1139" i="13"/>
  <c r="Y1140" i="13"/>
  <c r="Y1141" i="13"/>
  <c r="Z1140" i="13"/>
  <c r="Y1142" i="13"/>
  <c r="Z1141" i="13"/>
  <c r="Y1143" i="13"/>
  <c r="Z1142" i="13"/>
  <c r="Z1143" i="13"/>
  <c r="Y1144" i="13"/>
  <c r="Y1145" i="13"/>
  <c r="Z1144" i="13"/>
  <c r="Y1146" i="13"/>
  <c r="Z1145" i="13"/>
  <c r="Y1147" i="13"/>
  <c r="Z1146" i="13"/>
  <c r="Y1148" i="13"/>
  <c r="Z1147" i="13"/>
  <c r="Y1149" i="13"/>
  <c r="Z1148" i="13"/>
  <c r="Y1150" i="13"/>
  <c r="Z1149" i="13"/>
  <c r="Y1151" i="13"/>
  <c r="Z1150" i="13"/>
  <c r="Z1151" i="13"/>
  <c r="Y1152" i="13"/>
  <c r="Y1153" i="13"/>
  <c r="Z1152" i="13"/>
  <c r="Y1154" i="13"/>
  <c r="Z1153" i="13"/>
  <c r="Y1155" i="13"/>
  <c r="Z1154" i="13"/>
  <c r="Z1155" i="13"/>
  <c r="Y1156" i="13"/>
  <c r="Z1156" i="13"/>
  <c r="Y1157" i="13"/>
  <c r="Z1157" i="13"/>
  <c r="Y1158" i="13"/>
  <c r="Y1159" i="13"/>
  <c r="Z1158" i="13"/>
  <c r="Y1160" i="13"/>
  <c r="Z1159" i="13"/>
  <c r="Y1161" i="13"/>
  <c r="Z1160" i="13"/>
  <c r="Z1161" i="13"/>
  <c r="Y1162" i="13"/>
  <c r="Z1162" i="13"/>
  <c r="Y1163" i="13"/>
  <c r="Y1164" i="13"/>
  <c r="Z1163" i="13"/>
  <c r="Y1165" i="13"/>
  <c r="Z1164" i="13"/>
  <c r="Y1166" i="13"/>
  <c r="Z1165" i="13"/>
  <c r="Y1167" i="13"/>
  <c r="Z1166" i="13"/>
  <c r="Y1168" i="13"/>
  <c r="Z1167" i="13"/>
  <c r="Z1168" i="13"/>
  <c r="Y1169" i="13"/>
  <c r="Z1169" i="13"/>
  <c r="Y1170" i="13"/>
  <c r="Z1170" i="13"/>
  <c r="Y1171" i="13"/>
  <c r="Y1172" i="13"/>
  <c r="Z1171" i="13"/>
  <c r="Z1172" i="13"/>
  <c r="Y1173" i="13"/>
  <c r="Y1174" i="13"/>
  <c r="Z1173" i="13"/>
  <c r="Z1174" i="13"/>
  <c r="Y1175" i="13"/>
  <c r="Y1176" i="13"/>
  <c r="Z1175" i="13"/>
  <c r="Y1177" i="13"/>
  <c r="Z1176" i="13"/>
  <c r="Y1178" i="13"/>
  <c r="Z1177" i="13"/>
  <c r="Y1179" i="13"/>
  <c r="Z1178" i="13"/>
  <c r="Y1180" i="13"/>
  <c r="Z1179" i="13"/>
  <c r="Z1180" i="13"/>
  <c r="Y1181" i="13"/>
  <c r="Z1181" i="13"/>
  <c r="Y1182" i="13"/>
  <c r="Y1183" i="13"/>
  <c r="Z1182" i="13"/>
  <c r="Y1184" i="13"/>
  <c r="Z1183" i="13"/>
  <c r="Z1184" i="13"/>
  <c r="Y1185" i="13"/>
  <c r="Z1185" i="13"/>
  <c r="Y1186" i="13"/>
  <c r="Z1186" i="13"/>
  <c r="Y1187" i="13"/>
  <c r="Y1188" i="13"/>
  <c r="Z1187" i="13"/>
  <c r="Y1189" i="13"/>
  <c r="Z1188" i="13"/>
  <c r="Y1190" i="13"/>
  <c r="Z1189" i="13"/>
  <c r="Y1191" i="13"/>
  <c r="Z1190" i="13"/>
  <c r="Z1191" i="13"/>
  <c r="Y1192" i="13"/>
  <c r="Y1193" i="13"/>
  <c r="Z1192" i="13"/>
  <c r="Z1193" i="13"/>
  <c r="Y1194" i="13"/>
  <c r="Z1194" i="13"/>
  <c r="Y1195" i="13"/>
  <c r="Y1196" i="13"/>
  <c r="Z1195" i="13"/>
  <c r="Z1196" i="13"/>
  <c r="Y1197" i="13"/>
  <c r="Y1198" i="13"/>
  <c r="Z1197" i="13"/>
  <c r="Z1198" i="13"/>
  <c r="Y1199" i="13"/>
  <c r="Y1200" i="13"/>
  <c r="Z1199" i="13"/>
  <c r="Y1201" i="13"/>
  <c r="Z1200" i="13"/>
  <c r="Z1201" i="13"/>
  <c r="Y1202" i="13"/>
  <c r="Y1203" i="13"/>
  <c r="Z1202" i="13"/>
  <c r="Y1204" i="13"/>
  <c r="Z1203" i="13"/>
  <c r="Y1205" i="13"/>
  <c r="Z1204" i="13"/>
  <c r="Y1206" i="13"/>
  <c r="Z1205" i="13"/>
  <c r="Y1207" i="13"/>
  <c r="Z1206" i="13"/>
  <c r="Y1208" i="13"/>
  <c r="Z1207" i="13"/>
  <c r="Y1209" i="13"/>
  <c r="Z1208" i="13"/>
  <c r="Z1209" i="13"/>
  <c r="Y1210" i="13"/>
  <c r="Z1210" i="13"/>
  <c r="Y1211" i="13"/>
  <c r="Z1211" i="13"/>
  <c r="Y1212" i="13"/>
  <c r="Z1212" i="13"/>
  <c r="Y1213" i="13"/>
  <c r="Z1213" i="13"/>
  <c r="Y1214" i="13"/>
  <c r="Y1215" i="13"/>
  <c r="Z1214" i="13"/>
  <c r="Y1216" i="13"/>
  <c r="Z1215" i="13"/>
  <c r="Y1217" i="13"/>
  <c r="Z1216" i="13"/>
  <c r="Z1217" i="13"/>
  <c r="Y1218" i="13"/>
  <c r="Z1218" i="13"/>
  <c r="Y1219" i="13"/>
  <c r="Y1220" i="13"/>
  <c r="Z1219" i="13"/>
  <c r="Y1221" i="13"/>
  <c r="Z1220" i="13"/>
  <c r="Y1222" i="13"/>
  <c r="Z1221" i="13"/>
  <c r="Y1223" i="13"/>
  <c r="Z1222" i="13"/>
  <c r="Y1224" i="13"/>
  <c r="Z1223" i="13"/>
  <c r="Y1225" i="13"/>
  <c r="Z1224" i="13"/>
  <c r="Y1226" i="13"/>
  <c r="Z1225" i="13"/>
  <c r="Y1227" i="13"/>
  <c r="Z1226" i="13"/>
  <c r="Z1227" i="13"/>
  <c r="Y1228" i="13"/>
  <c r="Z1228" i="13"/>
  <c r="Y1229" i="13"/>
  <c r="Z1229" i="13"/>
  <c r="Y1230" i="13"/>
  <c r="Y1231" i="13"/>
  <c r="Z1230" i="13"/>
  <c r="Y1232" i="13"/>
  <c r="Z1231" i="13"/>
  <c r="Y1233" i="13"/>
  <c r="Z1232" i="13"/>
  <c r="Y1234" i="13"/>
  <c r="Z1233" i="13"/>
  <c r="Z1234" i="13"/>
  <c r="Y1235" i="13"/>
  <c r="Y1236" i="13"/>
  <c r="Z1235" i="13"/>
  <c r="Z1236" i="13"/>
  <c r="Y1237" i="13"/>
  <c r="Z1237" i="13"/>
  <c r="Y1238" i="13"/>
  <c r="Y1239" i="13"/>
  <c r="Z1238" i="13"/>
  <c r="Y1240" i="13"/>
  <c r="Z1239" i="13"/>
  <c r="Y1241" i="13"/>
  <c r="Z1240" i="13"/>
  <c r="Z1241" i="13"/>
  <c r="Y1242" i="13"/>
  <c r="Y1243" i="13"/>
  <c r="Z1242" i="13"/>
  <c r="Z1243" i="13"/>
  <c r="Y1244" i="13"/>
  <c r="Z1244" i="13"/>
  <c r="Y1245" i="13"/>
  <c r="Z1245" i="13"/>
  <c r="Y1246" i="13"/>
  <c r="Y1247" i="13"/>
  <c r="Z1246" i="13"/>
  <c r="Z1247" i="13"/>
  <c r="Y1248" i="13"/>
  <c r="Y1249" i="13"/>
  <c r="Z1248" i="13"/>
  <c r="Z1249" i="13"/>
  <c r="Y1250" i="13"/>
  <c r="Z1250" i="13"/>
  <c r="Y1251" i="13"/>
  <c r="Z1251" i="13"/>
  <c r="Y1252" i="13"/>
  <c r="Z1252" i="13"/>
  <c r="Y1253" i="13"/>
  <c r="Y1254" i="13"/>
  <c r="Z1253" i="13"/>
  <c r="Z1254" i="13"/>
  <c r="Y1255" i="13"/>
  <c r="Y1256" i="13"/>
  <c r="Z1255" i="13"/>
  <c r="Z1256" i="13"/>
  <c r="Y1257" i="13"/>
  <c r="Y1258" i="13"/>
  <c r="Z1257" i="13"/>
  <c r="Y1259" i="13"/>
  <c r="Z1258" i="13"/>
  <c r="Y1260" i="13"/>
  <c r="Z1259" i="13"/>
  <c r="Z1260" i="13"/>
  <c r="Y1261" i="13"/>
  <c r="Y1262" i="13"/>
  <c r="Z1261" i="13"/>
  <c r="Y1263" i="13"/>
  <c r="Z1262" i="13"/>
  <c r="Y1264" i="13"/>
  <c r="Z1263" i="13"/>
  <c r="Z1264" i="13"/>
  <c r="Y1265" i="13"/>
  <c r="Y1266" i="13"/>
  <c r="Z1265" i="13"/>
  <c r="Z1266" i="13"/>
  <c r="Y1267" i="13"/>
  <c r="Z1267" i="13"/>
  <c r="Y1268" i="13"/>
  <c r="Z1268" i="13"/>
  <c r="Y1269" i="13"/>
  <c r="Z1269" i="13"/>
  <c r="Y1270" i="13"/>
  <c r="Z1270" i="13"/>
  <c r="Y1271" i="13"/>
  <c r="Y1272" i="13"/>
  <c r="Z1271" i="13"/>
  <c r="Y1273" i="13"/>
  <c r="Z1272" i="13"/>
  <c r="Z1273" i="13"/>
  <c r="Y1274" i="13"/>
  <c r="Z1274" i="13"/>
  <c r="Y1275" i="13"/>
  <c r="Z1275" i="13"/>
  <c r="Y1276" i="13"/>
  <c r="Z1276" i="13"/>
  <c r="Y1277" i="13"/>
  <c r="Y1278" i="13"/>
  <c r="Z1277" i="13"/>
  <c r="Z1278" i="13"/>
  <c r="Y1279" i="13"/>
  <c r="Z1279" i="13"/>
  <c r="Y1280" i="13"/>
  <c r="Z1280" i="13"/>
  <c r="Y1281" i="13"/>
  <c r="Y1282" i="13"/>
  <c r="Z1281" i="13"/>
  <c r="Y1283" i="13"/>
  <c r="Z1282" i="13"/>
  <c r="Z1283" i="13"/>
  <c r="Y1284" i="13"/>
  <c r="Y1285" i="13"/>
  <c r="Z1284" i="13"/>
  <c r="Y1286" i="13"/>
  <c r="Z1285" i="13"/>
  <c r="Z1286" i="13"/>
  <c r="Y1287" i="13"/>
  <c r="Z1287" i="13"/>
  <c r="Y1288" i="13"/>
  <c r="Z1288" i="13"/>
  <c r="Y1289" i="13"/>
  <c r="Z1289" i="13"/>
  <c r="Y1290" i="13"/>
  <c r="Z1290" i="13"/>
  <c r="Y1291" i="13"/>
  <c r="Z1291" i="13"/>
  <c r="Y1292" i="13"/>
  <c r="Z1292" i="13"/>
  <c r="Y1293" i="13"/>
  <c r="Y1294" i="13"/>
  <c r="Z1293" i="13"/>
  <c r="Z1294" i="13"/>
  <c r="Y1295" i="13"/>
  <c r="Y1296" i="13"/>
  <c r="Z1295" i="13"/>
  <c r="Z1296" i="13"/>
  <c r="Y1297" i="13"/>
  <c r="Y1298" i="13"/>
  <c r="Z1297" i="13"/>
  <c r="Y1299" i="13"/>
  <c r="Z1298" i="13"/>
  <c r="Y1300" i="13"/>
  <c r="Z1299" i="13"/>
  <c r="Y1301" i="13"/>
  <c r="Z1300" i="13"/>
  <c r="Z1301" i="13"/>
  <c r="Y1302" i="13"/>
  <c r="Z1302" i="13"/>
  <c r="Y1303" i="13"/>
  <c r="Y1304" i="13"/>
  <c r="Z1303" i="13"/>
  <c r="Y1305" i="13"/>
  <c r="Z1304" i="13"/>
  <c r="Y1306" i="13"/>
  <c r="Z1305" i="13"/>
  <c r="Z1306" i="13"/>
  <c r="Y1307" i="13"/>
  <c r="Z1307" i="13"/>
  <c r="Y1308" i="13"/>
  <c r="Y1309" i="13"/>
  <c r="Z1308" i="13"/>
  <c r="Y1310" i="13"/>
  <c r="Z1309" i="13"/>
  <c r="Z1310" i="13"/>
  <c r="Y1311" i="13"/>
  <c r="Y1312" i="13"/>
  <c r="Z1311" i="13"/>
  <c r="Y1313" i="13"/>
  <c r="Z1312" i="13"/>
  <c r="Z1313" i="13"/>
  <c r="Y1314" i="13"/>
  <c r="Y1315" i="13"/>
  <c r="Z1314" i="13"/>
  <c r="Y1316" i="13"/>
  <c r="Z1315" i="13"/>
  <c r="Y1317" i="13"/>
  <c r="Z1316" i="13"/>
  <c r="Z1317" i="13"/>
  <c r="Y1318" i="13"/>
  <c r="Y1319" i="13"/>
  <c r="Z1318" i="13"/>
  <c r="Z1319" i="13"/>
  <c r="Y1320" i="13"/>
  <c r="Z1320" i="13"/>
  <c r="Y1321" i="13"/>
  <c r="Y1322" i="13"/>
  <c r="Z1321" i="13"/>
  <c r="Y1323" i="13"/>
  <c r="Z1322" i="13"/>
  <c r="Z1323" i="13"/>
  <c r="Y1324" i="13"/>
  <c r="Z1324" i="13"/>
  <c r="Y1325" i="13"/>
  <c r="Z1325" i="13"/>
  <c r="Y1326" i="13"/>
  <c r="Y1327" i="13"/>
  <c r="Z1326" i="13"/>
  <c r="Y1328" i="13"/>
  <c r="Z1327" i="13"/>
  <c r="Y1329" i="13"/>
  <c r="Z1328" i="13"/>
  <c r="Y1330" i="13"/>
  <c r="Z1329" i="13"/>
  <c r="Z1330" i="13"/>
  <c r="Y1331" i="13"/>
  <c r="Y1332" i="13"/>
  <c r="Z1331" i="13"/>
  <c r="Y1333" i="13"/>
  <c r="Z1332" i="13"/>
  <c r="Y1334" i="13"/>
  <c r="Z1333" i="13"/>
  <c r="Z1334" i="13"/>
  <c r="Y1335" i="13"/>
  <c r="Y1336" i="13"/>
  <c r="Z1335" i="13"/>
  <c r="Z1336" i="13"/>
  <c r="Y1337" i="13"/>
  <c r="Z1337" i="13"/>
  <c r="Y1338" i="13"/>
  <c r="Y1339" i="13"/>
  <c r="Z1338" i="13"/>
  <c r="Y1340" i="13"/>
  <c r="Z1339" i="13"/>
  <c r="Y1341" i="13"/>
  <c r="Z1340" i="13"/>
  <c r="Y1342" i="13"/>
  <c r="Z1341" i="13"/>
  <c r="Z1342" i="13"/>
  <c r="Y1343" i="13"/>
  <c r="Z1343" i="13"/>
  <c r="Y1344" i="13"/>
  <c r="Z1344" i="13"/>
  <c r="Y1345" i="13"/>
  <c r="Z1345" i="13"/>
  <c r="Y1346" i="13"/>
  <c r="Z1346" i="13"/>
  <c r="Y1347" i="13"/>
  <c r="Z1347" i="13"/>
  <c r="Y1348" i="13"/>
  <c r="Y1349" i="13"/>
  <c r="Z1348" i="13"/>
  <c r="Y1350" i="13"/>
  <c r="Z1349" i="13"/>
  <c r="Y1351" i="13"/>
  <c r="Z1350" i="13"/>
  <c r="Y1352" i="13"/>
  <c r="Z1351" i="13"/>
  <c r="Y1353" i="13"/>
  <c r="Z1352" i="13"/>
  <c r="Z1353" i="13"/>
  <c r="Y1354" i="13"/>
  <c r="Z1354" i="13"/>
  <c r="Y1355" i="13"/>
  <c r="Y1356" i="13"/>
  <c r="Z1355" i="13"/>
  <c r="Y1357" i="13"/>
  <c r="Z1356" i="13"/>
  <c r="Y1358" i="13"/>
  <c r="Z1357" i="13"/>
  <c r="Z1358" i="13"/>
  <c r="Y1359" i="13"/>
  <c r="Z1359" i="13"/>
  <c r="Y1360" i="13"/>
  <c r="Y1361" i="13"/>
  <c r="Z1360" i="13"/>
  <c r="Z1361" i="13"/>
  <c r="Y1362" i="13"/>
  <c r="Z1362" i="13"/>
  <c r="Y1363" i="13"/>
  <c r="Y1364" i="13"/>
  <c r="Z1363" i="13"/>
  <c r="Z1364" i="13"/>
  <c r="Y1365" i="13"/>
  <c r="Y1366" i="13"/>
  <c r="Z1365" i="13"/>
  <c r="Y1367" i="13"/>
  <c r="Z1366" i="13"/>
  <c r="Y1368" i="13"/>
  <c r="Z1367" i="13"/>
  <c r="Y1369" i="13"/>
  <c r="Z1368" i="13"/>
  <c r="Y1370" i="13"/>
  <c r="Z1369" i="13"/>
  <c r="Z1370" i="13"/>
  <c r="Y1371" i="13"/>
  <c r="Z1371" i="13"/>
  <c r="Y1372" i="13"/>
  <c r="Z1372" i="13"/>
  <c r="Y1373" i="13"/>
  <c r="Y1374" i="13"/>
  <c r="Z1373" i="13"/>
  <c r="Y1375" i="13"/>
  <c r="Z1374" i="13"/>
  <c r="Z1375" i="13"/>
  <c r="Y1376" i="13"/>
  <c r="Z1376" i="13"/>
  <c r="Y1377" i="13"/>
  <c r="Y1378" i="13"/>
  <c r="Z1377" i="13"/>
  <c r="Y1379" i="13"/>
  <c r="Z1378" i="13"/>
  <c r="Z1379" i="13"/>
  <c r="Y1380" i="13"/>
  <c r="Z1380" i="13"/>
  <c r="Y1381" i="13"/>
  <c r="Z1381" i="13"/>
  <c r="Y1382" i="13"/>
  <c r="Z1382" i="13"/>
  <c r="Y1383" i="13"/>
  <c r="Z1383" i="13"/>
  <c r="Y1384" i="13"/>
  <c r="Z1384" i="13"/>
  <c r="Y1385" i="13"/>
  <c r="Y1386" i="13"/>
  <c r="Z1385" i="13"/>
  <c r="Y1387" i="13"/>
  <c r="Z1386" i="13"/>
  <c r="Y1388" i="13"/>
  <c r="Z1387" i="13"/>
  <c r="Y1389" i="13"/>
  <c r="Z1388" i="13"/>
  <c r="Y1390" i="13"/>
  <c r="Z1389" i="13"/>
  <c r="Y1391" i="13"/>
  <c r="Z1390" i="13"/>
  <c r="Y1392" i="13"/>
  <c r="Z1391" i="13"/>
  <c r="Y1393" i="13"/>
  <c r="Z1392" i="13"/>
  <c r="Z1393" i="13"/>
  <c r="Y1394" i="13"/>
  <c r="Z1394" i="13"/>
  <c r="Y1395" i="13"/>
  <c r="Z1395" i="13"/>
  <c r="Y1396" i="13"/>
  <c r="Y1397" i="13"/>
  <c r="Z1396" i="13"/>
  <c r="Y1398" i="13"/>
  <c r="Z1397" i="13"/>
  <c r="Y1399" i="13"/>
  <c r="Z1398" i="13"/>
  <c r="Z1399" i="13"/>
  <c r="Y1400" i="13"/>
  <c r="Z1400" i="13"/>
  <c r="Y1401" i="13"/>
  <c r="Y1402" i="13"/>
  <c r="Z1401" i="13"/>
  <c r="Y1403" i="13"/>
  <c r="Z1402" i="13"/>
  <c r="Y1404" i="13"/>
  <c r="Z1403" i="13"/>
  <c r="Z1404" i="13"/>
  <c r="Y1405" i="13"/>
  <c r="Z1405" i="13"/>
  <c r="Y1406" i="13"/>
  <c r="Z1406" i="13"/>
  <c r="Y1407" i="13"/>
  <c r="Z1407" i="13"/>
  <c r="Y1408" i="13"/>
  <c r="Y1409" i="13"/>
  <c r="Z1408" i="13"/>
  <c r="Z1409" i="13"/>
  <c r="Y1410" i="13"/>
  <c r="Y1411" i="13"/>
  <c r="Z1410" i="13"/>
  <c r="Z1411" i="13"/>
  <c r="Y1412" i="13"/>
  <c r="Y1413" i="13"/>
  <c r="Z1412" i="13"/>
  <c r="Y1414" i="13"/>
  <c r="Z1413" i="13"/>
  <c r="Y1415" i="13"/>
  <c r="Z1414" i="13"/>
  <c r="Y1416" i="13"/>
  <c r="Z1415" i="13"/>
  <c r="Z1416" i="13"/>
  <c r="Y1417" i="13"/>
  <c r="Z1417" i="13"/>
  <c r="Y1418" i="13"/>
  <c r="Z1418" i="13"/>
  <c r="Y1419" i="13"/>
  <c r="Z1419" i="13"/>
  <c r="Y1420" i="13"/>
  <c r="Z1420" i="13"/>
  <c r="Y1421" i="13"/>
  <c r="Z1421" i="13"/>
  <c r="Y1422" i="13"/>
  <c r="Y1423" i="13"/>
  <c r="Z1422" i="13"/>
  <c r="Y1424" i="13"/>
  <c r="Z1423" i="13"/>
  <c r="Z1424" i="13"/>
  <c r="Y1425" i="13"/>
  <c r="Z1425" i="13"/>
  <c r="Y1426" i="13"/>
  <c r="Z1426" i="13"/>
  <c r="Y1427" i="13"/>
  <c r="Z1427" i="13"/>
  <c r="Y1428" i="13"/>
  <c r="Z1428" i="13"/>
  <c r="Y1429" i="13"/>
  <c r="Z1429" i="13"/>
  <c r="Y1430" i="13"/>
  <c r="Z1430" i="13"/>
  <c r="Y1431" i="13"/>
  <c r="Z1431" i="13"/>
  <c r="Y1432" i="13"/>
  <c r="Y1433" i="13"/>
  <c r="Z1432" i="13"/>
  <c r="Y1434" i="13"/>
  <c r="Z1433" i="13"/>
  <c r="Y1435" i="13"/>
  <c r="Z1434" i="13"/>
  <c r="Y1436" i="13"/>
  <c r="Z1435" i="13"/>
  <c r="Z1436" i="13"/>
  <c r="Y1437" i="13"/>
  <c r="Y1438" i="13"/>
  <c r="Z1437" i="13"/>
  <c r="Z1438" i="13"/>
  <c r="Y1439" i="13"/>
  <c r="Y1440" i="13"/>
  <c r="Z1439" i="13"/>
  <c r="Z1440" i="13"/>
  <c r="Y1441" i="13"/>
  <c r="Z1441" i="13"/>
  <c r="Y1442" i="13"/>
  <c r="Y1443" i="13"/>
  <c r="Z1442" i="13"/>
  <c r="Z1443" i="13"/>
  <c r="Y1444" i="13"/>
  <c r="Z1444" i="13"/>
  <c r="Y1445" i="13"/>
  <c r="Z1445" i="13"/>
  <c r="Y1446" i="13"/>
  <c r="Y1447" i="13"/>
  <c r="Z1446" i="13"/>
  <c r="Y1448" i="13"/>
  <c r="Z1447" i="13"/>
  <c r="Y1449" i="13"/>
  <c r="Z1448" i="13"/>
  <c r="Y1450" i="13"/>
  <c r="Z1449" i="13"/>
  <c r="Z1450" i="13"/>
  <c r="Y1451" i="13"/>
  <c r="Z1451" i="13"/>
  <c r="Y1452" i="13"/>
  <c r="Z1452" i="13"/>
  <c r="Y1453" i="13"/>
  <c r="Y1454" i="13"/>
  <c r="Z1453" i="13"/>
  <c r="Y1455" i="13"/>
  <c r="Z1454" i="13"/>
  <c r="Z1455" i="13"/>
  <c r="Y1456" i="13"/>
  <c r="Y1457" i="13"/>
  <c r="Z1456" i="13"/>
  <c r="Y1458" i="13"/>
  <c r="Z1457" i="13"/>
  <c r="Z1458" i="13"/>
  <c r="Y1459" i="13"/>
  <c r="Y1460" i="13"/>
  <c r="Z1459" i="13"/>
  <c r="Y1461" i="13"/>
  <c r="Z1460" i="13"/>
  <c r="Y1462" i="13"/>
  <c r="Z1461" i="13"/>
  <c r="Z1462" i="13"/>
  <c r="Y1463" i="13"/>
  <c r="Z1463" i="13"/>
  <c r="Y1464" i="13"/>
  <c r="Y1465" i="13"/>
  <c r="Z1464" i="13"/>
  <c r="Y1466" i="13"/>
  <c r="Z1465" i="13"/>
  <c r="Y1467" i="13"/>
  <c r="Z1466" i="13"/>
  <c r="Y1468" i="13"/>
  <c r="Z1467" i="13"/>
  <c r="Z1468" i="13"/>
  <c r="Y1469" i="13"/>
  <c r="Y1470" i="13"/>
  <c r="Z1469" i="13"/>
  <c r="Y1471" i="13"/>
  <c r="Z1470" i="13"/>
  <c r="Z1471" i="13"/>
  <c r="Y1472" i="13"/>
  <c r="Z1472" i="13"/>
  <c r="Y1473" i="13"/>
  <c r="Y1474" i="13"/>
  <c r="Z1473" i="13"/>
  <c r="Y1475" i="13"/>
  <c r="Z1474" i="13"/>
  <c r="Y1476" i="13"/>
  <c r="Z1475" i="13"/>
  <c r="Z1476" i="13"/>
  <c r="Y1477" i="13"/>
  <c r="Z1477" i="13"/>
  <c r="Y1478" i="13"/>
  <c r="Z1478" i="13"/>
  <c r="Y1479" i="13"/>
  <c r="Y1480" i="13"/>
  <c r="Z1479" i="13"/>
  <c r="Y1481" i="13"/>
  <c r="Z1480" i="13"/>
  <c r="Z1481" i="13"/>
  <c r="Y1482" i="13"/>
  <c r="Y1483" i="13"/>
  <c r="Z1482" i="13"/>
  <c r="Y1484" i="13"/>
  <c r="Z1483" i="13"/>
  <c r="Y1485" i="13"/>
  <c r="Z1484" i="13"/>
  <c r="Z1485" i="13"/>
  <c r="Y1486" i="13"/>
  <c r="Y1487" i="13"/>
  <c r="Z1486" i="13"/>
  <c r="Y1488" i="13"/>
  <c r="Z1487" i="13"/>
  <c r="Z1488" i="13"/>
  <c r="Y1489" i="13"/>
  <c r="Y1490" i="13"/>
  <c r="Z1489" i="13"/>
  <c r="Z1490" i="13"/>
  <c r="Y1491" i="13"/>
  <c r="Z1491" i="13"/>
  <c r="Y1492" i="13"/>
  <c r="Y1493" i="13"/>
  <c r="Z1492" i="13"/>
  <c r="Z1493" i="13"/>
  <c r="Y1494" i="13"/>
  <c r="Y1495" i="13"/>
  <c r="Z1494" i="13"/>
  <c r="Z1495" i="13"/>
  <c r="Y1496" i="13"/>
  <c r="Y1497" i="13"/>
  <c r="Z1496" i="13"/>
  <c r="Z1497" i="13"/>
  <c r="Y1498" i="13"/>
  <c r="Y1499" i="13"/>
  <c r="Z1498" i="13"/>
  <c r="Y1500" i="13"/>
  <c r="Z1499" i="13"/>
  <c r="Z1500" i="13"/>
  <c r="Y1501" i="13"/>
  <c r="Y1502" i="13"/>
  <c r="Z1501" i="13"/>
  <c r="Z1502" i="13"/>
  <c r="Y1503" i="13"/>
  <c r="Z1503" i="13"/>
  <c r="Y1504" i="13"/>
  <c r="Y1505" i="13"/>
  <c r="Z1504" i="13"/>
  <c r="Y1506" i="13"/>
  <c r="Z1505" i="13"/>
  <c r="Y1507" i="13"/>
  <c r="Z1506" i="13"/>
  <c r="Z1507" i="13"/>
  <c r="Y1508" i="13"/>
  <c r="Y1509" i="13"/>
  <c r="Z1508" i="13"/>
  <c r="Z1509" i="13"/>
  <c r="Y1510" i="13"/>
  <c r="Y1511" i="13"/>
  <c r="Z1510" i="13"/>
  <c r="Y1512" i="13"/>
  <c r="Z1511" i="13"/>
  <c r="Y1513" i="13"/>
  <c r="Z1512" i="13"/>
  <c r="Z1513" i="13"/>
  <c r="Y1514" i="13"/>
  <c r="Z1514" i="13"/>
  <c r="Y1515" i="13"/>
  <c r="Z1515" i="13"/>
  <c r="Y1516" i="13"/>
  <c r="Z1516" i="13"/>
  <c r="Y1517" i="13"/>
  <c r="Y1518" i="13"/>
  <c r="Z1517" i="13"/>
  <c r="Z1518" i="13"/>
  <c r="Y1519" i="13"/>
  <c r="Z1519" i="13"/>
  <c r="Y1520" i="13"/>
  <c r="Y1521" i="13"/>
  <c r="Z1520" i="13"/>
  <c r="Y1522" i="13"/>
  <c r="Z1521" i="13"/>
  <c r="Y1523" i="13"/>
  <c r="Z1522" i="13"/>
  <c r="Z1523" i="13"/>
  <c r="Y1524" i="13"/>
  <c r="Z1524" i="13"/>
  <c r="Y1525" i="13"/>
  <c r="Z1525" i="13"/>
  <c r="Y1526" i="13"/>
  <c r="Y1527" i="13"/>
  <c r="Z1526" i="13"/>
  <c r="Z1527" i="13"/>
  <c r="Y1528" i="13"/>
  <c r="Y1529" i="13"/>
  <c r="Z1528" i="13"/>
  <c r="Y1530" i="13"/>
  <c r="Z1529" i="13"/>
  <c r="Z1530" i="13"/>
  <c r="Y1531" i="13"/>
  <c r="Z1531" i="13"/>
  <c r="Y1532" i="13"/>
  <c r="Y1533" i="13"/>
  <c r="Z1532" i="13"/>
  <c r="Y1534" i="13"/>
  <c r="Z1533" i="13"/>
  <c r="Y1535" i="13"/>
  <c r="Z1534" i="13"/>
  <c r="Y1536" i="13"/>
  <c r="Z1535" i="13"/>
  <c r="Z1536" i="13"/>
  <c r="Y1537" i="13"/>
  <c r="Z1537" i="13"/>
  <c r="Y1538" i="13"/>
  <c r="Y1539" i="13"/>
  <c r="Z1538" i="13"/>
  <c r="Y1540" i="13"/>
  <c r="Z1539" i="13"/>
  <c r="Z1540" i="13"/>
  <c r="Y1541" i="13"/>
  <c r="Y1542" i="13"/>
  <c r="Z1541" i="13"/>
  <c r="Z1542" i="13"/>
  <c r="Y1543" i="13"/>
  <c r="Z1543" i="13"/>
  <c r="Y1544" i="13"/>
  <c r="Y1545" i="13"/>
  <c r="Z1544" i="13"/>
  <c r="Y1546" i="13"/>
  <c r="Z1545" i="13"/>
  <c r="Z1546" i="13"/>
  <c r="Y1547" i="13"/>
  <c r="Z1547" i="13"/>
  <c r="Y1548" i="13"/>
  <c r="Z1548" i="13"/>
  <c r="Y1549" i="13"/>
  <c r="Y1550" i="13"/>
  <c r="Z1549" i="13"/>
  <c r="Z1550" i="13"/>
  <c r="Y1551" i="13"/>
  <c r="Z1551" i="13"/>
  <c r="Y1552" i="13"/>
  <c r="Y1553" i="13"/>
  <c r="Z1552" i="13"/>
  <c r="Y1554" i="13"/>
  <c r="Z1553" i="13"/>
  <c r="Z1554" i="13"/>
  <c r="Y1555" i="13"/>
  <c r="Z1555" i="13"/>
  <c r="Y1556" i="13"/>
  <c r="Z1556" i="13"/>
  <c r="Y1557" i="13"/>
  <c r="Y1558" i="13"/>
  <c r="Z1557" i="13"/>
  <c r="Y1559" i="13"/>
  <c r="Z1558" i="13"/>
  <c r="Y1560" i="13"/>
  <c r="Z1559" i="13"/>
  <c r="Y1561" i="13"/>
  <c r="Z1560" i="13"/>
  <c r="Z1561" i="13"/>
  <c r="Y1562" i="13"/>
  <c r="Z1562" i="13"/>
  <c r="Y1563" i="13"/>
  <c r="Y1564" i="13"/>
  <c r="Z1563" i="13"/>
  <c r="Z1564" i="13"/>
  <c r="Y1565" i="13"/>
  <c r="Z1565" i="13"/>
  <c r="Y1566" i="13"/>
  <c r="Y1567" i="13"/>
  <c r="Z1566" i="13"/>
  <c r="Z1567" i="13"/>
  <c r="Y1568" i="13"/>
  <c r="Y1569" i="13"/>
  <c r="Z1568" i="13"/>
  <c r="Y1570" i="13"/>
  <c r="Z1569" i="13"/>
  <c r="Y1571" i="13"/>
  <c r="Z1570" i="13"/>
  <c r="Z1571" i="13"/>
  <c r="Y1572" i="13"/>
  <c r="Z1572" i="13"/>
  <c r="Y1573" i="13"/>
  <c r="Z1573" i="13"/>
  <c r="Y1574" i="13"/>
  <c r="Z1574" i="13"/>
  <c r="Y1575" i="13"/>
  <c r="Z1575" i="13"/>
  <c r="Y1576" i="13"/>
  <c r="Z1576" i="13"/>
  <c r="Y1577" i="13"/>
  <c r="Z1577" i="13"/>
  <c r="Y1578" i="13"/>
  <c r="Y1579" i="13"/>
  <c r="Z1578" i="13"/>
  <c r="Y1580" i="13"/>
  <c r="Z1579" i="13"/>
  <c r="Y1581" i="13"/>
  <c r="Z1580" i="13"/>
  <c r="Z1581" i="13"/>
  <c r="Y1582" i="13"/>
  <c r="Z1582" i="13"/>
  <c r="Y1583" i="13"/>
  <c r="Z1583" i="13"/>
  <c r="Y1584" i="13"/>
  <c r="Z1584" i="13"/>
  <c r="Y1585" i="13"/>
  <c r="Y1586" i="13"/>
  <c r="Z1585" i="13"/>
  <c r="Z1586" i="13"/>
  <c r="Y1587" i="13"/>
  <c r="Z1587" i="13"/>
  <c r="Y1588" i="13"/>
  <c r="Z1588" i="13"/>
  <c r="Y1589" i="13"/>
  <c r="Y1590" i="13"/>
  <c r="Z1589" i="13"/>
  <c r="Z1590" i="13"/>
  <c r="Y1591" i="13"/>
  <c r="Y1592" i="13"/>
  <c r="Z1591" i="13"/>
  <c r="Z1592" i="13"/>
  <c r="Y1593" i="13"/>
  <c r="Y1594" i="13"/>
  <c r="Z1593" i="13"/>
  <c r="Y1595" i="13"/>
  <c r="Z1594" i="13"/>
  <c r="Z1595" i="13"/>
  <c r="Y1596" i="13"/>
  <c r="Z1596" i="13"/>
  <c r="Y1597" i="13"/>
  <c r="Z1597" i="13"/>
  <c r="Y1598" i="13"/>
  <c r="Z1598" i="13"/>
  <c r="Y1599" i="13"/>
  <c r="Z1599" i="13"/>
  <c r="Y1600" i="13"/>
  <c r="Y1601" i="13"/>
  <c r="Z1600" i="13"/>
  <c r="Z1601" i="13"/>
  <c r="Y1602" i="13"/>
  <c r="Y1603" i="13"/>
  <c r="Z1602" i="13"/>
  <c r="Y1604" i="13"/>
  <c r="Z1603" i="13"/>
  <c r="Z1604" i="13"/>
  <c r="Y1605" i="13"/>
  <c r="Z1605" i="13"/>
  <c r="Y1606" i="13"/>
  <c r="Z1606" i="13"/>
  <c r="Y1607" i="13"/>
  <c r="Z1607" i="13"/>
  <c r="Y1608" i="13"/>
  <c r="Z1608" i="13"/>
  <c r="Y1609" i="13"/>
  <c r="Y1610" i="13"/>
  <c r="Z1609" i="13"/>
  <c r="Y1611" i="13"/>
  <c r="Z1610" i="13"/>
  <c r="Z1611" i="13"/>
  <c r="Y1612" i="13"/>
  <c r="Z1612" i="13"/>
  <c r="Y1613" i="13"/>
  <c r="Y1614" i="13"/>
  <c r="Z1613" i="13"/>
  <c r="Z1614" i="13"/>
  <c r="Y1615" i="13"/>
  <c r="Y1616" i="13"/>
  <c r="Z1615" i="13"/>
  <c r="Y1617" i="13"/>
  <c r="Z1616" i="13"/>
  <c r="Z1617" i="13"/>
  <c r="Y1618" i="13"/>
  <c r="Z1618" i="13"/>
  <c r="Y1619" i="13"/>
  <c r="Y1620" i="13"/>
  <c r="Z1619" i="13"/>
  <c r="Z1620" i="13"/>
  <c r="Y1621" i="13"/>
  <c r="Z1621" i="13"/>
  <c r="Y1622" i="13"/>
  <c r="Z1622" i="13"/>
  <c r="Y1623" i="13"/>
  <c r="Y1624" i="13"/>
  <c r="Z1623" i="13"/>
  <c r="Z1624" i="13"/>
  <c r="Y1625" i="13"/>
  <c r="Z1625" i="13"/>
  <c r="Y1626" i="13"/>
  <c r="Z1626" i="13"/>
  <c r="Y1627" i="13"/>
  <c r="Z1627" i="13"/>
  <c r="Y1628" i="13"/>
  <c r="Z1628" i="13"/>
  <c r="Y1629" i="13"/>
  <c r="Y1630" i="13"/>
  <c r="Z1629" i="13"/>
  <c r="Z1630" i="13"/>
  <c r="Y1631" i="13"/>
  <c r="Z1631" i="13"/>
  <c r="Y1632" i="13"/>
  <c r="Y1633" i="13"/>
  <c r="Z1632" i="13"/>
  <c r="Z1633" i="13"/>
  <c r="Y1634" i="13"/>
  <c r="Y1635" i="13"/>
  <c r="Z1634" i="13"/>
  <c r="Z1635" i="13"/>
  <c r="Y1636" i="13"/>
  <c r="Y1637" i="13"/>
  <c r="Z1636" i="13"/>
  <c r="Y1638" i="13"/>
  <c r="Z1637" i="13"/>
  <c r="Z1638" i="13"/>
  <c r="Y1639" i="13"/>
  <c r="Z1639" i="13"/>
  <c r="Y1640" i="13"/>
  <c r="Z1640" i="13"/>
  <c r="Y1641" i="13"/>
  <c r="Z1641" i="13"/>
  <c r="Y1642" i="13"/>
  <c r="Z1642" i="13"/>
  <c r="Y1643" i="13"/>
  <c r="Z1643" i="13"/>
  <c r="Y1644" i="13"/>
  <c r="Z1644" i="13"/>
  <c r="Y1645" i="13"/>
  <c r="Z1645" i="13"/>
  <c r="Y1646" i="13"/>
  <c r="Z1646" i="13"/>
  <c r="Y1647" i="13"/>
  <c r="Y1648" i="13"/>
  <c r="Z1647" i="13"/>
  <c r="Z1648" i="13"/>
  <c r="Y1649" i="13"/>
  <c r="Z1649" i="13"/>
  <c r="Y1650" i="13"/>
  <c r="Z1650" i="13"/>
  <c r="Y1651" i="13"/>
  <c r="Y1652" i="13"/>
  <c r="Z1651" i="13"/>
  <c r="Y1653" i="13"/>
  <c r="Z1652" i="13"/>
  <c r="Y1654" i="13"/>
  <c r="Z1653" i="13"/>
  <c r="Y1655" i="13"/>
  <c r="Z1654" i="13"/>
  <c r="Z1655" i="13"/>
  <c r="Y1656" i="13"/>
  <c r="Z1656" i="13"/>
  <c r="Y1657" i="13"/>
  <c r="Z1657" i="13"/>
  <c r="Y1658" i="13"/>
  <c r="Y1659" i="13"/>
  <c r="Z1658" i="13"/>
  <c r="Y1660" i="13"/>
  <c r="Z1659" i="13"/>
  <c r="Y1661" i="13"/>
  <c r="Z1660" i="13"/>
  <c r="Y1662" i="13"/>
  <c r="Z1661" i="13"/>
  <c r="Y1663" i="13"/>
  <c r="Z1662" i="13"/>
  <c r="Z1663" i="13"/>
  <c r="Y1664" i="13"/>
  <c r="Y1665" i="13"/>
  <c r="Z1664" i="13"/>
  <c r="Z1665" i="13"/>
  <c r="Y1666" i="13"/>
  <c r="Y1667" i="13"/>
  <c r="Z1666" i="13"/>
  <c r="Y1668" i="13"/>
  <c r="Z1667" i="13"/>
  <c r="Y1669" i="13"/>
  <c r="Z1668" i="13"/>
  <c r="Y1670" i="13"/>
  <c r="Z1669" i="13"/>
  <c r="Z1670" i="13"/>
  <c r="Y1671" i="13"/>
  <c r="Y1672" i="13"/>
  <c r="Z1671" i="13"/>
  <c r="Y1673" i="13"/>
  <c r="Z1672" i="13"/>
  <c r="Y1674" i="13"/>
  <c r="Z1673" i="13"/>
  <c r="Y1675" i="13"/>
  <c r="Z1674" i="13"/>
  <c r="Y1676" i="13"/>
  <c r="Z1675" i="13"/>
  <c r="Y1677" i="13"/>
  <c r="Z1676" i="13"/>
  <c r="Z1677" i="13"/>
  <c r="Y1678" i="13"/>
  <c r="Z1678" i="13"/>
  <c r="Y1679" i="13"/>
  <c r="Y1680" i="13"/>
  <c r="Z1679" i="13"/>
  <c r="Y1681" i="13"/>
  <c r="Z1680" i="13"/>
  <c r="Y1682" i="13"/>
  <c r="Z1681" i="13"/>
  <c r="Z1682" i="13"/>
  <c r="Y1683" i="13"/>
  <c r="Y1684" i="13"/>
  <c r="Z1683" i="13"/>
  <c r="Y1685" i="13"/>
  <c r="Z1684" i="13"/>
  <c r="Y1686" i="13"/>
  <c r="Z1685" i="13"/>
  <c r="Y1687" i="13"/>
  <c r="Z1686" i="13"/>
  <c r="Y1688" i="13"/>
  <c r="Z1687" i="13"/>
  <c r="Z1688" i="13"/>
  <c r="Y1689" i="13"/>
  <c r="Y1690" i="13"/>
  <c r="Z1689" i="13"/>
  <c r="Z1690" i="13"/>
  <c r="Y1691" i="13"/>
  <c r="Y1692" i="13"/>
  <c r="Z1691" i="13"/>
  <c r="Z1692" i="13"/>
  <c r="Y1693" i="13"/>
  <c r="Y1694" i="13"/>
  <c r="Z1693" i="13"/>
  <c r="Z1694" i="13"/>
  <c r="Y1695" i="13"/>
  <c r="Z1695" i="13"/>
  <c r="Y1696" i="13"/>
  <c r="Y1697" i="13"/>
  <c r="Z1696" i="13"/>
  <c r="Z1697" i="13"/>
  <c r="Y1698" i="13"/>
  <c r="Y1699" i="13"/>
  <c r="Z1698" i="13"/>
  <c r="Y1700" i="13"/>
  <c r="Z1699" i="13"/>
  <c r="Z1700" i="13"/>
  <c r="Y1701" i="13"/>
  <c r="Z1701" i="13"/>
  <c r="Y1702" i="13"/>
  <c r="Y1703" i="13"/>
  <c r="Z1702" i="13"/>
  <c r="Z1703" i="13"/>
  <c r="Y1704" i="13"/>
  <c r="Y1705" i="13"/>
  <c r="Z1704" i="13"/>
  <c r="Z1705" i="13"/>
  <c r="Y1706" i="13"/>
  <c r="Y1707" i="13"/>
  <c r="Z1706" i="13"/>
  <c r="Y1708" i="13"/>
  <c r="Z1707" i="13"/>
  <c r="Y1709" i="13"/>
  <c r="Z1708" i="13"/>
  <c r="Z1709" i="13"/>
  <c r="Y1710" i="13"/>
  <c r="Z1710" i="13"/>
  <c r="Y1711" i="13"/>
  <c r="Y1712" i="13"/>
  <c r="Z1711" i="13"/>
  <c r="Y1713" i="13"/>
  <c r="Z1712" i="13"/>
  <c r="Y1714" i="13"/>
  <c r="Z1713" i="13"/>
  <c r="Y1715" i="13"/>
  <c r="Z1714" i="13"/>
  <c r="Z1715" i="13"/>
  <c r="Y1716" i="13"/>
  <c r="Y1717" i="13"/>
  <c r="Z1716" i="13"/>
  <c r="Z1717" i="13"/>
  <c r="Y1718" i="13"/>
  <c r="Y1719" i="13"/>
  <c r="Z1718" i="13"/>
  <c r="Y1720" i="13"/>
  <c r="Z1719" i="13"/>
  <c r="Y1721" i="13"/>
  <c r="Z1720" i="13"/>
  <c r="Y1722" i="13"/>
  <c r="Z1721" i="13"/>
  <c r="Y1723" i="13"/>
  <c r="Z1722" i="13"/>
  <c r="Z1723" i="13"/>
  <c r="Y1724" i="13"/>
  <c r="Y1725" i="13"/>
  <c r="Z1724" i="13"/>
  <c r="Y1726" i="13"/>
  <c r="Z1725" i="13"/>
  <c r="Y1727" i="13"/>
  <c r="Z1726" i="13"/>
  <c r="Z1727" i="13"/>
  <c r="Y1728" i="13"/>
  <c r="Z1728" i="13"/>
  <c r="Y1729" i="13"/>
  <c r="Y1730" i="13"/>
  <c r="Z1729" i="13"/>
  <c r="Z1730" i="13"/>
  <c r="Y1731" i="13"/>
  <c r="Z1731" i="13"/>
  <c r="Y1732" i="13"/>
  <c r="Y1733" i="13"/>
  <c r="Z1732" i="13"/>
  <c r="Z1733" i="13"/>
  <c r="Y1734" i="13"/>
  <c r="Y1735" i="13"/>
  <c r="Z1734" i="13"/>
  <c r="Z1735" i="13"/>
  <c r="Y1736" i="13"/>
  <c r="Z1736" i="13"/>
  <c r="Y1737" i="13"/>
  <c r="Z1737" i="13"/>
  <c r="Y1738" i="13"/>
  <c r="Y1739" i="13"/>
  <c r="Z1738" i="13"/>
  <c r="Z1739" i="13"/>
  <c r="Y1740" i="13"/>
  <c r="Y1741" i="13"/>
  <c r="Z1740" i="13"/>
  <c r="Z1741" i="13"/>
  <c r="Y1742" i="13"/>
  <c r="Y1743" i="13"/>
  <c r="Z1742" i="13"/>
  <c r="Y1744" i="13"/>
  <c r="Z1743" i="13"/>
  <c r="Z1744" i="13"/>
  <c r="Y1745" i="13"/>
  <c r="Y1746" i="13"/>
  <c r="Z1745" i="13"/>
  <c r="Y1747" i="13"/>
  <c r="Z1746" i="13"/>
  <c r="Z1747" i="13"/>
  <c r="Y1748" i="13"/>
  <c r="Z1748" i="13"/>
  <c r="Y1749" i="13"/>
  <c r="Y1750" i="13"/>
  <c r="Z1749" i="13"/>
  <c r="Z1750" i="13"/>
  <c r="Y1751" i="13"/>
  <c r="Z1751" i="13"/>
  <c r="Y1752" i="13"/>
  <c r="Z1752" i="13"/>
  <c r="Y1753" i="13"/>
  <c r="Z1753" i="13"/>
  <c r="Y1754" i="13"/>
  <c r="Z1754" i="13"/>
  <c r="Y1755" i="13"/>
  <c r="Z1755" i="13"/>
  <c r="Y1756" i="13"/>
  <c r="Y1757" i="13"/>
  <c r="Z1756" i="13"/>
  <c r="Y1758" i="13"/>
  <c r="Z1757" i="13"/>
  <c r="Y1759" i="13"/>
  <c r="Z1758" i="13"/>
  <c r="Z1759" i="13"/>
  <c r="Y1760" i="13"/>
  <c r="Z1760" i="13"/>
  <c r="Y1761" i="13"/>
  <c r="Z1761" i="13"/>
  <c r="Y1762" i="13"/>
  <c r="Y1763" i="13"/>
  <c r="Z1762" i="13"/>
  <c r="Z1763" i="13"/>
  <c r="Y1764" i="13"/>
  <c r="Y1765" i="13"/>
  <c r="Z1764" i="13"/>
  <c r="Y1766" i="13"/>
  <c r="Z1765" i="13"/>
  <c r="Y1767" i="13"/>
  <c r="Z1766" i="13"/>
  <c r="Y1768" i="13"/>
  <c r="Z1767" i="13"/>
  <c r="Z1768" i="13"/>
  <c r="Y1769" i="13"/>
  <c r="Z1769" i="13"/>
  <c r="Y1770" i="13"/>
  <c r="Y1771" i="13"/>
  <c r="Z1770" i="13"/>
  <c r="Z1771" i="13"/>
  <c r="Y1772" i="13"/>
  <c r="Y1773" i="13"/>
  <c r="Z1772" i="13"/>
  <c r="Z1773" i="13"/>
  <c r="Y1774" i="13"/>
  <c r="Z1774" i="13"/>
  <c r="Y1775" i="13"/>
  <c r="Z1775" i="13"/>
  <c r="Y1776" i="13"/>
  <c r="Y1777" i="13"/>
  <c r="Z1776" i="13"/>
  <c r="Z1777" i="13"/>
  <c r="Y1778" i="13"/>
  <c r="Y1779" i="13"/>
  <c r="Z1778" i="13"/>
  <c r="Y1780" i="13"/>
  <c r="Z1779" i="13"/>
  <c r="Y1781" i="13"/>
  <c r="Z1780" i="13"/>
  <c r="Z1781" i="13"/>
  <c r="Y1782" i="13"/>
  <c r="Z1782" i="13"/>
  <c r="Y1783" i="13"/>
  <c r="Z1783" i="13"/>
  <c r="Y1784" i="13"/>
  <c r="Y1785" i="13"/>
  <c r="Z1784" i="13"/>
  <c r="Z1785" i="13"/>
  <c r="Y1786" i="13"/>
  <c r="Y1787" i="13"/>
  <c r="Z1786" i="13"/>
  <c r="Z1787" i="13"/>
  <c r="Y1788" i="13"/>
  <c r="Z1788" i="13"/>
  <c r="Y1789" i="13"/>
  <c r="Z1789" i="13"/>
  <c r="Y1790" i="13"/>
  <c r="Z1790" i="13"/>
  <c r="Y1791" i="13"/>
  <c r="Z1791" i="13"/>
  <c r="Y1792" i="13"/>
  <c r="Z1792" i="13"/>
  <c r="Y1793" i="13"/>
  <c r="Y1794" i="13"/>
  <c r="Z1793" i="13"/>
  <c r="Y1795" i="13"/>
  <c r="Z1794" i="13"/>
  <c r="Y1796" i="13"/>
  <c r="Z1795" i="13"/>
  <c r="Z1796" i="13"/>
  <c r="Y1797" i="13"/>
  <c r="Y1798" i="13"/>
  <c r="Z1797" i="13"/>
  <c r="Z1798" i="13"/>
  <c r="Y1799" i="13"/>
  <c r="Y1800" i="13"/>
  <c r="Z1799" i="13"/>
  <c r="Z1800" i="13"/>
  <c r="Y1801" i="13"/>
  <c r="Y1802" i="13"/>
  <c r="Z1801" i="13"/>
  <c r="Y1803" i="13"/>
  <c r="Z1802" i="13"/>
  <c r="Y1804" i="13"/>
  <c r="Z1803" i="13"/>
  <c r="Z1804" i="13"/>
  <c r="Y1805" i="13"/>
  <c r="Y1806" i="13"/>
  <c r="Z1805" i="13"/>
  <c r="Z1806" i="13"/>
  <c r="Y1807" i="13"/>
  <c r="Z1807" i="13"/>
  <c r="Y1808" i="13"/>
  <c r="Y1809" i="13"/>
  <c r="Z1808" i="13"/>
  <c r="Z1809" i="13"/>
  <c r="Y1810" i="13"/>
  <c r="Z1810" i="13"/>
  <c r="Y1811" i="13"/>
  <c r="Z1811" i="13"/>
  <c r="Y1812" i="13"/>
  <c r="Y1813" i="13"/>
  <c r="Z1812" i="13"/>
  <c r="Z1813" i="13"/>
  <c r="Y1814" i="13"/>
  <c r="Z1814" i="13"/>
  <c r="Y1815" i="13"/>
  <c r="Z1815" i="13"/>
  <c r="Y1816" i="13"/>
  <c r="Z1816" i="13"/>
  <c r="Y1817" i="13"/>
  <c r="Z1817" i="13"/>
  <c r="Y1818" i="13"/>
  <c r="Z1818" i="13"/>
  <c r="Y1819" i="13"/>
  <c r="Z1819" i="13"/>
  <c r="Y1820" i="13"/>
  <c r="Y1821" i="13"/>
  <c r="Z1820" i="13"/>
  <c r="Y1822" i="13"/>
  <c r="Z1821" i="13"/>
  <c r="Z1822" i="13"/>
  <c r="Y1823" i="13"/>
  <c r="Z1823" i="13"/>
  <c r="Y1824" i="13"/>
  <c r="Y1825" i="13"/>
  <c r="Z1824" i="13"/>
  <c r="Z1825" i="13"/>
  <c r="Y1826" i="13"/>
  <c r="Y1827" i="13"/>
  <c r="Z1826" i="13"/>
  <c r="Y1828" i="13"/>
  <c r="Z1827" i="13"/>
  <c r="Y1829" i="13"/>
  <c r="Z1828" i="13"/>
  <c r="Z1829" i="13"/>
  <c r="Y1830" i="13"/>
  <c r="Z1830" i="13"/>
  <c r="Y1831" i="13"/>
  <c r="Y1832" i="13"/>
  <c r="Z1831" i="13"/>
  <c r="Z1832" i="13"/>
  <c r="Y1833" i="13"/>
  <c r="Y1834" i="13"/>
  <c r="Z1833" i="13"/>
  <c r="Y1835" i="13"/>
  <c r="Z1834" i="13"/>
  <c r="Y1836" i="13"/>
  <c r="Z1835" i="13"/>
  <c r="Y1837" i="13"/>
  <c r="Z1836" i="13"/>
  <c r="Z1837" i="13"/>
  <c r="Y1838" i="13"/>
  <c r="Y1839" i="13"/>
  <c r="Z1838" i="13"/>
  <c r="Y1840" i="13"/>
  <c r="Z1839" i="13"/>
  <c r="Z1840" i="13"/>
  <c r="Y1841" i="13"/>
  <c r="Z1841" i="13"/>
  <c r="Y1842" i="13"/>
  <c r="Y1843" i="13"/>
  <c r="Z1842" i="13"/>
  <c r="Z1843" i="13"/>
  <c r="Y1844" i="13"/>
  <c r="Y1845" i="13"/>
  <c r="Z1844" i="13"/>
  <c r="Y1846" i="13"/>
  <c r="Z1845" i="13"/>
  <c r="Z1846" i="13"/>
  <c r="Y1847" i="13"/>
  <c r="Z1847" i="13"/>
  <c r="Y1848" i="13"/>
  <c r="Z1848" i="13"/>
  <c r="Y1849" i="13"/>
  <c r="Z1849" i="13"/>
  <c r="Y1850" i="13"/>
  <c r="Z1850" i="13"/>
  <c r="Y1851" i="13"/>
  <c r="Y1852" i="13"/>
  <c r="Z1851" i="13"/>
  <c r="Z1852" i="13"/>
  <c r="Y1853" i="13"/>
  <c r="Y1854" i="13"/>
  <c r="Z1853" i="13"/>
  <c r="Z1854" i="13"/>
  <c r="Y1855" i="13"/>
  <c r="Z1855" i="13"/>
  <c r="Y1856" i="13"/>
  <c r="Z1856" i="13"/>
  <c r="Y1857" i="13"/>
  <c r="Y1858" i="13"/>
  <c r="Z1857" i="13"/>
  <c r="Z1858" i="13"/>
  <c r="Y1859" i="13"/>
  <c r="Z1859" i="13"/>
  <c r="Y1860" i="13"/>
  <c r="Z1860" i="13"/>
  <c r="Y1861" i="13"/>
  <c r="Z1861" i="13"/>
  <c r="Y1862" i="13"/>
  <c r="Z1862" i="13"/>
  <c r="Y1863" i="13"/>
  <c r="Y1864" i="13"/>
  <c r="Z1863" i="13"/>
  <c r="Z1864" i="13"/>
  <c r="Y1865" i="13"/>
  <c r="Z1865" i="13"/>
  <c r="Y1866" i="13"/>
  <c r="Z1866" i="13"/>
  <c r="Y1867" i="13"/>
  <c r="Z1867" i="13"/>
  <c r="Y1868" i="13"/>
  <c r="Z1868" i="13"/>
  <c r="Y1869" i="13"/>
  <c r="Y1870" i="13"/>
  <c r="Z1869" i="13"/>
  <c r="Y1871" i="13"/>
  <c r="Z1870" i="13"/>
  <c r="Y1872" i="13"/>
  <c r="Z1871" i="13"/>
  <c r="Z1872" i="13"/>
  <c r="Y1873" i="13"/>
  <c r="Z1873" i="13"/>
  <c r="Y1874" i="13"/>
  <c r="Z1874" i="13"/>
  <c r="Y1875" i="13"/>
  <c r="Z1875" i="13"/>
  <c r="Y1876" i="13"/>
  <c r="Y1877" i="13"/>
  <c r="Z1876" i="13"/>
  <c r="Y1878" i="13"/>
  <c r="Z1877" i="13"/>
  <c r="Z1878" i="13"/>
  <c r="Y1879" i="13"/>
  <c r="Z1879" i="13"/>
  <c r="Y1880" i="13"/>
  <c r="Z1880" i="13"/>
  <c r="Y1881" i="13"/>
  <c r="Y1882" i="13"/>
  <c r="Z1881" i="13"/>
  <c r="Y1883" i="13"/>
  <c r="Z1882" i="13"/>
  <c r="Z1883" i="13"/>
  <c r="Y1884" i="13"/>
  <c r="Y1885" i="13"/>
  <c r="Z1884" i="13"/>
  <c r="Z1885" i="13"/>
  <c r="Y1886" i="13"/>
  <c r="Y1887" i="13"/>
  <c r="Z1886" i="13"/>
  <c r="Z1887" i="13"/>
  <c r="Y1888" i="13"/>
  <c r="Z1888" i="13"/>
  <c r="Y1889" i="13"/>
  <c r="Z1889" i="13"/>
  <c r="Y1890" i="13"/>
  <c r="Y1891" i="13"/>
  <c r="Z1890" i="13"/>
  <c r="Y1892" i="13"/>
  <c r="Z1891" i="13"/>
  <c r="Z1892" i="13"/>
  <c r="Y1893" i="13"/>
  <c r="Z1893" i="13"/>
  <c r="Y1894" i="13"/>
  <c r="Z1894" i="13"/>
  <c r="Y1895" i="13"/>
  <c r="Y1896" i="13"/>
  <c r="Z1895" i="13"/>
  <c r="Z1896" i="13"/>
  <c r="Y1897" i="13"/>
  <c r="Y1898" i="13"/>
  <c r="Z1897" i="13"/>
  <c r="Y1899" i="13"/>
  <c r="Z1898" i="13"/>
  <c r="Z1899" i="13"/>
  <c r="Y1900" i="13"/>
  <c r="Z1900" i="13"/>
  <c r="Y1901" i="13"/>
  <c r="Z1901" i="13"/>
  <c r="Y1902" i="13"/>
  <c r="Y1903" i="13"/>
  <c r="Z1902" i="13"/>
  <c r="Y1904" i="13"/>
  <c r="Z1903" i="13"/>
  <c r="Z1904" i="13"/>
  <c r="Y1905" i="13"/>
  <c r="Y1906" i="13"/>
  <c r="Z1905" i="13"/>
  <c r="Z1906" i="13"/>
  <c r="Y1907" i="13"/>
  <c r="Y1908" i="13"/>
  <c r="Z1907" i="13"/>
  <c r="Y1909" i="13"/>
  <c r="Z1908" i="13"/>
  <c r="Y1910" i="13"/>
  <c r="Z1909" i="13"/>
  <c r="Z1910" i="13"/>
  <c r="Y1911" i="13"/>
  <c r="Y1912" i="13"/>
  <c r="Z1911" i="13"/>
  <c r="Z1912" i="13"/>
  <c r="Y1913" i="13"/>
  <c r="Z1913" i="13"/>
  <c r="Y1914" i="13"/>
  <c r="Z1914" i="13"/>
  <c r="Y1915" i="13"/>
  <c r="Z1915" i="13"/>
  <c r="Y1916" i="13"/>
  <c r="Z1916" i="13"/>
  <c r="Y1917" i="13"/>
  <c r="Z1917" i="13"/>
  <c r="Y1918" i="13"/>
  <c r="Y1919" i="13"/>
  <c r="Z1918" i="13"/>
  <c r="Y1920" i="13"/>
  <c r="Z1919" i="13"/>
  <c r="Y1921" i="13"/>
  <c r="Z1920" i="13"/>
  <c r="Y1922" i="13"/>
  <c r="Z1921" i="13"/>
  <c r="Z1922" i="13"/>
  <c r="Y1923" i="13"/>
  <c r="Y1924" i="13"/>
  <c r="Z1923" i="13"/>
  <c r="Y1925" i="13"/>
  <c r="Z1924" i="13"/>
  <c r="Z1925" i="13"/>
  <c r="Y1926" i="13"/>
  <c r="Y1927" i="13"/>
  <c r="Z1926" i="13"/>
  <c r="Z1927" i="13"/>
  <c r="Y1928" i="13"/>
  <c r="Z1928" i="13"/>
  <c r="Y1929" i="13"/>
  <c r="Y1930" i="13"/>
  <c r="Z1929" i="13"/>
  <c r="Y1931" i="13"/>
  <c r="Z1930" i="13"/>
  <c r="Z1931" i="13"/>
  <c r="Y1932" i="13"/>
  <c r="Z1932" i="13"/>
  <c r="Y1933" i="13"/>
  <c r="Z1933" i="13"/>
  <c r="Y1934" i="13"/>
  <c r="Z1934" i="13"/>
  <c r="Y1935" i="13"/>
  <c r="Z1935" i="13"/>
  <c r="Y1936" i="13"/>
  <c r="Z1936" i="13"/>
  <c r="Y1937" i="13"/>
  <c r="Z1937" i="13"/>
  <c r="Y1938" i="13"/>
  <c r="Z1938" i="13"/>
  <c r="Y1939" i="13"/>
  <c r="Y1940" i="13"/>
  <c r="Z1939" i="13"/>
  <c r="Z1940" i="13"/>
  <c r="Y1941" i="13"/>
  <c r="Y1942" i="13"/>
  <c r="Z1941" i="13"/>
  <c r="Z1942" i="13"/>
  <c r="Y1943" i="13"/>
  <c r="Z1943" i="13"/>
  <c r="Y1944" i="13"/>
  <c r="Y1945" i="13"/>
  <c r="Z1944" i="13"/>
  <c r="Y1946" i="13"/>
  <c r="Z1945" i="13"/>
  <c r="Y1947" i="13"/>
  <c r="Z1946" i="13"/>
  <c r="Z1947" i="13"/>
  <c r="Y1948" i="13"/>
  <c r="Z1948" i="13"/>
  <c r="Y1949" i="13"/>
  <c r="Z1949" i="13"/>
  <c r="Y1950" i="13"/>
  <c r="Z1950" i="13"/>
  <c r="Y1951" i="13"/>
  <c r="Z1951" i="13"/>
  <c r="Y1952" i="13"/>
  <c r="Y1953" i="13"/>
  <c r="Z1952" i="13"/>
  <c r="Z1953" i="13"/>
  <c r="Y1954" i="13"/>
  <c r="Z1954" i="13"/>
  <c r="Y1955" i="13"/>
  <c r="Y1956" i="13"/>
  <c r="Z1955" i="13"/>
  <c r="Y1957" i="13"/>
  <c r="Z1956" i="13"/>
  <c r="Z1957" i="13"/>
  <c r="Y1958" i="13"/>
  <c r="Z1958" i="13"/>
  <c r="Y1959" i="13"/>
  <c r="Y1960" i="13"/>
  <c r="Z1959" i="13"/>
  <c r="Y1961" i="13"/>
  <c r="Z1960" i="13"/>
  <c r="Z1961" i="13"/>
  <c r="Y1962" i="13"/>
  <c r="Y1963" i="13"/>
  <c r="Z1962" i="13"/>
  <c r="Y1964" i="13"/>
  <c r="Z1963" i="13"/>
  <c r="Z1964" i="13"/>
  <c r="Y1965" i="13"/>
  <c r="Y1966" i="13"/>
  <c r="Z1965" i="13"/>
  <c r="Z1966" i="13"/>
  <c r="Y1967" i="13"/>
  <c r="Z1967" i="13"/>
  <c r="Y1968" i="13"/>
  <c r="Y1969" i="13"/>
  <c r="Z1968" i="13"/>
  <c r="Z1969" i="13"/>
  <c r="Y1970" i="13"/>
  <c r="Z1970" i="13"/>
  <c r="Y1971" i="13"/>
  <c r="Y1972" i="13"/>
  <c r="Z1971" i="13"/>
  <c r="Z1972" i="13"/>
  <c r="Y1973" i="13"/>
  <c r="Z1973" i="13"/>
  <c r="Y1974" i="13"/>
  <c r="Z1974" i="13"/>
  <c r="Y1975" i="13"/>
  <c r="Y1976" i="13"/>
  <c r="Z1975" i="13"/>
  <c r="Z1976" i="13"/>
  <c r="Y1977" i="13"/>
  <c r="Z1977" i="13"/>
  <c r="Y1978" i="13"/>
  <c r="Y1979" i="13"/>
  <c r="Z1978" i="13"/>
  <c r="Y1980" i="13"/>
  <c r="Z1979" i="13"/>
  <c r="Y1981" i="13"/>
  <c r="Z1980" i="13"/>
  <c r="Z1981" i="13"/>
  <c r="Y1982" i="13"/>
  <c r="Y1983" i="13"/>
  <c r="Z1982" i="13"/>
  <c r="Z1983" i="13"/>
  <c r="Y1984" i="13"/>
  <c r="Y1985" i="13"/>
  <c r="Z1984" i="13"/>
  <c r="Y1986" i="13"/>
  <c r="Z1985" i="13"/>
  <c r="Z1986" i="13"/>
  <c r="Y1987" i="13"/>
  <c r="Z1987" i="13"/>
  <c r="Y1988" i="13"/>
  <c r="Y1989" i="13"/>
  <c r="Z1988" i="13"/>
  <c r="Z1989" i="13"/>
  <c r="Y1990" i="13"/>
  <c r="Z1990" i="13"/>
  <c r="Y1991" i="13"/>
  <c r="Z1991" i="13"/>
  <c r="Y1992" i="13"/>
  <c r="Y1993" i="13"/>
  <c r="Z1992" i="13"/>
  <c r="Z1993" i="13"/>
  <c r="Y1994" i="13"/>
  <c r="Y1995" i="13"/>
  <c r="Z1994" i="13"/>
  <c r="Z1995" i="13"/>
  <c r="Y1996" i="13"/>
  <c r="Z1996" i="13"/>
  <c r="Y1997" i="13"/>
  <c r="Z1997" i="13"/>
  <c r="Y1998" i="13"/>
  <c r="Y1999" i="13"/>
  <c r="Z1998" i="13"/>
  <c r="Y2000" i="13"/>
  <c r="Z1999" i="13"/>
  <c r="Y2001" i="13"/>
  <c r="Z2000" i="13"/>
  <c r="Y2002" i="13"/>
  <c r="Z2001" i="13"/>
  <c r="Y2003" i="13"/>
  <c r="Z2002" i="13"/>
  <c r="Y2004" i="13"/>
  <c r="Z2003" i="13"/>
  <c r="Y2005" i="13"/>
  <c r="Z2004" i="13"/>
  <c r="Y2006" i="13"/>
  <c r="Z2005" i="13"/>
  <c r="Z2006" i="13"/>
  <c r="Y2007" i="13"/>
  <c r="Z2007" i="13"/>
  <c r="Y2008" i="13"/>
  <c r="Z2008" i="13"/>
  <c r="Y2009" i="13"/>
  <c r="Z2009" i="13"/>
  <c r="Y2010" i="13"/>
  <c r="Y2011" i="13"/>
  <c r="Z2010" i="13"/>
  <c r="Y2012" i="13"/>
  <c r="Z2011" i="13"/>
  <c r="Y2013" i="13"/>
  <c r="Z2012" i="13"/>
  <c r="Y2014" i="13"/>
  <c r="Z2013" i="13"/>
  <c r="Y2015" i="13"/>
  <c r="Z2014" i="13"/>
  <c r="Y2016" i="13"/>
  <c r="Z2015" i="13"/>
  <c r="Z2016" i="13"/>
  <c r="Y2017" i="13"/>
  <c r="Y2018" i="13"/>
  <c r="Z2017" i="13"/>
  <c r="Z2018" i="13"/>
  <c r="Y2019" i="13"/>
  <c r="Z2019" i="13"/>
  <c r="Y2020" i="13"/>
  <c r="Z2020" i="13"/>
  <c r="Y2021" i="13"/>
  <c r="Z2021" i="13"/>
  <c r="Y2022" i="13"/>
  <c r="Y2023" i="13"/>
  <c r="Z2022" i="13"/>
  <c r="Z2023" i="13"/>
  <c r="Y2024" i="13"/>
  <c r="Y2025" i="13"/>
  <c r="Z2024" i="13"/>
  <c r="Y2026" i="13"/>
  <c r="Z2025" i="13"/>
  <c r="Y2027" i="13"/>
  <c r="Z2026" i="13"/>
  <c r="Y2028" i="13"/>
  <c r="Z2027" i="13"/>
  <c r="Y2029" i="13"/>
  <c r="Z2028" i="13"/>
  <c r="Y2030" i="13"/>
  <c r="Z2029" i="13"/>
  <c r="Y2031" i="13"/>
  <c r="Z2030" i="13"/>
  <c r="Y2032" i="13"/>
  <c r="Z2031" i="13"/>
  <c r="Z2032" i="13"/>
  <c r="Y2033" i="13"/>
  <c r="Y2034" i="13"/>
  <c r="Z2033" i="13"/>
  <c r="Y2035" i="13"/>
  <c r="Z2034" i="13"/>
  <c r="Z2035" i="13"/>
  <c r="Y2036" i="13"/>
  <c r="Y2037" i="13"/>
  <c r="Z2036" i="13"/>
  <c r="Z2037" i="13"/>
  <c r="Y2038" i="13"/>
  <c r="Y2039" i="13"/>
  <c r="Z2038" i="13"/>
  <c r="Y2040" i="13"/>
  <c r="Z2039" i="13"/>
  <c r="Z2040" i="13"/>
  <c r="Y2041" i="13"/>
  <c r="Z2041" i="13"/>
  <c r="Y2042" i="13"/>
  <c r="Y2043" i="13"/>
  <c r="Z2042" i="13"/>
  <c r="Z2043" i="13"/>
  <c r="Y2044" i="13"/>
  <c r="Y2045" i="13"/>
  <c r="Z2044" i="13"/>
  <c r="Y2046" i="13"/>
  <c r="Z2045" i="13"/>
  <c r="Z2046" i="13"/>
  <c r="Y2047" i="13"/>
  <c r="Z2047" i="13"/>
  <c r="Y2048" i="13"/>
  <c r="Z2048" i="13"/>
  <c r="Y2049" i="13"/>
  <c r="Z2049" i="13"/>
  <c r="Y2050" i="13"/>
  <c r="Z2050" i="13"/>
  <c r="Y2051" i="13"/>
  <c r="Y2052" i="13"/>
  <c r="Z2051" i="13"/>
  <c r="Z2052" i="13"/>
  <c r="Y2053" i="13"/>
  <c r="Y2054" i="13"/>
  <c r="Z2053" i="13"/>
  <c r="Z2054" i="13"/>
  <c r="Y2055" i="13"/>
  <c r="Z2055" i="13"/>
  <c r="Y2056" i="13"/>
  <c r="Y2057" i="13"/>
  <c r="Z2056" i="13"/>
  <c r="Z2057" i="13"/>
  <c r="Y2058" i="13"/>
  <c r="Y2059" i="13"/>
  <c r="Z2058" i="13"/>
  <c r="Z2059" i="13"/>
  <c r="Y2060" i="13"/>
  <c r="Z2060" i="13"/>
  <c r="Y2061" i="13"/>
  <c r="Z2061" i="13"/>
  <c r="Y2062" i="13"/>
  <c r="Y2063" i="13"/>
  <c r="Z2062" i="13"/>
  <c r="Z2063" i="13"/>
  <c r="Y2064" i="13"/>
  <c r="Y2065" i="13"/>
  <c r="Z2064" i="13"/>
  <c r="Y2066" i="13"/>
  <c r="Z2065" i="13"/>
  <c r="Z2066" i="13"/>
  <c r="Y2067" i="13"/>
  <c r="Z2067" i="13"/>
  <c r="Y2068" i="13"/>
  <c r="Z2068" i="13"/>
  <c r="Y2069" i="13"/>
  <c r="Z2069" i="13"/>
  <c r="Y2070" i="13"/>
  <c r="Y2071" i="13"/>
  <c r="Z2070" i="13"/>
  <c r="Z2071" i="13"/>
  <c r="Y2072" i="13"/>
  <c r="Y2073" i="13"/>
  <c r="Z2072" i="13"/>
  <c r="Z2073" i="13"/>
  <c r="Y2074" i="13"/>
  <c r="Y2075" i="13"/>
  <c r="Z2074" i="13"/>
  <c r="Z2075" i="13"/>
  <c r="Y2076" i="13"/>
  <c r="Y2077" i="13"/>
  <c r="Z2076" i="13"/>
  <c r="Y2078" i="13"/>
  <c r="Z2077" i="13"/>
  <c r="Y2079" i="13"/>
  <c r="Z2078" i="13"/>
  <c r="Y2080" i="13"/>
  <c r="Z2079" i="13"/>
  <c r="Z2080" i="13"/>
  <c r="Y2081" i="13"/>
  <c r="Y2082" i="13"/>
  <c r="Z2081" i="13"/>
  <c r="Z2082" i="13"/>
  <c r="Y2083" i="13"/>
  <c r="Y2084" i="13"/>
  <c r="Z2083" i="13"/>
  <c r="Y2085" i="13"/>
  <c r="Z2084" i="13"/>
  <c r="Z2085" i="13"/>
  <c r="Y2086" i="13"/>
  <c r="Z2086" i="13"/>
  <c r="Y2087" i="13"/>
  <c r="Z2087" i="13"/>
  <c r="Y2088" i="13"/>
  <c r="Z2088" i="13"/>
  <c r="Y2089" i="13"/>
  <c r="Z2089" i="13"/>
  <c r="Y2090" i="13"/>
  <c r="Z2090" i="13"/>
  <c r="Y2091" i="13"/>
  <c r="Y2092" i="13"/>
  <c r="Z2091" i="13"/>
  <c r="Y2093" i="13"/>
  <c r="Z2092" i="13"/>
  <c r="Z2093" i="13"/>
  <c r="Y2094" i="13"/>
  <c r="Z2094" i="13"/>
  <c r="Y2095" i="13"/>
  <c r="Z2095" i="13"/>
  <c r="Y2096" i="13"/>
  <c r="Z2096" i="13"/>
  <c r="Y2097" i="13"/>
  <c r="Z2097" i="13"/>
  <c r="Y2098" i="13"/>
  <c r="Z2098" i="13"/>
  <c r="Y2099" i="13"/>
  <c r="Y2100" i="13"/>
  <c r="Z2099" i="13"/>
  <c r="Z2100" i="13"/>
  <c r="Y2101" i="13"/>
  <c r="Z2101" i="13"/>
  <c r="Y2102" i="13"/>
  <c r="Y2103" i="13"/>
  <c r="Z2102" i="13"/>
  <c r="Z2103" i="13"/>
  <c r="Y2104" i="13"/>
  <c r="Y2105" i="13"/>
  <c r="Z2104" i="13"/>
  <c r="Z2105" i="13"/>
  <c r="Y2106" i="13"/>
  <c r="Y2107" i="13"/>
  <c r="Z2106" i="13"/>
  <c r="Y2108" i="13"/>
  <c r="Z2107" i="13"/>
  <c r="Z2108" i="13"/>
  <c r="Y2109" i="13"/>
  <c r="Y2110" i="13"/>
  <c r="Z2109" i="13"/>
  <c r="Z2110" i="13"/>
  <c r="Y2111" i="13"/>
  <c r="Y2112" i="13"/>
  <c r="Z2111" i="13"/>
  <c r="Z2112" i="13"/>
  <c r="Y2113" i="13"/>
  <c r="Z2113" i="13"/>
  <c r="Y2114" i="13"/>
  <c r="Z2114" i="13"/>
  <c r="Y2115" i="13"/>
  <c r="Y2116" i="13"/>
  <c r="Z2115" i="13"/>
  <c r="Z2116" i="13"/>
  <c r="Y2117" i="13"/>
  <c r="Z2117" i="13"/>
  <c r="Y2118" i="13"/>
  <c r="Z2118" i="13"/>
  <c r="Y2119" i="13"/>
  <c r="Z2119" i="13"/>
  <c r="Y2120" i="13"/>
  <c r="Y2121" i="13"/>
  <c r="Z2120" i="13"/>
  <c r="Z2121" i="13"/>
  <c r="Y2122" i="13"/>
  <c r="Y2123" i="13"/>
  <c r="Z2122" i="13"/>
  <c r="Z2123" i="13"/>
  <c r="Y2124" i="13"/>
  <c r="Y2125" i="13"/>
  <c r="Z2124" i="13"/>
  <c r="Z2125" i="13"/>
  <c r="Y2126" i="13"/>
  <c r="Z2126" i="13"/>
  <c r="Y2127" i="13"/>
  <c r="Y2128" i="13"/>
  <c r="Z2127" i="13"/>
  <c r="Z2128" i="13"/>
  <c r="Y2129" i="13"/>
  <c r="Z2129" i="13"/>
  <c r="Y2130" i="13"/>
  <c r="Z2130" i="13"/>
  <c r="Y2131" i="13"/>
  <c r="Y2132" i="13"/>
  <c r="Z2131" i="13"/>
  <c r="Z2132" i="13"/>
  <c r="Y2133" i="13"/>
  <c r="Y2134" i="13"/>
  <c r="Z2133" i="13"/>
  <c r="Y2135" i="13"/>
  <c r="Z2134" i="13"/>
  <c r="Y2136" i="13"/>
  <c r="Z2135" i="13"/>
  <c r="Y2137" i="13"/>
  <c r="Z2136" i="13"/>
  <c r="Y2138" i="13"/>
  <c r="Z2137" i="13"/>
  <c r="Z2138" i="13"/>
  <c r="Y2139" i="13"/>
  <c r="Y2140" i="13"/>
  <c r="Z2139" i="13"/>
  <c r="Z2140" i="13"/>
  <c r="Y2141" i="13"/>
  <c r="Y2142" i="13"/>
  <c r="Z2141" i="13"/>
  <c r="Z2142" i="13"/>
  <c r="Y2143" i="13"/>
  <c r="Z2143" i="13"/>
  <c r="Y2144" i="13"/>
  <c r="Y2145" i="13"/>
  <c r="Z2144" i="13"/>
  <c r="Z2145" i="13"/>
  <c r="Y2146" i="13"/>
  <c r="Z2146" i="13"/>
  <c r="Y2147" i="13"/>
  <c r="Z2147" i="13"/>
  <c r="Y2148" i="13"/>
  <c r="Y2149" i="13"/>
  <c r="Z2148" i="13"/>
  <c r="Z2149" i="13"/>
  <c r="Y2150" i="13"/>
  <c r="Y2151" i="13"/>
  <c r="Z2150" i="13"/>
  <c r="Z2151" i="13"/>
  <c r="Y2152" i="13"/>
  <c r="Y2153" i="13"/>
  <c r="Z2152" i="13"/>
  <c r="Y2154" i="13"/>
  <c r="Z2153" i="13"/>
  <c r="Y2155" i="13"/>
  <c r="Z2154" i="13"/>
  <c r="Y2156" i="13"/>
  <c r="Z2155" i="13"/>
  <c r="Z2156" i="13"/>
  <c r="Y2157" i="13"/>
  <c r="Z2157" i="13"/>
  <c r="Y2158" i="13"/>
  <c r="Y2159" i="13"/>
  <c r="Z2158" i="13"/>
  <c r="Y2160" i="13"/>
  <c r="Z2159" i="13"/>
  <c r="Z2160" i="13"/>
  <c r="Y2161" i="13"/>
  <c r="Y2162" i="13"/>
  <c r="Z2161" i="13"/>
  <c r="Z2162" i="13"/>
  <c r="Y2163" i="13"/>
  <c r="Z2163" i="13"/>
  <c r="Y2164" i="13"/>
  <c r="Y2165" i="13"/>
  <c r="Z2164" i="13"/>
  <c r="Z2165" i="13"/>
  <c r="Y2166" i="13"/>
  <c r="Z2166" i="13"/>
  <c r="Y2167" i="13"/>
  <c r="Y2168" i="13"/>
  <c r="Z2167" i="13"/>
  <c r="Y2169" i="13"/>
  <c r="Z2168" i="13"/>
  <c r="Z2169" i="13"/>
  <c r="Y2170" i="13"/>
  <c r="Z2170" i="13"/>
  <c r="Y2171" i="13"/>
  <c r="Z2171" i="13"/>
  <c r="Y2172" i="13"/>
  <c r="Y2173" i="13"/>
  <c r="Z2172" i="13"/>
  <c r="Y2174" i="13"/>
  <c r="Z2173" i="13"/>
  <c r="Z2174" i="13"/>
  <c r="Y2175" i="13"/>
  <c r="Y2176" i="13"/>
  <c r="Z2175" i="13"/>
  <c r="Z2176" i="13"/>
  <c r="Y2177" i="13"/>
  <c r="Z2177" i="13"/>
  <c r="Y2178" i="13"/>
  <c r="Z2178" i="13"/>
  <c r="Y2179" i="13"/>
  <c r="Z2179" i="13"/>
  <c r="Y2180" i="13"/>
  <c r="Z2180" i="13"/>
  <c r="Y2181" i="13"/>
  <c r="Z2181" i="13"/>
  <c r="Y2182" i="13"/>
  <c r="Z2182" i="13"/>
  <c r="Y2183" i="13"/>
  <c r="Y2184" i="13"/>
  <c r="Z2183" i="13"/>
  <c r="Z2184" i="13"/>
  <c r="Y2185" i="13"/>
  <c r="Y2186" i="13"/>
  <c r="Z2185" i="13"/>
  <c r="Y2187" i="13"/>
  <c r="Z2186" i="13"/>
  <c r="Z2187" i="13"/>
  <c r="Y2188" i="13"/>
  <c r="Z2188" i="13"/>
  <c r="Y2189" i="13"/>
  <c r="Y2190" i="13"/>
  <c r="Z2189" i="13"/>
  <c r="Y2191" i="13"/>
  <c r="Z2190" i="13"/>
  <c r="Y2192" i="13"/>
  <c r="Z2191" i="13"/>
  <c r="Z2192" i="13"/>
  <c r="Y2193" i="13"/>
  <c r="Y2194" i="13"/>
  <c r="Z2193" i="13"/>
  <c r="Y2195" i="13"/>
  <c r="Z2194" i="13"/>
  <c r="Y2196" i="13"/>
  <c r="Z2195" i="13"/>
  <c r="Z2196" i="13"/>
  <c r="Y2197" i="13"/>
  <c r="Y2198" i="13"/>
  <c r="Z2197" i="13"/>
  <c r="Y2199" i="13"/>
  <c r="Z2198" i="13"/>
  <c r="Z2199" i="13"/>
  <c r="Y2200" i="13"/>
  <c r="Y2201" i="13"/>
  <c r="Z2200" i="13"/>
  <c r="Y2202" i="13"/>
  <c r="Z2201" i="13"/>
  <c r="Y2203" i="13"/>
  <c r="Z2202" i="13"/>
  <c r="Z2203" i="13"/>
  <c r="Y2204" i="13"/>
  <c r="Y2205" i="13"/>
  <c r="Z2204" i="13"/>
  <c r="Z2205" i="13"/>
  <c r="Y2206" i="13"/>
  <c r="Y2207" i="13"/>
  <c r="Z2206" i="13"/>
  <c r="Z2207" i="13"/>
  <c r="Y2208" i="13"/>
  <c r="Z2208" i="13"/>
  <c r="Y2209" i="13"/>
  <c r="Z2209" i="13"/>
  <c r="Y2210" i="13"/>
  <c r="Y2211" i="13"/>
  <c r="Z2210" i="13"/>
  <c r="Z2211" i="13"/>
  <c r="Y2212" i="13"/>
  <c r="Z2212" i="13"/>
  <c r="Y2213" i="13"/>
  <c r="Y2214" i="13"/>
  <c r="Z2213" i="13"/>
  <c r="Z2214" i="13"/>
  <c r="Y2215" i="13"/>
  <c r="Z2215" i="13"/>
  <c r="Y2216" i="13"/>
  <c r="Z2216" i="13"/>
  <c r="Y2217" i="13"/>
  <c r="Z2217" i="13"/>
  <c r="Y2218" i="13"/>
  <c r="Y2219" i="13"/>
  <c r="Z2218" i="13"/>
  <c r="Y2220" i="13"/>
  <c r="Z2219" i="13"/>
  <c r="Z2220" i="13"/>
  <c r="Y2221" i="13"/>
  <c r="Z2221" i="13"/>
  <c r="Y2222" i="13"/>
  <c r="Y2223" i="13"/>
  <c r="Z2222" i="13"/>
  <c r="Y2224" i="13"/>
  <c r="Z2223" i="13"/>
  <c r="Z2224" i="13"/>
  <c r="Y2225" i="13"/>
  <c r="Z2225" i="13"/>
  <c r="Y2226" i="13"/>
  <c r="Y2227" i="13"/>
  <c r="Z2226" i="13"/>
  <c r="Y2228" i="13"/>
  <c r="Z2227" i="13"/>
  <c r="Z2228" i="13"/>
  <c r="Y2229" i="13"/>
  <c r="Y2230" i="13"/>
  <c r="Z2229" i="13"/>
  <c r="Y2231" i="13"/>
  <c r="Z2230" i="13"/>
  <c r="Y2232" i="13"/>
  <c r="Z2231" i="13"/>
  <c r="Y2233" i="13"/>
  <c r="Z2232" i="13"/>
  <c r="Z2233" i="13"/>
  <c r="Y2234" i="13"/>
  <c r="Y2235" i="13"/>
  <c r="Z2234" i="13"/>
  <c r="Z2235" i="13"/>
  <c r="Y2236" i="13"/>
  <c r="Z2236" i="13"/>
  <c r="Y2237" i="13"/>
  <c r="Z2237" i="13"/>
  <c r="Y2238" i="13"/>
  <c r="Z2238" i="13"/>
  <c r="Y2239" i="13"/>
  <c r="Z2239" i="13"/>
  <c r="Y2240" i="13"/>
  <c r="Z2240" i="13"/>
  <c r="Y2241" i="13"/>
  <c r="Z2241" i="13"/>
  <c r="Y2242" i="13"/>
  <c r="Z2242" i="13"/>
  <c r="Y2243" i="13"/>
  <c r="Z2243" i="13"/>
  <c r="Y2244" i="13"/>
  <c r="Y2245" i="13"/>
  <c r="Z2244" i="13"/>
  <c r="Z2245" i="13"/>
  <c r="Y2246" i="13"/>
  <c r="Y2247" i="13"/>
  <c r="Z2246" i="13"/>
  <c r="Y2248" i="13"/>
  <c r="Z2247" i="13"/>
  <c r="Y2249" i="13"/>
  <c r="Z2248" i="13"/>
  <c r="Z2249" i="13"/>
  <c r="Y2250" i="13"/>
  <c r="Y2251" i="13"/>
  <c r="Z2250" i="13"/>
  <c r="Y2252" i="13"/>
  <c r="Z2251" i="13"/>
  <c r="Z2252" i="13"/>
  <c r="Y2253" i="13"/>
  <c r="Y2254" i="13"/>
  <c r="Z2253" i="13"/>
  <c r="Z2254" i="13"/>
  <c r="Y2255" i="13"/>
  <c r="Y2256" i="13"/>
  <c r="Z2255" i="13"/>
  <c r="Y2257" i="13"/>
  <c r="Z2256" i="13"/>
  <c r="Z2257" i="13"/>
  <c r="Y2258" i="13"/>
  <c r="Z2258" i="13"/>
  <c r="Y2259" i="13"/>
  <c r="Z2259" i="13"/>
  <c r="Y2260" i="13"/>
  <c r="Y2261" i="13"/>
  <c r="Z2260" i="13"/>
  <c r="Z2261" i="13"/>
  <c r="Y2262" i="13"/>
  <c r="Y2263" i="13"/>
  <c r="Z2262" i="13"/>
  <c r="Y2264" i="13"/>
  <c r="Z2263" i="13"/>
  <c r="Y2265" i="13"/>
  <c r="Z2264" i="13"/>
  <c r="Y2266" i="13"/>
  <c r="Z2265" i="13"/>
  <c r="Z2266" i="13"/>
  <c r="Y2267" i="13"/>
  <c r="Y2268" i="13"/>
  <c r="Z2267" i="13"/>
  <c r="Z2268" i="13"/>
  <c r="Y2269" i="13"/>
  <c r="Y2270" i="13"/>
  <c r="Z2269" i="13"/>
  <c r="Y2271" i="13"/>
  <c r="Z2270" i="13"/>
  <c r="Z2271" i="13"/>
  <c r="Y2272" i="13"/>
  <c r="Z2272" i="13"/>
  <c r="Y2273" i="13"/>
  <c r="Z2273" i="13"/>
  <c r="Y2274" i="13"/>
  <c r="Y2275" i="13"/>
  <c r="Z2274" i="13"/>
  <c r="Z2275" i="13"/>
  <c r="Y2276" i="13"/>
  <c r="Z2276" i="13"/>
  <c r="Y2277" i="13"/>
  <c r="Z2277" i="13"/>
  <c r="Y2278" i="13"/>
  <c r="Z2278" i="13"/>
  <c r="Y2279" i="13"/>
  <c r="Y2280" i="13"/>
  <c r="Z2279" i="13"/>
  <c r="Z2280" i="13"/>
  <c r="Y2281" i="13"/>
  <c r="Y2282" i="13"/>
  <c r="Z2281" i="13"/>
  <c r="Z2282" i="13"/>
  <c r="Y2283" i="13"/>
  <c r="Y2284" i="13"/>
  <c r="Z2283" i="13"/>
  <c r="Z2284" i="13"/>
  <c r="Y2285" i="13"/>
  <c r="Z2285" i="13"/>
  <c r="Y2286" i="13"/>
  <c r="Z2286" i="13"/>
  <c r="Y2287" i="13"/>
  <c r="Z2287" i="13"/>
  <c r="Y2288" i="13"/>
  <c r="Y2289" i="13"/>
  <c r="Z2288" i="13"/>
  <c r="Z2289" i="13"/>
  <c r="Y2290" i="13"/>
  <c r="Z2290" i="13"/>
  <c r="Y2291" i="13"/>
  <c r="Z2291" i="13"/>
  <c r="Y2292" i="13"/>
  <c r="Z2292" i="13"/>
  <c r="Y2293" i="13"/>
  <c r="Z2293" i="13"/>
  <c r="Y2294" i="13"/>
  <c r="Z2294" i="13"/>
  <c r="Y2295" i="13"/>
  <c r="Y2296" i="13"/>
  <c r="Z2295" i="13"/>
  <c r="Y2297" i="13"/>
  <c r="Z2296" i="13"/>
  <c r="Z2297" i="13"/>
  <c r="Y2298" i="13"/>
  <c r="Z2298" i="13"/>
  <c r="Y2299" i="13"/>
  <c r="Y2300" i="13"/>
  <c r="Z2299" i="13"/>
  <c r="Z2300" i="13"/>
  <c r="Y2301" i="13"/>
  <c r="Z2301" i="13"/>
  <c r="Y2302" i="13"/>
  <c r="Z2302" i="13"/>
  <c r="Y2303" i="13"/>
  <c r="Z2303" i="13"/>
  <c r="Y2304" i="13"/>
  <c r="Y2305" i="13"/>
  <c r="Z2304" i="13"/>
  <c r="Z2305" i="13"/>
  <c r="Y2306" i="13"/>
  <c r="Y2307" i="13"/>
  <c r="Z2306" i="13"/>
  <c r="Y2308" i="13"/>
  <c r="Z2307" i="13"/>
  <c r="Z2308" i="13"/>
  <c r="Y2309" i="13"/>
  <c r="Z2309" i="13"/>
  <c r="Y2310" i="13"/>
  <c r="Y2311" i="13"/>
  <c r="Z2310" i="13"/>
  <c r="Z2311" i="13"/>
  <c r="Y2312" i="13"/>
  <c r="Y2313" i="13"/>
  <c r="Z2312" i="13"/>
  <c r="Z2313" i="13"/>
  <c r="Y2314" i="13"/>
  <c r="Y2315" i="13"/>
  <c r="Z2314" i="13"/>
  <c r="Z2315" i="13"/>
  <c r="Y2316" i="13"/>
  <c r="Y2317" i="13"/>
  <c r="Z2316" i="13"/>
  <c r="Z2317" i="13"/>
  <c r="Y2318" i="13"/>
  <c r="Y2319" i="13"/>
  <c r="Z2318" i="13"/>
  <c r="Z2319" i="13"/>
  <c r="Y2320" i="13"/>
  <c r="Y2321" i="13"/>
  <c r="Z2320" i="13"/>
  <c r="Z2321" i="13"/>
  <c r="Y2322" i="13"/>
  <c r="Z2322" i="13"/>
  <c r="Y2323" i="13"/>
  <c r="Z2323" i="13"/>
  <c r="Y2324" i="13"/>
  <c r="Z2324" i="13"/>
  <c r="Y2325" i="13"/>
  <c r="Y2326" i="13"/>
  <c r="Z2325" i="13"/>
  <c r="Z2326" i="13"/>
  <c r="Y2327" i="13"/>
  <c r="Y2328" i="13"/>
  <c r="Z2327" i="13"/>
  <c r="Y2329" i="13"/>
  <c r="Z2328" i="13"/>
  <c r="Y2330" i="13"/>
  <c r="Z2329" i="13"/>
  <c r="Y2331" i="13"/>
  <c r="Z2330" i="13"/>
  <c r="Z2331" i="13"/>
  <c r="Y2332" i="13"/>
  <c r="Z2332" i="13"/>
  <c r="Y2333" i="13"/>
  <c r="Y2334" i="13"/>
  <c r="Z2333" i="13"/>
  <c r="Z2334" i="13"/>
  <c r="Y2335" i="13"/>
  <c r="Z2335" i="13"/>
  <c r="Y2336" i="13"/>
  <c r="Y2337" i="13"/>
  <c r="Z2336" i="13"/>
  <c r="Z2337" i="13"/>
  <c r="Y2338" i="13"/>
  <c r="Y2339" i="13"/>
  <c r="Z2338" i="13"/>
  <c r="Y2340" i="13"/>
  <c r="Z2339" i="13"/>
  <c r="Y2341" i="13"/>
  <c r="Z2340" i="13"/>
  <c r="Z2341" i="13"/>
  <c r="Y2342" i="13"/>
  <c r="Z2342" i="13"/>
  <c r="Y2343" i="13"/>
  <c r="Z2343" i="13"/>
  <c r="Y2344" i="13"/>
  <c r="Y2345" i="13"/>
  <c r="Z2344" i="13"/>
  <c r="Z2345" i="13"/>
  <c r="Y2346" i="13"/>
  <c r="Y2347" i="13"/>
  <c r="Z2346" i="13"/>
  <c r="Z2347" i="13"/>
  <c r="Y2348" i="13"/>
  <c r="Z2348" i="13"/>
  <c r="Y2349" i="13"/>
  <c r="Y2350" i="13"/>
  <c r="Z2349" i="13"/>
  <c r="Z2350" i="13"/>
  <c r="Y2351" i="13"/>
  <c r="Y2352" i="13"/>
  <c r="Z2351" i="13"/>
  <c r="Y2353" i="13"/>
  <c r="Z2352" i="13"/>
  <c r="Y2354" i="13"/>
  <c r="Z2353" i="13"/>
  <c r="Y2355" i="13"/>
  <c r="Z2354" i="13"/>
  <c r="Z2355" i="13"/>
  <c r="Y2356" i="13"/>
  <c r="Z2356" i="13"/>
  <c r="Y2357" i="13"/>
  <c r="Z2357" i="13"/>
  <c r="Y2358" i="13"/>
  <c r="Z2358" i="13"/>
  <c r="Y2359" i="13"/>
  <c r="Z2359" i="13"/>
  <c r="Y2360" i="13"/>
  <c r="Z2360" i="13"/>
  <c r="Y2361" i="13"/>
  <c r="Z2361" i="13"/>
  <c r="Y2362" i="13"/>
  <c r="Y2363" i="13"/>
  <c r="Z2362" i="13"/>
  <c r="Y2364" i="13"/>
  <c r="Z2363" i="13"/>
  <c r="Y2365" i="13"/>
  <c r="Z2364" i="13"/>
  <c r="Y2366" i="13"/>
  <c r="Z2365" i="13"/>
  <c r="Y2367" i="13"/>
  <c r="Z2366" i="13"/>
  <c r="Y2368" i="13"/>
  <c r="Z2367" i="13"/>
  <c r="Z2368" i="13"/>
  <c r="Y2369" i="13"/>
  <c r="Z2369" i="13"/>
  <c r="Y2370" i="13"/>
  <c r="Y2371" i="13"/>
  <c r="Z2370" i="13"/>
  <c r="Z2371" i="13"/>
  <c r="Y2372" i="13"/>
  <c r="Y2373" i="13"/>
  <c r="Z2372" i="13"/>
  <c r="Z2373" i="13"/>
  <c r="Y2374" i="13"/>
  <c r="Z2374" i="13"/>
  <c r="Y2375" i="13"/>
  <c r="Y2376" i="13"/>
  <c r="Z2375" i="13"/>
  <c r="Y2377" i="13"/>
  <c r="Z2376" i="13"/>
  <c r="Z2377" i="13"/>
  <c r="Y2378" i="13"/>
  <c r="Z2378" i="13"/>
  <c r="Y2379" i="13"/>
  <c r="Y2380" i="13"/>
  <c r="Z2379" i="13"/>
  <c r="Z2380" i="13"/>
  <c r="Y2381" i="13"/>
  <c r="Z2381" i="13"/>
  <c r="Y2382" i="13"/>
  <c r="Z2382" i="13"/>
  <c r="Y2383" i="13"/>
  <c r="Z2383" i="13"/>
  <c r="Y2384" i="13"/>
  <c r="Y2385" i="13"/>
  <c r="Z2384" i="13"/>
  <c r="Z2385" i="13"/>
  <c r="Y2386" i="13"/>
  <c r="Y2387" i="13"/>
  <c r="Z2386" i="13"/>
  <c r="Y2388" i="13"/>
  <c r="Z2387" i="13"/>
  <c r="Z2388" i="13"/>
  <c r="Y2389" i="13"/>
  <c r="Y2390" i="13"/>
  <c r="Z2389" i="13"/>
  <c r="Z2390" i="13"/>
  <c r="Y2391" i="13"/>
  <c r="Y2392" i="13"/>
  <c r="Z2391" i="13"/>
  <c r="Z2392" i="13"/>
  <c r="Y2393" i="13"/>
  <c r="Z2393" i="13"/>
  <c r="Y2394" i="13"/>
  <c r="Z2394" i="13"/>
  <c r="Y2395" i="13"/>
  <c r="Y2396" i="13"/>
  <c r="Z2395" i="13"/>
  <c r="Y2397" i="13"/>
  <c r="Z2396" i="13"/>
  <c r="Y2398" i="13"/>
  <c r="Z2397" i="13"/>
  <c r="Y2399" i="13"/>
  <c r="Z2398" i="13"/>
  <c r="Z2399" i="13"/>
  <c r="Y2400" i="13"/>
  <c r="Y2401" i="13"/>
  <c r="Z2400" i="13"/>
  <c r="Y2402" i="13"/>
  <c r="Z2401" i="13"/>
  <c r="Z2402" i="13"/>
  <c r="Y2403" i="13"/>
  <c r="Y2404" i="13"/>
  <c r="Z2403" i="13"/>
  <c r="Y2405" i="13"/>
  <c r="Z2404" i="13"/>
  <c r="Y2406" i="13"/>
  <c r="Z2405" i="13"/>
  <c r="Y2407" i="13"/>
  <c r="Z2406" i="13"/>
  <c r="Z2407" i="13"/>
  <c r="Y2408" i="13"/>
  <c r="Z2408" i="13"/>
  <c r="Y2409" i="13"/>
  <c r="Z2409" i="13"/>
  <c r="Y2410" i="13"/>
  <c r="Y2411" i="13"/>
  <c r="Z2410" i="13"/>
  <c r="Y2412" i="13"/>
  <c r="Z2411" i="13"/>
  <c r="Z2412" i="13"/>
  <c r="Y2413" i="13"/>
  <c r="Y2414" i="13"/>
  <c r="Z2413" i="13"/>
  <c r="Z2414" i="13"/>
  <c r="Y2415" i="13"/>
  <c r="Z2415" i="13"/>
  <c r="Y2416" i="13"/>
  <c r="Z2416" i="13"/>
  <c r="Y2417" i="13"/>
  <c r="Y2418" i="13"/>
  <c r="Z2417" i="13"/>
  <c r="Y2419" i="13"/>
  <c r="Z2418" i="13"/>
  <c r="Z2419" i="13"/>
  <c r="Y2420" i="13"/>
  <c r="Z2420" i="13"/>
  <c r="Y2421" i="13"/>
  <c r="Z2421" i="13"/>
  <c r="Y2422" i="13"/>
  <c r="Z2422" i="13"/>
  <c r="Y2423" i="13"/>
  <c r="Z2423" i="13"/>
  <c r="Y2424" i="13"/>
  <c r="Z2424" i="13"/>
  <c r="Y2425" i="13"/>
  <c r="Y2426" i="13"/>
  <c r="Z2425" i="13"/>
  <c r="Z2426" i="13"/>
  <c r="Y2427" i="13"/>
  <c r="Y2428" i="13"/>
  <c r="Z2427" i="13"/>
  <c r="Y2429" i="13"/>
  <c r="Z2428" i="13"/>
  <c r="Y2430" i="13"/>
  <c r="Z2429" i="13"/>
  <c r="Z2430" i="13"/>
  <c r="Y2431" i="13"/>
  <c r="Z2431" i="13"/>
  <c r="Y2432" i="13"/>
  <c r="Y2433" i="13"/>
  <c r="Z2432" i="13"/>
  <c r="Y2434" i="13"/>
  <c r="Z2433" i="13"/>
  <c r="Z2434" i="13"/>
  <c r="Y2435" i="13"/>
  <c r="Z2435" i="13"/>
  <c r="Y2436" i="13"/>
  <c r="Z2436" i="13"/>
  <c r="Y2437" i="13"/>
  <c r="Z2437" i="13"/>
  <c r="Y2438" i="13"/>
  <c r="Z2438" i="13"/>
  <c r="Y2439" i="13"/>
  <c r="Y2440" i="13"/>
  <c r="Z2439" i="13"/>
  <c r="Y2441" i="13"/>
  <c r="Z2440" i="13"/>
  <c r="Z2441" i="13"/>
  <c r="Y2442" i="13"/>
  <c r="Z2442" i="13"/>
  <c r="Y2443" i="13"/>
  <c r="Y2444" i="13"/>
  <c r="Z2443" i="13"/>
  <c r="Z2444" i="13"/>
  <c r="Y2445" i="13"/>
  <c r="Y2446" i="13"/>
  <c r="Z2445" i="13"/>
  <c r="Z2446" i="13"/>
  <c r="Y2447" i="13"/>
  <c r="Y2448" i="13"/>
  <c r="Z2447" i="13"/>
  <c r="Z2448" i="13"/>
  <c r="Y2449" i="13"/>
  <c r="Y2450" i="13"/>
  <c r="Z2449" i="13"/>
  <c r="Z2450" i="13"/>
  <c r="Y2451" i="13"/>
  <c r="Y2452" i="13"/>
  <c r="Z2451" i="13"/>
  <c r="Y2453" i="13"/>
  <c r="Z2452" i="13"/>
  <c r="Z2453" i="13"/>
  <c r="Y2454" i="13"/>
  <c r="Y2455" i="13"/>
  <c r="Z2454" i="13"/>
  <c r="Y2456" i="13"/>
  <c r="Z2455" i="13"/>
  <c r="Y2457" i="13"/>
  <c r="Z2456" i="13"/>
  <c r="Y2458" i="13"/>
  <c r="Z2457" i="13"/>
  <c r="Z2458" i="13"/>
  <c r="Y2459" i="13"/>
  <c r="Z2459" i="13"/>
  <c r="Y2460" i="13"/>
  <c r="Y2461" i="13"/>
  <c r="Z2460" i="13"/>
  <c r="Y2462" i="13"/>
  <c r="Z2461" i="13"/>
  <c r="Y2463" i="13"/>
  <c r="Z2462" i="13"/>
  <c r="Y2464" i="13"/>
  <c r="Z2463" i="13"/>
  <c r="Z2464" i="13"/>
  <c r="Y2465" i="13"/>
  <c r="Y2466" i="13"/>
  <c r="Z2465" i="13"/>
  <c r="Z2466" i="13"/>
  <c r="Y2467" i="13"/>
  <c r="Y2468" i="13"/>
  <c r="Z2467" i="13"/>
  <c r="Y2469" i="13"/>
  <c r="Z2468" i="13"/>
  <c r="Z2469" i="13"/>
  <c r="Y2470" i="13"/>
  <c r="Z2470" i="13"/>
  <c r="Y2471" i="13"/>
  <c r="Z2471" i="13"/>
  <c r="Y2472" i="13"/>
  <c r="Z2472" i="13"/>
  <c r="Y2473" i="13"/>
  <c r="Y2474" i="13"/>
  <c r="Z2473" i="13"/>
  <c r="Y2475" i="13"/>
  <c r="Z2474" i="13"/>
  <c r="Z2475" i="13"/>
  <c r="Y2476" i="13"/>
  <c r="Z2476" i="13"/>
  <c r="Y2477" i="13"/>
  <c r="Y2478" i="13"/>
  <c r="Z2477" i="13"/>
  <c r="Z2478" i="13"/>
  <c r="Y2479" i="13"/>
  <c r="Z2479" i="13"/>
  <c r="Y2480" i="13"/>
  <c r="Z2480" i="13"/>
  <c r="Y2481" i="13"/>
  <c r="Z2481" i="13"/>
  <c r="Y2482" i="13"/>
  <c r="Z2482" i="13"/>
  <c r="Y2483" i="13"/>
  <c r="Z2483" i="13"/>
  <c r="Y2484" i="13"/>
  <c r="Z2484" i="13"/>
  <c r="Y2485" i="13"/>
  <c r="Z2485" i="13"/>
  <c r="Y2486" i="13"/>
  <c r="Y2487" i="13"/>
  <c r="Z2486" i="13"/>
  <c r="Y2488" i="13"/>
  <c r="Z2487" i="13"/>
  <c r="Z2488" i="13"/>
  <c r="Y2489" i="13"/>
  <c r="Z2489" i="13"/>
  <c r="Y2490" i="13"/>
  <c r="Z2490" i="13"/>
  <c r="Y2491" i="13"/>
  <c r="Z2491" i="13"/>
  <c r="Y2492" i="13"/>
  <c r="Y2493" i="13"/>
  <c r="Z2492" i="13"/>
  <c r="Y2494" i="13"/>
  <c r="Z2493" i="13"/>
  <c r="Y2495" i="13"/>
  <c r="Z2494" i="13"/>
  <c r="Y2496" i="13"/>
  <c r="Z2495" i="13"/>
  <c r="Y2497" i="13"/>
  <c r="Z2496" i="13"/>
  <c r="Y2498" i="13"/>
  <c r="Z2497" i="13"/>
  <c r="Y2499" i="13"/>
  <c r="Z2498" i="13"/>
  <c r="Z2499" i="13"/>
  <c r="Y2500" i="13"/>
  <c r="Y2501" i="13"/>
  <c r="Z2500" i="13"/>
  <c r="Y2502" i="13"/>
  <c r="Z2501" i="13"/>
  <c r="Z2502" i="13"/>
  <c r="Y2503" i="13"/>
  <c r="Y2504" i="13"/>
  <c r="Z2503" i="13"/>
  <c r="Y2505" i="13"/>
  <c r="Z2504" i="13"/>
  <c r="Y2506" i="13"/>
  <c r="Z2505" i="13"/>
  <c r="Z2506" i="13"/>
  <c r="Y2507" i="13"/>
  <c r="Z2507" i="13"/>
  <c r="Y2508" i="13"/>
  <c r="Z2508" i="13"/>
  <c r="Y2509" i="13"/>
  <c r="Y2510" i="13"/>
  <c r="Z2509" i="13"/>
  <c r="Z2510" i="13"/>
  <c r="Y2511" i="13"/>
  <c r="Z2511" i="13"/>
  <c r="Y2512" i="13"/>
  <c r="Z2512" i="13"/>
  <c r="Y2513" i="13"/>
  <c r="Y2514" i="13"/>
  <c r="Z2513" i="13"/>
  <c r="Y2515" i="13"/>
  <c r="Z2514" i="13"/>
  <c r="Y2516" i="13"/>
  <c r="Z2515" i="13"/>
  <c r="Z2516" i="13"/>
  <c r="Y2517" i="13"/>
  <c r="Y2518" i="13"/>
  <c r="Z2517" i="13"/>
  <c r="Y2519" i="13"/>
  <c r="Z2518" i="13"/>
  <c r="Z2519" i="13"/>
  <c r="Y2520" i="13"/>
  <c r="Z2520" i="13"/>
  <c r="Y2521" i="13"/>
  <c r="Y2522" i="13"/>
  <c r="Z2521" i="13"/>
  <c r="Y2523" i="13"/>
  <c r="Z2522" i="13"/>
  <c r="Z2523" i="13"/>
  <c r="Y2524" i="13"/>
  <c r="Z2524" i="13"/>
  <c r="Y2525" i="13"/>
  <c r="Z2525" i="13"/>
  <c r="Y2526" i="13"/>
  <c r="Z2526" i="13"/>
  <c r="Y2527" i="13"/>
  <c r="Z2527" i="13"/>
  <c r="Y2528" i="13"/>
  <c r="Z2528" i="13"/>
  <c r="Y2529" i="13"/>
  <c r="Z2529" i="13"/>
  <c r="Y2530" i="13"/>
  <c r="Z2530" i="13"/>
  <c r="Y2531" i="13"/>
  <c r="Y2532" i="13"/>
  <c r="Z2531" i="13"/>
  <c r="Z2532" i="13"/>
  <c r="Y2533" i="13"/>
  <c r="Y2534" i="13"/>
  <c r="Z2533" i="13"/>
  <c r="Y2535" i="13"/>
  <c r="Z2534" i="13"/>
  <c r="Z2535" i="13"/>
  <c r="Y2536" i="13"/>
  <c r="Z2536" i="13"/>
  <c r="Y2537" i="13"/>
  <c r="Y2538" i="13"/>
  <c r="Z2537" i="13"/>
  <c r="Y2539" i="13"/>
  <c r="Z2538" i="13"/>
  <c r="Z2539" i="13"/>
  <c r="Y2540" i="13"/>
  <c r="Z2540" i="13"/>
  <c r="Y2541" i="13"/>
  <c r="Y2542" i="13"/>
  <c r="Z2541" i="13"/>
  <c r="Y2543" i="13"/>
  <c r="Z2542" i="13"/>
  <c r="Y2544" i="13"/>
  <c r="Z2543" i="13"/>
  <c r="Y2545" i="13"/>
  <c r="Z2544" i="13"/>
  <c r="Y2546" i="13"/>
  <c r="Z2545" i="13"/>
  <c r="Y2547" i="13"/>
  <c r="Z2546" i="13"/>
  <c r="Y2548" i="13"/>
  <c r="Z2547" i="13"/>
  <c r="Y2549" i="13"/>
  <c r="Z2548" i="13"/>
  <c r="Z2549" i="13"/>
  <c r="Y2550" i="13"/>
  <c r="Z2550" i="13"/>
  <c r="Y2551" i="13"/>
  <c r="Y2552" i="13"/>
  <c r="Z2551" i="13"/>
  <c r="Z2552" i="13"/>
  <c r="Y2553" i="13"/>
  <c r="Z2553" i="13"/>
  <c r="Y2554" i="13"/>
  <c r="Z2554" i="13"/>
  <c r="Y2555" i="13"/>
  <c r="Y2556" i="13"/>
  <c r="Z2555" i="13"/>
  <c r="Z2556" i="13"/>
  <c r="Y2557" i="13"/>
  <c r="Y2558" i="13"/>
  <c r="Z2557" i="13"/>
  <c r="Y2559" i="13"/>
  <c r="Z2558" i="13"/>
  <c r="Z2559" i="13"/>
  <c r="Y2560" i="13"/>
  <c r="Y2561" i="13"/>
  <c r="Z2560" i="13"/>
  <c r="Z2561" i="13"/>
  <c r="Y2562" i="13"/>
  <c r="Z2562" i="13"/>
  <c r="Y2563" i="13"/>
  <c r="Z2563" i="13"/>
  <c r="Y2564" i="13"/>
  <c r="Y2565" i="13"/>
  <c r="Z2564" i="13"/>
  <c r="Y2566" i="13"/>
  <c r="Z2565" i="13"/>
  <c r="Y2567" i="13"/>
  <c r="Z2566" i="13"/>
  <c r="Z2567" i="13"/>
  <c r="Y2568" i="13"/>
  <c r="Y2569" i="13"/>
  <c r="Z2568" i="13"/>
  <c r="Z2569" i="13"/>
  <c r="Y2570" i="13"/>
  <c r="Z2570" i="13"/>
  <c r="Y2571" i="13"/>
  <c r="Y2572" i="13"/>
  <c r="Z2571" i="13"/>
  <c r="Y2573" i="13"/>
  <c r="Z2572" i="13"/>
  <c r="Y2574" i="13"/>
  <c r="Z2573" i="13"/>
  <c r="Z2574" i="13"/>
  <c r="Y2575" i="13"/>
  <c r="Y2576" i="13"/>
  <c r="Z2575" i="13"/>
  <c r="Y2577" i="13"/>
  <c r="Z2576" i="13"/>
  <c r="Y2578" i="13"/>
  <c r="Z2577" i="13"/>
  <c r="Z2578" i="13"/>
  <c r="Y2579" i="13"/>
  <c r="Z2579" i="13"/>
  <c r="Y2580" i="13"/>
  <c r="Z2580" i="13"/>
  <c r="Y2581" i="13"/>
  <c r="Z2581" i="13"/>
  <c r="Y2582" i="13"/>
  <c r="Y2583" i="13"/>
  <c r="Z2582" i="13"/>
  <c r="Y2584" i="13"/>
  <c r="Z2583" i="13"/>
  <c r="Z2584" i="13"/>
  <c r="Y2585" i="13"/>
  <c r="Y2586" i="13"/>
  <c r="Z2585" i="13"/>
  <c r="Y2587" i="13"/>
  <c r="Z2586" i="13"/>
  <c r="Z2587" i="13"/>
  <c r="Y2588" i="13"/>
  <c r="Y2589" i="13"/>
  <c r="Z2588" i="13"/>
  <c r="Y2590" i="13"/>
  <c r="Z2589" i="13"/>
  <c r="Z2590" i="13"/>
  <c r="Y2591" i="13"/>
  <c r="Z2591" i="13"/>
  <c r="Y2592" i="13"/>
  <c r="Z2592" i="13"/>
  <c r="Y2593" i="13"/>
  <c r="Z2593" i="13"/>
  <c r="Y2594" i="13"/>
  <c r="Y2595" i="13"/>
  <c r="Z2594" i="13"/>
  <c r="Z2595" i="13"/>
  <c r="Y2596" i="13"/>
  <c r="Z2596" i="13"/>
  <c r="Y2597" i="13"/>
  <c r="Y2598" i="13"/>
  <c r="Z2597" i="13"/>
  <c r="Z2598" i="13"/>
  <c r="Y2599" i="13"/>
  <c r="Y2600" i="13"/>
  <c r="Z2599" i="13"/>
  <c r="Z2600" i="13"/>
  <c r="Y2601" i="13"/>
  <c r="Z2601" i="13"/>
  <c r="Y2602" i="13"/>
  <c r="Y2603" i="13"/>
  <c r="Z2602" i="13"/>
  <c r="Z2603" i="13"/>
  <c r="Y2604" i="13"/>
  <c r="Y2605" i="13"/>
  <c r="Z2604" i="13"/>
  <c r="Y2606" i="13"/>
  <c r="Z2605" i="13"/>
  <c r="Y2607" i="13"/>
  <c r="Z2606" i="13"/>
  <c r="Z2607" i="13"/>
  <c r="Y2608" i="13"/>
  <c r="Y2609" i="13"/>
  <c r="Z2608" i="13"/>
  <c r="Y2610" i="13"/>
  <c r="Z2609" i="13"/>
  <c r="Z2610" i="13"/>
  <c r="Y2611" i="13"/>
  <c r="Z2611" i="13"/>
  <c r="Y2612" i="13"/>
  <c r="Z2612" i="13"/>
  <c r="Y2613" i="13"/>
  <c r="Y2614" i="13"/>
  <c r="Z2613" i="13"/>
  <c r="Z2614" i="13"/>
  <c r="Y2615" i="13"/>
  <c r="Z2615" i="13"/>
  <c r="Y2616" i="13"/>
  <c r="Z2616" i="13"/>
  <c r="Y2617" i="13"/>
  <c r="Z2617" i="13"/>
  <c r="Y2618" i="13"/>
  <c r="Z2618" i="13"/>
  <c r="Y2619" i="13"/>
  <c r="Z2619" i="13"/>
  <c r="Y2620" i="13"/>
  <c r="Y2621" i="13"/>
  <c r="Z2620" i="13"/>
  <c r="Z2621" i="13"/>
  <c r="Y2622" i="13"/>
  <c r="Y2623" i="13"/>
  <c r="Z2622" i="13"/>
  <c r="Z2623" i="13"/>
  <c r="Y2624" i="13"/>
  <c r="Z2624" i="13"/>
  <c r="Y2625" i="13"/>
  <c r="Y2626" i="13"/>
  <c r="Z2625" i="13"/>
  <c r="Z2626" i="13"/>
  <c r="Y2627" i="13"/>
  <c r="Z2627" i="13"/>
  <c r="Y2628" i="13"/>
  <c r="Y2629" i="13"/>
  <c r="Z2628" i="13"/>
  <c r="Z2629" i="13"/>
  <c r="Y2630" i="13"/>
  <c r="Y2631" i="13"/>
  <c r="Z2630" i="13"/>
  <c r="Y2632" i="13"/>
  <c r="Z2631" i="13"/>
  <c r="Z2632" i="13"/>
  <c r="Y2633" i="13"/>
  <c r="Y2634" i="13"/>
  <c r="Z2633" i="13"/>
  <c r="Y2635" i="13"/>
  <c r="Z2634" i="13"/>
  <c r="Y2636" i="13"/>
  <c r="Z2635" i="13"/>
  <c r="Z2636" i="13"/>
  <c r="Y2637" i="13"/>
  <c r="Y2638" i="13"/>
  <c r="Z2637" i="13"/>
  <c r="Z2638" i="13"/>
  <c r="Y2639" i="13"/>
  <c r="Z2639" i="13"/>
  <c r="Y2640" i="13"/>
  <c r="Y2641" i="13"/>
  <c r="Z2640" i="13"/>
  <c r="Z2641" i="13"/>
  <c r="Y2642" i="13"/>
  <c r="Y2643" i="13"/>
  <c r="Z2642" i="13"/>
  <c r="Z2643" i="13"/>
  <c r="Y2644" i="13"/>
  <c r="Y2645" i="13"/>
  <c r="Z2644" i="13"/>
  <c r="Z2645" i="13"/>
  <c r="Y2646" i="13"/>
  <c r="Y2647" i="13"/>
  <c r="Z2646" i="13"/>
  <c r="Y2648" i="13"/>
  <c r="Z2647" i="13"/>
  <c r="Z2648" i="13"/>
  <c r="Y2649" i="13"/>
  <c r="Y2650" i="13"/>
  <c r="Z2649" i="13"/>
  <c r="Y2651" i="13"/>
  <c r="Z2650" i="13"/>
  <c r="Y2652" i="13"/>
  <c r="Z2651" i="13"/>
  <c r="Y2653" i="13"/>
  <c r="Z2652" i="13"/>
  <c r="Y2654" i="13"/>
  <c r="Z2653" i="13"/>
  <c r="Y2655" i="13"/>
  <c r="Z2654" i="13"/>
  <c r="Y2656" i="13"/>
  <c r="Z2655" i="13"/>
  <c r="Y2657" i="13"/>
  <c r="Z2656" i="13"/>
  <c r="Z2657" i="13"/>
  <c r="Y2658" i="13"/>
  <c r="Z2658" i="13"/>
  <c r="Y2659" i="13"/>
  <c r="Z2659" i="13"/>
  <c r="Y2660" i="13"/>
  <c r="Z2660" i="13"/>
  <c r="Y2661" i="13"/>
  <c r="Z2661" i="13"/>
  <c r="Y2662" i="13"/>
  <c r="Y2663" i="13"/>
  <c r="Z2662" i="13"/>
  <c r="Z2663" i="13"/>
  <c r="Y2664" i="13"/>
  <c r="Y2665" i="13"/>
  <c r="Z2664" i="13"/>
  <c r="Z2665" i="13"/>
  <c r="Y2666" i="13"/>
  <c r="Z2666" i="13"/>
  <c r="Y2667" i="13"/>
  <c r="Y2668" i="13"/>
  <c r="Z2667" i="13"/>
  <c r="Z2668" i="13"/>
  <c r="Y2669" i="13"/>
  <c r="Y2670" i="13"/>
  <c r="Z2669" i="13"/>
  <c r="Z2670" i="13"/>
  <c r="Y2671" i="13"/>
  <c r="Y2672" i="13"/>
  <c r="Z2671" i="13"/>
  <c r="Y2673" i="13"/>
  <c r="Z2672" i="13"/>
  <c r="Y2674" i="13"/>
  <c r="Z2673" i="13"/>
  <c r="Z2674" i="13"/>
  <c r="Y2675" i="13"/>
  <c r="Y2676" i="13"/>
  <c r="Z2675" i="13"/>
  <c r="Z2676" i="13"/>
  <c r="Y2677" i="13"/>
  <c r="Z2677" i="13"/>
  <c r="Y2678" i="13"/>
  <c r="Z2678" i="13"/>
  <c r="Y2679" i="13"/>
  <c r="Y2680" i="13"/>
  <c r="Z2679" i="13"/>
  <c r="Z2680" i="13"/>
  <c r="Y2681" i="13"/>
  <c r="Z2681" i="13"/>
  <c r="Y2682" i="13"/>
  <c r="Y2683" i="13"/>
  <c r="Z2682" i="13"/>
  <c r="Y2684" i="13"/>
  <c r="Z2683" i="13"/>
  <c r="Z2684" i="13"/>
  <c r="Y2685" i="13"/>
  <c r="Y2686" i="13"/>
  <c r="Z2685" i="13"/>
  <c r="Y2687" i="13"/>
  <c r="Z2686" i="13"/>
  <c r="Y2688" i="13"/>
  <c r="Z2687" i="13"/>
  <c r="Z2688" i="13"/>
  <c r="Y2689" i="13"/>
  <c r="Y2690" i="13"/>
  <c r="Z2689" i="13"/>
  <c r="Y2691" i="13"/>
  <c r="Z2690" i="13"/>
  <c r="Z2691" i="13"/>
  <c r="Y2692" i="13"/>
  <c r="Z2692" i="13"/>
  <c r="Y2693" i="13"/>
  <c r="Z2693" i="13"/>
  <c r="Y2694" i="13"/>
  <c r="Y2695" i="13"/>
  <c r="Z2694" i="13"/>
  <c r="Z2695" i="13"/>
  <c r="Y2696" i="13"/>
  <c r="Y2697" i="13"/>
  <c r="Z2696" i="13"/>
  <c r="Z2697" i="13"/>
  <c r="Y2698" i="13"/>
  <c r="Y2699" i="13"/>
  <c r="Z2698" i="13"/>
  <c r="Z2699" i="13"/>
  <c r="Y2700" i="13"/>
  <c r="Z2700" i="13"/>
  <c r="Y2701" i="13"/>
  <c r="Y2702" i="13"/>
  <c r="Z2701" i="13"/>
  <c r="Z2702" i="13"/>
  <c r="Y2703" i="13"/>
  <c r="Y2704" i="13"/>
  <c r="Z2703" i="13"/>
  <c r="Y2705" i="13"/>
  <c r="Z2704" i="13"/>
  <c r="Y2706" i="13"/>
  <c r="Z2705" i="13"/>
  <c r="Z2706" i="13"/>
  <c r="Y2707" i="13"/>
  <c r="Y2708" i="13"/>
  <c r="Z2707" i="13"/>
  <c r="Y2709" i="13"/>
  <c r="Z2708" i="13"/>
  <c r="Y2710" i="13"/>
  <c r="Z2709" i="13"/>
  <c r="Z2710" i="13"/>
  <c r="Y2711" i="13"/>
  <c r="Y2712" i="13"/>
  <c r="Z2711" i="13"/>
  <c r="Z2712" i="13"/>
  <c r="Y2713" i="13"/>
  <c r="Y2714" i="13"/>
  <c r="Z2713" i="13"/>
  <c r="Z2714" i="13"/>
  <c r="Y2715" i="13"/>
  <c r="Z2715" i="13"/>
  <c r="Y2716" i="13"/>
  <c r="Y2717" i="13"/>
  <c r="Z2716" i="13"/>
  <c r="Z2717" i="13"/>
  <c r="Y2718" i="13"/>
  <c r="Z2718" i="13"/>
  <c r="Y2719" i="13"/>
  <c r="Y2720" i="13"/>
  <c r="Z2719" i="13"/>
  <c r="Y2721" i="13"/>
  <c r="Z2720" i="13"/>
  <c r="Y2722" i="13"/>
  <c r="Z2721" i="13"/>
  <c r="Z2722" i="13"/>
  <c r="Y2723" i="13"/>
  <c r="Y2724" i="13"/>
  <c r="Z2723" i="13"/>
  <c r="Y2725" i="13"/>
  <c r="Z2724" i="13"/>
  <c r="Y2726" i="13"/>
  <c r="Z2725" i="13"/>
  <c r="Z2726" i="13"/>
  <c r="Y2727" i="13"/>
  <c r="Z2727" i="13"/>
  <c r="Y2728" i="13"/>
  <c r="Y2729" i="13"/>
  <c r="Z2728" i="13"/>
  <c r="Y2730" i="13"/>
  <c r="Z2729" i="13"/>
  <c r="Z2730" i="13"/>
  <c r="Y2731" i="13"/>
  <c r="Z2731" i="13"/>
  <c r="Y2732" i="13"/>
  <c r="Y2733" i="13"/>
  <c r="Z2732" i="13"/>
  <c r="Z2733" i="13"/>
  <c r="Y2734" i="13"/>
  <c r="Y2735" i="13"/>
  <c r="Z2734" i="13"/>
  <c r="Z2735" i="13"/>
  <c r="Y2736" i="13"/>
  <c r="Z2736" i="13"/>
  <c r="Y2737" i="13"/>
  <c r="Y2738" i="13"/>
  <c r="Z2737" i="13"/>
  <c r="Z2738" i="13"/>
  <c r="Y2739" i="13"/>
  <c r="Y2740" i="13"/>
  <c r="Z2739" i="13"/>
  <c r="Z2740" i="13"/>
  <c r="Y2741" i="13"/>
  <c r="Z2741" i="13"/>
  <c r="Y2742" i="13"/>
  <c r="Z2742" i="13"/>
  <c r="Y2743" i="13"/>
  <c r="Z2743" i="13"/>
  <c r="Y2744" i="13"/>
  <c r="Z2744" i="13"/>
  <c r="Y2745" i="13"/>
  <c r="Y2746" i="13"/>
  <c r="Z2745" i="13"/>
  <c r="Y2747" i="13"/>
  <c r="Z2746" i="13"/>
  <c r="Z2747" i="13"/>
  <c r="Y2748" i="13"/>
  <c r="Y2749" i="13"/>
  <c r="Z2748" i="13"/>
  <c r="Z2749" i="13"/>
  <c r="Y2750" i="13"/>
  <c r="Z2750" i="13"/>
  <c r="Y2751" i="13"/>
  <c r="Y2752" i="13"/>
  <c r="Z2751" i="13"/>
  <c r="Y2753" i="13"/>
  <c r="Z2752" i="13"/>
  <c r="Z2753" i="13"/>
  <c r="Y2754" i="13"/>
  <c r="Z2754" i="13"/>
  <c r="Y2755" i="13"/>
  <c r="Y2756" i="13"/>
  <c r="Z2755" i="13"/>
  <c r="Z2756" i="13"/>
  <c r="Y2757" i="13"/>
  <c r="Y2758" i="13"/>
  <c r="Z2757" i="13"/>
  <c r="Y2759" i="13"/>
  <c r="Z2758" i="13"/>
  <c r="Y2760" i="13"/>
  <c r="Z2759" i="13"/>
  <c r="Z2760" i="13"/>
  <c r="Y2761" i="13"/>
  <c r="Z2761" i="13"/>
  <c r="Y2762" i="13"/>
  <c r="Z2762" i="13"/>
  <c r="Y2763" i="13"/>
  <c r="Z2763" i="13"/>
  <c r="Y2764" i="13"/>
  <c r="Z2764" i="13"/>
  <c r="Y2765" i="13"/>
  <c r="Y2766" i="13"/>
  <c r="Z2765" i="13"/>
  <c r="Y2767" i="13"/>
  <c r="Z2766" i="13"/>
  <c r="Y2768" i="13"/>
  <c r="Z2767" i="13"/>
  <c r="Y2769" i="13"/>
  <c r="Z2768" i="13"/>
  <c r="Z2769" i="13"/>
  <c r="Y2770" i="13"/>
  <c r="Y2771" i="13"/>
  <c r="Z2770" i="13"/>
  <c r="Y2772" i="13"/>
  <c r="Z2771" i="13"/>
  <c r="Z2772" i="13"/>
  <c r="Y2773" i="13"/>
  <c r="Y2774" i="13"/>
  <c r="Z2773" i="13"/>
  <c r="Y2775" i="13"/>
  <c r="Z2774" i="13"/>
  <c r="Y2776" i="13"/>
  <c r="Z2775" i="13"/>
  <c r="Z2776" i="13"/>
  <c r="Y2777" i="13"/>
  <c r="Y2778" i="13"/>
  <c r="Z2777" i="13"/>
  <c r="Z2778" i="13"/>
  <c r="Y2779" i="13"/>
  <c r="Y2780" i="13"/>
  <c r="Z2779" i="13"/>
  <c r="Y2781" i="13"/>
  <c r="Z2780" i="13"/>
  <c r="Z2781" i="13"/>
  <c r="Y2782" i="13"/>
  <c r="Y2783" i="13"/>
  <c r="Z2782" i="13"/>
  <c r="Z2783" i="13"/>
  <c r="Y2784" i="13"/>
  <c r="Y2785" i="13"/>
  <c r="Z2784" i="13"/>
  <c r="Z2785" i="13"/>
  <c r="Y2786" i="13"/>
  <c r="Z2786" i="13"/>
  <c r="Y2787" i="13"/>
  <c r="Z2787" i="13"/>
  <c r="Y2788" i="13"/>
  <c r="Y2789" i="13"/>
  <c r="Z2788" i="13"/>
  <c r="Y2790" i="13"/>
  <c r="Z2789" i="13"/>
  <c r="Y2791" i="13"/>
  <c r="Z2790" i="13"/>
  <c r="Z2791" i="13"/>
  <c r="Y2792" i="13"/>
  <c r="Z2792" i="13"/>
  <c r="Y2793" i="13"/>
  <c r="Z2793" i="13"/>
  <c r="Y2794" i="13"/>
  <c r="Y2795" i="13"/>
  <c r="Z2794" i="13"/>
  <c r="Y2796" i="13"/>
  <c r="Z2795" i="13"/>
  <c r="Z2796" i="13"/>
  <c r="Y2797" i="13"/>
  <c r="Z2797" i="13"/>
  <c r="Y2798" i="13"/>
  <c r="Z2798" i="13"/>
  <c r="Y2799" i="13"/>
  <c r="Z2799" i="13"/>
  <c r="Y2800" i="13"/>
  <c r="Y2801" i="13"/>
  <c r="Z2800" i="13"/>
  <c r="Z2801" i="13"/>
  <c r="Y2802" i="13"/>
  <c r="Z2802" i="13"/>
  <c r="Y2803" i="13"/>
  <c r="Y2804" i="13"/>
  <c r="Z2803" i="13"/>
  <c r="Z2804" i="13"/>
  <c r="Y2805" i="13"/>
  <c r="Z2805" i="13"/>
  <c r="Y2806" i="13"/>
  <c r="Z2806" i="13"/>
  <c r="Y2807" i="13"/>
  <c r="Z2807" i="13"/>
  <c r="Y2808" i="13"/>
  <c r="Y2809" i="13"/>
  <c r="Z2808" i="13"/>
  <c r="Z2809" i="13"/>
  <c r="Y2810" i="13"/>
  <c r="Z2810" i="13"/>
  <c r="Y2811" i="13"/>
  <c r="Z2811" i="13"/>
  <c r="Y2812" i="13"/>
  <c r="Z2812" i="13"/>
  <c r="Y2813" i="13"/>
  <c r="Y2814" i="13"/>
  <c r="Z2813" i="13"/>
  <c r="Z2814" i="13"/>
  <c r="Y2815" i="13"/>
  <c r="Z2815" i="13"/>
  <c r="Y2816" i="13"/>
  <c r="Y2817" i="13"/>
  <c r="Z2816" i="13"/>
  <c r="Z2817" i="13"/>
  <c r="Y2818" i="13"/>
  <c r="Z2818" i="13"/>
  <c r="Y2819" i="13"/>
  <c r="Z2819" i="13"/>
  <c r="Y2820" i="13"/>
  <c r="Y2821" i="13"/>
  <c r="Z2820" i="13"/>
  <c r="Z2821" i="13"/>
  <c r="Y2822" i="13"/>
  <c r="Z2822" i="13"/>
  <c r="Y2823" i="13"/>
  <c r="Z2823" i="13"/>
  <c r="Y2824" i="13"/>
  <c r="Z2824" i="13"/>
  <c r="Y2825" i="13"/>
  <c r="Z2825" i="13"/>
  <c r="Y2826" i="13"/>
  <c r="Z2826" i="13"/>
  <c r="Y2827" i="13"/>
  <c r="Z2827" i="13"/>
  <c r="Y2828" i="13"/>
  <c r="Y2829" i="13"/>
  <c r="Z2828" i="13"/>
  <c r="Y2830" i="13"/>
  <c r="Z2829" i="13"/>
  <c r="Y2831" i="13"/>
  <c r="Z2830" i="13"/>
  <c r="Y2832" i="13"/>
  <c r="Z2831" i="13"/>
  <c r="Y2833" i="13"/>
  <c r="Z2832" i="13"/>
  <c r="Z2833" i="13"/>
  <c r="Y2834" i="13"/>
  <c r="Y2835" i="13"/>
  <c r="Z2834" i="13"/>
  <c r="Y2836" i="13"/>
  <c r="Z2835" i="13"/>
  <c r="Z2836" i="13"/>
  <c r="Y2837" i="13"/>
  <c r="Z2837" i="13"/>
  <c r="Y2838" i="13"/>
  <c r="Y2839" i="13"/>
  <c r="Z2838" i="13"/>
  <c r="Y2840" i="13"/>
  <c r="Z2839" i="13"/>
  <c r="Y2841" i="13"/>
  <c r="Z2840" i="13"/>
  <c r="Y2842" i="13"/>
  <c r="Z2841" i="13"/>
  <c r="Z2842" i="13"/>
  <c r="Y2843" i="13"/>
  <c r="Y2844" i="13"/>
  <c r="Z2843" i="13"/>
  <c r="Y2845" i="13"/>
  <c r="Z2844" i="13"/>
  <c r="Y2846" i="13"/>
  <c r="Z2845" i="13"/>
  <c r="Y2847" i="13"/>
  <c r="Z2846" i="13"/>
  <c r="Z2847" i="13"/>
  <c r="Y2848" i="13"/>
  <c r="Y2849" i="13"/>
  <c r="Z2848" i="13"/>
  <c r="Y2850" i="13"/>
  <c r="Z2849" i="13"/>
  <c r="Z2850" i="13"/>
  <c r="Y2851" i="13"/>
  <c r="Z2851" i="13"/>
  <c r="Y2852" i="13"/>
  <c r="Z2852" i="13"/>
  <c r="Y2853" i="13"/>
  <c r="Z2853" i="13"/>
  <c r="Y2854" i="13"/>
  <c r="Y2855" i="13"/>
  <c r="Z2854" i="13"/>
  <c r="Y2856" i="13"/>
  <c r="Z2855" i="13"/>
  <c r="Y2857" i="13"/>
  <c r="Z2856" i="13"/>
  <c r="Z2857" i="13"/>
  <c r="Y2858" i="13"/>
  <c r="Z2858" i="13"/>
  <c r="Y2859" i="13"/>
  <c r="Z2859" i="13"/>
  <c r="Y2860" i="13"/>
  <c r="Z2860" i="13"/>
  <c r="Y2861" i="13"/>
  <c r="Z2861" i="13"/>
  <c r="Y2862" i="13"/>
  <c r="Z2862" i="13"/>
  <c r="Y2863" i="13"/>
  <c r="Z2863" i="13"/>
  <c r="Y2864" i="13"/>
  <c r="Z2864" i="13"/>
  <c r="Y2865" i="13"/>
  <c r="Y2866" i="13"/>
  <c r="Z2865" i="13"/>
  <c r="Y2867" i="13"/>
  <c r="Z2866" i="13"/>
  <c r="Z2867" i="13"/>
  <c r="Y2868" i="13"/>
  <c r="Z2868" i="13"/>
  <c r="Y2869" i="13"/>
  <c r="Z2869" i="13"/>
  <c r="Y2870" i="13"/>
  <c r="Y2871" i="13"/>
  <c r="Z2870" i="13"/>
  <c r="Z2871" i="13"/>
  <c r="Y2872" i="13"/>
  <c r="Z2872" i="13"/>
  <c r="Y2873" i="13"/>
  <c r="Y2874" i="13"/>
  <c r="Z2873" i="13"/>
  <c r="Y2875" i="13"/>
  <c r="Z2874" i="13"/>
  <c r="Y2876" i="13"/>
  <c r="Z2875" i="13"/>
  <c r="Z2876" i="13"/>
  <c r="Y2877" i="13"/>
  <c r="Z2877" i="13"/>
  <c r="Y2878" i="13"/>
  <c r="Y2879" i="13"/>
  <c r="Z2878" i="13"/>
  <c r="Y2880" i="13"/>
  <c r="Z2879" i="13"/>
  <c r="Z2880" i="13"/>
  <c r="Y2881" i="13"/>
  <c r="Y2882" i="13"/>
  <c r="Z2881" i="13"/>
  <c r="Y2883" i="13"/>
  <c r="Z2882" i="13"/>
  <c r="Y2884" i="13"/>
  <c r="Z2883" i="13"/>
  <c r="Y2885" i="13"/>
  <c r="Z2884" i="13"/>
  <c r="Z2885" i="13"/>
  <c r="Y2886" i="13"/>
  <c r="Z2886" i="13"/>
  <c r="Y2887" i="13"/>
  <c r="Y2888" i="13"/>
  <c r="Z2887" i="13"/>
  <c r="Z2888" i="13"/>
  <c r="Y2889" i="13"/>
  <c r="Y2890" i="13"/>
  <c r="Z2889" i="13"/>
  <c r="Z2890" i="13"/>
  <c r="Y2891" i="13"/>
  <c r="Z2891" i="13"/>
  <c r="Y2892" i="13"/>
  <c r="Y2893" i="13"/>
  <c r="Z2892" i="13"/>
  <c r="Y2894" i="13"/>
  <c r="Z2893" i="13"/>
  <c r="Y2895" i="13"/>
  <c r="Z2894" i="13"/>
  <c r="Z2895" i="13"/>
  <c r="Y2896" i="13"/>
  <c r="Z2896" i="13"/>
  <c r="Y2897" i="13"/>
  <c r="Y2898" i="13"/>
  <c r="Z2897" i="13"/>
  <c r="Y2899" i="13"/>
  <c r="Z2898" i="13"/>
  <c r="Z2899" i="13"/>
  <c r="Y2900" i="13"/>
  <c r="Y2901" i="13"/>
  <c r="Z2900" i="13"/>
  <c r="Y2902" i="13"/>
  <c r="Z2901" i="13"/>
  <c r="Y2903" i="13"/>
  <c r="Z2902" i="13"/>
  <c r="Z2903" i="13"/>
  <c r="Y2904" i="13"/>
  <c r="Y2905" i="13"/>
  <c r="Z2904" i="13"/>
  <c r="Z2905" i="13"/>
  <c r="Y2906" i="13"/>
  <c r="Y2907" i="13"/>
  <c r="Z2906" i="13"/>
  <c r="Z2907" i="13"/>
  <c r="Y2908" i="13"/>
  <c r="Y2909" i="13"/>
  <c r="Z2908" i="13"/>
  <c r="Z2909" i="13"/>
  <c r="Y2910" i="13"/>
  <c r="Y2911" i="13"/>
  <c r="Z2910" i="13"/>
  <c r="Y2912" i="13"/>
  <c r="Z2911" i="13"/>
  <c r="Z2912" i="13"/>
  <c r="Y2913" i="13"/>
  <c r="Y2914" i="13"/>
  <c r="Z2913" i="13"/>
  <c r="Z2914" i="13"/>
  <c r="Y2915" i="13"/>
  <c r="Z2915" i="13"/>
  <c r="Y2916" i="13"/>
  <c r="Z2916" i="13"/>
  <c r="Y2917" i="13"/>
  <c r="Z2917" i="13"/>
  <c r="Y2918" i="13"/>
  <c r="Z2918" i="13"/>
  <c r="Y2919" i="13"/>
  <c r="Y2920" i="13"/>
  <c r="Z2919" i="13"/>
  <c r="Y2921" i="13"/>
  <c r="Z2920" i="13"/>
  <c r="Y2922" i="13"/>
  <c r="Z2921" i="13"/>
  <c r="Y2923" i="13"/>
  <c r="Z2922" i="13"/>
  <c r="Z2923" i="13"/>
  <c r="Y2924" i="13"/>
  <c r="Y2925" i="13"/>
  <c r="Z2924" i="13"/>
  <c r="Z2925" i="13"/>
  <c r="Y2926" i="13"/>
  <c r="Y2927" i="13"/>
  <c r="Z2926" i="13"/>
  <c r="Z2927" i="13"/>
  <c r="Y2928" i="13"/>
  <c r="Y2929" i="13"/>
  <c r="Z2928" i="13"/>
  <c r="Y2930" i="13"/>
  <c r="Z2929" i="13"/>
  <c r="Z2930" i="13"/>
  <c r="Y2931" i="13"/>
  <c r="Y2932" i="13"/>
  <c r="Z2931" i="13"/>
  <c r="Z2932" i="13"/>
  <c r="Y2933" i="13"/>
  <c r="Z2933" i="13"/>
  <c r="Y2934" i="13"/>
  <c r="Y2935" i="13"/>
  <c r="Z2934" i="13"/>
  <c r="Z2935" i="13"/>
  <c r="Y2936" i="13"/>
  <c r="Y2937" i="13"/>
  <c r="Z2936" i="13"/>
  <c r="Y2938" i="13"/>
  <c r="Z2937" i="13"/>
  <c r="Y2939" i="13"/>
  <c r="Z2938" i="13"/>
  <c r="Y2940" i="13"/>
  <c r="Z2939" i="13"/>
  <c r="Z2940" i="13"/>
  <c r="Y2941" i="13"/>
  <c r="Y2942" i="13"/>
  <c r="Z2941" i="13"/>
  <c r="Y2943" i="13"/>
  <c r="Z2942" i="13"/>
  <c r="Y2944" i="13"/>
  <c r="Z2943" i="13"/>
  <c r="Z2944" i="13"/>
  <c r="Y2945" i="13"/>
  <c r="Y2946" i="13"/>
  <c r="Z2945" i="13"/>
  <c r="Z2946" i="13"/>
  <c r="Y2947" i="13"/>
  <c r="Y2948" i="13"/>
  <c r="Z2947" i="13"/>
  <c r="Y2949" i="13"/>
  <c r="Z2948" i="13"/>
  <c r="Z2949" i="13"/>
  <c r="Y2950" i="13"/>
  <c r="Y2951" i="13"/>
  <c r="Z2950" i="13"/>
  <c r="Z2951" i="13"/>
  <c r="Y2952" i="13"/>
  <c r="Z2952" i="13"/>
  <c r="Y2953" i="13"/>
  <c r="Y2954" i="13"/>
  <c r="Z2953" i="13"/>
  <c r="Z2954" i="13"/>
  <c r="Y2955" i="13"/>
  <c r="Y2956" i="13"/>
  <c r="Z2955" i="13"/>
  <c r="Z2956" i="13"/>
  <c r="Y2957" i="13"/>
  <c r="Z2957" i="13"/>
  <c r="Y2958" i="13"/>
  <c r="Z2958" i="13"/>
  <c r="Y2959" i="13"/>
  <c r="Y2960" i="13"/>
  <c r="Z2959" i="13"/>
  <c r="Z2960" i="13"/>
  <c r="Y2961" i="13"/>
  <c r="Y2962" i="13"/>
  <c r="Z2961" i="13"/>
  <c r="Y2963" i="13"/>
  <c r="Z2962" i="13"/>
  <c r="Y2964" i="13"/>
  <c r="Z2963" i="13"/>
  <c r="Y2965" i="13"/>
  <c r="Z2964" i="13"/>
  <c r="Z2965" i="13"/>
  <c r="Y2966" i="13"/>
  <c r="Z2966" i="13"/>
  <c r="Y2967" i="13"/>
  <c r="Z2967" i="13"/>
  <c r="Y2968" i="13"/>
  <c r="Z2968" i="13"/>
  <c r="Y2969" i="13"/>
  <c r="Y2970" i="13"/>
  <c r="Z2969" i="13"/>
  <c r="Y2971" i="13"/>
  <c r="Z2970" i="13"/>
  <c r="Y2972" i="13"/>
  <c r="Z2971" i="13"/>
  <c r="Y2973" i="13"/>
  <c r="Z2972" i="13"/>
  <c r="Z2973" i="13"/>
  <c r="Y2974" i="13"/>
  <c r="Z2974" i="13"/>
  <c r="Y2975" i="13"/>
  <c r="Y2976" i="13"/>
  <c r="Z2975" i="13"/>
  <c r="Y2977" i="13"/>
  <c r="Z2976" i="13"/>
  <c r="Z2977" i="13"/>
  <c r="Y2978" i="13"/>
  <c r="Y2979" i="13"/>
  <c r="Z2978" i="13"/>
  <c r="Y2980" i="13"/>
  <c r="Z2979" i="13"/>
  <c r="Y2981" i="13"/>
  <c r="Z2980" i="13"/>
  <c r="Y2982" i="13"/>
  <c r="Z2981" i="13"/>
  <c r="Z2982" i="13"/>
  <c r="Y2983" i="13"/>
  <c r="Y2984" i="13"/>
  <c r="Z2983" i="13"/>
  <c r="Y2985" i="13"/>
  <c r="Z2984" i="13"/>
  <c r="Y2986" i="13"/>
  <c r="Z2985" i="13"/>
  <c r="Y2987" i="13"/>
  <c r="Z2986" i="13"/>
  <c r="Z2987" i="13"/>
  <c r="Y2988" i="13"/>
  <c r="Z2988" i="13"/>
  <c r="Y2989" i="13"/>
  <c r="Z2989" i="13"/>
  <c r="Y2990" i="13"/>
  <c r="Y2991" i="13"/>
  <c r="Z2990" i="13"/>
  <c r="Z2991" i="13"/>
  <c r="Y2992" i="13"/>
  <c r="Z2992" i="13"/>
  <c r="Y2993" i="13"/>
  <c r="Y2994" i="13"/>
  <c r="Z2993" i="13"/>
  <c r="Y2995" i="13"/>
  <c r="Z2994" i="13"/>
  <c r="Y2996" i="13"/>
  <c r="Z2995" i="13"/>
  <c r="Y2997" i="13"/>
  <c r="Z2996" i="13"/>
  <c r="Y2998" i="13"/>
  <c r="Z2997" i="13"/>
  <c r="Y2999" i="13"/>
  <c r="Z2998" i="13"/>
  <c r="Z2999" i="13"/>
  <c r="Y3000" i="13"/>
  <c r="Z3000" i="13"/>
  <c r="Y3001" i="13"/>
  <c r="Z3001" i="13"/>
  <c r="Y3002" i="13"/>
  <c r="Y3003" i="13"/>
  <c r="Z3002" i="13"/>
  <c r="Z3003" i="13"/>
  <c r="Y3004" i="13"/>
  <c r="Y3005" i="13"/>
  <c r="Z3004" i="13"/>
  <c r="Y3006" i="13"/>
  <c r="Z3005" i="13"/>
  <c r="Y3007" i="13"/>
  <c r="Z3006" i="13"/>
  <c r="Y3008" i="13"/>
  <c r="Z3007" i="13"/>
  <c r="Y3009" i="13"/>
  <c r="Z3008" i="13"/>
  <c r="Z3009" i="13"/>
  <c r="Y3010" i="13"/>
  <c r="Z3010" i="13"/>
  <c r="Y3011" i="13"/>
  <c r="Z3011" i="13"/>
  <c r="Y3012" i="13"/>
  <c r="Z3012" i="13"/>
  <c r="Y3013" i="13"/>
  <c r="Z3013" i="13"/>
  <c r="Y3014" i="13"/>
  <c r="Y3015" i="13"/>
  <c r="Z3014" i="13"/>
  <c r="Y3016" i="13"/>
  <c r="Z3015" i="13"/>
  <c r="Y3017" i="13"/>
  <c r="Z3016" i="13"/>
  <c r="Z3017" i="13"/>
  <c r="Y3018" i="13"/>
  <c r="Z3018" i="13"/>
  <c r="Y3019" i="13"/>
  <c r="Z3019" i="13"/>
  <c r="Y3020" i="13"/>
  <c r="Y3021" i="13"/>
  <c r="Z3020" i="13"/>
  <c r="Y3022" i="13"/>
  <c r="Z3021" i="13"/>
  <c r="Z3022" i="13"/>
  <c r="Y3023" i="13"/>
  <c r="Z3023" i="13"/>
  <c r="Y3024" i="13"/>
  <c r="Z3024" i="13"/>
  <c r="Y3025" i="13"/>
  <c r="Y3026" i="13"/>
  <c r="Z3025" i="13"/>
  <c r="Z3026" i="13"/>
  <c r="Y3027" i="13"/>
  <c r="Z3027" i="13"/>
  <c r="Y3028" i="13"/>
  <c r="Z3028" i="13"/>
  <c r="Y3029" i="13"/>
  <c r="Z3029" i="13"/>
  <c r="Y3030" i="13"/>
  <c r="Z3030" i="13"/>
  <c r="Y3031" i="13"/>
  <c r="Y3032" i="13"/>
  <c r="Z3031" i="13"/>
  <c r="Z3032" i="13"/>
  <c r="Y3033" i="13"/>
  <c r="Y3034" i="13"/>
  <c r="Z3033" i="13"/>
  <c r="Y3035" i="13"/>
  <c r="Z3034" i="13"/>
  <c r="Y3036" i="13"/>
  <c r="Z3035" i="13"/>
  <c r="Z3036" i="13"/>
  <c r="Y3037" i="13"/>
  <c r="Z3037" i="13"/>
  <c r="Y3038" i="13"/>
  <c r="Y3039" i="13"/>
  <c r="Z3038" i="13"/>
  <c r="Y3040" i="13"/>
  <c r="Z3039" i="13"/>
  <c r="Y3041" i="13"/>
  <c r="Z3040" i="13"/>
  <c r="Y3042" i="13"/>
  <c r="Z3041" i="13"/>
  <c r="Y3043" i="13"/>
  <c r="Z3042" i="13"/>
  <c r="Y3044" i="13"/>
  <c r="Z3043" i="13"/>
  <c r="Z3044" i="13"/>
  <c r="Y3045" i="13"/>
  <c r="Y3046" i="13"/>
  <c r="Z3045" i="13"/>
  <c r="Y3047" i="13"/>
  <c r="Z3046" i="13"/>
  <c r="Z3047" i="13"/>
  <c r="Y3048" i="13"/>
  <c r="Z3048" i="13"/>
  <c r="Y3049" i="13"/>
  <c r="Z3049" i="13"/>
  <c r="Y3050" i="13"/>
  <c r="Z3050" i="13"/>
  <c r="Y3051" i="13"/>
  <c r="Y3052" i="13"/>
  <c r="Z3051" i="13"/>
  <c r="Z3052" i="13"/>
  <c r="Y3053" i="13"/>
  <c r="Z3053" i="13"/>
  <c r="Y3054" i="13"/>
  <c r="Y3055" i="13"/>
  <c r="Z3054" i="13"/>
  <c r="Z3055" i="13"/>
  <c r="Y3056" i="13"/>
  <c r="Z3056" i="13"/>
  <c r="Y3057" i="13"/>
  <c r="Z3057" i="13"/>
  <c r="Y3058" i="13"/>
  <c r="Z3058" i="13"/>
  <c r="Y3059" i="13"/>
  <c r="Z3059" i="13"/>
  <c r="Y3060" i="13"/>
  <c r="Z3060" i="13"/>
  <c r="Y3061" i="13"/>
  <c r="Z3061" i="13"/>
  <c r="Y3062" i="13"/>
  <c r="Z3062" i="13"/>
  <c r="Y3063" i="13"/>
  <c r="Y3064" i="13"/>
  <c r="Z3063" i="13"/>
  <c r="Y3065" i="13"/>
  <c r="Z3064" i="13"/>
  <c r="Z3065" i="13"/>
  <c r="Y3066" i="13"/>
  <c r="Z3066" i="13"/>
  <c r="Y3067" i="13"/>
  <c r="Z3067" i="13"/>
  <c r="Y3068" i="13"/>
  <c r="Y3069" i="13"/>
  <c r="Z3068" i="13"/>
  <c r="Z3069" i="13"/>
  <c r="Y3070" i="13"/>
  <c r="Z3070" i="13"/>
  <c r="Y3071" i="13"/>
  <c r="Z3071" i="13"/>
  <c r="Y3072" i="13"/>
  <c r="Y3073" i="13"/>
  <c r="Z3072" i="13"/>
  <c r="Y3074" i="13"/>
  <c r="Z3073" i="13"/>
  <c r="Y3075" i="13"/>
  <c r="Z3074" i="13"/>
  <c r="Y3076" i="13"/>
  <c r="Z3075" i="13"/>
  <c r="Y3077" i="13"/>
  <c r="Z3076" i="13"/>
  <c r="Y3078" i="13"/>
  <c r="Z3077" i="13"/>
  <c r="Z3078" i="13"/>
  <c r="Y3079" i="13"/>
  <c r="Y3080" i="13"/>
  <c r="Z3079" i="13"/>
  <c r="Y3081" i="13"/>
  <c r="Z3080" i="13"/>
  <c r="Y3082" i="13"/>
  <c r="Z3081" i="13"/>
  <c r="Y3083" i="13"/>
  <c r="Z3082" i="13"/>
  <c r="Y3084" i="13"/>
  <c r="Z3083" i="13"/>
  <c r="Y3085" i="13"/>
  <c r="Z3084" i="13"/>
  <c r="Z3085" i="13"/>
  <c r="Y3086" i="13"/>
  <c r="Y3087" i="13"/>
  <c r="Z3086" i="13"/>
  <c r="Y3088" i="13"/>
  <c r="Z3087" i="13"/>
  <c r="Y3089" i="13"/>
  <c r="Z3088" i="13"/>
  <c r="Y3090" i="13"/>
  <c r="Z3089" i="13"/>
  <c r="Z3090" i="13"/>
  <c r="Y3091" i="13"/>
  <c r="Y3092" i="13"/>
  <c r="Z3091" i="13"/>
  <c r="Z3092" i="13"/>
  <c r="Y3093" i="13"/>
  <c r="Y3094" i="13"/>
  <c r="Z3093" i="13"/>
  <c r="Z3094" i="13"/>
  <c r="Y3095" i="13"/>
  <c r="Y3096" i="13"/>
  <c r="Z3095" i="13"/>
  <c r="Y3097" i="13"/>
  <c r="Z3096" i="13"/>
  <c r="Z3097" i="13"/>
  <c r="Y3098" i="13"/>
  <c r="Z3098" i="13"/>
  <c r="Y3099" i="13"/>
  <c r="Z3099" i="13"/>
  <c r="Y3100" i="13"/>
  <c r="Z3100" i="13"/>
  <c r="Y3101" i="13"/>
  <c r="Z3101" i="13"/>
  <c r="Y3102" i="13"/>
  <c r="Y3103" i="13"/>
  <c r="Z3102" i="13"/>
  <c r="Y3104" i="13"/>
  <c r="Z3103" i="13"/>
  <c r="Y3105" i="13"/>
  <c r="Z3104" i="13"/>
  <c r="Y3106" i="13"/>
  <c r="Z3105" i="13"/>
  <c r="Y3107" i="13"/>
  <c r="Z3106" i="13"/>
  <c r="Y3108" i="13"/>
  <c r="Z3107" i="13"/>
  <c r="Z3108" i="13"/>
  <c r="Y3109" i="13"/>
  <c r="Y3110" i="13"/>
  <c r="Z3109" i="13"/>
  <c r="Y3111" i="13"/>
  <c r="Z3110" i="13"/>
  <c r="Y3112" i="13"/>
  <c r="Z3111" i="13"/>
  <c r="Y3113" i="13"/>
  <c r="Z3112" i="13"/>
  <c r="Y3114" i="13"/>
  <c r="Z3113" i="13"/>
  <c r="Z3114" i="13"/>
  <c r="Y3115" i="13"/>
  <c r="Y3116" i="13"/>
  <c r="Z3115" i="13"/>
  <c r="Z3116" i="13"/>
  <c r="Y3117" i="13"/>
  <c r="Z3117" i="13"/>
  <c r="Y3118" i="13"/>
  <c r="Z3118" i="13"/>
  <c r="Y3119" i="13"/>
  <c r="Z3119" i="13"/>
  <c r="Y3120" i="13"/>
  <c r="Y3121" i="13"/>
  <c r="Z3120" i="13"/>
  <c r="Y3122" i="13"/>
  <c r="Z3121" i="13"/>
  <c r="Z3122" i="13"/>
  <c r="Y3123" i="13"/>
  <c r="Y3124" i="13"/>
  <c r="Z3123" i="13"/>
  <c r="Y3125" i="13"/>
  <c r="Z3124" i="13"/>
  <c r="Z3125" i="13"/>
  <c r="Y3126" i="13"/>
  <c r="Z3126" i="13"/>
  <c r="Y3127" i="13"/>
  <c r="Y3128" i="13"/>
  <c r="Z3127" i="13"/>
  <c r="Y3129" i="13"/>
  <c r="Z3128" i="13"/>
  <c r="Y3130" i="13"/>
  <c r="Z3129" i="13"/>
  <c r="Z3130" i="13"/>
  <c r="Y3131" i="13"/>
  <c r="Y3132" i="13"/>
  <c r="Z3131" i="13"/>
  <c r="Z3132" i="13"/>
  <c r="Y3133" i="13"/>
  <c r="Z3133" i="13"/>
  <c r="Y3134" i="13"/>
  <c r="Z3134" i="13"/>
  <c r="Y3135" i="13"/>
  <c r="Z3135" i="13"/>
  <c r="Y3136" i="13"/>
  <c r="Y3137" i="13"/>
  <c r="Z3136" i="13"/>
  <c r="Y3138" i="13"/>
  <c r="Z3137" i="13"/>
  <c r="Y3139" i="13"/>
  <c r="Z3138" i="13"/>
  <c r="Y3140" i="13"/>
  <c r="Z3139" i="13"/>
  <c r="Y3141" i="13"/>
  <c r="Z3140" i="13"/>
  <c r="Y3142" i="13"/>
  <c r="Z3141" i="13"/>
  <c r="Z3142" i="13"/>
  <c r="Y3143" i="13"/>
  <c r="Y3144" i="13"/>
  <c r="Z3143" i="13"/>
  <c r="Y3145" i="13"/>
  <c r="Z3144" i="13"/>
  <c r="Y3146" i="13"/>
  <c r="Z3145" i="13"/>
  <c r="Y3147" i="13"/>
  <c r="Z3146" i="13"/>
  <c r="Z3147" i="13"/>
  <c r="Y3148" i="13"/>
  <c r="Y3149" i="13"/>
  <c r="Z3148" i="13"/>
  <c r="Y3150" i="13"/>
  <c r="Z3149" i="13"/>
  <c r="Z3150" i="13"/>
  <c r="Y3151" i="13"/>
  <c r="Y3152" i="13"/>
  <c r="Z3151" i="13"/>
  <c r="Z3152" i="13"/>
  <c r="Y3153" i="13"/>
  <c r="Y3154" i="13"/>
  <c r="Z3153" i="13"/>
  <c r="Y3155" i="13"/>
  <c r="Z3154" i="13"/>
  <c r="Z3155" i="13"/>
  <c r="Y3156" i="13"/>
  <c r="Y3157" i="13"/>
  <c r="Z3156" i="13"/>
  <c r="Z3157" i="13"/>
  <c r="Y3158" i="13"/>
  <c r="Z3158" i="13"/>
  <c r="Y3159" i="13"/>
  <c r="Z3159" i="13"/>
  <c r="Y3160" i="13"/>
  <c r="Z3160" i="13"/>
  <c r="Y3161" i="13"/>
  <c r="Z3161" i="13"/>
  <c r="Y3162" i="13"/>
  <c r="Z3162" i="13"/>
  <c r="Y3163" i="13"/>
  <c r="Y3164" i="13"/>
  <c r="Z3163" i="13"/>
  <c r="Z3164" i="13"/>
  <c r="Y3165" i="13"/>
  <c r="Z3165" i="13"/>
  <c r="Y3166" i="13"/>
  <c r="Y3167" i="13"/>
  <c r="Z3166" i="13"/>
  <c r="Y3168" i="13"/>
  <c r="Z3167" i="13"/>
  <c r="Z3168" i="13"/>
  <c r="Y3169" i="13"/>
  <c r="Z3169" i="13"/>
  <c r="Y3170" i="13"/>
  <c r="Y3171" i="13"/>
  <c r="Z3170" i="13"/>
  <c r="Y3172" i="13"/>
  <c r="Z3171" i="13"/>
  <c r="Z3172" i="13"/>
  <c r="Y3173" i="13"/>
  <c r="Y3174" i="13"/>
  <c r="Z3173" i="13"/>
  <c r="Z3174" i="13"/>
  <c r="Y3175" i="13"/>
  <c r="Y3176" i="13"/>
  <c r="Z3175" i="13"/>
  <c r="Z3176" i="13"/>
  <c r="Y3177" i="13"/>
  <c r="Z3177" i="13"/>
  <c r="Y3178" i="13"/>
  <c r="Y3179" i="13"/>
  <c r="Z3178" i="13"/>
  <c r="Y3180" i="13"/>
  <c r="Z3179" i="13"/>
  <c r="Z3180" i="13"/>
  <c r="Y3181" i="13"/>
  <c r="Z3181" i="13"/>
  <c r="Y3182" i="13"/>
  <c r="Z3182" i="13"/>
  <c r="Y3183" i="13"/>
  <c r="Z3183" i="13"/>
  <c r="Y3184" i="13"/>
  <c r="Y3185" i="13"/>
  <c r="Z3184" i="13"/>
  <c r="Y3186" i="13"/>
  <c r="Z3185" i="13"/>
  <c r="Y3187" i="13"/>
  <c r="Z3186" i="13"/>
  <c r="Z3187" i="13"/>
  <c r="Y3188" i="13"/>
  <c r="Z3188" i="13"/>
  <c r="Y3189" i="13"/>
  <c r="Y3190" i="13"/>
  <c r="Z3189" i="13"/>
  <c r="Z3190" i="13"/>
  <c r="Y3191" i="13"/>
  <c r="Y3192" i="13"/>
  <c r="Z3191" i="13"/>
  <c r="Y3193" i="13"/>
  <c r="Z3192" i="13"/>
  <c r="Z3193" i="13"/>
  <c r="Y3194" i="13"/>
  <c r="Z3194" i="13"/>
  <c r="Y3195" i="13"/>
  <c r="Z3195" i="13"/>
  <c r="Y3196" i="13"/>
  <c r="Y3197" i="13"/>
  <c r="Z3196" i="13"/>
  <c r="Y3198" i="13"/>
  <c r="Z3197" i="13"/>
  <c r="Y3199" i="13"/>
  <c r="Z3198" i="13"/>
  <c r="Y3200" i="13"/>
  <c r="Z3199" i="13"/>
  <c r="Y3201" i="13"/>
  <c r="Z3200" i="13"/>
  <c r="Y3202" i="13"/>
  <c r="Z3201" i="13"/>
  <c r="Y3203" i="13"/>
  <c r="Z3202" i="13"/>
  <c r="Y3204" i="13"/>
  <c r="Z3203" i="13"/>
  <c r="Z3204" i="13"/>
  <c r="Y3205" i="13"/>
  <c r="Y3206" i="13"/>
  <c r="Z3205" i="13"/>
  <c r="Y3207" i="13"/>
  <c r="Z3206" i="13"/>
  <c r="Y3208" i="13"/>
  <c r="Z3207" i="13"/>
  <c r="Z3208" i="13"/>
  <c r="Y3209" i="13"/>
  <c r="Y3210" i="13"/>
  <c r="Z3209" i="13"/>
  <c r="Y3211" i="13"/>
  <c r="Z3210" i="13"/>
  <c r="Z3211" i="13"/>
  <c r="Y3212" i="13"/>
  <c r="Z3212" i="13"/>
  <c r="Y3213" i="13"/>
  <c r="Y3214" i="13"/>
  <c r="Z3213" i="13"/>
  <c r="Z3214" i="13"/>
  <c r="Y3215" i="13"/>
  <c r="Z3215" i="13"/>
  <c r="Y3216" i="13"/>
  <c r="Y3217" i="13"/>
  <c r="Z3216" i="13"/>
  <c r="Y3218" i="13"/>
  <c r="Z3217" i="13"/>
  <c r="Y3219" i="13"/>
  <c r="Z3218" i="13"/>
  <c r="Z3219" i="13"/>
  <c r="Y3220" i="13"/>
  <c r="Y3221" i="13"/>
  <c r="Z3220" i="13"/>
  <c r="Z3221" i="13"/>
  <c r="Y3222" i="13"/>
  <c r="Z3222" i="13"/>
  <c r="Y3223" i="13"/>
  <c r="Z3223" i="13"/>
  <c r="Y3224" i="13"/>
  <c r="Y3225" i="13"/>
  <c r="Z3224" i="13"/>
  <c r="Y3226" i="13"/>
  <c r="Z3225" i="13"/>
  <c r="Y3227" i="13"/>
  <c r="Z3226" i="13"/>
  <c r="Y3228" i="13"/>
  <c r="Z3227" i="13"/>
  <c r="Z3228" i="13"/>
  <c r="Y3229" i="13"/>
  <c r="Y3230" i="13"/>
  <c r="Z3229" i="13"/>
  <c r="Z3230" i="13"/>
  <c r="Y3231" i="13"/>
  <c r="Y3232" i="13"/>
  <c r="Z3231" i="13"/>
  <c r="Y3233" i="13"/>
  <c r="Z3232" i="13"/>
  <c r="Y3234" i="13"/>
  <c r="Z3233" i="13"/>
  <c r="Z3234" i="13"/>
  <c r="Y3235" i="13"/>
  <c r="Y3236" i="13"/>
  <c r="Z3235" i="13"/>
  <c r="Z3236" i="13"/>
  <c r="Y3237" i="13"/>
  <c r="Y3238" i="13"/>
  <c r="Z3237" i="13"/>
  <c r="Y3239" i="13"/>
  <c r="Z3238" i="13"/>
  <c r="Z3239" i="13"/>
  <c r="Y3240" i="13"/>
  <c r="Y3241" i="13"/>
  <c r="Z3240" i="13"/>
  <c r="Z3241" i="13"/>
  <c r="Y3242" i="13"/>
  <c r="Y3243" i="13"/>
  <c r="Z3242" i="13"/>
  <c r="Z3243" i="13"/>
  <c r="Y3244" i="13"/>
  <c r="Y3245" i="13"/>
  <c r="Z3244" i="13"/>
  <c r="Y3246" i="13"/>
  <c r="Z3245" i="13"/>
  <c r="Z3246" i="13"/>
  <c r="Y3247" i="13"/>
  <c r="Z3247" i="13"/>
  <c r="Y3248" i="13"/>
  <c r="Z3248" i="13"/>
  <c r="Y3249" i="13"/>
  <c r="Y3250" i="13"/>
  <c r="Z3249" i="13"/>
  <c r="Z3250" i="13"/>
  <c r="Y3251" i="13"/>
  <c r="Y3252" i="13"/>
  <c r="Z3251" i="13"/>
  <c r="Y3253" i="13"/>
  <c r="Z3252" i="13"/>
  <c r="Z3253" i="13"/>
  <c r="Y3254" i="13"/>
  <c r="Z3254" i="13"/>
  <c r="Y3255" i="13"/>
  <c r="Z3255" i="13"/>
  <c r="Y3256" i="13"/>
  <c r="Y3257" i="13"/>
  <c r="Z3256" i="13"/>
  <c r="Y3258" i="13"/>
  <c r="Z3257" i="13"/>
  <c r="Z3258" i="13"/>
  <c r="Y3259" i="13"/>
  <c r="Z3259" i="13"/>
  <c r="Y3260" i="13"/>
  <c r="Y3261" i="13"/>
  <c r="Z3260" i="13"/>
  <c r="Y3262" i="13"/>
  <c r="Z3261" i="13"/>
  <c r="Y3263" i="13"/>
  <c r="Z3262" i="13"/>
  <c r="Z3263" i="13"/>
  <c r="Y3264" i="13"/>
  <c r="Y3265" i="13"/>
  <c r="Z3264" i="13"/>
  <c r="Y3266" i="13"/>
  <c r="Z3265" i="13"/>
  <c r="Z3266" i="13"/>
  <c r="Y3267" i="13"/>
  <c r="Z3267" i="13"/>
  <c r="Y3268" i="13"/>
  <c r="Z3268" i="13"/>
  <c r="Y3269" i="13"/>
  <c r="Z3269" i="13"/>
  <c r="Y3270" i="13"/>
  <c r="Z3270" i="13"/>
  <c r="Y3271" i="13"/>
  <c r="Y3272" i="13"/>
  <c r="Z3271" i="13"/>
  <c r="Y3273" i="13"/>
  <c r="Z3272" i="13"/>
  <c r="Y3274" i="13"/>
  <c r="Z3273" i="13"/>
  <c r="Z3274" i="13"/>
  <c r="Y3275" i="13"/>
  <c r="Y3276" i="13"/>
  <c r="Z3275" i="13"/>
  <c r="Z3276" i="13"/>
  <c r="Y3277" i="13"/>
  <c r="Y3278" i="13"/>
  <c r="Z3277" i="13"/>
  <c r="Y3279" i="13"/>
  <c r="Z3278" i="13"/>
  <c r="Z3279" i="13"/>
  <c r="Y3280" i="13"/>
  <c r="Y3281" i="13"/>
  <c r="Z3280" i="13"/>
  <c r="Y3282" i="13"/>
  <c r="Z3281" i="13"/>
  <c r="Z3282" i="13"/>
  <c r="Y3283" i="13"/>
  <c r="Z3283" i="13"/>
  <c r="Y3284" i="13"/>
  <c r="Z3284" i="13"/>
  <c r="Y3285" i="13"/>
  <c r="Z3285" i="13"/>
  <c r="Y3286" i="13"/>
  <c r="Z3286" i="13"/>
  <c r="Y3287" i="13"/>
  <c r="Z3287" i="13"/>
  <c r="Y3288" i="13"/>
  <c r="Y3289" i="13"/>
  <c r="Z3288" i="13"/>
  <c r="Z3289" i="13"/>
  <c r="Y3290" i="13"/>
  <c r="Y3291" i="13"/>
  <c r="Z3290" i="13"/>
  <c r="Z3291" i="13"/>
  <c r="Y3292" i="13"/>
  <c r="Y3293" i="13"/>
  <c r="Z3292" i="13"/>
  <c r="Z3293" i="13"/>
  <c r="Y3294" i="13"/>
  <c r="Z3294" i="13"/>
  <c r="Y3295" i="13"/>
  <c r="Z3295" i="13"/>
  <c r="Y3296" i="13"/>
  <c r="Z3296" i="13"/>
  <c r="Y3297" i="13"/>
  <c r="Z3297" i="13"/>
  <c r="Y3298" i="13"/>
  <c r="Z3298" i="13"/>
  <c r="Y3299" i="13"/>
  <c r="Z3299" i="13"/>
  <c r="Y3300" i="13"/>
  <c r="Z3300" i="13"/>
  <c r="Y3301" i="13"/>
  <c r="Z3301" i="13"/>
  <c r="Y3302" i="13"/>
  <c r="Z3302" i="13"/>
  <c r="Y3303" i="13"/>
  <c r="Y3304" i="13"/>
  <c r="Z3303" i="13"/>
  <c r="Y3305" i="13"/>
  <c r="Z3304" i="13"/>
  <c r="Z3305" i="13"/>
  <c r="Y3306" i="13"/>
  <c r="Z3306" i="13"/>
  <c r="Y3307" i="13"/>
  <c r="Y3308" i="13"/>
  <c r="Z3307" i="13"/>
  <c r="Y3309" i="13"/>
  <c r="Z3308" i="13"/>
  <c r="Z3309" i="13"/>
  <c r="Y3310" i="13"/>
  <c r="Z3310" i="13"/>
  <c r="Y3311" i="13"/>
  <c r="Y3312" i="13"/>
  <c r="Z3311" i="13"/>
  <c r="Y3313" i="13"/>
  <c r="Z3312" i="13"/>
  <c r="Y3314" i="13"/>
  <c r="Z3313" i="13"/>
  <c r="Z3314" i="13"/>
  <c r="Y3315" i="13"/>
  <c r="Z3315" i="13"/>
  <c r="Y3316" i="13"/>
  <c r="Y3317" i="13"/>
  <c r="Z3316" i="13"/>
  <c r="Z3317" i="13"/>
  <c r="Y3318" i="13"/>
  <c r="Z3318" i="13"/>
  <c r="Y3319" i="13"/>
  <c r="Y3320" i="13"/>
  <c r="Z3319" i="13"/>
  <c r="Y3321" i="13"/>
  <c r="Z3320" i="13"/>
  <c r="Z3321" i="13"/>
  <c r="Y3322" i="13"/>
  <c r="Z3322" i="13"/>
  <c r="Y3323" i="13"/>
  <c r="Y3324" i="13"/>
  <c r="Z3323" i="13"/>
  <c r="Z3324" i="13"/>
  <c r="Y3325" i="13"/>
  <c r="Z3325" i="13"/>
  <c r="Y3326" i="13"/>
  <c r="Z3326" i="13"/>
  <c r="Y3327" i="13"/>
  <c r="Z3327" i="13"/>
  <c r="Y3328" i="13"/>
  <c r="Y3329" i="13"/>
  <c r="Z3328" i="13"/>
  <c r="Z3329" i="13"/>
  <c r="Y3330" i="13"/>
  <c r="Z3330" i="13"/>
  <c r="Y3331" i="13"/>
  <c r="Z3331" i="13"/>
  <c r="Y3332" i="13"/>
  <c r="Z3332" i="13"/>
  <c r="Y3333" i="13"/>
  <c r="Y3334" i="13"/>
  <c r="Z3333" i="13"/>
  <c r="Z3334" i="13"/>
  <c r="Y3335" i="13"/>
  <c r="Z3335" i="13"/>
  <c r="Y3336" i="13"/>
  <c r="Y3337" i="13"/>
  <c r="Z3336" i="13"/>
  <c r="Y3338" i="13"/>
  <c r="Z3337" i="13"/>
  <c r="Z3338" i="13"/>
  <c r="Y3339" i="13"/>
  <c r="Z3339" i="13"/>
  <c r="Y3340" i="13"/>
  <c r="Y3341" i="13"/>
  <c r="Z3340" i="13"/>
  <c r="Z3341" i="13"/>
  <c r="Y3342" i="13"/>
  <c r="Z3342" i="13"/>
  <c r="Y3343" i="13"/>
  <c r="Z3343" i="13"/>
  <c r="Y3344" i="13"/>
  <c r="Z3344" i="13"/>
  <c r="Y3345" i="13"/>
  <c r="Z3345" i="13"/>
  <c r="Y3346" i="13"/>
  <c r="Y3347" i="13"/>
  <c r="Z3346" i="13"/>
  <c r="Y3348" i="13"/>
  <c r="Z3347" i="13"/>
  <c r="Z3348" i="13"/>
  <c r="Y3349" i="13"/>
  <c r="Y3350" i="13"/>
  <c r="Z3349" i="13"/>
  <c r="Z3350" i="13"/>
  <c r="Y3351" i="13"/>
  <c r="Z3351" i="13"/>
  <c r="Y3352" i="13"/>
  <c r="Z3352" i="13"/>
  <c r="Y3353" i="13"/>
  <c r="Y3354" i="13"/>
  <c r="Z3353" i="13"/>
  <c r="Y3355" i="13"/>
  <c r="Z3354" i="13"/>
  <c r="Y3356" i="13"/>
  <c r="Z3355" i="13"/>
  <c r="Y3357" i="13"/>
  <c r="Z3356" i="13"/>
  <c r="Z3357" i="13"/>
  <c r="Y3358" i="13"/>
  <c r="Y3359" i="13"/>
  <c r="Z3358" i="13"/>
  <c r="Z3359" i="13"/>
  <c r="Y3360" i="13"/>
  <c r="Z3360" i="13"/>
  <c r="Y3361" i="13"/>
  <c r="Z3361" i="13"/>
  <c r="Y3362" i="13"/>
  <c r="Z3362" i="13"/>
  <c r="Y3363" i="13"/>
  <c r="Z3363" i="13"/>
  <c r="Y3364" i="13"/>
  <c r="Y3365" i="13"/>
  <c r="Z3364" i="13"/>
  <c r="Z3365" i="13"/>
  <c r="Y3366" i="13"/>
  <c r="Y3367" i="13"/>
  <c r="Z3366" i="13"/>
  <c r="Z3367" i="13"/>
  <c r="Y3368" i="13"/>
  <c r="Z3368" i="13"/>
  <c r="Y3369" i="13"/>
  <c r="Z3369" i="13"/>
  <c r="Y3370" i="13"/>
  <c r="Y3371" i="13"/>
  <c r="Z3370" i="13"/>
  <c r="Z3371" i="13"/>
  <c r="Y3372" i="13"/>
  <c r="Z3372" i="13"/>
  <c r="Y3373" i="13"/>
  <c r="Z3373" i="13"/>
  <c r="Y3374" i="13"/>
  <c r="Y3375" i="13"/>
  <c r="Z3374" i="13"/>
  <c r="Z3375" i="13"/>
  <c r="Y3376" i="13"/>
  <c r="Y3377" i="13"/>
  <c r="Z3376" i="13"/>
  <c r="Y3378" i="13"/>
  <c r="Z3377" i="13"/>
  <c r="Y3379" i="13"/>
  <c r="Z3378" i="13"/>
  <c r="Z3379" i="13"/>
  <c r="Y3380" i="13"/>
  <c r="Z3380" i="13"/>
  <c r="Y3381" i="13"/>
  <c r="Y3382" i="13"/>
  <c r="Z3381" i="13"/>
  <c r="Y3383" i="13"/>
  <c r="Z3382" i="13"/>
  <c r="Z3383" i="13"/>
  <c r="Y3384" i="13"/>
  <c r="Z3384" i="13"/>
  <c r="Y3385" i="13"/>
  <c r="Y3386" i="13"/>
  <c r="Z3385" i="13"/>
  <c r="Z3386" i="13"/>
  <c r="Y3387" i="13"/>
  <c r="Y3388" i="13"/>
  <c r="Z3387" i="13"/>
  <c r="Z3388" i="13"/>
  <c r="Y3389" i="13"/>
  <c r="Z3389" i="13"/>
  <c r="Y3390" i="13"/>
  <c r="Z3390" i="13"/>
  <c r="Y3391" i="13"/>
  <c r="Z3391" i="13"/>
  <c r="Y3392" i="13"/>
  <c r="Z3392" i="13"/>
  <c r="Y3393" i="13"/>
  <c r="Z3393" i="13"/>
  <c r="Y3394" i="13"/>
  <c r="Y3395" i="13"/>
  <c r="Z3394" i="13"/>
  <c r="Y3396" i="13"/>
  <c r="Z3395" i="13"/>
  <c r="Z3396" i="13"/>
  <c r="Y3397" i="13"/>
  <c r="Z3397" i="13"/>
  <c r="Y3398" i="13"/>
  <c r="Z3398" i="13"/>
  <c r="Y3399" i="13"/>
  <c r="Y3400" i="13"/>
  <c r="Z3399" i="13"/>
  <c r="Z3400" i="13"/>
  <c r="Y3401" i="13"/>
  <c r="Y3402" i="13"/>
  <c r="Z3401" i="13"/>
  <c r="Y3403" i="13"/>
  <c r="Z3402" i="13"/>
  <c r="Z3403" i="13"/>
  <c r="Y3404" i="13"/>
  <c r="Y3405" i="13"/>
  <c r="Z3404" i="13"/>
  <c r="Y3406" i="13"/>
  <c r="Z3405" i="13"/>
  <c r="Y3407" i="13"/>
  <c r="Z3406" i="13"/>
  <c r="Y3408" i="13"/>
  <c r="Z3407" i="13"/>
  <c r="Z3408" i="13"/>
  <c r="Y3409" i="13"/>
  <c r="Y3410" i="13"/>
  <c r="Z3409" i="13"/>
  <c r="Y3411" i="13"/>
  <c r="Z3410" i="13"/>
  <c r="Y3412" i="13"/>
  <c r="Z3411" i="13"/>
  <c r="Y3413" i="13"/>
  <c r="Z3412" i="13"/>
  <c r="Y3414" i="13"/>
  <c r="Z3413" i="13"/>
  <c r="Z3414" i="13"/>
  <c r="Y3415" i="13"/>
  <c r="Y3416" i="13"/>
  <c r="Z3415" i="13"/>
  <c r="Y3417" i="13"/>
  <c r="Z3416" i="13"/>
  <c r="Z3417" i="13"/>
  <c r="Y3418" i="13"/>
  <c r="Y3419" i="13"/>
  <c r="Z3418" i="13"/>
  <c r="Z3419" i="13"/>
  <c r="Y3420" i="13"/>
  <c r="Y3421" i="13"/>
  <c r="Z3420" i="13"/>
  <c r="Y3422" i="13"/>
  <c r="Z3421" i="13"/>
  <c r="Y3423" i="13"/>
  <c r="Z3422" i="13"/>
  <c r="Y3424" i="13"/>
  <c r="Z3423" i="13"/>
  <c r="Y3425" i="13"/>
  <c r="Z3424" i="13"/>
  <c r="Z3425" i="13"/>
  <c r="Y3426" i="13"/>
  <c r="Z3426" i="13"/>
  <c r="Y3427" i="13"/>
  <c r="Z3427" i="13"/>
  <c r="Y3428" i="13"/>
  <c r="Z3428" i="13"/>
  <c r="Y3429" i="13"/>
  <c r="Z3429" i="13"/>
  <c r="Y3430" i="13"/>
  <c r="Z3430" i="13"/>
  <c r="Y3431" i="13"/>
  <c r="Z3431" i="13"/>
  <c r="Y3432" i="13"/>
  <c r="Z3432" i="13"/>
  <c r="Y3433" i="13"/>
  <c r="Z3433" i="13"/>
  <c r="Y3434" i="13"/>
  <c r="Z3434" i="13"/>
  <c r="Y3435" i="13"/>
  <c r="Z3435" i="13"/>
  <c r="Y3436" i="13"/>
  <c r="Z3436" i="13"/>
  <c r="Y3437" i="13"/>
  <c r="Y3438" i="13"/>
  <c r="Z3437" i="13"/>
  <c r="Y3439" i="13"/>
  <c r="Z3438" i="13"/>
  <c r="Z3439" i="13"/>
  <c r="Y3440" i="13"/>
  <c r="Y3441" i="13"/>
  <c r="Z3440" i="13"/>
  <c r="Y3442" i="13"/>
  <c r="Z3441" i="13"/>
  <c r="Y3443" i="13"/>
  <c r="Z3442" i="13"/>
  <c r="Z3443" i="13"/>
  <c r="Y3444" i="13"/>
  <c r="Y3445" i="13"/>
  <c r="Z3444" i="13"/>
  <c r="Z3445" i="13"/>
  <c r="Y3446" i="13"/>
  <c r="Z3446" i="13"/>
  <c r="Y3447" i="13"/>
  <c r="Z3447" i="13"/>
  <c r="Y3448" i="13"/>
  <c r="Z3448" i="13"/>
  <c r="Y3449" i="13"/>
  <c r="Y3450" i="13"/>
  <c r="Z3449" i="13"/>
  <c r="Z3450" i="13"/>
  <c r="Y3451" i="13"/>
  <c r="Z3451" i="13"/>
  <c r="Y3452" i="13"/>
  <c r="Z3452" i="13"/>
  <c r="Y3453" i="13"/>
  <c r="Z3453" i="13"/>
  <c r="Y3454" i="13"/>
  <c r="Z3454" i="13"/>
  <c r="Y3455" i="13"/>
  <c r="Y3456" i="13"/>
  <c r="Z3455" i="13"/>
  <c r="Z3456" i="13"/>
  <c r="Y3457" i="13"/>
  <c r="Z3457" i="13"/>
  <c r="Y3458" i="13"/>
  <c r="Y3459" i="13"/>
  <c r="Z3458" i="13"/>
  <c r="Z3459" i="13"/>
  <c r="Y3460" i="13"/>
  <c r="Y3461" i="13"/>
  <c r="Z3460" i="13"/>
  <c r="Z3461" i="13"/>
  <c r="Y3462" i="13"/>
  <c r="Y3463" i="13"/>
  <c r="Z3462" i="13"/>
  <c r="Z3463" i="13"/>
  <c r="Y3464" i="13"/>
  <c r="Y3465" i="13"/>
  <c r="Z3464" i="13"/>
  <c r="Y3466" i="13"/>
  <c r="Z3465" i="13"/>
  <c r="Y3467" i="13"/>
  <c r="Z3466" i="13"/>
  <c r="Y3468" i="13"/>
  <c r="Z3467" i="13"/>
  <c r="Y3469" i="13"/>
  <c r="Z3468" i="13"/>
  <c r="Z3469" i="13"/>
  <c r="Y3470" i="13"/>
  <c r="Y3471" i="13"/>
  <c r="Z3470" i="13"/>
  <c r="Z3471" i="13"/>
  <c r="Y3472" i="13"/>
  <c r="Y3473" i="13"/>
  <c r="Z3472" i="13"/>
  <c r="Z3473" i="13"/>
  <c r="Y3474" i="13"/>
  <c r="Y3475" i="13"/>
  <c r="Z3474" i="13"/>
  <c r="Y3476" i="13"/>
  <c r="Z3475" i="13"/>
  <c r="Y3477" i="13"/>
  <c r="Z3476" i="13"/>
  <c r="Z3477" i="13"/>
  <c r="Y3478" i="13"/>
  <c r="Y3479" i="13"/>
  <c r="Z3478" i="13"/>
  <c r="Z3479" i="13"/>
  <c r="Y3480" i="13"/>
  <c r="Z3480" i="13"/>
  <c r="Y3481" i="13"/>
  <c r="Y3482" i="13"/>
  <c r="Z3481" i="13"/>
  <c r="Y3483" i="13"/>
  <c r="Z3482" i="13"/>
  <c r="Y3484" i="13"/>
  <c r="Z3483" i="13"/>
  <c r="Y3485" i="13"/>
  <c r="Z3484" i="13"/>
  <c r="Y3486" i="13"/>
  <c r="Z3485" i="13"/>
  <c r="Z3486" i="13"/>
  <c r="Y3487" i="13"/>
  <c r="Z3487" i="13"/>
  <c r="Y3488" i="13"/>
  <c r="Y3489" i="13"/>
  <c r="Z3488" i="13"/>
  <c r="Z3489" i="13"/>
  <c r="Y3490" i="13"/>
  <c r="Z3490" i="13"/>
  <c r="Y3491" i="13"/>
  <c r="Y3492" i="13"/>
  <c r="Z3491" i="13"/>
  <c r="Z3492" i="13"/>
  <c r="Y3493" i="13"/>
  <c r="Z3493" i="13"/>
  <c r="Y3494" i="13"/>
  <c r="Z3494" i="13"/>
  <c r="Y3495" i="13"/>
  <c r="Y3496" i="13"/>
  <c r="Z3495" i="13"/>
  <c r="Z3496" i="13"/>
  <c r="Y3497" i="13"/>
  <c r="Y3498" i="13"/>
  <c r="Z3497" i="13"/>
  <c r="Y3499" i="13"/>
  <c r="Z3498" i="13"/>
  <c r="Y3500" i="13"/>
  <c r="Z3499" i="13"/>
  <c r="Z3500" i="13"/>
  <c r="Y3501" i="13"/>
  <c r="Z3501" i="13"/>
  <c r="Y3502" i="13"/>
  <c r="Z3502" i="13"/>
  <c r="Y3503" i="13"/>
  <c r="Z3503" i="13"/>
  <c r="Y3504" i="13"/>
  <c r="Y3505" i="13"/>
  <c r="Z3504" i="13"/>
  <c r="Z3505" i="13"/>
  <c r="Y3506" i="13"/>
  <c r="Z3506" i="13"/>
  <c r="Y3507" i="13"/>
  <c r="Y3508" i="13"/>
  <c r="Z3507" i="13"/>
  <c r="Y3509" i="13"/>
  <c r="Z3508" i="13"/>
  <c r="Y3510" i="13"/>
  <c r="Z3509" i="13"/>
  <c r="Y3511" i="13"/>
  <c r="Z3510" i="13"/>
  <c r="Z3511" i="13"/>
  <c r="Y3512" i="13"/>
  <c r="Y3513" i="13"/>
  <c r="Z3512" i="13"/>
  <c r="Y3514" i="13"/>
  <c r="Z3513" i="13"/>
  <c r="Z3514" i="13"/>
  <c r="Y3515" i="13"/>
  <c r="Z3515" i="13"/>
  <c r="Y3516" i="13"/>
  <c r="Y3517" i="13"/>
  <c r="Z3516" i="13"/>
  <c r="Z3517" i="13"/>
  <c r="Y3518" i="13"/>
  <c r="Z3518" i="13"/>
  <c r="Y3519" i="13"/>
  <c r="Y3520" i="13"/>
  <c r="Z3519" i="13"/>
  <c r="Z3520" i="13"/>
  <c r="Y3521" i="13"/>
  <c r="Z3521" i="13"/>
  <c r="Y3522" i="13"/>
  <c r="Y3523" i="13"/>
  <c r="Z3522" i="13"/>
  <c r="Y3524" i="13"/>
  <c r="Z3523" i="13"/>
  <c r="Z3524" i="13"/>
  <c r="Y3525" i="13"/>
  <c r="Z3525" i="13"/>
  <c r="Y3526" i="13"/>
  <c r="Y3527" i="13"/>
  <c r="Z3526" i="13"/>
  <c r="Z3527" i="13"/>
  <c r="Y3528" i="13"/>
  <c r="Y3529" i="13"/>
  <c r="Z3528" i="13"/>
  <c r="Y3530" i="13"/>
  <c r="Z3529" i="13"/>
  <c r="Z3530" i="13"/>
  <c r="Y3531" i="13"/>
  <c r="Y3532" i="13"/>
  <c r="Z3531" i="13"/>
  <c r="Z3532" i="13"/>
  <c r="Y3533" i="13"/>
  <c r="Y3534" i="13"/>
  <c r="Z3533" i="13"/>
  <c r="Y3535" i="13"/>
  <c r="Z3534" i="13"/>
  <c r="Y3536" i="13"/>
  <c r="Z3535" i="13"/>
  <c r="Z3536" i="13"/>
  <c r="Y3537" i="13"/>
  <c r="Z3537" i="13"/>
  <c r="Y3538" i="13"/>
  <c r="Y3539" i="13"/>
  <c r="Z3538" i="13"/>
  <c r="Z3539" i="13"/>
  <c r="Y3540" i="13"/>
  <c r="Z3540" i="13"/>
  <c r="Y3541" i="13"/>
  <c r="Z3541" i="13"/>
  <c r="Y3542" i="13"/>
  <c r="Z3542" i="13"/>
  <c r="Y3543" i="13"/>
  <c r="Y3544" i="13"/>
  <c r="Z3543" i="13"/>
  <c r="Z3544" i="13"/>
  <c r="Y3545" i="13"/>
  <c r="Z3545" i="13"/>
  <c r="Y3546" i="13"/>
  <c r="Y3547" i="13"/>
  <c r="Z3546" i="13"/>
  <c r="Z3547" i="13"/>
  <c r="Y3548" i="13"/>
  <c r="Z3548" i="13"/>
  <c r="Y3549" i="13"/>
  <c r="Z3549" i="13"/>
  <c r="Y3550" i="13"/>
  <c r="Z3550" i="13"/>
  <c r="Y3551" i="13"/>
  <c r="Z3551" i="13"/>
  <c r="Y3552" i="13"/>
  <c r="B39" i="4" l="1"/>
  <c r="B20" i="4"/>
  <c r="B28" i="4"/>
  <c r="B36" i="4"/>
  <c r="B21" i="4"/>
  <c r="B35" i="4"/>
  <c r="B15" i="4"/>
  <c r="B38" i="4"/>
  <c r="B55" i="4"/>
  <c r="B44" i="4"/>
  <c r="B19" i="4"/>
  <c r="B37" i="4"/>
  <c r="B26" i="4"/>
  <c r="B25" i="4"/>
  <c r="B22" i="4"/>
  <c r="B30" i="4"/>
  <c r="B50" i="4"/>
  <c r="C14" i="13"/>
  <c r="C8" i="13"/>
  <c r="B41" i="4"/>
  <c r="B33" i="4"/>
  <c r="B24" i="4"/>
  <c r="B47" i="4"/>
  <c r="B52" i="4"/>
  <c r="B54" i="4"/>
  <c r="B56" i="4"/>
  <c r="B45" i="4"/>
  <c r="B23" i="4"/>
  <c r="B40" i="4"/>
  <c r="B17" i="4"/>
  <c r="B51" i="4"/>
  <c r="B31" i="4"/>
  <c r="B53" i="4"/>
  <c r="B43" i="4"/>
  <c r="B32" i="4"/>
  <c r="B29" i="4"/>
  <c r="B34" i="4"/>
  <c r="B48" i="4"/>
  <c r="B16" i="4"/>
  <c r="B46" i="4"/>
  <c r="B49" i="4"/>
  <c r="B27" i="4"/>
  <c r="B18" i="4"/>
  <c r="B42" i="4"/>
  <c r="Z3552" i="13"/>
  <c r="D15" i="4"/>
  <c r="C15" i="4"/>
  <c r="J15" i="4"/>
  <c r="D2" i="5" a="1"/>
  <c r="E15" i="4"/>
  <c r="I15" i="4"/>
  <c r="C22" i="4"/>
  <c r="J22" i="4"/>
  <c r="D22" i="4"/>
  <c r="E22" i="4"/>
  <c r="I22" i="4"/>
  <c r="C24" i="4"/>
  <c r="J24" i="4"/>
  <c r="D24" i="4"/>
  <c r="E24" i="4"/>
  <c r="I24" i="4"/>
  <c r="I40" i="4"/>
  <c r="C40" i="4"/>
  <c r="J40" i="4"/>
  <c r="E40" i="4"/>
  <c r="D40" i="4"/>
  <c r="D34" i="4"/>
  <c r="J34" i="4"/>
  <c r="C34" i="4"/>
  <c r="E34" i="4"/>
  <c r="I34" i="4"/>
  <c r="D42" i="4"/>
  <c r="I42" i="4"/>
  <c r="C42" i="4"/>
  <c r="J42" i="4"/>
  <c r="E42" i="4"/>
  <c r="Z21" i="13"/>
  <c r="C38" i="4"/>
  <c r="I38" i="4"/>
  <c r="D38" i="4"/>
  <c r="J38" i="4"/>
  <c r="E38" i="4"/>
  <c r="E30" i="4"/>
  <c r="C30" i="4"/>
  <c r="D30" i="4"/>
  <c r="I30" i="4"/>
  <c r="J30" i="4"/>
  <c r="I47" i="4"/>
  <c r="J47" i="4"/>
  <c r="C47" i="4"/>
  <c r="E47" i="4"/>
  <c r="D47" i="4"/>
  <c r="C17" i="4"/>
  <c r="D17" i="4"/>
  <c r="J17" i="4"/>
  <c r="E17" i="4"/>
  <c r="I17" i="4"/>
  <c r="E48" i="4"/>
  <c r="J48" i="4"/>
  <c r="I48" i="4"/>
  <c r="D48" i="4"/>
  <c r="C48" i="4"/>
  <c r="J39" i="4"/>
  <c r="E39" i="4"/>
  <c r="C39" i="4"/>
  <c r="D39" i="4"/>
  <c r="I39" i="4"/>
  <c r="J55" i="4"/>
  <c r="C55" i="4"/>
  <c r="E55" i="4"/>
  <c r="I55" i="4"/>
  <c r="D55" i="4"/>
  <c r="I50" i="4"/>
  <c r="J50" i="4"/>
  <c r="D50" i="4"/>
  <c r="C50" i="4"/>
  <c r="E50" i="4"/>
  <c r="I52" i="4"/>
  <c r="D52" i="4"/>
  <c r="E52" i="4"/>
  <c r="C52" i="4"/>
  <c r="J52" i="4"/>
  <c r="J51" i="4"/>
  <c r="C51" i="4"/>
  <c r="E51" i="4"/>
  <c r="D51" i="4"/>
  <c r="I51" i="4"/>
  <c r="C16" i="4"/>
  <c r="J16" i="4"/>
  <c r="E16" i="4"/>
  <c r="D16" i="4"/>
  <c r="I16" i="4"/>
  <c r="I20" i="4"/>
  <c r="E20" i="4"/>
  <c r="J20" i="4"/>
  <c r="D20" i="4"/>
  <c r="C20" i="4"/>
  <c r="J44" i="4"/>
  <c r="C44" i="4"/>
  <c r="E44" i="4"/>
  <c r="D44" i="4"/>
  <c r="I44" i="4"/>
  <c r="D54" i="4"/>
  <c r="E54" i="4"/>
  <c r="I54" i="4"/>
  <c r="J54" i="4"/>
  <c r="C54" i="4"/>
  <c r="E31" i="4"/>
  <c r="J31" i="4"/>
  <c r="D31" i="4"/>
  <c r="C31" i="4"/>
  <c r="I31" i="4"/>
  <c r="I46" i="4"/>
  <c r="J46" i="4"/>
  <c r="E46" i="4"/>
  <c r="C46" i="4"/>
  <c r="D46" i="4"/>
  <c r="D28" i="4"/>
  <c r="J28" i="4"/>
  <c r="E28" i="4"/>
  <c r="I28" i="4"/>
  <c r="C28" i="4"/>
  <c r="I19" i="4"/>
  <c r="J19" i="4"/>
  <c r="E19" i="4"/>
  <c r="C19" i="4"/>
  <c r="D19" i="4"/>
  <c r="C56" i="4"/>
  <c r="D56" i="4"/>
  <c r="I56" i="4"/>
  <c r="J56" i="4"/>
  <c r="E56" i="4"/>
  <c r="D53" i="4"/>
  <c r="I53" i="4"/>
  <c r="C53" i="4"/>
  <c r="J53" i="4"/>
  <c r="E53" i="4"/>
  <c r="Z20" i="13"/>
  <c r="E36" i="4"/>
  <c r="I36" i="4"/>
  <c r="C36" i="4"/>
  <c r="D36" i="4"/>
  <c r="J36" i="4"/>
  <c r="D37" i="4"/>
  <c r="J37" i="4"/>
  <c r="I37" i="4"/>
  <c r="C37" i="4"/>
  <c r="E37" i="4"/>
  <c r="E41" i="4"/>
  <c r="D41" i="4"/>
  <c r="I41" i="4"/>
  <c r="C41" i="4"/>
  <c r="J41" i="4"/>
  <c r="M19" i="13" a="1"/>
  <c r="M73" i="13" a="1"/>
  <c r="E25" i="4"/>
  <c r="C25" i="4"/>
  <c r="I25" i="4"/>
  <c r="D25" i="4"/>
  <c r="J25" i="4"/>
  <c r="J23" i="4"/>
  <c r="E23" i="4"/>
  <c r="D23" i="4"/>
  <c r="C23" i="4"/>
  <c r="I23" i="4"/>
  <c r="I18" i="4"/>
  <c r="C18" i="4"/>
  <c r="J18" i="4"/>
  <c r="E18" i="4"/>
  <c r="D18" i="4"/>
  <c r="D43" i="4"/>
  <c r="I43" i="4"/>
  <c r="C43" i="4"/>
  <c r="J43" i="4"/>
  <c r="E43" i="4"/>
  <c r="D49" i="4"/>
  <c r="C49" i="4"/>
  <c r="E49" i="4"/>
  <c r="J49" i="4"/>
  <c r="I49" i="4"/>
  <c r="J21" i="4"/>
  <c r="I21" i="4"/>
  <c r="C21" i="4"/>
  <c r="E21" i="4"/>
  <c r="D21" i="4"/>
  <c r="J26" i="4"/>
  <c r="C26" i="4"/>
  <c r="I26" i="4"/>
  <c r="E26" i="4"/>
  <c r="D26" i="4"/>
  <c r="C45" i="4"/>
  <c r="D45" i="4"/>
  <c r="E45" i="4"/>
  <c r="J45" i="4"/>
  <c r="I45" i="4"/>
  <c r="E32" i="4"/>
  <c r="D32" i="4"/>
  <c r="J32" i="4"/>
  <c r="I32" i="4"/>
  <c r="C32" i="4"/>
  <c r="J27" i="4"/>
  <c r="C27" i="4"/>
  <c r="E27" i="4"/>
  <c r="I27" i="4"/>
  <c r="D27" i="4"/>
  <c r="J35" i="4"/>
  <c r="E35" i="4"/>
  <c r="C35" i="4"/>
  <c r="I35" i="4"/>
  <c r="D35" i="4"/>
  <c r="E33" i="4"/>
  <c r="I33" i="4"/>
  <c r="J33" i="4"/>
  <c r="D33" i="4"/>
  <c r="C33" i="4"/>
  <c r="E29" i="4"/>
  <c r="J29" i="4"/>
  <c r="D29" i="4"/>
  <c r="I29" i="4"/>
  <c r="C29" i="4"/>
  <c r="D29" i="5" l="1"/>
  <c r="D13" i="5"/>
  <c r="D42" i="5"/>
  <c r="D82" i="5"/>
  <c r="D51" i="5"/>
  <c r="D126" i="5"/>
  <c r="D44" i="5"/>
  <c r="D43" i="5"/>
  <c r="D57" i="5"/>
  <c r="D6" i="5"/>
  <c r="D62" i="5"/>
  <c r="D39" i="5"/>
  <c r="D54" i="5"/>
  <c r="D60" i="5"/>
  <c r="D19" i="5"/>
  <c r="D32" i="5"/>
  <c r="D77" i="5"/>
  <c r="D23" i="5"/>
  <c r="D90" i="5"/>
  <c r="D10" i="5"/>
  <c r="D65" i="5"/>
  <c r="D53" i="5"/>
  <c r="D92" i="5"/>
  <c r="D76" i="5"/>
  <c r="D20" i="5"/>
  <c r="D48" i="5"/>
  <c r="D68" i="5"/>
  <c r="D112" i="5"/>
  <c r="D3" i="5"/>
  <c r="D56" i="5"/>
  <c r="D52" i="5"/>
  <c r="D98" i="5"/>
  <c r="D105" i="5"/>
  <c r="D80" i="5"/>
  <c r="D93" i="5"/>
  <c r="D9" i="5"/>
  <c r="D116" i="5"/>
  <c r="D118" i="5"/>
  <c r="D121" i="5"/>
  <c r="D102" i="5"/>
  <c r="D49" i="5"/>
  <c r="D28" i="5"/>
  <c r="D97" i="5"/>
  <c r="D27" i="5"/>
  <c r="D84" i="5"/>
  <c r="D73" i="5"/>
  <c r="D14" i="5"/>
  <c r="D83" i="5"/>
  <c r="D66" i="5"/>
  <c r="D45" i="5"/>
  <c r="D106" i="5"/>
  <c r="D107" i="5"/>
  <c r="D34" i="5"/>
  <c r="D17" i="5"/>
  <c r="D74" i="5"/>
  <c r="D103" i="5"/>
  <c r="D18" i="5"/>
  <c r="D125" i="5"/>
  <c r="D21" i="5"/>
  <c r="D94" i="5"/>
  <c r="D33" i="5"/>
  <c r="D88" i="5"/>
  <c r="D47" i="5"/>
  <c r="D75" i="5"/>
  <c r="D69" i="5"/>
  <c r="D61" i="5"/>
  <c r="D101" i="5"/>
  <c r="D78" i="5"/>
  <c r="D35" i="5"/>
  <c r="D113" i="5"/>
  <c r="D22" i="5"/>
  <c r="D36" i="5"/>
  <c r="D119" i="5"/>
  <c r="D26" i="5"/>
  <c r="D59" i="5"/>
  <c r="D15" i="5"/>
  <c r="D63" i="5"/>
  <c r="D91" i="5"/>
  <c r="D25" i="5"/>
  <c r="D38" i="5"/>
  <c r="D16" i="5"/>
  <c r="D85" i="5"/>
  <c r="D58" i="5"/>
  <c r="D117" i="5"/>
  <c r="D37" i="5"/>
  <c r="D86" i="5"/>
  <c r="D114" i="5"/>
  <c r="D7" i="5"/>
  <c r="D95" i="5"/>
  <c r="D64" i="5"/>
  <c r="D100" i="5"/>
  <c r="D71" i="5"/>
  <c r="D99" i="5"/>
  <c r="D50" i="5"/>
  <c r="D72" i="5"/>
  <c r="D79" i="5"/>
  <c r="D123" i="5"/>
  <c r="D24" i="5"/>
  <c r="D4" i="5"/>
  <c r="D70" i="5"/>
  <c r="D30" i="5"/>
  <c r="D5" i="5"/>
  <c r="D40" i="5"/>
  <c r="D110" i="5"/>
  <c r="D87" i="5"/>
  <c r="D122" i="5"/>
  <c r="D67" i="5"/>
  <c r="D89" i="5"/>
  <c r="D96" i="5"/>
  <c r="D41" i="5"/>
  <c r="D11" i="5"/>
  <c r="D104" i="5"/>
  <c r="D120" i="5"/>
  <c r="D124" i="5"/>
  <c r="D8" i="5"/>
  <c r="D109" i="5"/>
  <c r="D55" i="5"/>
  <c r="D12" i="5"/>
  <c r="D81" i="5"/>
  <c r="D31" i="5"/>
  <c r="D115" i="5"/>
  <c r="D108" i="5"/>
  <c r="D2" i="5"/>
  <c r="D46" i="5"/>
  <c r="D111" i="5"/>
  <c r="C9" i="13"/>
  <c r="C16" i="13" s="1"/>
  <c r="C15" i="13"/>
  <c r="M77" i="13"/>
  <c r="M20" i="13"/>
  <c r="M75" i="13"/>
  <c r="M22" i="13"/>
  <c r="M73" i="13"/>
  <c r="M23" i="13"/>
  <c r="M78" i="13"/>
  <c r="M19" i="13"/>
  <c r="M74" i="13"/>
  <c r="M76" i="13"/>
  <c r="M24" i="13"/>
  <c r="M21" i="13"/>
  <c r="M29" i="4"/>
  <c r="M32" i="4"/>
  <c r="M49" i="4"/>
  <c r="M25" i="4"/>
  <c r="P24" i="13"/>
  <c r="N24" i="13"/>
  <c r="O24" i="13"/>
  <c r="M37" i="4"/>
  <c r="M19" i="4"/>
  <c r="N54" i="4"/>
  <c r="N51" i="4"/>
  <c r="M39" i="4"/>
  <c r="M30" i="4"/>
  <c r="M40" i="4"/>
  <c r="F42" i="5"/>
  <c r="I42" i="5"/>
  <c r="G42" i="5"/>
  <c r="H42" i="5"/>
  <c r="E42" i="5"/>
  <c r="E62" i="5"/>
  <c r="G62" i="5"/>
  <c r="F62" i="5"/>
  <c r="I62" i="5"/>
  <c r="H62" i="5"/>
  <c r="E90" i="5"/>
  <c r="H90" i="5"/>
  <c r="G90" i="5"/>
  <c r="I90" i="5"/>
  <c r="F90" i="5"/>
  <c r="F68" i="5"/>
  <c r="H68" i="5"/>
  <c r="G68" i="5"/>
  <c r="E68" i="5"/>
  <c r="I68" i="5"/>
  <c r="H93" i="5"/>
  <c r="I93" i="5"/>
  <c r="E93" i="5"/>
  <c r="G93" i="5"/>
  <c r="F93" i="5"/>
  <c r="F97" i="5"/>
  <c r="E97" i="5"/>
  <c r="G97" i="5"/>
  <c r="H97" i="5"/>
  <c r="I97" i="5"/>
  <c r="H106" i="5"/>
  <c r="I106" i="5"/>
  <c r="F106" i="5"/>
  <c r="G106" i="5"/>
  <c r="E106" i="5"/>
  <c r="E21" i="5"/>
  <c r="H21" i="5"/>
  <c r="I21" i="5"/>
  <c r="F21" i="5"/>
  <c r="G21" i="5"/>
  <c r="E101" i="5"/>
  <c r="F101" i="5"/>
  <c r="G101" i="5"/>
  <c r="I101" i="5"/>
  <c r="H101" i="5"/>
  <c r="H59" i="5"/>
  <c r="I59" i="5"/>
  <c r="F59" i="5"/>
  <c r="G59" i="5"/>
  <c r="E59" i="5"/>
  <c r="G58" i="5"/>
  <c r="I58" i="5"/>
  <c r="F58" i="5"/>
  <c r="E58" i="5"/>
  <c r="H58" i="5"/>
  <c r="F100" i="5"/>
  <c r="G100" i="5"/>
  <c r="E100" i="5"/>
  <c r="H100" i="5"/>
  <c r="I100" i="5"/>
  <c r="I4" i="5"/>
  <c r="F4" i="5"/>
  <c r="H4" i="5"/>
  <c r="G4" i="5"/>
  <c r="E4" i="5"/>
  <c r="G67" i="5"/>
  <c r="I67" i="5"/>
  <c r="H67" i="5"/>
  <c r="F67" i="5"/>
  <c r="E67" i="5"/>
  <c r="E8" i="5"/>
  <c r="H8" i="5"/>
  <c r="I8" i="5"/>
  <c r="F8" i="5"/>
  <c r="G8" i="5"/>
  <c r="H2" i="5"/>
  <c r="I2" i="5"/>
  <c r="E2" i="5"/>
  <c r="F2" i="5"/>
  <c r="G2" i="5"/>
  <c r="N29" i="4"/>
  <c r="N32" i="4"/>
  <c r="N49" i="4"/>
  <c r="N25" i="4"/>
  <c r="N21" i="13"/>
  <c r="P21" i="13"/>
  <c r="O21" i="13"/>
  <c r="N37" i="4"/>
  <c r="N19" i="4"/>
  <c r="M54" i="4"/>
  <c r="M51" i="4"/>
  <c r="N39" i="4"/>
  <c r="N30" i="4"/>
  <c r="N40" i="4"/>
  <c r="E82" i="5"/>
  <c r="F82" i="5"/>
  <c r="G82" i="5"/>
  <c r="H82" i="5"/>
  <c r="I82" i="5"/>
  <c r="F39" i="5"/>
  <c r="I39" i="5"/>
  <c r="H39" i="5"/>
  <c r="G39" i="5"/>
  <c r="E39" i="5"/>
  <c r="G10" i="5"/>
  <c r="E10" i="5"/>
  <c r="I10" i="5"/>
  <c r="F10" i="5"/>
  <c r="H10" i="5"/>
  <c r="I112" i="5"/>
  <c r="G112" i="5"/>
  <c r="F112" i="5"/>
  <c r="H112" i="5"/>
  <c r="E112" i="5"/>
  <c r="H9" i="5"/>
  <c r="F9" i="5"/>
  <c r="E9" i="5"/>
  <c r="G9" i="5"/>
  <c r="I9" i="5"/>
  <c r="E27" i="5"/>
  <c r="G27" i="5"/>
  <c r="F27" i="5"/>
  <c r="I27" i="5"/>
  <c r="H27" i="5"/>
  <c r="G107" i="5"/>
  <c r="H107" i="5"/>
  <c r="F107" i="5"/>
  <c r="I107" i="5"/>
  <c r="E107" i="5"/>
  <c r="H94" i="5"/>
  <c r="E94" i="5"/>
  <c r="I94" i="5"/>
  <c r="F94" i="5"/>
  <c r="G94" i="5"/>
  <c r="F78" i="5"/>
  <c r="I78" i="5"/>
  <c r="G78" i="5"/>
  <c r="E78" i="5"/>
  <c r="H78" i="5"/>
  <c r="H15" i="5"/>
  <c r="E15" i="5"/>
  <c r="F15" i="5"/>
  <c r="G15" i="5"/>
  <c r="I15" i="5"/>
  <c r="E117" i="5"/>
  <c r="I117" i="5"/>
  <c r="H117" i="5"/>
  <c r="F117" i="5"/>
  <c r="G117" i="5"/>
  <c r="I71" i="5"/>
  <c r="G71" i="5"/>
  <c r="H71" i="5"/>
  <c r="F71" i="5"/>
  <c r="E71" i="5"/>
  <c r="E70" i="5"/>
  <c r="G70" i="5"/>
  <c r="I70" i="5"/>
  <c r="H70" i="5"/>
  <c r="F70" i="5"/>
  <c r="G89" i="5"/>
  <c r="F89" i="5"/>
  <c r="I89" i="5"/>
  <c r="E89" i="5"/>
  <c r="H89" i="5"/>
  <c r="H109" i="5"/>
  <c r="E109" i="5"/>
  <c r="I109" i="5"/>
  <c r="G109" i="5"/>
  <c r="F109" i="5"/>
  <c r="F46" i="5"/>
  <c r="G46" i="5"/>
  <c r="I46" i="5"/>
  <c r="E46" i="5"/>
  <c r="H46" i="5"/>
  <c r="M33" i="4"/>
  <c r="M45" i="4"/>
  <c r="M43" i="4"/>
  <c r="O77" i="13"/>
  <c r="N77" i="13"/>
  <c r="O20" i="13"/>
  <c r="N20" i="13"/>
  <c r="P20" i="13"/>
  <c r="N36" i="4"/>
  <c r="N28" i="4"/>
  <c r="N44" i="4"/>
  <c r="M52" i="4"/>
  <c r="M48" i="4"/>
  <c r="M38" i="4"/>
  <c r="M24" i="4"/>
  <c r="G51" i="5"/>
  <c r="I51" i="5"/>
  <c r="F51" i="5"/>
  <c r="E51" i="5"/>
  <c r="H51" i="5"/>
  <c r="F54" i="5"/>
  <c r="E54" i="5"/>
  <c r="G54" i="5"/>
  <c r="H54" i="5"/>
  <c r="I54" i="5"/>
  <c r="H65" i="5"/>
  <c r="F65" i="5"/>
  <c r="E65" i="5"/>
  <c r="G65" i="5"/>
  <c r="I65" i="5"/>
  <c r="F3" i="5"/>
  <c r="H3" i="5"/>
  <c r="I3" i="5"/>
  <c r="E3" i="5"/>
  <c r="G3" i="5"/>
  <c r="F116" i="5"/>
  <c r="G116" i="5"/>
  <c r="I116" i="5"/>
  <c r="H116" i="5"/>
  <c r="E116" i="5"/>
  <c r="E84" i="5"/>
  <c r="G84" i="5"/>
  <c r="H84" i="5"/>
  <c r="F84" i="5"/>
  <c r="I84" i="5"/>
  <c r="G34" i="5"/>
  <c r="H34" i="5"/>
  <c r="F34" i="5"/>
  <c r="I34" i="5"/>
  <c r="E34" i="5"/>
  <c r="F33" i="5"/>
  <c r="E33" i="5"/>
  <c r="H33" i="5"/>
  <c r="I33" i="5"/>
  <c r="G33" i="5"/>
  <c r="E35" i="5"/>
  <c r="I35" i="5"/>
  <c r="F35" i="5"/>
  <c r="H35" i="5"/>
  <c r="G35" i="5"/>
  <c r="I63" i="5"/>
  <c r="G63" i="5"/>
  <c r="E63" i="5"/>
  <c r="H63" i="5"/>
  <c r="F63" i="5"/>
  <c r="I37" i="5"/>
  <c r="H37" i="5"/>
  <c r="E37" i="5"/>
  <c r="F37" i="5"/>
  <c r="G37" i="5"/>
  <c r="G99" i="5"/>
  <c r="E99" i="5"/>
  <c r="I99" i="5"/>
  <c r="F99" i="5"/>
  <c r="H99" i="5"/>
  <c r="F30" i="5"/>
  <c r="I30" i="5"/>
  <c r="E30" i="5"/>
  <c r="G30" i="5"/>
  <c r="H30" i="5"/>
  <c r="I96" i="5"/>
  <c r="F96" i="5"/>
  <c r="G96" i="5"/>
  <c r="H96" i="5"/>
  <c r="E96" i="5"/>
  <c r="H55" i="5"/>
  <c r="F55" i="5"/>
  <c r="E55" i="5"/>
  <c r="I55" i="5"/>
  <c r="G55" i="5"/>
  <c r="H111" i="5"/>
  <c r="G111" i="5"/>
  <c r="F111" i="5"/>
  <c r="E111" i="5"/>
  <c r="I111" i="5"/>
  <c r="N33" i="4"/>
  <c r="N45" i="4"/>
  <c r="N43" i="4"/>
  <c r="N75" i="13"/>
  <c r="O75" i="13"/>
  <c r="O22" i="13"/>
  <c r="P22" i="13"/>
  <c r="N22" i="13"/>
  <c r="M36" i="4"/>
  <c r="M28" i="4"/>
  <c r="M44" i="4"/>
  <c r="N52" i="4"/>
  <c r="N48" i="4"/>
  <c r="N38" i="4"/>
  <c r="N24" i="4"/>
  <c r="F126" i="5"/>
  <c r="H126" i="5"/>
  <c r="E126" i="5"/>
  <c r="I126" i="5"/>
  <c r="G126" i="5"/>
  <c r="I60" i="5"/>
  <c r="H60" i="5"/>
  <c r="G60" i="5"/>
  <c r="F60" i="5"/>
  <c r="E60" i="5"/>
  <c r="H53" i="5"/>
  <c r="G53" i="5"/>
  <c r="I53" i="5"/>
  <c r="F53" i="5"/>
  <c r="E53" i="5"/>
  <c r="E56" i="5"/>
  <c r="G56" i="5"/>
  <c r="I56" i="5"/>
  <c r="F56" i="5"/>
  <c r="H56" i="5"/>
  <c r="H118" i="5"/>
  <c r="G118" i="5"/>
  <c r="F118" i="5"/>
  <c r="I118" i="5"/>
  <c r="E118" i="5"/>
  <c r="H73" i="5"/>
  <c r="F73" i="5"/>
  <c r="G73" i="5"/>
  <c r="E73" i="5"/>
  <c r="I73" i="5"/>
  <c r="G17" i="5"/>
  <c r="I17" i="5"/>
  <c r="H17" i="5"/>
  <c r="F17" i="5"/>
  <c r="E17" i="5"/>
  <c r="F88" i="5"/>
  <c r="I88" i="5"/>
  <c r="H88" i="5"/>
  <c r="G88" i="5"/>
  <c r="E88" i="5"/>
  <c r="G113" i="5"/>
  <c r="H113" i="5"/>
  <c r="F113" i="5"/>
  <c r="I113" i="5"/>
  <c r="E113" i="5"/>
  <c r="E91" i="5"/>
  <c r="I91" i="5"/>
  <c r="F91" i="5"/>
  <c r="H91" i="5"/>
  <c r="G91" i="5"/>
  <c r="E86" i="5"/>
  <c r="I86" i="5"/>
  <c r="H86" i="5"/>
  <c r="G86" i="5"/>
  <c r="F86" i="5"/>
  <c r="G50" i="5"/>
  <c r="I50" i="5"/>
  <c r="E50" i="5"/>
  <c r="H50" i="5"/>
  <c r="F50" i="5"/>
  <c r="E5" i="5"/>
  <c r="G5" i="5"/>
  <c r="F5" i="5"/>
  <c r="I5" i="5"/>
  <c r="H5" i="5"/>
  <c r="E41" i="5"/>
  <c r="H41" i="5"/>
  <c r="G41" i="5"/>
  <c r="I41" i="5"/>
  <c r="F41" i="5"/>
  <c r="G12" i="5"/>
  <c r="E12" i="5"/>
  <c r="I12" i="5"/>
  <c r="H12" i="5"/>
  <c r="F12" i="5"/>
  <c r="M15" i="4"/>
  <c r="N35" i="4"/>
  <c r="M26" i="4"/>
  <c r="M18" i="4"/>
  <c r="O73" i="13"/>
  <c r="N73" i="13"/>
  <c r="O23" i="13"/>
  <c r="P23" i="13"/>
  <c r="N23" i="13"/>
  <c r="M53" i="4"/>
  <c r="N46" i="4"/>
  <c r="M20" i="4"/>
  <c r="N50" i="4"/>
  <c r="N17" i="4"/>
  <c r="N42" i="4"/>
  <c r="N22" i="4"/>
  <c r="F44" i="5"/>
  <c r="G44" i="5"/>
  <c r="H44" i="5"/>
  <c r="I44" i="5"/>
  <c r="E44" i="5"/>
  <c r="H19" i="5"/>
  <c r="F19" i="5"/>
  <c r="G19" i="5"/>
  <c r="E19" i="5"/>
  <c r="I19" i="5"/>
  <c r="G92" i="5"/>
  <c r="F92" i="5"/>
  <c r="E92" i="5"/>
  <c r="H92" i="5"/>
  <c r="I92" i="5"/>
  <c r="I52" i="5"/>
  <c r="F52" i="5"/>
  <c r="G52" i="5"/>
  <c r="E52" i="5"/>
  <c r="H52" i="5"/>
  <c r="H121" i="5"/>
  <c r="E121" i="5"/>
  <c r="F121" i="5"/>
  <c r="I121" i="5"/>
  <c r="G121" i="5"/>
  <c r="F14" i="5"/>
  <c r="E14" i="5"/>
  <c r="H14" i="5"/>
  <c r="I14" i="5"/>
  <c r="G14" i="5"/>
  <c r="H74" i="5"/>
  <c r="G74" i="5"/>
  <c r="I74" i="5"/>
  <c r="F74" i="5"/>
  <c r="E74" i="5"/>
  <c r="F47" i="5"/>
  <c r="I47" i="5"/>
  <c r="G47" i="5"/>
  <c r="E47" i="5"/>
  <c r="H47" i="5"/>
  <c r="I22" i="5"/>
  <c r="E22" i="5"/>
  <c r="F22" i="5"/>
  <c r="G22" i="5"/>
  <c r="H22" i="5"/>
  <c r="F25" i="5"/>
  <c r="I25" i="5"/>
  <c r="E25" i="5"/>
  <c r="G25" i="5"/>
  <c r="H25" i="5"/>
  <c r="G114" i="5"/>
  <c r="F114" i="5"/>
  <c r="E114" i="5"/>
  <c r="I114" i="5"/>
  <c r="H114" i="5"/>
  <c r="H72" i="5"/>
  <c r="F72" i="5"/>
  <c r="G72" i="5"/>
  <c r="E72" i="5"/>
  <c r="I72" i="5"/>
  <c r="I40" i="5"/>
  <c r="H40" i="5"/>
  <c r="F40" i="5"/>
  <c r="E40" i="5"/>
  <c r="G40" i="5"/>
  <c r="E11" i="5"/>
  <c r="G11" i="5"/>
  <c r="H11" i="5"/>
  <c r="F11" i="5"/>
  <c r="I11" i="5"/>
  <c r="H81" i="5"/>
  <c r="I81" i="5"/>
  <c r="E81" i="5"/>
  <c r="G81" i="5"/>
  <c r="F81" i="5"/>
  <c r="N15" i="4"/>
  <c r="M35" i="4"/>
  <c r="N26" i="4"/>
  <c r="N18" i="4"/>
  <c r="O78" i="13"/>
  <c r="N78" i="13"/>
  <c r="P19" i="13"/>
  <c r="O19" i="13"/>
  <c r="N19" i="13"/>
  <c r="N53" i="4"/>
  <c r="M46" i="4"/>
  <c r="N20" i="4"/>
  <c r="M50" i="4"/>
  <c r="M17" i="4"/>
  <c r="M42" i="4"/>
  <c r="M22" i="4"/>
  <c r="E43" i="5"/>
  <c r="I43" i="5"/>
  <c r="H43" i="5"/>
  <c r="G43" i="5"/>
  <c r="F43" i="5"/>
  <c r="E32" i="5"/>
  <c r="F32" i="5"/>
  <c r="G32" i="5"/>
  <c r="H32" i="5"/>
  <c r="I32" i="5"/>
  <c r="F76" i="5"/>
  <c r="I76" i="5"/>
  <c r="E76" i="5"/>
  <c r="G76" i="5"/>
  <c r="H76" i="5"/>
  <c r="F98" i="5"/>
  <c r="I98" i="5"/>
  <c r="G98" i="5"/>
  <c r="E98" i="5"/>
  <c r="H98" i="5"/>
  <c r="F102" i="5"/>
  <c r="I102" i="5"/>
  <c r="G102" i="5"/>
  <c r="H102" i="5"/>
  <c r="E102" i="5"/>
  <c r="E83" i="5"/>
  <c r="G83" i="5"/>
  <c r="I83" i="5"/>
  <c r="F83" i="5"/>
  <c r="H83" i="5"/>
  <c r="F103" i="5"/>
  <c r="H103" i="5"/>
  <c r="G103" i="5"/>
  <c r="I103" i="5"/>
  <c r="E103" i="5"/>
  <c r="F75" i="5"/>
  <c r="G75" i="5"/>
  <c r="E75" i="5"/>
  <c r="H75" i="5"/>
  <c r="I75" i="5"/>
  <c r="H36" i="5"/>
  <c r="I36" i="5"/>
  <c r="G36" i="5"/>
  <c r="F36" i="5"/>
  <c r="E36" i="5"/>
  <c r="H38" i="5"/>
  <c r="F38" i="5"/>
  <c r="E38" i="5"/>
  <c r="I38" i="5"/>
  <c r="G38" i="5"/>
  <c r="I7" i="5"/>
  <c r="E7" i="5"/>
  <c r="H7" i="5"/>
  <c r="G7" i="5"/>
  <c r="F7" i="5"/>
  <c r="E79" i="5"/>
  <c r="F79" i="5"/>
  <c r="G79" i="5"/>
  <c r="H79" i="5"/>
  <c r="I79" i="5"/>
  <c r="F110" i="5"/>
  <c r="G110" i="5"/>
  <c r="H110" i="5"/>
  <c r="I110" i="5"/>
  <c r="E110" i="5"/>
  <c r="E104" i="5"/>
  <c r="F104" i="5"/>
  <c r="I104" i="5"/>
  <c r="H104" i="5"/>
  <c r="G104" i="5"/>
  <c r="E31" i="5"/>
  <c r="F31" i="5"/>
  <c r="H31" i="5"/>
  <c r="I31" i="5"/>
  <c r="G31" i="5"/>
  <c r="N27" i="4"/>
  <c r="M23" i="4"/>
  <c r="N74" i="13"/>
  <c r="O74" i="13"/>
  <c r="N41" i="4"/>
  <c r="N31" i="4"/>
  <c r="M16" i="4"/>
  <c r="M55" i="4"/>
  <c r="M47" i="4"/>
  <c r="M34" i="4"/>
  <c r="I29" i="5"/>
  <c r="F29" i="5"/>
  <c r="E29" i="5"/>
  <c r="H29" i="5"/>
  <c r="G29" i="5"/>
  <c r="F77" i="5"/>
  <c r="I77" i="5"/>
  <c r="G77" i="5"/>
  <c r="H77" i="5"/>
  <c r="E77" i="5"/>
  <c r="E20" i="5"/>
  <c r="H20" i="5"/>
  <c r="F20" i="5"/>
  <c r="I20" i="5"/>
  <c r="G20" i="5"/>
  <c r="G105" i="5"/>
  <c r="I105" i="5"/>
  <c r="F105" i="5"/>
  <c r="E105" i="5"/>
  <c r="H105" i="5"/>
  <c r="H49" i="5"/>
  <c r="G49" i="5"/>
  <c r="I49" i="5"/>
  <c r="E49" i="5"/>
  <c r="F49" i="5"/>
  <c r="E66" i="5"/>
  <c r="F66" i="5"/>
  <c r="I66" i="5"/>
  <c r="G66" i="5"/>
  <c r="H66" i="5"/>
  <c r="F69" i="5"/>
  <c r="E69" i="5"/>
  <c r="G69" i="5"/>
  <c r="I69" i="5"/>
  <c r="H69" i="5"/>
  <c r="F16" i="5"/>
  <c r="E16" i="5"/>
  <c r="G16" i="5"/>
  <c r="H16" i="5"/>
  <c r="I16" i="5"/>
  <c r="H95" i="5"/>
  <c r="I95" i="5"/>
  <c r="G95" i="5"/>
  <c r="F95" i="5"/>
  <c r="E95" i="5"/>
  <c r="H87" i="5"/>
  <c r="G87" i="5"/>
  <c r="E87" i="5"/>
  <c r="F87" i="5"/>
  <c r="I87" i="5"/>
  <c r="E120" i="5"/>
  <c r="G120" i="5"/>
  <c r="I120" i="5"/>
  <c r="F120" i="5"/>
  <c r="H120" i="5"/>
  <c r="F115" i="5"/>
  <c r="H115" i="5"/>
  <c r="E115" i="5"/>
  <c r="G115" i="5"/>
  <c r="I115" i="5"/>
  <c r="M27" i="4"/>
  <c r="N76" i="13"/>
  <c r="O76" i="13"/>
  <c r="M41" i="4"/>
  <c r="M56" i="4"/>
  <c r="N55" i="4"/>
  <c r="F13" i="5"/>
  <c r="E13" i="5"/>
  <c r="H13" i="5"/>
  <c r="I13" i="5"/>
  <c r="G13" i="5"/>
  <c r="I6" i="5"/>
  <c r="E6" i="5"/>
  <c r="G6" i="5"/>
  <c r="H6" i="5"/>
  <c r="F6" i="5"/>
  <c r="H48" i="5"/>
  <c r="I48" i="5"/>
  <c r="E48" i="5"/>
  <c r="F48" i="5"/>
  <c r="G48" i="5"/>
  <c r="G80" i="5"/>
  <c r="F80" i="5"/>
  <c r="E80" i="5"/>
  <c r="I80" i="5"/>
  <c r="H80" i="5"/>
  <c r="F125" i="5"/>
  <c r="I125" i="5"/>
  <c r="G125" i="5"/>
  <c r="H125" i="5"/>
  <c r="E125" i="5"/>
  <c r="I85" i="5"/>
  <c r="F85" i="5"/>
  <c r="H85" i="5"/>
  <c r="G85" i="5"/>
  <c r="E85" i="5"/>
  <c r="G124" i="5"/>
  <c r="F124" i="5"/>
  <c r="I124" i="5"/>
  <c r="H124" i="5"/>
  <c r="E124" i="5"/>
  <c r="N56" i="4"/>
  <c r="E119" i="5"/>
  <c r="F119" i="5"/>
  <c r="H119" i="5"/>
  <c r="G119" i="5"/>
  <c r="I119" i="5"/>
  <c r="N23" i="4"/>
  <c r="M31" i="4"/>
  <c r="N47" i="4"/>
  <c r="F23" i="5"/>
  <c r="H23" i="5"/>
  <c r="E23" i="5"/>
  <c r="G23" i="5"/>
  <c r="I23" i="5"/>
  <c r="E45" i="5"/>
  <c r="G45" i="5"/>
  <c r="F45" i="5"/>
  <c r="I45" i="5"/>
  <c r="H45" i="5"/>
  <c r="F61" i="5"/>
  <c r="E61" i="5"/>
  <c r="G61" i="5"/>
  <c r="I61" i="5"/>
  <c r="H61" i="5"/>
  <c r="F64" i="5"/>
  <c r="I64" i="5"/>
  <c r="E64" i="5"/>
  <c r="G64" i="5"/>
  <c r="H64" i="5"/>
  <c r="G122" i="5"/>
  <c r="I122" i="5"/>
  <c r="H122" i="5"/>
  <c r="E122" i="5"/>
  <c r="F122" i="5"/>
  <c r="N21" i="4"/>
  <c r="G57" i="5"/>
  <c r="E57" i="5"/>
  <c r="H57" i="5"/>
  <c r="F57" i="5"/>
  <c r="I57" i="5"/>
  <c r="G18" i="5"/>
  <c r="I18" i="5"/>
  <c r="H18" i="5"/>
  <c r="F18" i="5"/>
  <c r="E18" i="5"/>
  <c r="I123" i="5"/>
  <c r="H123" i="5"/>
  <c r="G123" i="5"/>
  <c r="F123" i="5"/>
  <c r="E123" i="5"/>
  <c r="M21" i="4"/>
  <c r="N16" i="4"/>
  <c r="N34" i="4"/>
  <c r="G28" i="5"/>
  <c r="I28" i="5"/>
  <c r="H28" i="5"/>
  <c r="F28" i="5"/>
  <c r="E28" i="5"/>
  <c r="F26" i="5"/>
  <c r="G26" i="5"/>
  <c r="H26" i="5"/>
  <c r="E26" i="5"/>
  <c r="I26" i="5"/>
  <c r="I24" i="5"/>
  <c r="H24" i="5"/>
  <c r="E24" i="5"/>
  <c r="F24" i="5"/>
  <c r="G24" i="5"/>
  <c r="I108" i="5"/>
  <c r="H108" i="5"/>
  <c r="E108" i="5"/>
  <c r="G108" i="5"/>
  <c r="F108" i="5"/>
  <c r="R76" i="13" l="1"/>
  <c r="R74" i="13"/>
  <c r="R78" i="13"/>
  <c r="R73" i="13"/>
  <c r="R75" i="13"/>
  <c r="R77" i="13"/>
  <c r="S76" i="13"/>
  <c r="T76" i="13" s="1"/>
  <c r="S78" i="13"/>
  <c r="T78" i="13" s="1"/>
  <c r="S77" i="13"/>
  <c r="T77" i="13" s="1"/>
  <c r="M27" i="13" l="1" a="1"/>
  <c r="M32" i="13"/>
  <c r="M30" i="13"/>
  <c r="M48" i="13"/>
  <c r="M47" i="13"/>
  <c r="M51" i="13"/>
  <c r="M45" i="13"/>
  <c r="M31" i="13"/>
  <c r="M42" i="13"/>
  <c r="M44" i="13"/>
  <c r="M59" i="13"/>
  <c r="M54" i="13"/>
  <c r="M37" i="13"/>
  <c r="M55" i="13"/>
  <c r="M36" i="13"/>
  <c r="M50" i="13"/>
  <c r="M39" i="13"/>
  <c r="M40" i="13"/>
  <c r="M53" i="13"/>
  <c r="M52" i="13"/>
  <c r="M49" i="13"/>
  <c r="M57" i="13"/>
  <c r="M35" i="13"/>
  <c r="M58" i="13"/>
  <c r="M60" i="13"/>
  <c r="M29" i="13"/>
  <c r="M33" i="13"/>
  <c r="M46" i="13"/>
  <c r="M27" i="13"/>
  <c r="M41" i="13"/>
  <c r="M34" i="13"/>
  <c r="M28" i="13"/>
  <c r="M56" i="13"/>
  <c r="M38" i="13"/>
  <c r="M43" i="13"/>
  <c r="P32" i="13"/>
  <c r="P44" i="13"/>
  <c r="P40" i="13"/>
  <c r="P29" i="13"/>
  <c r="P38" i="13"/>
  <c r="P53" i="13"/>
  <c r="P33" i="13"/>
  <c r="P46" i="13"/>
  <c r="P47" i="13"/>
  <c r="P27" i="13"/>
  <c r="P57" i="13"/>
  <c r="P50" i="13"/>
  <c r="P28" i="13"/>
  <c r="P42" i="13"/>
  <c r="P60" i="13"/>
  <c r="P30" i="13"/>
  <c r="P59" i="13"/>
  <c r="P43" i="13"/>
  <c r="P37" i="13"/>
  <c r="P41" i="13"/>
  <c r="P34" i="13"/>
  <c r="P31" i="13"/>
  <c r="P48" i="13"/>
  <c r="P54" i="13"/>
  <c r="P52" i="13"/>
  <c r="P49" i="13"/>
  <c r="P51" i="13"/>
  <c r="P55" i="13"/>
  <c r="P45" i="13"/>
  <c r="P36" i="13"/>
  <c r="P35" i="13"/>
  <c r="P58" i="13"/>
  <c r="P39" i="13"/>
  <c r="P56" i="13"/>
  <c r="O39" i="13"/>
  <c r="O57" i="13"/>
  <c r="O30" i="13"/>
  <c r="N54" i="13"/>
  <c r="N58" i="13"/>
  <c r="O47" i="13"/>
  <c r="N48" i="13"/>
  <c r="C28" i="6"/>
  <c r="N31" i="13"/>
  <c r="N44" i="13"/>
  <c r="N60" i="13"/>
  <c r="M63" i="13" a="1"/>
  <c r="Q56" i="13" l="1"/>
  <c r="Q39" i="13"/>
  <c r="Q58" i="13"/>
  <c r="Q35" i="13"/>
  <c r="Q36" i="13"/>
  <c r="Q45" i="13"/>
  <c r="Q55" i="13"/>
  <c r="Q51" i="13"/>
  <c r="Q49" i="13"/>
  <c r="Q52" i="13"/>
  <c r="Q54" i="13"/>
  <c r="Q48" i="13"/>
  <c r="Q31" i="13"/>
  <c r="Q34" i="13"/>
  <c r="Q41" i="13"/>
  <c r="Q37" i="13"/>
  <c r="Q43" i="13"/>
  <c r="Q59" i="13"/>
  <c r="Q30" i="13"/>
  <c r="Q60" i="13"/>
  <c r="Q42" i="13"/>
  <c r="Q28" i="13"/>
  <c r="Q50" i="13"/>
  <c r="Q57" i="13"/>
  <c r="Q27" i="13"/>
  <c r="Q47" i="13"/>
  <c r="Q46" i="13"/>
  <c r="Q33" i="13"/>
  <c r="Q53" i="13"/>
  <c r="Q38" i="13"/>
  <c r="Q29" i="13"/>
  <c r="Q40" i="13"/>
  <c r="Q44" i="13"/>
  <c r="Q32" i="13"/>
  <c r="M69" i="13"/>
  <c r="M65" i="13"/>
  <c r="M67" i="13"/>
  <c r="M64" i="13"/>
  <c r="M66" i="13"/>
  <c r="M68" i="13"/>
  <c r="M63" i="13"/>
  <c r="M70" i="13"/>
  <c r="O32" i="13"/>
  <c r="O44" i="13"/>
  <c r="O31" i="13"/>
  <c r="N55" i="13"/>
  <c r="O41" i="13"/>
  <c r="N50" i="13"/>
  <c r="N56" i="13"/>
  <c r="N30" i="13"/>
  <c r="N41" i="13"/>
  <c r="O60" i="13"/>
  <c r="O46" i="13"/>
  <c r="N46" i="13"/>
  <c r="N28" i="13"/>
  <c r="O29" i="13"/>
  <c r="O53" i="13"/>
  <c r="N38" i="13"/>
  <c r="O43" i="13"/>
  <c r="O55" i="13"/>
  <c r="N37" i="13"/>
  <c r="O52" i="13"/>
  <c r="O40" i="13"/>
  <c r="O51" i="13"/>
  <c r="N35" i="13"/>
  <c r="N47" i="13"/>
  <c r="D14" i="6"/>
  <c r="P73" i="13"/>
  <c r="P78" i="13"/>
  <c r="C27" i="6"/>
  <c r="AB17" i="13"/>
  <c r="AB19" i="13" a="1"/>
  <c r="D30" i="6"/>
  <c r="N32" i="13"/>
  <c r="J1" i="5" a="1"/>
  <c r="AB115" i="13" l="1"/>
  <c r="AB3229" i="13"/>
  <c r="AB2804" i="13"/>
  <c r="AB1599" i="13"/>
  <c r="AB1312" i="13"/>
  <c r="AB3252" i="13"/>
  <c r="AB419" i="13"/>
  <c r="AB2022" i="13"/>
  <c r="AB1663" i="13"/>
  <c r="AB2972" i="13"/>
  <c r="AB3126" i="13"/>
  <c r="AB1452" i="13"/>
  <c r="AB1002" i="13"/>
  <c r="AB1881" i="13"/>
  <c r="AB2191" i="13"/>
  <c r="AB3544" i="13"/>
  <c r="AB3522" i="13"/>
  <c r="AB1293" i="13"/>
  <c r="AB857" i="13"/>
  <c r="AB3199" i="13"/>
  <c r="AB2359" i="13"/>
  <c r="AB1515" i="13"/>
  <c r="AB1176" i="13"/>
  <c r="AB3475" i="13"/>
  <c r="AB283" i="13"/>
  <c r="AB3163" i="13"/>
  <c r="AB1839" i="13"/>
  <c r="AB751" i="13"/>
  <c r="AB2435" i="13"/>
  <c r="AB1972" i="13"/>
  <c r="AB2584" i="13"/>
  <c r="AB1296" i="13"/>
  <c r="AB3115" i="13"/>
  <c r="AB96" i="13"/>
  <c r="AB245" i="13"/>
  <c r="AB495" i="13"/>
  <c r="AB1592" i="13"/>
  <c r="AB2520" i="13"/>
  <c r="AB517" i="13"/>
  <c r="AB433" i="13"/>
  <c r="AB2224" i="13"/>
  <c r="AB3506" i="13"/>
  <c r="AB504" i="13"/>
  <c r="AB1531" i="13"/>
  <c r="AB2262" i="13"/>
  <c r="AB2381" i="13"/>
  <c r="AB3182" i="13"/>
  <c r="AB1824" i="13"/>
  <c r="AB2715" i="13"/>
  <c r="AB3331" i="13"/>
  <c r="AB1054" i="13"/>
  <c r="AB193" i="13"/>
  <c r="AB1492" i="13"/>
  <c r="AB740" i="13"/>
  <c r="AB329" i="13"/>
  <c r="AB2701" i="13"/>
  <c r="AB2824" i="13"/>
  <c r="AB173" i="13"/>
  <c r="AB3263" i="13"/>
  <c r="AB2110" i="13"/>
  <c r="AB2060" i="13"/>
  <c r="AB3417" i="13"/>
  <c r="AB3509" i="13"/>
  <c r="AB170" i="13"/>
  <c r="AB522" i="13"/>
  <c r="AB1000" i="13"/>
  <c r="AB2259" i="13"/>
  <c r="AB1553" i="13"/>
  <c r="AB1019" i="13"/>
  <c r="AB2076" i="13"/>
  <c r="AB1975" i="13"/>
  <c r="AB3170" i="13"/>
  <c r="AB219" i="13"/>
  <c r="AB866" i="13"/>
  <c r="AB2248" i="13"/>
  <c r="AB1068" i="13"/>
  <c r="AB50" i="13"/>
  <c r="AB1305" i="13"/>
  <c r="AB3354" i="13"/>
  <c r="AB2714" i="13"/>
  <c r="AB203" i="13"/>
  <c r="AB2582" i="13"/>
  <c r="AB2980" i="13"/>
  <c r="AB2578" i="13"/>
  <c r="AB2585" i="13"/>
  <c r="AB1218" i="13"/>
  <c r="AB420" i="13"/>
  <c r="AB2658" i="13"/>
  <c r="AB3223" i="13"/>
  <c r="AB3466" i="13"/>
  <c r="AB1624" i="13"/>
  <c r="AB2734" i="13"/>
  <c r="AB1456" i="13"/>
  <c r="AB2211" i="13"/>
  <c r="AB2892" i="13"/>
  <c r="AB2995" i="13"/>
  <c r="AB771" i="13"/>
  <c r="AB1534" i="13"/>
  <c r="AB1126" i="13"/>
  <c r="AB1028" i="13"/>
  <c r="AB2659" i="13"/>
  <c r="AB2983" i="13"/>
  <c r="AB3348" i="13"/>
  <c r="AB973" i="13"/>
  <c r="AB247" i="13"/>
  <c r="AB1998" i="13"/>
  <c r="AB89" i="13"/>
  <c r="AB1661" i="13"/>
  <c r="AB169" i="13"/>
  <c r="AB1060" i="13"/>
  <c r="AB1004" i="13"/>
  <c r="AB2650" i="13"/>
  <c r="AB489" i="13"/>
  <c r="AB932" i="13"/>
  <c r="AB3095" i="13"/>
  <c r="AB277" i="13"/>
  <c r="AB869" i="13"/>
  <c r="AB1097" i="13"/>
  <c r="AB1234" i="13"/>
  <c r="AB2880" i="13"/>
  <c r="AB817" i="13"/>
  <c r="AB2271" i="13"/>
  <c r="AB2125" i="13"/>
  <c r="AB2253" i="13"/>
  <c r="AB280" i="13"/>
  <c r="AB2833" i="13"/>
  <c r="AB222" i="13"/>
  <c r="AB2677" i="13"/>
  <c r="AB3114" i="13"/>
  <c r="AB2513" i="13"/>
  <c r="AB2887" i="13"/>
  <c r="AB602" i="13"/>
  <c r="AB3388" i="13"/>
  <c r="AB3213" i="13"/>
  <c r="AB1762" i="13"/>
  <c r="AB987" i="13"/>
  <c r="AB1330" i="13"/>
  <c r="AB2656" i="13"/>
  <c r="AB1644" i="13"/>
  <c r="AB3546" i="13"/>
  <c r="AB2858" i="13"/>
  <c r="AB251" i="13"/>
  <c r="AB2190" i="13"/>
  <c r="AB2245" i="13"/>
  <c r="AB128" i="13"/>
  <c r="AB2370" i="13"/>
  <c r="AB1865" i="13"/>
  <c r="AB448" i="13"/>
  <c r="AB3030" i="13"/>
  <c r="AB3046" i="13"/>
  <c r="AB3356" i="13"/>
  <c r="AB3079" i="13"/>
  <c r="AB3167" i="13"/>
  <c r="AB2517" i="13"/>
  <c r="AB2572" i="13"/>
  <c r="AB3462" i="13"/>
  <c r="AB361" i="13"/>
  <c r="AB346" i="13"/>
  <c r="AB1989" i="13"/>
  <c r="AB3317" i="13"/>
  <c r="AB1103" i="13"/>
  <c r="AB439" i="13"/>
  <c r="AB1309" i="13"/>
  <c r="AB1379" i="13"/>
  <c r="AB906" i="13"/>
  <c r="AB387" i="13"/>
  <c r="AB367" i="13"/>
  <c r="AB1867" i="13"/>
  <c r="AB2234" i="13"/>
  <c r="AB2243" i="13"/>
  <c r="AB1358" i="13"/>
  <c r="AB2175" i="13"/>
  <c r="AB1965" i="13"/>
  <c r="AB1533" i="13"/>
  <c r="AB297" i="13"/>
  <c r="AB1348" i="13"/>
  <c r="AB677" i="13"/>
  <c r="AB680" i="13"/>
  <c r="AB2853" i="13"/>
  <c r="AB1130" i="13"/>
  <c r="AB2004" i="13"/>
  <c r="AB2209" i="13"/>
  <c r="AB2107" i="13"/>
  <c r="AB1650" i="13"/>
  <c r="AB1317" i="13"/>
  <c r="AB2369" i="13"/>
  <c r="AB267" i="13"/>
  <c r="AB3143" i="13"/>
  <c r="AB2161" i="13"/>
  <c r="AB575" i="13"/>
  <c r="AB3152" i="13"/>
  <c r="AB3549" i="13"/>
  <c r="AB1918" i="13"/>
  <c r="AB1434" i="13"/>
  <c r="AB2466" i="13"/>
  <c r="AB1303" i="13"/>
  <c r="AB3099" i="13"/>
  <c r="AB3023" i="13"/>
  <c r="AB2388" i="13"/>
  <c r="AB997" i="13"/>
  <c r="AB2376" i="13"/>
  <c r="AB1491" i="13"/>
  <c r="AB519" i="13"/>
  <c r="AB772" i="13"/>
  <c r="AB1551" i="13"/>
  <c r="AB1219" i="13"/>
  <c r="AB1683" i="13"/>
  <c r="AB2035" i="13"/>
  <c r="AB2417" i="13"/>
  <c r="AB1828" i="13"/>
  <c r="AB2721" i="13"/>
  <c r="AB1652" i="13"/>
  <c r="AB2385" i="13"/>
  <c r="AB391" i="13"/>
  <c r="AB1193" i="13"/>
  <c r="AB1793" i="13"/>
  <c r="AB757" i="13"/>
  <c r="AB2337" i="13"/>
  <c r="AB3353" i="13"/>
  <c r="AB754" i="13"/>
  <c r="AB3021" i="13"/>
  <c r="AB183" i="13"/>
  <c r="AB1327" i="13"/>
  <c r="AB3227" i="13"/>
  <c r="AB1953" i="13"/>
  <c r="AB1145" i="13"/>
  <c r="AB1822" i="13"/>
  <c r="AB2919" i="13"/>
  <c r="AB2814" i="13"/>
  <c r="AB1290" i="13"/>
  <c r="AB930" i="13"/>
  <c r="AB3244" i="13"/>
  <c r="AB786" i="13"/>
  <c r="AB2158" i="13"/>
  <c r="AB2498" i="13"/>
  <c r="AB2895" i="13"/>
  <c r="AB2455" i="13"/>
  <c r="AB1487" i="13"/>
  <c r="AB1846" i="13"/>
  <c r="AB3158" i="13"/>
  <c r="AB85" i="13"/>
  <c r="AB714" i="13"/>
  <c r="AB1536" i="13"/>
  <c r="AB980" i="13"/>
  <c r="AB2324" i="13"/>
  <c r="AB2090" i="13"/>
  <c r="AB55" i="13"/>
  <c r="AB1628" i="13"/>
  <c r="AB1759" i="13"/>
  <c r="AB1573" i="13"/>
  <c r="AB1526" i="13"/>
  <c r="AB2507" i="13"/>
  <c r="AB1447" i="13"/>
  <c r="AB1704" i="13"/>
  <c r="AB2306" i="13"/>
  <c r="AB3423" i="13"/>
  <c r="AB3155" i="13"/>
  <c r="AB1548" i="13"/>
  <c r="AB3165" i="13"/>
  <c r="AB3473" i="13"/>
  <c r="AB1286" i="13"/>
  <c r="AB338" i="13"/>
  <c r="AB2754" i="13"/>
  <c r="AB944" i="13"/>
  <c r="AB1805" i="13"/>
  <c r="AB2878" i="13"/>
  <c r="AB3541" i="13"/>
  <c r="AB1845" i="13"/>
  <c r="AB3033" i="13"/>
  <c r="AB2312" i="13"/>
  <c r="AB1631" i="13"/>
  <c r="AB284" i="13"/>
  <c r="AB2429" i="13"/>
  <c r="AB2297" i="13"/>
  <c r="AB2769" i="13"/>
  <c r="AB1688" i="13"/>
  <c r="AB2331" i="13"/>
  <c r="AB1748" i="13"/>
  <c r="AB2706" i="13"/>
  <c r="AB3336" i="13"/>
  <c r="AB2772" i="13"/>
  <c r="AB863" i="13"/>
  <c r="AB2984" i="13"/>
  <c r="AB702" i="13"/>
  <c r="AB2235" i="13"/>
  <c r="AB1199" i="13"/>
  <c r="AB896" i="13"/>
  <c r="AB1855" i="13"/>
  <c r="AB3117" i="13"/>
  <c r="AB1716" i="13"/>
  <c r="AB1818" i="13"/>
  <c r="AB1883" i="13"/>
  <c r="AB1736" i="13"/>
  <c r="AB600" i="13"/>
  <c r="AB2149" i="13"/>
  <c r="AB3484" i="13"/>
  <c r="AB3454" i="13"/>
  <c r="AB2729" i="13"/>
  <c r="AB1507" i="13"/>
  <c r="AB1991" i="13"/>
  <c r="AB3111" i="13"/>
  <c r="AB2484" i="13"/>
  <c r="AB1148" i="13"/>
  <c r="AB2034" i="13"/>
  <c r="AB1105" i="13"/>
  <c r="AB3425" i="13"/>
  <c r="AB1497" i="13"/>
  <c r="AB1727" i="13"/>
  <c r="AB2519" i="13"/>
  <c r="AB2410" i="13"/>
  <c r="AB668" i="13"/>
  <c r="AB3301" i="13"/>
  <c r="AB2986" i="13"/>
  <c r="AB43" i="13"/>
  <c r="AB150" i="13"/>
  <c r="AB2017" i="13"/>
  <c r="AB3180" i="13"/>
  <c r="AB2662" i="13"/>
  <c r="AB935" i="13"/>
  <c r="AB2430" i="13"/>
  <c r="AB3449" i="13"/>
  <c r="AB2416" i="13"/>
  <c r="AB2599" i="13"/>
  <c r="AB1987" i="13"/>
  <c r="AB1251" i="13"/>
  <c r="AB3089" i="13"/>
  <c r="AB634" i="13"/>
  <c r="AB2214" i="13"/>
  <c r="AB396" i="13"/>
  <c r="AB1870" i="13"/>
  <c r="AB802" i="13"/>
  <c r="AB1198" i="13"/>
  <c r="AB82" i="13"/>
  <c r="AB732" i="13"/>
  <c r="AB1223" i="13"/>
  <c r="AB711" i="13"/>
  <c r="AB1478" i="13"/>
  <c r="AB2606" i="13"/>
  <c r="AB2378" i="13"/>
  <c r="AB189" i="13"/>
  <c r="AB2832" i="13"/>
  <c r="AB853" i="13"/>
  <c r="AB1294" i="13"/>
  <c r="AB2755" i="13"/>
  <c r="AB3343" i="13"/>
  <c r="AB2893" i="13"/>
  <c r="AB2364" i="13"/>
  <c r="AB107" i="13"/>
  <c r="AB1723" i="13"/>
  <c r="AB2097" i="13"/>
  <c r="AB1415" i="13"/>
  <c r="AB54" i="13"/>
  <c r="AB2486" i="13"/>
  <c r="AB276" i="13"/>
  <c r="AB2929" i="13"/>
  <c r="AB2743" i="13"/>
  <c r="AB2635" i="13"/>
  <c r="AB687" i="13"/>
  <c r="AB3334" i="13"/>
  <c r="AB834" i="13"/>
  <c r="AB3232" i="13"/>
  <c r="AB1974" i="13"/>
  <c r="AB260" i="13"/>
  <c r="AB2333" i="13"/>
  <c r="AB2441" i="13"/>
  <c r="AB1711" i="13"/>
  <c r="AB485" i="13"/>
  <c r="AB512" i="13"/>
  <c r="AB1721" i="13"/>
  <c r="AB3226" i="13"/>
  <c r="AB862" i="13"/>
  <c r="AB215" i="13"/>
  <c r="AB2791" i="13"/>
  <c r="AB342" i="13"/>
  <c r="AB2864" i="13"/>
  <c r="AB2199" i="13"/>
  <c r="AB2144" i="13"/>
  <c r="AB1053" i="13"/>
  <c r="AB1927" i="13"/>
  <c r="AB2469" i="13"/>
  <c r="AB3460" i="13"/>
  <c r="AB722" i="13"/>
  <c r="AB2392" i="13"/>
  <c r="AB1981" i="13"/>
  <c r="AB628" i="13"/>
  <c r="AB674" i="13"/>
  <c r="AB2257" i="13"/>
  <c r="AB3019" i="13"/>
  <c r="AB2549" i="13"/>
  <c r="AB995" i="13"/>
  <c r="AB2456" i="13"/>
  <c r="AB2794" i="13"/>
  <c r="AB3310" i="13"/>
  <c r="AB735" i="13"/>
  <c r="AB2140" i="13"/>
  <c r="AB1284" i="13"/>
  <c r="AB1232" i="13"/>
  <c r="AB2674" i="13"/>
  <c r="AB1645" i="13"/>
  <c r="AB3512" i="13"/>
  <c r="AB2966" i="13"/>
  <c r="AB839" i="13"/>
  <c r="AB1931" i="13"/>
  <c r="AB559" i="13"/>
  <c r="AB778" i="13"/>
  <c r="AB532" i="13"/>
  <c r="AB3250" i="13"/>
  <c r="AB2906" i="13"/>
  <c r="AB1797" i="13"/>
  <c r="AB951" i="13"/>
  <c r="AB2720" i="13"/>
  <c r="AB531" i="13"/>
  <c r="AB2525" i="13"/>
  <c r="AB2323" i="13"/>
  <c r="AB457" i="13"/>
  <c r="AB268" i="13"/>
  <c r="AB1441" i="13"/>
  <c r="AB551" i="13"/>
  <c r="AB386" i="13"/>
  <c r="AB2133" i="13"/>
  <c r="AB1414" i="13"/>
  <c r="AB2881" i="13"/>
  <c r="AB750" i="13"/>
  <c r="AB3442" i="13"/>
  <c r="AB3088" i="13"/>
  <c r="AB483" i="13"/>
  <c r="AB3536" i="13"/>
  <c r="AB978" i="13"/>
  <c r="AB1372" i="13"/>
  <c r="AB3074" i="13"/>
  <c r="AB2797" i="13"/>
  <c r="AB665" i="13"/>
  <c r="AB2482" i="13"/>
  <c r="AB2913" i="13"/>
  <c r="AB2681" i="13"/>
  <c r="AB2047" i="13"/>
  <c r="AB2460" i="13"/>
  <c r="AB2554" i="13"/>
  <c r="AB1523" i="13"/>
  <c r="AB3140" i="13"/>
  <c r="AB1486" i="13"/>
  <c r="AB1462" i="13"/>
  <c r="AB991" i="13"/>
  <c r="AB3291" i="13"/>
  <c r="AB2852" i="13"/>
  <c r="AB689" i="13"/>
  <c r="AB2702" i="13"/>
  <c r="AB1412" i="13"/>
  <c r="AB2510" i="13"/>
  <c r="AB3548" i="13"/>
  <c r="AB2937" i="13"/>
  <c r="AB847" i="13"/>
  <c r="AB1528" i="13"/>
  <c r="AB2300" i="13"/>
  <c r="AB1428" i="13"/>
  <c r="AB2876" i="13"/>
  <c r="AB888" i="13"/>
  <c r="AB1751" i="13"/>
  <c r="AB632" i="13"/>
  <c r="AB113" i="13"/>
  <c r="AB3188" i="13"/>
  <c r="AB875" i="13"/>
  <c r="AB1538" i="13"/>
  <c r="AB919" i="13"/>
  <c r="AB1283" i="13"/>
  <c r="AB2433" i="13"/>
  <c r="AB2764" i="13"/>
  <c r="AB67" i="13"/>
  <c r="AB726" i="13"/>
  <c r="AB2830" i="13"/>
  <c r="AB2194" i="13"/>
  <c r="AB2950" i="13"/>
  <c r="AB295" i="13"/>
  <c r="AB259" i="13"/>
  <c r="AB1446" i="13"/>
  <c r="AB2885" i="13"/>
  <c r="AB2317" i="13"/>
  <c r="AB98" i="13"/>
  <c r="AB1058" i="13"/>
  <c r="AB1776" i="13"/>
  <c r="AB1703" i="13"/>
  <c r="AB453" i="13"/>
  <c r="AB700" i="13"/>
  <c r="AB2439" i="13"/>
  <c r="AB2365" i="13"/>
  <c r="AB122" i="13"/>
  <c r="AB1895" i="13"/>
  <c r="AB2163" i="13"/>
  <c r="AB3220" i="13"/>
  <c r="AB1259" i="13"/>
  <c r="AB502" i="13"/>
  <c r="AB1178" i="13"/>
  <c r="AB1211" i="13"/>
  <c r="AB255" i="13"/>
  <c r="AB2557" i="13"/>
  <c r="AB3421" i="13"/>
  <c r="AB1823" i="13"/>
  <c r="AB2238" i="13"/>
  <c r="AB380" i="13"/>
  <c r="AB266" i="13"/>
  <c r="AB377" i="13"/>
  <c r="AB1142" i="13"/>
  <c r="AB610" i="13"/>
  <c r="AB718" i="13"/>
  <c r="AB1216" i="13"/>
  <c r="AB2802" i="13"/>
  <c r="AB2091" i="13"/>
  <c r="AB846" i="13"/>
  <c r="AB2718" i="13"/>
  <c r="AB2922" i="13"/>
  <c r="AB685" i="13"/>
  <c r="AB309" i="13"/>
  <c r="AB521" i="13"/>
  <c r="AB1694" i="13"/>
  <c r="AB3189" i="13"/>
  <c r="AB2181" i="13"/>
  <c r="AB3124" i="13"/>
  <c r="AB1374" i="13"/>
  <c r="AB3087" i="13"/>
  <c r="AB1806" i="13"/>
  <c r="AB2106" i="13"/>
  <c r="AB2912" i="13"/>
  <c r="AB1829" i="13"/>
  <c r="AB3024" i="13"/>
  <c r="AB1598" i="13"/>
  <c r="AB112" i="13"/>
  <c r="AB1465" i="13"/>
  <c r="AB793" i="13"/>
  <c r="AB1297" i="13"/>
  <c r="AB2327" i="13"/>
  <c r="AB38" i="13"/>
  <c r="AB2295" i="13"/>
  <c r="AB3215" i="13"/>
  <c r="AB574" i="13"/>
  <c r="AB1755" i="13"/>
  <c r="AB3195" i="13"/>
  <c r="AB2124" i="13"/>
  <c r="AB1874" i="13"/>
  <c r="AB1386" i="13"/>
  <c r="AB2821" i="13"/>
  <c r="AB479" i="13"/>
  <c r="AB1724" i="13"/>
  <c r="AB111" i="13"/>
  <c r="AB3404" i="13"/>
  <c r="AB1680" i="13"/>
  <c r="AB418" i="13"/>
  <c r="AB2478" i="13"/>
  <c r="AB3385" i="13"/>
  <c r="AB2809" i="13"/>
  <c r="AB231" i="13"/>
  <c r="AB716" i="13"/>
  <c r="AB462" i="13"/>
  <c r="AB3160" i="13"/>
  <c r="AB2396" i="13"/>
  <c r="AB1119" i="13"/>
  <c r="AB148" i="13"/>
  <c r="AB1570" i="13"/>
  <c r="AB2083" i="13"/>
  <c r="AB1076" i="13"/>
  <c r="AB2926" i="13"/>
  <c r="AB958" i="13"/>
  <c r="AB1655" i="13"/>
  <c r="AB2357" i="13"/>
  <c r="AB2445" i="13"/>
  <c r="AB2336" i="13"/>
  <c r="AB2492" i="13"/>
  <c r="AB3275" i="13"/>
  <c r="AB3016" i="13"/>
  <c r="AB1809" i="13"/>
  <c r="AB3330" i="13"/>
  <c r="AB2046" i="13"/>
  <c r="AB177" i="13"/>
  <c r="AB3436" i="13"/>
  <c r="AB1229" i="13"/>
  <c r="AB2255" i="13"/>
  <c r="AB2427" i="13"/>
  <c r="AB2069" i="13"/>
  <c r="AB3127" i="13"/>
  <c r="AB3444" i="13"/>
  <c r="AB134" i="13"/>
  <c r="AB3214" i="13"/>
  <c r="AB1984" i="13"/>
  <c r="AB3178" i="13"/>
  <c r="AB536" i="13"/>
  <c r="AB2358" i="13"/>
  <c r="AB2409" i="13"/>
  <c r="AB2760" i="13"/>
  <c r="AB2305" i="13"/>
  <c r="AB3269" i="13"/>
  <c r="AB2375" i="13"/>
  <c r="AB729" i="13"/>
  <c r="AB1848" i="13"/>
  <c r="AB1192" i="13"/>
  <c r="AB1990" i="13"/>
  <c r="AB2041" i="13"/>
  <c r="AB2204" i="13"/>
  <c r="AB1343" i="13"/>
  <c r="AB2820" i="13"/>
  <c r="AB1575" i="13"/>
  <c r="AB2294" i="13"/>
  <c r="AB2509" i="13"/>
  <c r="AB613" i="13"/>
  <c r="AB3052" i="13"/>
  <c r="AB1852" i="13"/>
  <c r="AB3218" i="13"/>
  <c r="AB1406" i="13"/>
  <c r="AB3058" i="13"/>
  <c r="AB2279" i="13"/>
  <c r="AB3363" i="13"/>
  <c r="AB774" i="13"/>
  <c r="AB1783" i="13"/>
  <c r="AB1940" i="13"/>
  <c r="AB3272" i="13"/>
  <c r="AB1619" i="13"/>
  <c r="AB2146" i="13"/>
  <c r="AB3368" i="13"/>
  <c r="AB1129" i="13"/>
  <c r="AB2395" i="13"/>
  <c r="AB2535" i="13"/>
  <c r="AB2131" i="13"/>
  <c r="AB192" i="13"/>
  <c r="AB2959" i="13"/>
  <c r="AB1173" i="13"/>
  <c r="AB2111" i="13"/>
  <c r="AB1654" i="13"/>
  <c r="AB526" i="13"/>
  <c r="AB1407" i="13"/>
  <c r="AB2977" i="13"/>
  <c r="AB2419" i="13"/>
  <c r="AB1578" i="13"/>
  <c r="AB3081" i="13"/>
  <c r="AB2811" i="13"/>
  <c r="AB1049" i="13"/>
  <c r="AB2583" i="13"/>
  <c r="AB2570" i="13"/>
  <c r="AB454" i="13"/>
  <c r="AB2870" i="13"/>
  <c r="AB2771" i="13"/>
  <c r="AB2109" i="13"/>
  <c r="AB3326" i="13"/>
  <c r="AB1083" i="13"/>
  <c r="AB3438" i="13"/>
  <c r="AB1804" i="13"/>
  <c r="AB1271" i="13"/>
  <c r="AB2301" i="13"/>
  <c r="AB1006" i="13"/>
  <c r="AB956" i="13"/>
  <c r="AB1170" i="13"/>
  <c r="AB608" i="13"/>
  <c r="AB2184" i="13"/>
  <c r="AB2231" i="13"/>
  <c r="AB2603" i="13"/>
  <c r="AB678" i="13"/>
  <c r="AB2073" i="13"/>
  <c r="AB877" i="13"/>
  <c r="AB2449" i="13"/>
  <c r="AB71" i="13"/>
  <c r="AB703" i="13"/>
  <c r="AB565" i="13"/>
  <c r="AB2141" i="13"/>
  <c r="AB1702" i="13"/>
  <c r="AB130" i="13"/>
  <c r="AB2561" i="13"/>
  <c r="AB65" i="13"/>
  <c r="AB748" i="13"/>
  <c r="AB1111" i="13"/>
  <c r="AB3465" i="13"/>
  <c r="AB1820" i="13"/>
  <c r="AB1381" i="13"/>
  <c r="AB581" i="13"/>
  <c r="AB1902" i="13"/>
  <c r="AB1339" i="13"/>
  <c r="AB915" i="13"/>
  <c r="AB1008" i="13"/>
  <c r="AB1425" i="13"/>
  <c r="AB567" i="13"/>
  <c r="AB1634" i="13"/>
  <c r="AB2716" i="13"/>
  <c r="AB1394" i="13"/>
  <c r="AB1995" i="13"/>
  <c r="AB923" i="13"/>
  <c r="AB1236" i="13"/>
  <c r="AB2898" i="13"/>
  <c r="AB2623" i="13"/>
  <c r="AB2971" i="13"/>
  <c r="AB3008" i="13"/>
  <c r="AB2405" i="13"/>
  <c r="AB3471" i="13"/>
  <c r="AB1996" i="13"/>
  <c r="AB2533" i="13"/>
  <c r="AB1459" i="13"/>
  <c r="AB3234" i="13"/>
  <c r="AB3370" i="13"/>
  <c r="AB3145" i="13"/>
  <c r="AB506" i="13"/>
  <c r="AB580" i="13"/>
  <c r="AB2483" i="13"/>
  <c r="AB1646" i="13"/>
  <c r="AB1102" i="13"/>
  <c r="AB986" i="13"/>
  <c r="AB1869" i="13"/>
  <c r="AB2055" i="13"/>
  <c r="AB901" i="13"/>
  <c r="AB762" i="13"/>
  <c r="AB75" i="13"/>
  <c r="AB1147" i="13"/>
  <c r="AB46" i="13"/>
  <c r="AB1391" i="13"/>
  <c r="AB646" i="13"/>
  <c r="AB3490" i="13"/>
  <c r="AB1785" i="13"/>
  <c r="AB3239" i="13"/>
  <c r="AB167" i="13"/>
  <c r="AB1854" i="13"/>
  <c r="AB540" i="13"/>
  <c r="AB588" i="13"/>
  <c r="AB1091" i="13"/>
  <c r="AB649" i="13"/>
  <c r="AB975" i="13"/>
  <c r="AB1613" i="13"/>
  <c r="AB2593" i="13"/>
  <c r="AB2568" i="13"/>
  <c r="AB195" i="13"/>
  <c r="AB2846" i="13"/>
  <c r="AB2079" i="13"/>
  <c r="AB3018" i="13"/>
  <c r="AB2644" i="13"/>
  <c r="AB1003" i="13"/>
  <c r="AB905" i="13"/>
  <c r="AB1947" i="13"/>
  <c r="AB949" i="13"/>
  <c r="AB1424" i="13"/>
  <c r="AB3080" i="13"/>
  <c r="AB282" i="13"/>
  <c r="AB3427" i="13"/>
  <c r="AB2815" i="13"/>
  <c r="AB946" i="13"/>
  <c r="AB1637" i="13"/>
  <c r="AB69" i="13"/>
  <c r="AB2001" i="13"/>
  <c r="AB2367" i="13"/>
  <c r="AB1344" i="13"/>
  <c r="AB878" i="13"/>
  <c r="AB1468" i="13"/>
  <c r="AB1964" i="13"/>
  <c r="AB340" i="13"/>
  <c r="AB2452" i="13"/>
  <c r="AB357" i="13"/>
  <c r="AB293" i="13"/>
  <c r="AB3514" i="13"/>
  <c r="AB1248" i="13"/>
  <c r="AB2537" i="13"/>
  <c r="AB2645" i="13"/>
  <c r="AB2063" i="13"/>
  <c r="AB891" i="13"/>
  <c r="AB658" i="13"/>
  <c r="AB226" i="13"/>
  <c r="AB1256" i="13"/>
  <c r="AB900" i="13"/>
  <c r="AB1732" i="13"/>
  <c r="AB2875" i="13"/>
  <c r="AB1903" i="13"/>
  <c r="AB388" i="13"/>
  <c r="AB990" i="13"/>
  <c r="AB2805" i="13"/>
  <c r="AB2757" i="13"/>
  <c r="AB2068" i="13"/>
  <c r="AB151" i="13"/>
  <c r="AB920" i="13"/>
  <c r="AB966" i="13"/>
  <c r="AB322" i="13"/>
  <c r="AB2602" i="13"/>
  <c r="AB1370" i="13"/>
  <c r="AB3543" i="13"/>
  <c r="AB1354" i="13"/>
  <c r="AB3194" i="13"/>
  <c r="AB2699" i="13"/>
  <c r="AB2546" i="13"/>
  <c r="AB2351" i="13"/>
  <c r="AB233" i="13"/>
  <c r="AB1939" i="13"/>
  <c r="AB423" i="13"/>
  <c r="AB2617" i="13"/>
  <c r="AB230" i="13"/>
  <c r="AB682" i="13"/>
  <c r="AB1907" i="13"/>
  <c r="AB937" i="13"/>
  <c r="AB807" i="13"/>
  <c r="AB787" i="13"/>
  <c r="AB3053" i="13"/>
  <c r="AB1261" i="13"/>
  <c r="AB181" i="13"/>
  <c r="AB47" i="13"/>
  <c r="AB2126" i="13"/>
  <c r="AB3207" i="13"/>
  <c r="AB2782" i="13"/>
  <c r="AB2844" i="13"/>
  <c r="AB893" i="13"/>
  <c r="AB2193" i="13"/>
  <c r="AB954" i="13"/>
  <c r="AB2000" i="13"/>
  <c r="AB2038" i="13"/>
  <c r="AB60" i="13"/>
  <c r="AB63" i="13"/>
  <c r="AB625" i="13"/>
  <c r="AB2660" i="13"/>
  <c r="AB1549" i="13"/>
  <c r="AB3420" i="13"/>
  <c r="AB1025" i="13"/>
  <c r="AB2227" i="13"/>
  <c r="AB2663" i="13"/>
  <c r="AB1873" i="13"/>
  <c r="AB3068" i="13"/>
  <c r="AB1160" i="13"/>
  <c r="AB2356" i="13"/>
  <c r="AB33" i="13"/>
  <c r="AB1614" i="13"/>
  <c r="AB3342" i="13"/>
  <c r="AB1445" i="13"/>
  <c r="AB1398" i="13"/>
  <c r="AB2608" i="13"/>
  <c r="AB515" i="13"/>
  <c r="AB1481" i="13"/>
  <c r="AB2597" i="13"/>
  <c r="AB1201" i="13"/>
  <c r="AB3316" i="13"/>
  <c r="AB1036" i="13"/>
  <c r="AB3084" i="13"/>
  <c r="AB2577" i="13"/>
  <c r="AB2188" i="13"/>
  <c r="AB927" i="13"/>
  <c r="AB622" i="13"/>
  <c r="AB629" i="13"/>
  <c r="AB1764" i="13"/>
  <c r="AB3308" i="13"/>
  <c r="AB3231" i="13"/>
  <c r="AB2057" i="13"/>
  <c r="AB2474" i="13"/>
  <c r="AB1980" i="13"/>
  <c r="AB2462" i="13"/>
  <c r="AB2566" i="13"/>
  <c r="AB263" i="13"/>
  <c r="AB733" i="13"/>
  <c r="AB2503" i="13"/>
  <c r="AB1668" i="13"/>
  <c r="AB1030" i="13"/>
  <c r="AB3146" i="13"/>
  <c r="AB1273" i="13"/>
  <c r="AB606" i="13"/>
  <c r="AB133" i="13"/>
  <c r="AB3174" i="13"/>
  <c r="AB1405" i="13"/>
  <c r="AB1743" i="13"/>
  <c r="AB1186" i="13"/>
  <c r="AB2915" i="13"/>
  <c r="AB1479" i="13"/>
  <c r="AB1073" i="13"/>
  <c r="AB299" i="13"/>
  <c r="AB2403" i="13"/>
  <c r="AB2877" i="13"/>
  <c r="AB1190" i="13"/>
  <c r="AB3098" i="13"/>
  <c r="AB633" i="13"/>
  <c r="AB2963" i="13"/>
  <c r="AB3034" i="13"/>
  <c r="AB1426" i="13"/>
  <c r="AB882" i="13"/>
  <c r="AB3319" i="13"/>
  <c r="AB2432" i="13"/>
  <c r="AB766" i="13"/>
  <c r="AB2800" i="13"/>
  <c r="AB1746" i="13"/>
  <c r="AB776" i="13"/>
  <c r="AB2080" i="13"/>
  <c r="AB960" i="13"/>
  <c r="AB2689" i="13"/>
  <c r="AB3259" i="13"/>
  <c r="AB2423" i="13"/>
  <c r="AB1500" i="13"/>
  <c r="AB549" i="13"/>
  <c r="AB1115" i="13"/>
  <c r="AB2286" i="13"/>
  <c r="AB2321" i="13"/>
  <c r="AB871" i="13"/>
  <c r="AB171" i="13"/>
  <c r="AB1537" i="13"/>
  <c r="AB499" i="13"/>
  <c r="AB3156" i="13"/>
  <c r="AB3150" i="13"/>
  <c r="AB3306" i="13"/>
  <c r="AB143" i="13"/>
  <c r="AB2142" i="13"/>
  <c r="AB579" i="13"/>
  <c r="AB77" i="13"/>
  <c r="AB2470" i="13"/>
  <c r="AB2132" i="13"/>
  <c r="AB1052" i="13"/>
  <c r="AB2588" i="13"/>
  <c r="AB577" i="13"/>
  <c r="AB332" i="13"/>
  <c r="AB199" i="13"/>
  <c r="AB909" i="13"/>
  <c r="AB2964" i="13"/>
  <c r="AB1976" i="13"/>
  <c r="AB840" i="13"/>
  <c r="AB1041" i="13"/>
  <c r="AB1280" i="13"/>
  <c r="AB2901" i="13"/>
  <c r="AB1172" i="13"/>
  <c r="AB2845" i="13"/>
  <c r="AB1268" i="13"/>
  <c r="AB1689" i="13"/>
  <c r="AB490" i="13"/>
  <c r="AB2747" i="13"/>
  <c r="AB760" i="13"/>
  <c r="AB2988" i="13"/>
  <c r="AB1959" i="13"/>
  <c r="AB2563" i="13"/>
  <c r="AB243" i="13"/>
  <c r="AB2150" i="13"/>
  <c r="AB3477" i="13"/>
  <c r="AB1281" i="13"/>
  <c r="AB1888" i="13"/>
  <c r="AB2494" i="13"/>
  <c r="AB582" i="13"/>
  <c r="AB2618" i="13"/>
  <c r="AB2310" i="13"/>
  <c r="AB2518" i="13"/>
  <c r="AB2292" i="13"/>
  <c r="AB292" i="13"/>
  <c r="AB3340" i="13"/>
  <c r="AB1910" i="13"/>
  <c r="AB2808" i="13"/>
  <c r="AB144" i="13"/>
  <c r="AB390" i="13"/>
  <c r="AB1967" i="13"/>
  <c r="AB2605" i="13"/>
  <c r="AB3075" i="13"/>
  <c r="AB2062" i="13"/>
  <c r="AB3219" i="13"/>
  <c r="AB1316" i="13"/>
  <c r="AB3012" i="13"/>
  <c r="AB2871" i="13"/>
  <c r="AB1014" i="13"/>
  <c r="AB1141" i="13"/>
  <c r="AB2712" i="13"/>
  <c r="AB816" i="13"/>
  <c r="AB1032" i="13"/>
  <c r="AB1509" i="13"/>
  <c r="AB1938" i="13"/>
  <c r="AB3451" i="13"/>
  <c r="AB1056" i="13"/>
  <c r="AB1048" i="13"/>
  <c r="AB742" i="13"/>
  <c r="AB2786" i="13"/>
  <c r="AB3112" i="13"/>
  <c r="AB2225" i="13"/>
  <c r="AB939" i="13"/>
  <c r="AB586" i="13"/>
  <c r="AB1784" i="13"/>
  <c r="AB2363" i="13"/>
  <c r="AB3439" i="13"/>
  <c r="AB1301" i="13"/>
  <c r="AB2580" i="13"/>
  <c r="AB285" i="13"/>
  <c r="AB3137" i="13"/>
  <c r="AB1009" i="13"/>
  <c r="AB1431" i="13"/>
  <c r="AB1853" i="13"/>
  <c r="AB2368" i="13"/>
  <c r="AB1580" i="13"/>
  <c r="AB950" i="13"/>
  <c r="AB3376" i="13"/>
  <c r="AB1494" i="13"/>
  <c r="AB1081" i="13"/>
  <c r="AB3007" i="13"/>
  <c r="AB3469" i="13"/>
  <c r="AB2027" i="13"/>
  <c r="AB2236" i="13"/>
  <c r="AB2792" i="13"/>
  <c r="AB3241" i="13"/>
  <c r="AB22" i="13"/>
  <c r="AB194" i="13"/>
  <c r="AB1559" i="13"/>
  <c r="AB2831" i="13"/>
  <c r="AB1577" i="13"/>
  <c r="AB1075" i="13"/>
  <c r="AB784" i="13"/>
  <c r="AB903" i="13"/>
  <c r="AB1817" i="13"/>
  <c r="AB599" i="13"/>
  <c r="AB209" i="13"/>
  <c r="AB2927" i="13"/>
  <c r="AB3551" i="13"/>
  <c r="AB1796" i="13"/>
  <c r="AB530" i="13"/>
  <c r="AB1887" i="13"/>
  <c r="AB1769" i="13"/>
  <c r="AB2003" i="13"/>
  <c r="AB3039" i="13"/>
  <c r="AB460" i="13"/>
  <c r="AB1451" i="13"/>
  <c r="AB619" i="13"/>
  <c r="AB2071" i="13"/>
  <c r="AB1182" i="13"/>
  <c r="AB3050" i="13"/>
  <c r="AB2015" i="13"/>
  <c r="AB1404" i="13"/>
  <c r="AB1017" i="13"/>
  <c r="AB3125" i="13"/>
  <c r="AB3535" i="13"/>
  <c r="AB1935" i="13"/>
  <c r="AB3458" i="13"/>
  <c r="AB767" i="13"/>
  <c r="AB2064" i="13"/>
  <c r="AB2872" i="13"/>
  <c r="AB3221" i="13"/>
  <c r="AB2293" i="13"/>
  <c r="AB2767" i="13"/>
  <c r="AB2596" i="13"/>
  <c r="AB1433" i="13"/>
  <c r="AB645" i="13"/>
  <c r="AB547" i="13"/>
  <c r="AB2780" i="13"/>
  <c r="AB3017" i="13"/>
  <c r="AB1659" i="13"/>
  <c r="AB2686" i="13"/>
  <c r="AB496" i="13"/>
  <c r="AB210" i="13"/>
  <c r="AB2632" i="13"/>
  <c r="AB2180" i="13"/>
  <c r="AB523" i="13"/>
  <c r="AB164" i="13"/>
  <c r="AB609" i="13"/>
  <c r="AB1243" i="13"/>
  <c r="AB1525" i="13"/>
  <c r="AB1572" i="13"/>
  <c r="AB129" i="13"/>
  <c r="AB1556" i="13"/>
  <c r="AB2567" i="13"/>
  <c r="AB1905" i="13"/>
  <c r="AB698" i="13"/>
  <c r="AB286" i="13"/>
  <c r="AB650" i="13"/>
  <c r="AB1979" i="13"/>
  <c r="AB136" i="13"/>
  <c r="AB1884" i="13"/>
  <c r="AB2487" i="13"/>
  <c r="AB2798" i="13"/>
  <c r="AB1541" i="13"/>
  <c r="AB1930" i="13"/>
  <c r="AB1638" i="13"/>
  <c r="AB2957" i="13"/>
  <c r="AB2192" i="13"/>
  <c r="AB66" i="13"/>
  <c r="AB3530" i="13"/>
  <c r="AB2450" i="13"/>
  <c r="AB3526" i="13"/>
  <c r="AB290" i="13"/>
  <c r="AB2916" i="13"/>
  <c r="AB1384" i="13"/>
  <c r="AB2806" i="13"/>
  <c r="AB743" i="13"/>
  <c r="AB3394" i="13"/>
  <c r="AB3445" i="13"/>
  <c r="AB1143" i="13"/>
  <c r="AB437" i="13"/>
  <c r="AB1035" i="13"/>
  <c r="AB1469" i="13"/>
  <c r="AB988" i="13"/>
  <c r="AB876" i="13"/>
  <c r="AB3486" i="13"/>
  <c r="AB446" i="13"/>
  <c r="AB520" i="13"/>
  <c r="AB1675" i="13"/>
  <c r="AB159" i="13"/>
  <c r="AB1295" i="13"/>
  <c r="AB2485" i="13"/>
  <c r="AB2267" i="13"/>
  <c r="AB1921" i="13"/>
  <c r="AB1310" i="13"/>
  <c r="AB1983" i="13"/>
  <c r="AB3386" i="13"/>
  <c r="AB1890" i="13"/>
  <c r="AB2260" i="13"/>
  <c r="AB2322" i="13"/>
  <c r="AB1740" i="13"/>
  <c r="AB2428" i="13"/>
  <c r="AB300" i="13"/>
  <c r="AB2269" i="13"/>
  <c r="AB1669" i="13"/>
  <c r="AB3495" i="13"/>
  <c r="AB3122" i="13"/>
  <c r="AB3142" i="13"/>
  <c r="AB2994" i="13"/>
  <c r="AB2112" i="13"/>
  <c r="AB1929" i="13"/>
  <c r="AB2550" i="13"/>
  <c r="AB3519" i="13"/>
  <c r="AB2098" i="13"/>
  <c r="AB3148" i="13"/>
  <c r="AB837" i="13"/>
  <c r="AB250" i="13"/>
  <c r="AB1418" i="13"/>
  <c r="AB1630" i="13"/>
  <c r="AB401" i="13"/>
  <c r="AB1819" i="13"/>
  <c r="AB3131" i="13"/>
  <c r="AB2726" i="13"/>
  <c r="AB870" i="13"/>
  <c r="AB2631" i="13"/>
  <c r="AB2102" i="13"/>
  <c r="AB319" i="13"/>
  <c r="AB2857" i="13"/>
  <c r="AB400" i="13"/>
  <c r="AB1235" i="13"/>
  <c r="AB3346" i="13"/>
  <c r="AB2540" i="13"/>
  <c r="AB3265" i="13"/>
  <c r="AB1220" i="13"/>
  <c r="AB820" i="13"/>
  <c r="AB537" i="13"/>
  <c r="AB3078" i="13"/>
  <c r="AB2522" i="13"/>
  <c r="AB2103" i="13"/>
  <c r="AB1347" i="13"/>
  <c r="AB2019" i="13"/>
  <c r="AB508" i="13"/>
  <c r="AB2387" i="13"/>
  <c r="AB1429" i="13"/>
  <c r="AB3411" i="13"/>
  <c r="AB561" i="13"/>
  <c r="AB1915" i="13"/>
  <c r="AB3225" i="13"/>
  <c r="AB2183" i="13"/>
  <c r="AB2018" i="13"/>
  <c r="AB2086" i="13"/>
  <c r="AB138" i="13"/>
  <c r="AB1069" i="13"/>
  <c r="AB1588" i="13"/>
  <c r="AB1416" i="13"/>
  <c r="AB2931" i="13"/>
  <c r="AB829" i="13"/>
  <c r="AB2276" i="13"/>
  <c r="AB476" i="13"/>
  <c r="AB1380" i="13"/>
  <c r="AB3186" i="13"/>
  <c r="AB1448" i="13"/>
  <c r="AB1681" i="13"/>
  <c r="AB739" i="13"/>
  <c r="AB692" i="13"/>
  <c r="AB2738" i="13"/>
  <c r="AB2587" i="13"/>
  <c r="AB1770" i="13"/>
  <c r="AB1079" i="13"/>
  <c r="AB2869" i="13"/>
  <c r="AB992" i="13"/>
  <c r="AB308" i="13"/>
  <c r="AB2338" i="13"/>
  <c r="AB49" i="13"/>
  <c r="AB898" i="13"/>
  <c r="AB3209" i="13"/>
  <c r="AB1737" i="13"/>
  <c r="AB2873" i="13"/>
  <c r="AB2740" i="13"/>
  <c r="AB1365" i="13"/>
  <c r="AB1586" i="13"/>
  <c r="AB465" i="13"/>
  <c r="AB2775" i="13"/>
  <c r="AB3468" i="13"/>
  <c r="AB116" i="13"/>
  <c r="AB2528" i="13"/>
  <c r="AB3298" i="13"/>
  <c r="AB2763" i="13"/>
  <c r="AB2840" i="13"/>
  <c r="AB275" i="13"/>
  <c r="AB3447" i="13"/>
  <c r="AB175" i="13"/>
  <c r="AB2884" i="13"/>
  <c r="AB2671" i="13"/>
  <c r="AB2817" i="13"/>
  <c r="AB1421" i="13"/>
  <c r="AB3077" i="13"/>
  <c r="AB886" i="13"/>
  <c r="AB860" i="13"/>
  <c r="AB3283" i="13"/>
  <c r="AB2564" i="13"/>
  <c r="AB835" i="13"/>
  <c r="AB2545" i="13"/>
  <c r="AB3278" i="13"/>
  <c r="AB428" i="13"/>
  <c r="AB2774" i="13"/>
  <c r="AB1647" i="13"/>
  <c r="AB1230" i="13"/>
  <c r="AB708" i="13"/>
  <c r="AB402" i="13"/>
  <c r="AB3400" i="13"/>
  <c r="AB2406" i="13"/>
  <c r="AB1836" i="13"/>
  <c r="AB370" i="13"/>
  <c r="AB1098" i="13"/>
  <c r="AB3459" i="13"/>
  <c r="AB1761" i="13"/>
  <c r="AB99" i="13"/>
  <c r="AB166" i="13"/>
  <c r="AB326" i="13"/>
  <c r="AB669" i="13"/>
  <c r="AB2918" i="13"/>
  <c r="AB2813" i="13"/>
  <c r="AB305" i="13"/>
  <c r="AB3358" i="13"/>
  <c r="AB635" i="13"/>
  <c r="AB2999" i="13"/>
  <c r="AB1162" i="13"/>
  <c r="AB3501" i="13"/>
  <c r="AB1608" i="13"/>
  <c r="AB1498" i="13"/>
  <c r="AB365" i="13"/>
  <c r="AB2822" i="13"/>
  <c r="AB673" i="13"/>
  <c r="AB2818" i="13"/>
  <c r="AB1449" i="13"/>
  <c r="AB3419" i="13"/>
  <c r="AB856" i="13"/>
  <c r="AB1174" i="13"/>
  <c r="AB534" i="13"/>
  <c r="AB1925" i="13"/>
  <c r="AB240" i="13"/>
  <c r="AB19" i="13"/>
  <c r="AB1934" i="13"/>
  <c r="AB2923" i="13"/>
  <c r="AB693" i="13"/>
  <c r="AB1062" i="13"/>
  <c r="AB1361" i="13"/>
  <c r="AB3393" i="13"/>
  <c r="AB337" i="13"/>
  <c r="AB2051" i="13"/>
  <c r="AB1544" i="13"/>
  <c r="AB1633" i="13"/>
  <c r="AB1595" i="13"/>
  <c r="AB2719" i="13"/>
  <c r="AB3202" i="13"/>
  <c r="AB2108" i="13"/>
  <c r="AB3003" i="13"/>
  <c r="AB2889" i="13"/>
  <c r="AB3288" i="13"/>
  <c r="AB3274" i="13"/>
  <c r="AB1763" i="13"/>
  <c r="AB2263" i="13"/>
  <c r="AB1552" i="13"/>
  <c r="AB1118" i="13"/>
  <c r="AB1718" i="13"/>
  <c r="AB1565" i="13"/>
  <c r="AB2287" i="13"/>
  <c r="AB2172" i="13"/>
  <c r="AB1001" i="13"/>
  <c r="AB3406" i="13"/>
  <c r="AB3297" i="13"/>
  <c r="AB1546" i="13"/>
  <c r="AB2890" i="13"/>
  <c r="AB2453" i="13"/>
  <c r="AB1217" i="13"/>
  <c r="AB1225" i="13"/>
  <c r="AB2332" i="13"/>
  <c r="AB998" i="13"/>
  <c r="AB3027" i="13"/>
  <c r="AB23" i="13"/>
  <c r="AB2129" i="13"/>
  <c r="AB3242" i="13"/>
  <c r="AB223" i="13"/>
  <c r="AB2687" i="13"/>
  <c r="AB1241" i="13"/>
  <c r="AB2379" i="13"/>
  <c r="AB1701" i="13"/>
  <c r="AB2050" i="13"/>
  <c r="AB719" i="13"/>
  <c r="AB1072" i="13"/>
  <c r="AB3513" i="13"/>
  <c r="AB3205" i="13"/>
  <c r="AB505" i="13"/>
  <c r="AB1719" i="13"/>
  <c r="AB1437" i="13"/>
  <c r="AB488" i="13"/>
  <c r="AB2711" i="13"/>
  <c r="AB3418" i="13"/>
  <c r="AB216" i="13"/>
  <c r="AB587" i="13"/>
  <c r="AB1698" i="13"/>
  <c r="AB406" i="13"/>
  <c r="AB2909" i="13"/>
  <c r="AB2123" i="13"/>
  <c r="AB83" i="13"/>
  <c r="AB1872" i="13"/>
  <c r="AB3153" i="13"/>
  <c r="AB2784" i="13"/>
  <c r="AB3135" i="13"/>
  <c r="AB849" i="13"/>
  <c r="AB2753" i="13"/>
  <c r="AB2581" i="13"/>
  <c r="AB644" i="13"/>
  <c r="AB1892" i="13"/>
  <c r="AB1799" i="13"/>
  <c r="AB1227" i="13"/>
  <c r="AB752" i="13"/>
  <c r="AB2532" i="13"/>
  <c r="AB1106" i="13"/>
  <c r="AB1087" i="13"/>
  <c r="AB1274" i="13"/>
  <c r="AB3378" i="13"/>
  <c r="AB1801" i="13"/>
  <c r="AB2096" i="13"/>
  <c r="AB3441" i="13"/>
  <c r="AB1781" i="13"/>
  <c r="AB2006" i="13"/>
  <c r="AB316" i="13"/>
  <c r="AB2790" i="13"/>
  <c r="AB1790" i="13"/>
  <c r="AB1307" i="13"/>
  <c r="AB3461" i="13"/>
  <c r="AB528" i="13"/>
  <c r="AB2594" i="13"/>
  <c r="AB2072" i="13"/>
  <c r="AB52" i="13"/>
  <c r="AB1912" i="13"/>
  <c r="AB234" i="13"/>
  <c r="AB2673" i="13"/>
  <c r="AB1184" i="13"/>
  <c r="AB2226" i="13"/>
  <c r="AB2704" i="13"/>
  <c r="AB335" i="13"/>
  <c r="AB1932" i="13"/>
  <c r="AB158" i="13"/>
  <c r="AB788" i="13"/>
  <c r="AB2189" i="13"/>
  <c r="AB2281" i="13"/>
  <c r="AB1265" i="13"/>
  <c r="AB2741" i="13"/>
  <c r="AB543" i="13"/>
  <c r="AB2058" i="13"/>
  <c r="AB3396" i="13"/>
  <c r="AB970" i="13"/>
  <c r="AB3091" i="13"/>
  <c r="AB3527" i="13"/>
  <c r="AB1146" i="13"/>
  <c r="AB2134" i="13"/>
  <c r="AB2601" i="13"/>
  <c r="AB371" i="13"/>
  <c r="AB2366" i="13"/>
  <c r="AB2724" i="13"/>
  <c r="AB3318" i="13"/>
  <c r="AB2574" i="13"/>
  <c r="AB2640" i="13"/>
  <c r="AB2910" i="13"/>
  <c r="AB1542" i="13"/>
  <c r="AB152" i="13"/>
  <c r="AB2501" i="13"/>
  <c r="AB2496" i="13"/>
  <c r="AB2067" i="13"/>
  <c r="AB1245" i="13"/>
  <c r="AB3092" i="13"/>
  <c r="AB2610" i="13"/>
  <c r="AB2352" i="13"/>
  <c r="AB2816" i="13"/>
  <c r="AB3162" i="13"/>
  <c r="AB3537" i="13"/>
  <c r="AB1328" i="13"/>
  <c r="AB1610" i="13"/>
  <c r="AB180" i="13"/>
  <c r="AB3476" i="13"/>
  <c r="AB1239" i="13"/>
  <c r="AB2531" i="13"/>
  <c r="AB2117" i="13"/>
  <c r="AB2283" i="13"/>
  <c r="AB2573" i="13"/>
  <c r="AB2277" i="13"/>
  <c r="AB3054" i="13"/>
  <c r="AB1909" i="13"/>
  <c r="AB375" i="13"/>
  <c r="AB1324" i="13"/>
  <c r="AB2908" i="13"/>
  <c r="AB1355" i="13"/>
  <c r="AB552" i="13"/>
  <c r="AB715" i="13"/>
  <c r="AB2299" i="13"/>
  <c r="AB3474" i="13"/>
  <c r="AB2744" i="13"/>
  <c r="AB1065" i="13"/>
  <c r="AB2551" i="13"/>
  <c r="AB2530" i="13"/>
  <c r="AB493" i="13"/>
  <c r="AB2925" i="13"/>
  <c r="AB79" i="13"/>
  <c r="AB654" i="13"/>
  <c r="AB3309" i="13"/>
  <c r="AB3315" i="13"/>
  <c r="AB639" i="13"/>
  <c r="AB2440" i="13"/>
  <c r="AB1725" i="13"/>
  <c r="AB2065" i="13"/>
  <c r="AB1521" i="13"/>
  <c r="AB3487" i="13"/>
  <c r="AB239" i="13"/>
  <c r="AB393" i="13"/>
  <c r="AB684" i="13"/>
  <c r="AB3206" i="13"/>
  <c r="AB769" i="13"/>
  <c r="AB3035" i="13"/>
  <c r="AB850" i="13"/>
  <c r="AB2504" i="13"/>
  <c r="AB3100" i="13"/>
  <c r="AB2891" i="13"/>
  <c r="AB310" i="13"/>
  <c r="AB3067" i="13"/>
  <c r="AB929" i="13"/>
  <c r="AB3339" i="13"/>
  <c r="AB29" i="13"/>
  <c r="AB593" i="13"/>
  <c r="AB3261" i="13"/>
  <c r="AB3132" i="13"/>
  <c r="AB1244" i="13"/>
  <c r="AB1047" i="13"/>
  <c r="AB1917" i="13"/>
  <c r="AB1215" i="13"/>
  <c r="AB109" i="13"/>
  <c r="AB486" i="13"/>
  <c r="AB3416" i="13"/>
  <c r="AB544" i="13"/>
  <c r="AB3456" i="13"/>
  <c r="AB712" i="13"/>
  <c r="AB351" i="13"/>
  <c r="AB2219" i="13"/>
  <c r="AB822" i="13"/>
  <c r="AB1885" i="13"/>
  <c r="AB2969" i="13"/>
  <c r="AB2682" i="13"/>
  <c r="AB940" i="13"/>
  <c r="AB513" i="13"/>
  <c r="AB570" i="13"/>
  <c r="AB2685" i="13"/>
  <c r="AB2500" i="13"/>
  <c r="AB2499" i="13"/>
  <c r="AB53" i="13"/>
  <c r="AB640" i="13"/>
  <c r="AB2343" i="13"/>
  <c r="AB314" i="13"/>
  <c r="AB1155" i="13"/>
  <c r="AB2512" i="13"/>
  <c r="AB790" i="13"/>
  <c r="AB1270" i="13"/>
  <c r="AB125" i="13"/>
  <c r="AB1803" i="13"/>
  <c r="AB1593" i="13"/>
  <c r="AB3347" i="13"/>
  <c r="AB1606" i="13"/>
  <c r="AB2118" i="13"/>
  <c r="AB463" i="13"/>
  <c r="AB657" i="13"/>
  <c r="AB2048" i="13"/>
  <c r="AB2373" i="13"/>
  <c r="AB1335" i="13"/>
  <c r="AB3144" i="13"/>
  <c r="AB2948" i="13"/>
  <c r="AB911" i="13"/>
  <c r="AB1011" i="13"/>
  <c r="AB1831" i="13"/>
  <c r="AB1501" i="13"/>
  <c r="AB2087" i="13"/>
  <c r="AB2320" i="13"/>
  <c r="AB3040" i="13"/>
  <c r="AB3246" i="13"/>
  <c r="AB655" i="13"/>
  <c r="AB426" i="13"/>
  <c r="AB1720" i="13"/>
  <c r="AB2479" i="13"/>
  <c r="AB287" i="13"/>
  <c r="AB2723" i="13"/>
  <c r="AB3428" i="13"/>
  <c r="AB2920" i="13"/>
  <c r="AB3446" i="13"/>
  <c r="AB868" i="13"/>
  <c r="AB1420" i="13"/>
  <c r="AB382" i="13"/>
  <c r="AB3528" i="13"/>
  <c r="AB2616" i="13"/>
  <c r="AB2451" i="13"/>
  <c r="AB3062" i="13"/>
  <c r="AB2377" i="13"/>
  <c r="AB1288" i="13"/>
  <c r="AB1604" i="13"/>
  <c r="AB2467" i="13"/>
  <c r="AB466" i="13"/>
  <c r="AB2697" i="13"/>
  <c r="AB3208" i="13"/>
  <c r="AB1566" i="13"/>
  <c r="AB942" i="13"/>
  <c r="AB1589" i="13"/>
  <c r="AB3371" i="13"/>
  <c r="AB3352" i="13"/>
  <c r="AB2217" i="13"/>
  <c r="AB965" i="13"/>
  <c r="AB2012" i="13"/>
  <c r="AB1524" i="13"/>
  <c r="AB1179" i="13"/>
  <c r="AB1413" i="13"/>
  <c r="AB855" i="13"/>
  <c r="AB217" i="13"/>
  <c r="AB1164" i="13"/>
  <c r="AB596" i="13"/>
  <c r="AB2854" i="13"/>
  <c r="AB3349" i="13"/>
  <c r="AB1321" i="13"/>
  <c r="AB914" i="13"/>
  <c r="AB341" i="13"/>
  <c r="AB153" i="13"/>
  <c r="AB1021" i="13"/>
  <c r="AB1540" i="13"/>
  <c r="AB350" i="13"/>
  <c r="AB3109" i="13"/>
  <c r="AB2933" i="13"/>
  <c r="AB2196" i="13"/>
  <c r="AB3245" i="13"/>
  <c r="AB87" i="13"/>
  <c r="AB2827" i="13"/>
  <c r="AB2309" i="13"/>
  <c r="AB604" i="13"/>
  <c r="AB1253" i="13"/>
  <c r="AB2424" i="13"/>
  <c r="AB770" i="13"/>
  <c r="AB2837" i="13"/>
  <c r="AB2553" i="13"/>
  <c r="AB3196" i="13"/>
  <c r="AB2758" i="13"/>
  <c r="AB2903" i="13"/>
  <c r="AB2009" i="13"/>
  <c r="AB2418" i="13"/>
  <c r="AB1710" i="13"/>
  <c r="AB2590" i="13"/>
  <c r="AB3235" i="13"/>
  <c r="AB2402" i="13"/>
  <c r="AB705" i="13"/>
  <c r="AB3410" i="13"/>
  <c r="AB676" i="13"/>
  <c r="AB1326" i="13"/>
  <c r="AB2095" i="13"/>
  <c r="AB385" i="13"/>
  <c r="AB3105" i="13"/>
  <c r="AB2886" i="13"/>
  <c r="AB1382" i="13"/>
  <c r="AB3426" i="13"/>
  <c r="AB2795" i="13"/>
  <c r="AB3042" i="13"/>
  <c r="AB1825" i="13"/>
  <c r="AB2361" i="13"/>
  <c r="AB2648" i="13"/>
  <c r="AB1576" i="13"/>
  <c r="AB1928" i="13"/>
  <c r="AB2198" i="13"/>
  <c r="AB3344" i="13"/>
  <c r="AB1299" i="13"/>
  <c r="AB1470" i="13"/>
  <c r="AB2526" i="13"/>
  <c r="AB1904" i="13"/>
  <c r="AB269" i="13"/>
  <c r="AB368" i="13"/>
  <c r="AB1378" i="13"/>
  <c r="AB510" i="13"/>
  <c r="AB411" i="13"/>
  <c r="AB2288" i="13"/>
  <c r="AB563" i="13"/>
  <c r="AB442" i="13"/>
  <c r="AB3437" i="13"/>
  <c r="AB701" i="13"/>
  <c r="AB172" i="13"/>
  <c r="AB2024" i="13"/>
  <c r="AB2084" i="13"/>
  <c r="AB1962" i="13"/>
  <c r="AB2692" i="13"/>
  <c r="AB237" i="13"/>
  <c r="AB478" i="13"/>
  <c r="AB1117" i="13"/>
  <c r="AB3282" i="13"/>
  <c r="AB3181" i="13"/>
  <c r="AB524" i="13"/>
  <c r="AB403" i="13"/>
  <c r="AB527" i="13"/>
  <c r="AB3482" i="13"/>
  <c r="AB2099" i="13"/>
  <c r="AB1489" i="13"/>
  <c r="AB1673" i="13"/>
  <c r="AB2304" i="13"/>
  <c r="AB364" i="13"/>
  <c r="AB1383" i="13"/>
  <c r="AB709" i="13"/>
  <c r="AB2270" i="13"/>
  <c r="AB412" i="13"/>
  <c r="AB324" i="13"/>
  <c r="AB2812" i="13"/>
  <c r="AB2622" i="13"/>
  <c r="AB1140" i="13"/>
  <c r="AB1901" i="13"/>
  <c r="AB2070" i="13"/>
  <c r="AB1401" i="13"/>
  <c r="AB1738" i="13"/>
  <c r="AB1200" i="13"/>
  <c r="AB2325" i="13"/>
  <c r="AB1181" i="13"/>
  <c r="AB2169" i="13"/>
  <c r="AB25" i="13"/>
  <c r="AB3101" i="13"/>
  <c r="AB894" i="13"/>
  <c r="AB2398" i="13"/>
  <c r="AB1443" i="13"/>
  <c r="AB2043" i="13"/>
  <c r="AB3198" i="13"/>
  <c r="AB3389" i="13"/>
  <c r="AB1920" i="13"/>
  <c r="AB744" i="13"/>
  <c r="AB1871" i="13"/>
  <c r="AB254" i="13"/>
  <c r="AB2397" i="13"/>
  <c r="AB795" i="13"/>
  <c r="AB1043" i="13"/>
  <c r="AB936" i="13"/>
  <c r="AB1485" i="13"/>
  <c r="AB197" i="13"/>
  <c r="AB348" i="13"/>
  <c r="AB2374" i="13"/>
  <c r="AB2463" i="13"/>
  <c r="AB30" i="13"/>
  <c r="AB3222" i="13"/>
  <c r="AB874" i="13"/>
  <c r="AB188" i="13"/>
  <c r="AB1841" i="13"/>
  <c r="AB3270" i="13"/>
  <c r="AB1432" i="13"/>
  <c r="AB2544" i="13"/>
  <c r="AB529" i="13"/>
  <c r="AB369" i="13"/>
  <c r="AB3253" i="13"/>
  <c r="AB1336" i="13"/>
  <c r="AB2391" i="13"/>
  <c r="AB3264" i="13"/>
  <c r="AB42" i="13"/>
  <c r="AB100" i="13"/>
  <c r="AB2213" i="13"/>
  <c r="AB556" i="13"/>
  <c r="AB783" i="13"/>
  <c r="AB1168" i="13"/>
  <c r="AB3138" i="13"/>
  <c r="AB2998" i="13"/>
  <c r="AB3366" i="13"/>
  <c r="AB2799" i="13"/>
  <c r="AB2093" i="13"/>
  <c r="AB2975" i="13"/>
  <c r="AB2914" i="13"/>
  <c r="AB2171" i="13"/>
  <c r="AB2851" i="13"/>
  <c r="AB1744" i="13"/>
  <c r="AB656" i="13"/>
  <c r="AB2843" i="13"/>
  <c r="AB3051" i="13"/>
  <c r="AB961" i="13"/>
  <c r="AB2101" i="13"/>
  <c r="AB1880" i="13"/>
  <c r="AB2904" i="13"/>
  <c r="AB1149" i="13"/>
  <c r="AB749" i="13"/>
  <c r="AB1351" i="13"/>
  <c r="AB838" i="13"/>
  <c r="AB408" i="13"/>
  <c r="AB474" i="13"/>
  <c r="AB362" i="13"/>
  <c r="AB2476" i="13"/>
  <c r="AB727" i="13"/>
  <c r="AB1364" i="13"/>
  <c r="AB359" i="13"/>
  <c r="AB2770" i="13"/>
  <c r="AB3491" i="13"/>
  <c r="AB379" i="13"/>
  <c r="AB1010" i="13"/>
  <c r="AB1282" i="13"/>
  <c r="AB1960" i="13"/>
  <c r="AB2690" i="13"/>
  <c r="AB3268" i="13"/>
  <c r="AB325" i="13"/>
  <c r="AB993" i="13"/>
  <c r="AB303" i="13"/>
  <c r="AB1338" i="13"/>
  <c r="AB2945" i="13"/>
  <c r="AB3304" i="13"/>
  <c r="AB2956" i="13"/>
  <c r="AB819" i="13"/>
  <c r="AB2383" i="13"/>
  <c r="AB1731" i="13"/>
  <c r="AB1840" i="13"/>
  <c r="AB1924" i="13"/>
  <c r="AB3289" i="13"/>
  <c r="AB270" i="13"/>
  <c r="AB328" i="13"/>
  <c r="AB1439" i="13"/>
  <c r="AB2339" i="13"/>
  <c r="AB2637" i="13"/>
  <c r="AB1483" i="13"/>
  <c r="AB2879" i="13"/>
  <c r="AB1033" i="13"/>
  <c r="AB2316" i="13"/>
  <c r="AB545" i="13"/>
  <c r="AB2611" i="13"/>
  <c r="AB86" i="13"/>
  <c r="AB1349" i="13"/>
  <c r="AB3164" i="13"/>
  <c r="AB1094" i="13"/>
  <c r="AB511" i="13"/>
  <c r="AB1387" i="13"/>
  <c r="AB1897" i="13"/>
  <c r="AB1532" i="13"/>
  <c r="AB450" i="13"/>
  <c r="AB2793" i="13"/>
  <c r="AB3032" i="13"/>
  <c r="AB1640" i="13"/>
  <c r="AB1625" i="13"/>
  <c r="AB1005" i="13"/>
  <c r="AB1994" i="13"/>
  <c r="AB661" i="13"/>
  <c r="AB84" i="13"/>
  <c r="AB2709" i="13"/>
  <c r="AB74" i="13"/>
  <c r="AB2448" i="13"/>
  <c r="AB1477" i="13"/>
  <c r="AB3372" i="13"/>
  <c r="AB503" i="13"/>
  <c r="AB1422" i="13"/>
  <c r="AB1605" i="13"/>
  <c r="AB2862" i="13"/>
  <c r="AB1973" i="13"/>
  <c r="AB44" i="13"/>
  <c r="AB1765" i="13"/>
  <c r="AB2011" i="13"/>
  <c r="AB1400" i="13"/>
  <c r="AB1488" i="13"/>
  <c r="AB3147" i="13"/>
  <c r="AB1026" i="13"/>
  <c r="AB2737" i="13"/>
  <c r="AB2761" i="13"/>
  <c r="AB2717" i="13"/>
  <c r="AB162" i="13"/>
  <c r="AB213" i="13"/>
  <c r="AB3351" i="13"/>
  <c r="AB746" i="13"/>
  <c r="AB3277" i="13"/>
  <c r="AB554" i="13"/>
  <c r="AB3104" i="13"/>
  <c r="AB1304" i="13"/>
  <c r="AB1786" i="13"/>
  <c r="AB235" i="13"/>
  <c r="AB525" i="13"/>
  <c r="AB555" i="13"/>
  <c r="AB831" i="13"/>
  <c r="AB1512" i="13"/>
  <c r="AB2431" i="13"/>
  <c r="AB1350" i="13"/>
  <c r="AB3070" i="13"/>
  <c r="AB557" i="13"/>
  <c r="AB2705" i="13"/>
  <c r="AB2167" i="13"/>
  <c r="AB611" i="13"/>
  <c r="AB3520" i="13"/>
  <c r="AB1390" i="13"/>
  <c r="AB1272" i="13"/>
  <c r="AB288" i="13"/>
  <c r="AB759" i="13"/>
  <c r="AB354" i="13"/>
  <c r="AB2643" i="13"/>
  <c r="AB2242" i="13"/>
  <c r="AB3175" i="13"/>
  <c r="AB3324" i="13"/>
  <c r="AB955" i="13"/>
  <c r="AB584" i="13"/>
  <c r="AB3321" i="13"/>
  <c r="AB1635" i="13"/>
  <c r="AB2516" i="13"/>
  <c r="AB2052" i="13"/>
  <c r="AB3005" i="13"/>
  <c r="AB105" i="13"/>
  <c r="AB2185" i="13"/>
  <c r="AB647" i="13"/>
  <c r="AB2119" i="13"/>
  <c r="AB1686" i="13"/>
  <c r="AB1547" i="13"/>
  <c r="AB432" i="13"/>
  <c r="AB2634" i="13"/>
  <c r="AB1730" i="13"/>
  <c r="AB799" i="13"/>
  <c r="AB2308" i="13"/>
  <c r="AB1789" i="13"/>
  <c r="AB2548" i="13"/>
  <c r="AB321" i="13"/>
  <c r="AB185" i="13"/>
  <c r="AB918" i="13"/>
  <c r="AB1617" i="13"/>
  <c r="AB969" i="13"/>
  <c r="AB1246" i="13"/>
  <c r="AB959" i="13"/>
  <c r="AB1100" i="13"/>
  <c r="AB3422" i="13"/>
  <c r="AB1713" i="13"/>
  <c r="AB127" i="13"/>
  <c r="AB249" i="13"/>
  <c r="AB1886" i="13"/>
  <c r="AB2669" i="13"/>
  <c r="AB2654" i="13"/>
  <c r="AB2897" i="13"/>
  <c r="AB1197" i="13"/>
  <c r="AB1334" i="13"/>
  <c r="AB2164" i="13"/>
  <c r="AB2732" i="13"/>
  <c r="AB1522" i="13"/>
  <c r="AB344" i="13"/>
  <c r="AB1012" i="13"/>
  <c r="AB358" i="13"/>
  <c r="AB2078" i="13"/>
  <c r="AB2676" i="13"/>
  <c r="AB3434" i="13"/>
  <c r="AB1464" i="13"/>
  <c r="AB1095" i="13"/>
  <c r="AB931" i="13"/>
  <c r="AB1108" i="13"/>
  <c r="AB867" i="13"/>
  <c r="AB1136" i="13"/>
  <c r="AB484" i="13"/>
  <c r="AB1071" i="13"/>
  <c r="AB3431" i="13"/>
  <c r="AB81" i="13"/>
  <c r="AB59" i="13"/>
  <c r="AB1568" i="13"/>
  <c r="AB1847" i="13"/>
  <c r="AB688" i="13"/>
  <c r="AB1357" i="13"/>
  <c r="AB734" i="13"/>
  <c r="AB3123" i="13"/>
  <c r="AB327" i="13"/>
  <c r="AB1291" i="13"/>
  <c r="AB3171" i="13"/>
  <c r="AB2061" i="13"/>
  <c r="AB1499" i="13"/>
  <c r="AB2256" i="13"/>
  <c r="AB1171" i="13"/>
  <c r="AB3106" i="13"/>
  <c r="AB2318" i="13"/>
  <c r="AB1436" i="13"/>
  <c r="AB1205" i="13"/>
  <c r="AB1074" i="13"/>
  <c r="AB1767" i="13"/>
  <c r="AB2979" i="13"/>
  <c r="AB3290" i="13"/>
  <c r="AB3281" i="13"/>
  <c r="AB2835" i="13"/>
  <c r="AB518" i="13"/>
  <c r="AB763" i="13"/>
  <c r="AB2967" i="13"/>
  <c r="AB3183" i="13"/>
  <c r="AB1153" i="13"/>
  <c r="AB2661" i="13"/>
  <c r="AB3185" i="13"/>
  <c r="AB3392" i="13"/>
  <c r="AB3258" i="13"/>
  <c r="AB1289" i="13"/>
  <c r="AB2401" i="13"/>
  <c r="AB1275" i="13"/>
  <c r="AB1254" i="13"/>
  <c r="AB897" i="13"/>
  <c r="AB3337" i="13"/>
  <c r="AB1826" i="13"/>
  <c r="AB2928" i="13"/>
  <c r="AB334" i="13"/>
  <c r="AB651" i="13"/>
  <c r="AB343" i="13"/>
  <c r="AB1957" i="13"/>
  <c r="AB3197" i="13"/>
  <c r="AB1749" i="13"/>
  <c r="AB789" i="13"/>
  <c r="AB1114" i="13"/>
  <c r="AB1626" i="13"/>
  <c r="AB598" i="13"/>
  <c r="AB1757" i="13"/>
  <c r="AB2229" i="13"/>
  <c r="AB1388" i="13"/>
  <c r="AB1385" i="13"/>
  <c r="AB1739" i="13"/>
  <c r="AB3010" i="13"/>
  <c r="AB1695" i="13"/>
  <c r="AB2404" i="13"/>
  <c r="AB1837" i="13"/>
  <c r="AB696" i="13"/>
  <c r="AB3076" i="13"/>
  <c r="AB2978" i="13"/>
  <c r="AB664" i="13"/>
  <c r="AB3532" i="13"/>
  <c r="AB605" i="13"/>
  <c r="AB810" i="13"/>
  <c r="AB241" i="13"/>
  <c r="AB2896" i="13"/>
  <c r="AB781" i="13"/>
  <c r="AB1714" i="13"/>
  <c r="AB623" i="13"/>
  <c r="AB917" i="13"/>
  <c r="AB1830" i="13"/>
  <c r="AB1467" i="13"/>
  <c r="AB1454" i="13"/>
  <c r="AB2081" i="13"/>
  <c r="AB2415" i="13"/>
  <c r="AB178" i="13"/>
  <c r="AB2506" i="13"/>
  <c r="AB392" i="13"/>
  <c r="AB1427" i="13"/>
  <c r="AB730" i="13"/>
  <c r="AB1693" i="13"/>
  <c r="AB2054" i="13"/>
  <c r="AB1627" i="13"/>
  <c r="AB1183" i="13"/>
  <c r="AB2727" i="13"/>
  <c r="AB1496" i="13"/>
  <c r="AB3224" i="13"/>
  <c r="AB1203" i="13"/>
  <c r="AB498" i="13"/>
  <c r="AB2652" i="13"/>
  <c r="AB1024" i="13"/>
  <c r="AB989" i="13"/>
  <c r="AB1213" i="13"/>
  <c r="AB2642" i="13"/>
  <c r="AB2907" i="13"/>
  <c r="AB818" i="13"/>
  <c r="AB2165" i="13"/>
  <c r="AB26" i="13"/>
  <c r="AB1706" i="13"/>
  <c r="AB2412" i="13"/>
  <c r="AB3094" i="13"/>
  <c r="AB2382" i="13"/>
  <c r="AB3327" i="13"/>
  <c r="AB108" i="13"/>
  <c r="AB3113" i="13"/>
  <c r="AB1410" i="13"/>
  <c r="AB1473" i="13"/>
  <c r="AB737" i="13"/>
  <c r="AB1476" i="13"/>
  <c r="AB444" i="13"/>
  <c r="AB2135" i="13"/>
  <c r="AB1046" i="13"/>
  <c r="AB2636" i="13"/>
  <c r="AB3082" i="13"/>
  <c r="AB1084" i="13"/>
  <c r="AB1708" i="13"/>
  <c r="AB3254" i="13"/>
  <c r="AB431" i="13"/>
  <c r="AB1667" i="13"/>
  <c r="AB1530" i="13"/>
  <c r="AB1709" i="13"/>
  <c r="AB686" i="13"/>
  <c r="AB494" i="13"/>
  <c r="AB2958" i="13"/>
  <c r="AB2695" i="13"/>
  <c r="AB39" i="13"/>
  <c r="AB2056" i="13"/>
  <c r="AB1603" i="13"/>
  <c r="AB2313" i="13"/>
  <c r="AB1279" i="13"/>
  <c r="AB2604" i="13"/>
  <c r="AB2186" i="13"/>
  <c r="AB200" i="13"/>
  <c r="AB3086" i="13"/>
  <c r="AB1342" i="13"/>
  <c r="AB887" i="13"/>
  <c r="AB24" i="13"/>
  <c r="AB117" i="13"/>
  <c r="AB614" i="13"/>
  <c r="AB313" i="13"/>
  <c r="AB1672" i="13"/>
  <c r="AB481" i="13"/>
  <c r="AB3103" i="13"/>
  <c r="AB1656" i="13"/>
  <c r="AB2666" i="13"/>
  <c r="AB1543" i="13"/>
  <c r="AB281" i="13"/>
  <c r="AB307" i="13"/>
  <c r="AB304" i="13"/>
  <c r="AB1527" i="13"/>
  <c r="AB1560" i="13"/>
  <c r="AB261" i="13"/>
  <c r="AB2620" i="13"/>
  <c r="AB279" i="13"/>
  <c r="AB3102" i="13"/>
  <c r="AB2044" i="13"/>
  <c r="AB331" i="13"/>
  <c r="AB3383" i="13"/>
  <c r="AB2176" i="13"/>
  <c r="AB132" i="13"/>
  <c r="AB1942" i="13"/>
  <c r="AB2254" i="13"/>
  <c r="AB3505" i="13"/>
  <c r="AB3384" i="13"/>
  <c r="AB2591" i="13"/>
  <c r="AB1007" i="13"/>
  <c r="AB118" i="13"/>
  <c r="AB1409" i="13"/>
  <c r="AB1329" i="13"/>
  <c r="AB1034" i="13"/>
  <c r="AB2390" i="13"/>
  <c r="AB1807" i="13"/>
  <c r="AB3026" i="13"/>
  <c r="AB3064" i="13"/>
  <c r="AB1080" i="13"/>
  <c r="AB3481" i="13"/>
  <c r="AB1044" i="13"/>
  <c r="AB2693" i="13"/>
  <c r="AB1889" i="13"/>
  <c r="AB1697" i="13"/>
  <c r="AB1554" i="13"/>
  <c r="AB913" i="13"/>
  <c r="AB1139" i="13"/>
  <c r="AB1649" i="13"/>
  <c r="AB2075" i="13"/>
  <c r="AB589" i="13"/>
  <c r="AB2251" i="13"/>
  <c r="AB1408" i="13"/>
  <c r="AB106" i="13"/>
  <c r="AB3060" i="13"/>
  <c r="AB2212" i="13"/>
  <c r="AB2216" i="13"/>
  <c r="AB1104" i="13"/>
  <c r="AB912" i="13"/>
  <c r="AB349" i="13"/>
  <c r="AB1099" i="13"/>
  <c r="AB539" i="13"/>
  <c r="AB845" i="13"/>
  <c r="AB2942" i="13"/>
  <c r="AB1684" i="13"/>
  <c r="AB459" i="13"/>
  <c r="AB885" i="13"/>
  <c r="AB1750" i="13"/>
  <c r="AB3391" i="13"/>
  <c r="AB2807" i="13"/>
  <c r="AB2649" i="13"/>
  <c r="AB967" i="13"/>
  <c r="AB399" i="13"/>
  <c r="AB2350" i="13"/>
  <c r="AB3166" i="13"/>
  <c r="AB2030" i="13"/>
  <c r="AB1363" i="13"/>
  <c r="AB925" i="13"/>
  <c r="AB2420" i="13"/>
  <c r="AB90" i="13"/>
  <c r="AB1794" i="13"/>
  <c r="AB2159" i="13"/>
  <c r="AB208" i="13"/>
  <c r="AB1078" i="13"/>
  <c r="AB952" i="13"/>
  <c r="AB1563" i="13"/>
  <c r="AB1502" i="13"/>
  <c r="AB356" i="13"/>
  <c r="AB3293" i="13"/>
  <c r="AB1985" i="13"/>
  <c r="AB435" i="13"/>
  <c r="AB2345" i="13"/>
  <c r="AB1735" i="13"/>
  <c r="AB2307" i="13"/>
  <c r="AB2026" i="13"/>
  <c r="AB1455" i="13"/>
  <c r="AB461" i="13"/>
  <c r="AB3001" i="13"/>
  <c r="AB413" i="13"/>
  <c r="AB872" i="13"/>
  <c r="AB2936" i="13"/>
  <c r="AB695" i="13"/>
  <c r="AB924" i="13"/>
  <c r="AB3013" i="13"/>
  <c r="AB2495" i="13"/>
  <c r="AB3260" i="13"/>
  <c r="AB2730" i="13"/>
  <c r="AB2328" i="13"/>
  <c r="AB2349" i="13"/>
  <c r="AB1306" i="13"/>
  <c r="AB179" i="13"/>
  <c r="AB3184" i="13"/>
  <c r="AB2868" i="13"/>
  <c r="AB2037" i="13"/>
  <c r="AB3323" i="13"/>
  <c r="AB697" i="13"/>
  <c r="AB1745" i="13"/>
  <c r="AB3063" i="13"/>
  <c r="AB3204" i="13"/>
  <c r="AB3211" i="13"/>
  <c r="AB1503" i="13"/>
  <c r="AB458" i="13"/>
  <c r="AB1346" i="13"/>
  <c r="AB376" i="13"/>
  <c r="AB2340" i="13"/>
  <c r="AB1842" i="13"/>
  <c r="AB3159" i="13"/>
  <c r="AB225" i="13"/>
  <c r="AB2954" i="13"/>
  <c r="AB3168" i="13"/>
  <c r="AB3276" i="13"/>
  <c r="AB1728" i="13"/>
  <c r="AB3004" i="13"/>
  <c r="AB2386" i="13"/>
  <c r="AB3173" i="13"/>
  <c r="AB1616" i="13"/>
  <c r="AB844" i="13"/>
  <c r="AB516" i="13"/>
  <c r="AB3073" i="13"/>
  <c r="AB1092" i="13"/>
  <c r="AB2490" i="13"/>
  <c r="AB2707" i="13"/>
  <c r="AB694" i="13"/>
  <c r="AB378" i="13"/>
  <c r="AB3139" i="13"/>
  <c r="AB2748" i="13"/>
  <c r="AB2828" i="13"/>
  <c r="AB2228" i="13"/>
  <c r="AB2865" i="13"/>
  <c r="AB3550" i="13"/>
  <c r="AB2944" i="13"/>
  <c r="AB626" i="13"/>
  <c r="AB1029" i="13"/>
  <c r="AB1070" i="13"/>
  <c r="AB1665" i="13"/>
  <c r="AB627" i="13"/>
  <c r="AB3523" i="13"/>
  <c r="AB1956" i="13"/>
  <c r="AB2552" i="13"/>
  <c r="AB514" i="13"/>
  <c r="AB825" i="13"/>
  <c r="AB922" i="13"/>
  <c r="AB672" i="13"/>
  <c r="AB1250" i="13"/>
  <c r="AB1569" i="13"/>
  <c r="AB753" i="13"/>
  <c r="AB1369" i="13"/>
  <c r="AB794" i="13"/>
  <c r="AB1285" i="13"/>
  <c r="AB1180" i="13"/>
  <c r="AB1123" i="13"/>
  <c r="AB2166" i="13"/>
  <c r="AB1700" i="13"/>
  <c r="AB2261" i="13"/>
  <c r="AB154" i="13"/>
  <c r="AB1366" i="13"/>
  <c r="AB2008" i="13"/>
  <c r="AB381" i="13"/>
  <c r="AB1513" i="13"/>
  <c r="AB1490" i="13"/>
  <c r="AB1596" i="13"/>
  <c r="AB384" i="13"/>
  <c r="AB3545" i="13"/>
  <c r="AB1188" i="13"/>
  <c r="AB1677" i="13"/>
  <c r="AB20" i="13"/>
  <c r="AB548" i="13"/>
  <c r="AB475" i="13"/>
  <c r="AB1951" i="13"/>
  <c r="AB2511" i="13"/>
  <c r="AB884" i="13"/>
  <c r="AB2074" i="13"/>
  <c r="AB3516" i="13"/>
  <c r="AB3415" i="13"/>
  <c r="AB2989" i="13"/>
  <c r="AB3399" i="13"/>
  <c r="AB2939" i="13"/>
  <c r="AB451" i="13"/>
  <c r="AB3538" i="13"/>
  <c r="AB3179" i="13"/>
  <c r="AB879" i="13"/>
  <c r="AB1120" i="13"/>
  <c r="AB1864" i="13"/>
  <c r="AB1780" i="13"/>
  <c r="AB1367" i="13"/>
  <c r="AB3377" i="13"/>
  <c r="AB3405" i="13"/>
  <c r="AB1128" i="13"/>
  <c r="AB3201" i="13"/>
  <c r="AB2700" i="13"/>
  <c r="AB1277" i="13"/>
  <c r="AB546" i="13"/>
  <c r="AB934" i="13"/>
  <c r="AB3500" i="13"/>
  <c r="AB2053" i="13"/>
  <c r="AB806" i="13"/>
  <c r="AB315" i="13"/>
  <c r="AB812" i="13"/>
  <c r="AB2128" i="13"/>
  <c r="AB1955" i="13"/>
  <c r="AB1968" i="13"/>
  <c r="AB3440" i="13"/>
  <c r="AB2059" i="13"/>
  <c r="AB1396" i="13"/>
  <c r="AB253" i="13"/>
  <c r="AB2285" i="13"/>
  <c r="AB1535" i="13"/>
  <c r="AB865" i="13"/>
  <c r="AB1278" i="13"/>
  <c r="AB1977" i="13"/>
  <c r="AB1085" i="13"/>
  <c r="AB1643" i="13"/>
  <c r="AB61" i="13"/>
  <c r="AB1971" i="13"/>
  <c r="AB3364" i="13"/>
  <c r="AB72" i="13"/>
  <c r="AB1520" i="13"/>
  <c r="AB747" i="13"/>
  <c r="AB2334" i="13"/>
  <c r="AB3284" i="13"/>
  <c r="AB2924" i="13"/>
  <c r="AB258" i="13"/>
  <c r="AB2139" i="13"/>
  <c r="AB414" i="13"/>
  <c r="AB345" i="13"/>
  <c r="AB1760" i="13"/>
  <c r="AB2595" i="13"/>
  <c r="AB1660" i="13"/>
  <c r="AB160" i="13"/>
  <c r="AB1641" i="13"/>
  <c r="AB1969" i="13"/>
  <c r="AB2630" i="13"/>
  <c r="AB3314" i="13"/>
  <c r="AB1611" i="13"/>
  <c r="AB3542" i="13"/>
  <c r="AB422" i="13"/>
  <c r="AB1988" i="13"/>
  <c r="AB443" i="13"/>
  <c r="AB2290" i="13"/>
  <c r="AB497" i="13"/>
  <c r="AB1249" i="13"/>
  <c r="AB455" i="13"/>
  <c r="AB1844" i="13"/>
  <c r="AB229" i="13"/>
  <c r="AB2571" i="13"/>
  <c r="AB139" i="13"/>
  <c r="AB3403" i="13"/>
  <c r="AB2839" i="13"/>
  <c r="AB373" i="13"/>
  <c r="AB1581" i="13"/>
  <c r="AB1508" i="13"/>
  <c r="AB2082" i="13"/>
  <c r="AB1664" i="13"/>
  <c r="AB2742" i="13"/>
  <c r="AB336" i="13"/>
  <c r="AB1208" i="13"/>
  <c r="AB1620" i="13"/>
  <c r="AB2179" i="13"/>
  <c r="AB2049" i="13"/>
  <c r="AB91" i="13"/>
  <c r="AB1658" i="13"/>
  <c r="AB1169" i="13"/>
  <c r="AB2115" i="13"/>
  <c r="AB2459" i="13"/>
  <c r="AB2319" i="13"/>
  <c r="AB2842" i="13"/>
  <c r="AB616" i="13"/>
  <c r="AB1612" i="13"/>
  <c r="AB2789" i="13"/>
  <c r="AB1389" i="13"/>
  <c r="AB2471" i="13"/>
  <c r="AB1882" i="13"/>
  <c r="AB2264" i="13"/>
  <c r="AB1997" i="13"/>
  <c r="AB3502" i="13"/>
  <c r="AB2855" i="13"/>
  <c r="AB1788" i="13"/>
  <c r="AB3151" i="13"/>
  <c r="AB3200" i="13"/>
  <c r="AB3552" i="13"/>
  <c r="AB1450" i="13"/>
  <c r="AB3332" i="13"/>
  <c r="AB974" i="13"/>
  <c r="AB1121" i="13"/>
  <c r="AB347" i="13"/>
  <c r="AB2138" i="13"/>
  <c r="AB2475" i="13"/>
  <c r="AB1240" i="13"/>
  <c r="AB3547" i="13"/>
  <c r="AB717" i="13"/>
  <c r="AB1157" i="13"/>
  <c r="AB1838" i="13"/>
  <c r="AB670" i="13"/>
  <c r="AB395" i="13"/>
  <c r="AB2472" i="13"/>
  <c r="AB137" i="13"/>
  <c r="AB1584" i="13"/>
  <c r="AB675" i="13"/>
  <c r="AB1264" i="13"/>
  <c r="AB2735" i="13"/>
  <c r="AB2481" i="13"/>
  <c r="AB1089" i="13"/>
  <c r="AB3210" i="13"/>
  <c r="AB3499" i="13"/>
  <c r="AB3429" i="13"/>
  <c r="AB3285" i="13"/>
  <c r="AB663" i="13"/>
  <c r="AB1212" i="13"/>
  <c r="AB3402" i="13"/>
  <c r="AB706" i="13"/>
  <c r="AB2389" i="13"/>
  <c r="AB1590" i="13"/>
  <c r="AB2981" i="13"/>
  <c r="AB2536" i="13"/>
  <c r="AB2148" i="13"/>
  <c r="AB2547" i="13"/>
  <c r="AB2491" i="13"/>
  <c r="AB410" i="13"/>
  <c r="AB3430" i="13"/>
  <c r="AB3006" i="13"/>
  <c r="AB2670" i="13"/>
  <c r="AB624" i="13"/>
  <c r="AB2020" i="13"/>
  <c r="AB2555" i="13"/>
  <c r="AB2178" i="13"/>
  <c r="AB2205" i="13"/>
  <c r="AB2768" i="13"/>
  <c r="AB3467" i="13"/>
  <c r="AB1946" i="13"/>
  <c r="AB2894" i="13"/>
  <c r="AB1671" i="13"/>
  <c r="AB157" i="13"/>
  <c r="AB880" i="13"/>
  <c r="AB1257" i="13"/>
  <c r="AB296" i="13"/>
  <c r="AB3450" i="13"/>
  <c r="AB2941" i="13"/>
  <c r="AB3000" i="13"/>
  <c r="AB1555" i="13"/>
  <c r="AB1753" i="13"/>
  <c r="AB123" i="13"/>
  <c r="AB93" i="13"/>
  <c r="AB2902" i="13"/>
  <c r="AB306" i="13"/>
  <c r="AB2278" i="13"/>
  <c r="AB1813" i="13"/>
  <c r="AB1506" i="13"/>
  <c r="AB182" i="13"/>
  <c r="AB926" i="13"/>
  <c r="AB441" i="13"/>
  <c r="AB2542" i="13"/>
  <c r="AB2934" i="13"/>
  <c r="AB2265" i="13"/>
  <c r="AB1093" i="13"/>
  <c r="AB1341" i="13"/>
  <c r="AB777" i="13"/>
  <c r="AB2629" i="13"/>
  <c r="AB2731" i="13"/>
  <c r="AB2776" i="13"/>
  <c r="AB2157" i="13"/>
  <c r="AB3121" i="13"/>
  <c r="AB3455" i="13"/>
  <c r="AB1893" i="13"/>
  <c r="AB407" i="13"/>
  <c r="AB1583" i="13"/>
  <c r="AB1135" i="13"/>
  <c r="AB317" i="13"/>
  <c r="AB2355" i="13"/>
  <c r="AB3492" i="13"/>
  <c r="AB1933" i="13"/>
  <c r="AB2694" i="13"/>
  <c r="AB1911" i="13"/>
  <c r="AB2961" i="13"/>
  <c r="AB1621" i="13"/>
  <c r="AB2346" i="13"/>
  <c r="AB1696" i="13"/>
  <c r="AB916" i="13"/>
  <c r="AB102" i="13"/>
  <c r="AB1262" i="13"/>
  <c r="AB572" i="13"/>
  <c r="AB147" i="13"/>
  <c r="AB1096" i="13"/>
  <c r="AB198" i="13"/>
  <c r="AB3531" i="13"/>
  <c r="AB165" i="13"/>
  <c r="AB2023" i="13"/>
  <c r="AB228" i="13"/>
  <c r="AB3361" i="13"/>
  <c r="AB131" i="13"/>
  <c r="AB814" i="13"/>
  <c r="AB220" i="13"/>
  <c r="AB2883" i="13"/>
  <c r="AB1151" i="13"/>
  <c r="AB1676" i="13"/>
  <c r="AB1891" i="13"/>
  <c r="AB2326" i="13"/>
  <c r="AB389" i="13"/>
  <c r="AB353" i="13"/>
  <c r="AB1292" i="13"/>
  <c r="AB2756" i="13"/>
  <c r="AB2614" i="13"/>
  <c r="AB2032" i="13"/>
  <c r="AB2560" i="13"/>
  <c r="AB3279" i="13"/>
  <c r="AB2289" i="13"/>
  <c r="AB1814" i="13"/>
  <c r="AB2600" i="13"/>
  <c r="AB452" i="13"/>
  <c r="AB2347" i="13"/>
  <c r="AB2680" i="13"/>
  <c r="AB405" i="13"/>
  <c r="AB928" i="13"/>
  <c r="AB1399" i="13"/>
  <c r="AB238" i="13"/>
  <c r="AB3048" i="13"/>
  <c r="AB1914" i="13"/>
  <c r="AB473" i="13"/>
  <c r="AB2121" i="13"/>
  <c r="AB3233" i="13"/>
  <c r="AB562" i="13"/>
  <c r="AB2615" i="13"/>
  <c r="AB1782" i="13"/>
  <c r="AB1460" i="13"/>
  <c r="AB2575" i="13"/>
  <c r="AB464" i="13"/>
  <c r="AB434" i="13"/>
  <c r="AB3296" i="13"/>
  <c r="AB2668" i="13"/>
  <c r="AB963" i="13"/>
  <c r="AB933" i="13"/>
  <c r="AB1238" i="13"/>
  <c r="AB947" i="13"/>
  <c r="AB994" i="13"/>
  <c r="AB1187" i="13"/>
  <c r="AB1798" i="13"/>
  <c r="AB3510" i="13"/>
  <c r="AB2354" i="13"/>
  <c r="AB2221" i="13"/>
  <c r="AB3247" i="13"/>
  <c r="AB3066" i="13"/>
  <c r="AB642" i="13"/>
  <c r="AB456" i="13"/>
  <c r="AB3452" i="13"/>
  <c r="AB1896" i="13"/>
  <c r="AB1318" i="13"/>
  <c r="AB3470" i="13"/>
  <c r="AB1125" i="13"/>
  <c r="AB1463" i="13"/>
  <c r="AB1843" i="13"/>
  <c r="AB73" i="13"/>
  <c r="AB2856" i="13"/>
  <c r="AB440" i="13"/>
  <c r="AB3036" i="13"/>
  <c r="AB2703" i="13"/>
  <c r="AB2438" i="13"/>
  <c r="AB64" i="13"/>
  <c r="AB1122" i="13"/>
  <c r="AB2947" i="13"/>
  <c r="AB2624" i="13"/>
  <c r="AB938" i="13"/>
  <c r="AB1571" i="13"/>
  <c r="AB1615" i="13"/>
  <c r="AB323" i="13"/>
  <c r="AB1204" i="13"/>
  <c r="AB1196" i="13"/>
  <c r="AB809" i="13"/>
  <c r="AB2541" i="13"/>
  <c r="AB2208" i="13"/>
  <c r="AB780" i="13"/>
  <c r="AB691" i="13"/>
  <c r="AB578" i="13"/>
  <c r="AB2136" i="13"/>
  <c r="AB1802" i="13"/>
  <c r="AB2751" i="13"/>
  <c r="AB145" i="13"/>
  <c r="AB643" i="13"/>
  <c r="AB1833" i="13"/>
  <c r="AB756" i="13"/>
  <c r="AB1082" i="13"/>
  <c r="AB2033" i="13"/>
  <c r="AB1787" i="13"/>
  <c r="AB2627" i="13"/>
  <c r="AB3002" i="13"/>
  <c r="AB491" i="13"/>
  <c r="AB1768" i="13"/>
  <c r="AB1862" i="13"/>
  <c r="AB1063" i="13"/>
  <c r="AB2641" i="13"/>
  <c r="AB2538" i="13"/>
  <c r="AB3302" i="13"/>
  <c r="AB32" i="13"/>
  <c r="AB3041" i="13"/>
  <c r="AB3493" i="13"/>
  <c r="AB1754" i="13"/>
  <c r="AB1353" i="13"/>
  <c r="AB2932" i="13"/>
  <c r="AB1834" i="13"/>
  <c r="AB2777" i="13"/>
  <c r="AB2203" i="13"/>
  <c r="AB1879" i="13"/>
  <c r="AB1359" i="13"/>
  <c r="AB1986" i="13"/>
  <c r="AB2829" i="13"/>
  <c r="AB1923" i="13"/>
  <c r="AB1377" i="13"/>
  <c r="AB569" i="13"/>
  <c r="AB2230" i="13"/>
  <c r="AB796" i="13"/>
  <c r="AB3483" i="13"/>
  <c r="AB3517" i="13"/>
  <c r="AB2655" i="13"/>
  <c r="AB592" i="13"/>
  <c r="AB1861" i="13"/>
  <c r="AB758" i="13"/>
  <c r="AB2160" i="13"/>
  <c r="AB3435" i="13"/>
  <c r="AB827" i="13"/>
  <c r="AB564" i="13"/>
  <c r="AB3256" i="13"/>
  <c r="AB3169" i="13"/>
  <c r="AB3539" i="13"/>
  <c r="AB2683" i="13"/>
  <c r="AB3097" i="13"/>
  <c r="AB3380" i="13"/>
  <c r="AB3518" i="13"/>
  <c r="AB981" i="13"/>
  <c r="AB3154" i="13"/>
  <c r="AB397" i="13"/>
  <c r="AB2874" i="13"/>
  <c r="AB262" i="13"/>
  <c r="AB2823" i="13"/>
  <c r="AB2973" i="13"/>
  <c r="AB2646" i="13"/>
  <c r="AB2796" i="13"/>
  <c r="AB803" i="13"/>
  <c r="AB2609" i="13"/>
  <c r="AB3328" i="13"/>
  <c r="AB1639" i="13"/>
  <c r="AB3047" i="13"/>
  <c r="AB899" i="13"/>
  <c r="AB2991" i="13"/>
  <c r="AB1511" i="13"/>
  <c r="AB2664" i="13"/>
  <c r="AB1042" i="13"/>
  <c r="AB908" i="13"/>
  <c r="AB3286" i="13"/>
  <c r="AB2002" i="13"/>
  <c r="AB3489" i="13"/>
  <c r="AB3128" i="13"/>
  <c r="AB2330" i="13"/>
  <c r="AB971" i="13"/>
  <c r="AB126" i="13"/>
  <c r="AB416" i="13"/>
  <c r="AB617" i="13"/>
  <c r="AB2223" i="13"/>
  <c r="AB2414" i="13"/>
  <c r="AB1266" i="13"/>
  <c r="AB2447" i="13"/>
  <c r="AB97" i="13"/>
  <c r="AB1835" i="13"/>
  <c r="AB2678" i="13"/>
  <c r="AB1642" i="13"/>
  <c r="AB1600" i="13"/>
  <c r="AB427" i="13"/>
  <c r="AB236" i="13"/>
  <c r="AB3511" i="13"/>
  <c r="AB1022" i="13"/>
  <c r="AB707" i="13"/>
  <c r="AB821" i="13"/>
  <c r="AB3497" i="13"/>
  <c r="AB823" i="13"/>
  <c r="AB2647" i="13"/>
  <c r="AB1937" i="13"/>
  <c r="AB509" i="13"/>
  <c r="AB964" i="13"/>
  <c r="AB3362" i="13"/>
  <c r="AB3390" i="13"/>
  <c r="AB424" i="13"/>
  <c r="AB2866" i="13"/>
  <c r="AB278" i="13"/>
  <c r="AB2935" i="13"/>
  <c r="AB1352" i="13"/>
  <c r="AB3072" i="13"/>
  <c r="AB3271" i="13"/>
  <c r="AB1690" i="13"/>
  <c r="AB2077" i="13"/>
  <c r="AB2311" i="13"/>
  <c r="AB1392" i="13"/>
  <c r="AB1417" i="13"/>
  <c r="AB1376" i="13"/>
  <c r="AB3521" i="13"/>
  <c r="AB221" i="13"/>
  <c r="AB2713" i="13"/>
  <c r="AB1771" i="13"/>
  <c r="AB637" i="13"/>
  <c r="AB212" i="13"/>
  <c r="AB1539" i="13"/>
  <c r="AB3071" i="13"/>
  <c r="AB1919" i="13"/>
  <c r="AB660" i="13"/>
  <c r="AB612" i="13"/>
  <c r="AB252" i="13"/>
  <c r="AB601" i="13"/>
  <c r="AB828" i="13"/>
  <c r="AB1567" i="13"/>
  <c r="AB679" i="13"/>
  <c r="AB78" i="13"/>
  <c r="AB1899" i="13"/>
  <c r="AB1332" i="13"/>
  <c r="AB2826" i="13"/>
  <c r="AB2182" i="13"/>
  <c r="AB1331" i="13"/>
  <c r="AB1345" i="13"/>
  <c r="AB218" i="13"/>
  <c r="AB2651" i="13"/>
  <c r="AB1313" i="13"/>
  <c r="AB641" i="13"/>
  <c r="AB671" i="13"/>
  <c r="AB2762" i="13"/>
  <c r="AB1699" i="13"/>
  <c r="AB3025" i="13"/>
  <c r="AB2965" i="13"/>
  <c r="AB2156" i="13"/>
  <c r="AB2249" i="13"/>
  <c r="AB394" i="13"/>
  <c r="AB800" i="13"/>
  <c r="AB2943" i="13"/>
  <c r="AB3266" i="13"/>
  <c r="AB3357" i="13"/>
  <c r="AB312" i="13"/>
  <c r="AB3280" i="13"/>
  <c r="AB704" i="13"/>
  <c r="AB2461" i="13"/>
  <c r="AB2298" i="13"/>
  <c r="AB3045" i="13"/>
  <c r="AB124" i="13"/>
  <c r="AB968" i="13"/>
  <c r="AB1657" i="13"/>
  <c r="AB51" i="13"/>
  <c r="AB1435" i="13"/>
  <c r="AB1594" i="13"/>
  <c r="AB37" i="13"/>
  <c r="AB1579" i="13"/>
  <c r="AB1393" i="13"/>
  <c r="AB2586" i="13"/>
  <c r="AB2444" i="13"/>
  <c r="AB3367" i="13"/>
  <c r="AB792" i="13"/>
  <c r="AB2746" i="13"/>
  <c r="AB1325" i="13"/>
  <c r="AB1875" i="13"/>
  <c r="AB184" i="13"/>
  <c r="AB2749" i="13"/>
  <c r="AB1876" i="13"/>
  <c r="AB1314" i="13"/>
  <c r="AB2899" i="13"/>
  <c r="AB713" i="13"/>
  <c r="AB1516" i="13"/>
  <c r="AB2372" i="13"/>
  <c r="AB2521" i="13"/>
  <c r="AB1772" i="13"/>
  <c r="AB2488" i="13"/>
  <c r="AB3338" i="13"/>
  <c r="AB1360" i="13"/>
  <c r="AB3488" i="13"/>
  <c r="AB3333" i="13"/>
  <c r="AB2400" i="13"/>
  <c r="AB999" i="13"/>
  <c r="AB2468" i="13"/>
  <c r="AB3257" i="13"/>
  <c r="AB1207" i="13"/>
  <c r="AB2127" i="13"/>
  <c r="AB2667" i="13"/>
  <c r="AB1495" i="13"/>
  <c r="AB3507" i="13"/>
  <c r="AB3350" i="13"/>
  <c r="AB3424" i="13"/>
  <c r="AB773" i="13"/>
  <c r="AB945" i="13"/>
  <c r="AB1717" i="13"/>
  <c r="AB2273" i="13"/>
  <c r="AB873" i="13"/>
  <c r="AB2360" i="13"/>
  <c r="AB1564" i="13"/>
  <c r="AB2007" i="13"/>
  <c r="AB1851" i="13"/>
  <c r="AB56" i="13"/>
  <c r="AB2296" i="13"/>
  <c r="AB2997" i="13"/>
  <c r="AB1850" i="13"/>
  <c r="AB2515" i="13"/>
  <c r="AB207" i="13"/>
  <c r="AB2436" i="13"/>
  <c r="AB2679" i="13"/>
  <c r="AB273" i="13"/>
  <c r="AB1466" i="13"/>
  <c r="AB864" i="13"/>
  <c r="AB1440" i="13"/>
  <c r="AB2905" i="13"/>
  <c r="AB2888" i="13"/>
  <c r="AB409" i="13"/>
  <c r="AB1609" i="13"/>
  <c r="AB436" i="13"/>
  <c r="AB1209" i="13"/>
  <c r="AB824" i="13"/>
  <c r="AB272" i="13"/>
  <c r="AB2154" i="13"/>
  <c r="AB3300" i="13"/>
  <c r="AB1651" i="13"/>
  <c r="AB576" i="13"/>
  <c r="AB3038" i="13"/>
  <c r="AB3212" i="13"/>
  <c r="AB372" i="13"/>
  <c r="AB2527" i="13"/>
  <c r="AB2867" i="13"/>
  <c r="AB3407" i="13"/>
  <c r="AB2987" i="13"/>
  <c r="AB573" i="13"/>
  <c r="AB2672" i="13"/>
  <c r="AB1113" i="13"/>
  <c r="AB2241" i="13"/>
  <c r="AB104" i="13"/>
  <c r="AB1950" i="13"/>
  <c r="AB2151" i="13"/>
  <c r="AB244" i="13"/>
  <c r="AB2940" i="13"/>
  <c r="AB1773" i="13"/>
  <c r="AB2598" i="13"/>
  <c r="AB271" i="13"/>
  <c r="AB3031" i="13"/>
  <c r="AB1800" i="13"/>
  <c r="AB2240" i="13"/>
  <c r="AB3193" i="13"/>
  <c r="AB2859" i="13"/>
  <c r="AB92" i="13"/>
  <c r="AB1948" i="13"/>
  <c r="AB94" i="13"/>
  <c r="AB2996" i="13"/>
  <c r="AB2992" i="13"/>
  <c r="AB2380" i="13"/>
  <c r="AB826" i="13"/>
  <c r="AB3056" i="13"/>
  <c r="AB3287" i="13"/>
  <c r="AB725" i="13"/>
  <c r="AB2089" i="13"/>
  <c r="AB2014" i="13"/>
  <c r="AB2266" i="13"/>
  <c r="AB881" i="13"/>
  <c r="AB568" i="13"/>
  <c r="AB2558" i="13"/>
  <c r="AB683" i="13"/>
  <c r="AB1795" i="13"/>
  <c r="AB2502" i="13"/>
  <c r="AB1144" i="13"/>
  <c r="AB1322" i="13"/>
  <c r="AB3020" i="13"/>
  <c r="AB298" i="13"/>
  <c r="AB1051" i="13"/>
  <c r="AB2803" i="13"/>
  <c r="AB1878" i="13"/>
  <c r="AB3191" i="13"/>
  <c r="AB35" i="13"/>
  <c r="AB2688" i="13"/>
  <c r="AB2045" i="13"/>
  <c r="AB2143" i="13"/>
  <c r="AB2010" i="13"/>
  <c r="AB3043" i="13"/>
  <c r="AB3176" i="13"/>
  <c r="AB3311" i="13"/>
  <c r="AB2031" i="13"/>
  <c r="AB1916" i="13"/>
  <c r="AB1860" i="13"/>
  <c r="AB2252" i="13"/>
  <c r="AB2569" i="13"/>
  <c r="AB2177" i="13"/>
  <c r="AB953" i="13"/>
  <c r="AB2477" i="13"/>
  <c r="AB1132" i="13"/>
  <c r="AB1952" i="13"/>
  <c r="AB246" i="13"/>
  <c r="AB363" i="13"/>
  <c r="AB421" i="13"/>
  <c r="AB21" i="13"/>
  <c r="AB977" i="13"/>
  <c r="AB355" i="13"/>
  <c r="AB2765" i="13"/>
  <c r="AB1045" i="13"/>
  <c r="AB3533" i="13"/>
  <c r="AB782" i="13"/>
  <c r="AB2153" i="13"/>
  <c r="AB1629" i="13"/>
  <c r="AB242" i="13"/>
  <c r="AB841" i="13"/>
  <c r="AB1550" i="13"/>
  <c r="AB2626" i="13"/>
  <c r="AB3161" i="13"/>
  <c r="AB425" i="13"/>
  <c r="AB1982" i="13"/>
  <c r="AB1856" i="13"/>
  <c r="AB2766" i="13"/>
  <c r="AB3107" i="13"/>
  <c r="AB2021" i="13"/>
  <c r="AB68" i="13"/>
  <c r="AB1131" i="13"/>
  <c r="AB1653" i="13"/>
  <c r="AB211" i="13"/>
  <c r="AB895" i="13"/>
  <c r="AB618" i="13"/>
  <c r="AB3359" i="13"/>
  <c r="AB851" i="13"/>
  <c r="AB2745" i="13"/>
  <c r="AB538" i="13"/>
  <c r="AB205" i="13"/>
  <c r="AB1109" i="13"/>
  <c r="AB1373" i="13"/>
  <c r="AB1922" i="13"/>
  <c r="AB2788" i="13"/>
  <c r="AB1195" i="13"/>
  <c r="AB1260" i="13"/>
  <c r="AB2302" i="13"/>
  <c r="AB2949" i="13"/>
  <c r="AB1898" i="13"/>
  <c r="AB571" i="13"/>
  <c r="AB2314" i="13"/>
  <c r="AB70" i="13"/>
  <c r="AB1194" i="13"/>
  <c r="AB1110" i="13"/>
  <c r="AB2473" i="13"/>
  <c r="AB3457" i="13"/>
  <c r="AB3325" i="13"/>
  <c r="AB653" i="13"/>
  <c r="AB2781" i="13"/>
  <c r="AB591" i="13"/>
  <c r="AB1269" i="13"/>
  <c r="AB808" i="13"/>
  <c r="AB3369" i="13"/>
  <c r="AB224" i="13"/>
  <c r="AB1779" i="13"/>
  <c r="AB2778" i="13"/>
  <c r="AB449" i="13"/>
  <c r="AB1152" i="13"/>
  <c r="AB535" i="13"/>
  <c r="AB1242" i="13"/>
  <c r="AB1154" i="13"/>
  <c r="AB1557" i="13"/>
  <c r="AB801" i="13"/>
  <c r="AB1562" i="13"/>
  <c r="AB2220" i="13"/>
  <c r="AB2170" i="13"/>
  <c r="AB2698" i="13"/>
  <c r="AB155" i="13"/>
  <c r="AB1949" i="13"/>
  <c r="AB2168" i="13"/>
  <c r="AB2810" i="13"/>
  <c r="AB2344" i="13"/>
  <c r="AB2173" i="13"/>
  <c r="AB2215" i="13"/>
  <c r="AB3217" i="13"/>
  <c r="AB1816" i="13"/>
  <c r="AB2145" i="13"/>
  <c r="AB738" i="13"/>
  <c r="AB2222" i="13"/>
  <c r="AB1742" i="13"/>
  <c r="AB2543" i="13"/>
  <c r="AB3313" i="13"/>
  <c r="AB1023" i="13"/>
  <c r="AB910" i="13"/>
  <c r="AB2750" i="13"/>
  <c r="AB3190" i="13"/>
  <c r="AB1691" i="13"/>
  <c r="AB1545" i="13"/>
  <c r="AB1622" i="13"/>
  <c r="AB2850" i="13"/>
  <c r="AB983" i="13"/>
  <c r="AB1514" i="13"/>
  <c r="AB2040" i="13"/>
  <c r="AB1926" i="13"/>
  <c r="AB2016" i="13"/>
  <c r="AB232" i="13"/>
  <c r="AB1913" i="13"/>
  <c r="AB1161" i="13"/>
  <c r="AB34" i="13"/>
  <c r="AB1150" i="13"/>
  <c r="AB1403" i="13"/>
  <c r="AB2284" i="13"/>
  <c r="AB699" i="13"/>
  <c r="AB2639" i="13"/>
  <c r="AB3515" i="13"/>
  <c r="AB858" i="13"/>
  <c r="AB2834" i="13"/>
  <c r="AB2446" i="13"/>
  <c r="AB1320" i="13"/>
  <c r="AB2244" i="13"/>
  <c r="AB3267" i="13"/>
  <c r="AB1368" i="13"/>
  <c r="AB196" i="13"/>
  <c r="AB149" i="13"/>
  <c r="AB2684" i="13"/>
  <c r="AB3134" i="13"/>
  <c r="AB1159" i="13"/>
  <c r="AB2399" i="13"/>
  <c r="AB3472" i="13"/>
  <c r="AB621" i="13"/>
  <c r="AB1267" i="13"/>
  <c r="AB1411" i="13"/>
  <c r="AB2882" i="13"/>
  <c r="AB2657" i="13"/>
  <c r="AB2122" i="13"/>
  <c r="AB833" i="13"/>
  <c r="AB2638" i="13"/>
  <c r="AB741" i="13"/>
  <c r="AB854" i="13"/>
  <c r="AB3479" i="13"/>
  <c r="AB3413" i="13"/>
  <c r="AB227" i="13"/>
  <c r="AB1163" i="13"/>
  <c r="AB2094" i="13"/>
  <c r="AB1337" i="13"/>
  <c r="AB2970" i="13"/>
  <c r="AB3022" i="13"/>
  <c r="AB1356" i="13"/>
  <c r="AB957" i="13"/>
  <c r="AB294" i="13"/>
  <c r="AB943" i="13"/>
  <c r="AB2362" i="13"/>
  <c r="AB3398" i="13"/>
  <c r="AB507" i="13"/>
  <c r="AB3294" i="13"/>
  <c r="AB3203" i="13"/>
  <c r="AB2838" i="13"/>
  <c r="AB3029" i="13"/>
  <c r="AB2114" i="13"/>
  <c r="AB1127" i="13"/>
  <c r="AB583" i="13"/>
  <c r="AB3307" i="13"/>
  <c r="AB1202" i="13"/>
  <c r="AB852" i="13"/>
  <c r="AB1101" i="13"/>
  <c r="AB830" i="13"/>
  <c r="AB804" i="13"/>
  <c r="AB2696" i="13"/>
  <c r="AB1064" i="13"/>
  <c r="AB3382" i="13"/>
  <c r="AB728" i="13"/>
  <c r="AB1222" i="13"/>
  <c r="AB2953" i="13"/>
  <c r="AB848" i="13"/>
  <c r="AB1059" i="13"/>
  <c r="AB1587" i="13"/>
  <c r="AB265" i="13"/>
  <c r="AB3401" i="13"/>
  <c r="AB1529" i="13"/>
  <c r="AB1263" i="13"/>
  <c r="AB2066" i="13"/>
  <c r="AB3508" i="13"/>
  <c r="AB1252" i="13"/>
  <c r="AB2480" i="13"/>
  <c r="AB1954" i="13"/>
  <c r="AB1311" i="13"/>
  <c r="AB2407" i="13"/>
  <c r="AB1287" i="13"/>
  <c r="AB1815" i="13"/>
  <c r="AB320" i="13"/>
  <c r="AB76" i="13"/>
  <c r="AB1679" i="13"/>
  <c r="AB1712" i="13"/>
  <c r="AB2413" i="13"/>
  <c r="AB1319" i="13"/>
  <c r="AB1221" i="13"/>
  <c r="AB1808" i="13"/>
  <c r="AB1453" i="13"/>
  <c r="AB2029" i="13"/>
  <c r="AB3216" i="13"/>
  <c r="AB1707" i="13"/>
  <c r="AB1423" i="13"/>
  <c r="AB620" i="13"/>
  <c r="AB2489" i="13"/>
  <c r="AB374" i="13"/>
  <c r="AB1474" i="13"/>
  <c r="AB566" i="13"/>
  <c r="AB1561" i="13"/>
  <c r="AB140" i="13"/>
  <c r="AB1247" i="13"/>
  <c r="AB1333" i="13"/>
  <c r="AB3236" i="13"/>
  <c r="AB2974" i="13"/>
  <c r="AB2759" i="13"/>
  <c r="AB1666" i="13"/>
  <c r="AB3498" i="13"/>
  <c r="AB2280" i="13"/>
  <c r="AB3540" i="13"/>
  <c r="AB1734" i="13"/>
  <c r="AB2232" i="13"/>
  <c r="AB3238" i="13"/>
  <c r="AB1134" i="13"/>
  <c r="AB477" i="13"/>
  <c r="AB3397" i="13"/>
  <c r="AB1231" i="13"/>
  <c r="AB1857" i="13"/>
  <c r="AB1510" i="13"/>
  <c r="AB972" i="13"/>
  <c r="AB1517" i="13"/>
  <c r="AB813" i="13"/>
  <c r="AB904" i="13"/>
  <c r="AB1766" i="13"/>
  <c r="AB2825" i="13"/>
  <c r="AB2497" i="13"/>
  <c r="AB585" i="13"/>
  <c r="AB721" i="13"/>
  <c r="AB3118" i="13"/>
  <c r="AB1395" i="13"/>
  <c r="AB2613" i="13"/>
  <c r="AB2155" i="13"/>
  <c r="AB1958" i="13"/>
  <c r="AB2025" i="13"/>
  <c r="AB1158" i="13"/>
  <c r="AB27" i="13"/>
  <c r="AB1729" i="13"/>
  <c r="AB1682" i="13"/>
  <c r="AB3015" i="13"/>
  <c r="AB1480" i="13"/>
  <c r="AB2607" i="13"/>
  <c r="AB842" i="13"/>
  <c r="AB1444" i="13"/>
  <c r="AB3295" i="13"/>
  <c r="AB2104" i="13"/>
  <c r="AB666" i="13"/>
  <c r="AB902" i="13"/>
  <c r="AB469" i="13"/>
  <c r="AB1944" i="13"/>
  <c r="AB3485" i="13"/>
  <c r="AB2736" i="13"/>
  <c r="AB1574" i="13"/>
  <c r="AB2917" i="13"/>
  <c r="AB3355" i="13"/>
  <c r="AB1585" i="13"/>
  <c r="AB190" i="13"/>
  <c r="AB3014" i="13"/>
  <c r="AB550" i="13"/>
  <c r="AB805" i="13"/>
  <c r="AB1775" i="13"/>
  <c r="AB1674" i="13"/>
  <c r="AB2201" i="13"/>
  <c r="AB1900" i="13"/>
  <c r="AB648" i="13"/>
  <c r="AB1943" i="13"/>
  <c r="AB1156" i="13"/>
  <c r="AB638" i="13"/>
  <c r="AB2539" i="13"/>
  <c r="AB492" i="13"/>
  <c r="AB2691" i="13"/>
  <c r="AB1166" i="13"/>
  <c r="AB2458" i="13"/>
  <c r="AB3329" i="13"/>
  <c r="AB3065" i="13"/>
  <c r="AB2962" i="13"/>
  <c r="AB761" i="13"/>
  <c r="AB3116" i="13"/>
  <c r="AB330" i="13"/>
  <c r="AB501" i="13"/>
  <c r="AB31" i="13"/>
  <c r="AB1189" i="13"/>
  <c r="AB3303" i="13"/>
  <c r="AB631" i="13"/>
  <c r="AB2282" i="13"/>
  <c r="AB3525" i="13"/>
  <c r="AB3448" i="13"/>
  <c r="AB206" i="13"/>
  <c r="AB560" i="13"/>
  <c r="AB798" i="13"/>
  <c r="AB2725" i="13"/>
  <c r="AB2353" i="13"/>
  <c r="AB1191" i="13"/>
  <c r="AB3049" i="13"/>
  <c r="AB982" i="13"/>
  <c r="AB3085" i="13"/>
  <c r="AB2200" i="13"/>
  <c r="AB3322" i="13"/>
  <c r="AB2665" i="13"/>
  <c r="AB2036" i="13"/>
  <c r="AB2442" i="13"/>
  <c r="AB3496" i="13"/>
  <c r="AB1999" i="13"/>
  <c r="AB57" i="13"/>
  <c r="AB2422" i="13"/>
  <c r="AB121" i="13"/>
  <c r="AB1963" i="13"/>
  <c r="AB1978" i="13"/>
  <c r="AB2861" i="13"/>
  <c r="AB2207" i="13"/>
  <c r="AB1777" i="13"/>
  <c r="AB3240" i="13"/>
  <c r="AB2785" i="13"/>
  <c r="AB2841" i="13"/>
  <c r="AB736" i="13"/>
  <c r="AB2371" i="13"/>
  <c r="AB2210" i="13"/>
  <c r="AB2218" i="13"/>
  <c r="AB1018" i="13"/>
  <c r="AB2039" i="13"/>
  <c r="AB103" i="13"/>
  <c r="AB2990" i="13"/>
  <c r="AB1827" i="13"/>
  <c r="AB318" i="13"/>
  <c r="AB445" i="13"/>
  <c r="AB1031" i="13"/>
  <c r="AB542" i="13"/>
  <c r="AB1636" i="13"/>
  <c r="AB883" i="13"/>
  <c r="AB723" i="13"/>
  <c r="AB114" i="13"/>
  <c r="AB1224" i="13"/>
  <c r="AB1877" i="13"/>
  <c r="AB2315" i="13"/>
  <c r="AB3320" i="13"/>
  <c r="AB2493" i="13"/>
  <c r="AB1077" i="13"/>
  <c r="AB2562" i="13"/>
  <c r="AB1821" i="13"/>
  <c r="AB3345" i="13"/>
  <c r="AB594" i="13"/>
  <c r="AB2508" i="13"/>
  <c r="AB1582" i="13"/>
  <c r="AB941" i="13"/>
  <c r="AB2130" i="13"/>
  <c r="AB890" i="13"/>
  <c r="AB2779" i="13"/>
  <c r="AB1945" i="13"/>
  <c r="AB985" i="13"/>
  <c r="AB383" i="13"/>
  <c r="AB3083" i="13"/>
  <c r="AB1233" i="13"/>
  <c r="AB1936" i="13"/>
  <c r="AB2576" i="13"/>
  <c r="AB2237" i="13"/>
  <c r="AB3057" i="13"/>
  <c r="AB2085" i="13"/>
  <c r="AB1214" i="13"/>
  <c r="AB1894" i="13"/>
  <c r="AB2465" i="13"/>
  <c r="AB3453" i="13"/>
  <c r="AB447" i="13"/>
  <c r="AB2534" i="13"/>
  <c r="AB1961" i="13"/>
  <c r="AB1397" i="13"/>
  <c r="AB3172" i="13"/>
  <c r="AB2993" i="13"/>
  <c r="AB3464" i="13"/>
  <c r="AB3120" i="13"/>
  <c r="AB1908" i="13"/>
  <c r="AB731" i="13"/>
  <c r="AB2233" i="13"/>
  <c r="AB1430" i="13"/>
  <c r="AB1300" i="13"/>
  <c r="AB438" i="13"/>
  <c r="AB1778" i="13"/>
  <c r="AB3059" i="13"/>
  <c r="AB1066" i="13"/>
  <c r="AB2268" i="13"/>
  <c r="AB2976" i="13"/>
  <c r="AB1472" i="13"/>
  <c r="AB921" i="13"/>
  <c r="AB2028" i="13"/>
  <c r="AB2783" i="13"/>
  <c r="AB168" i="13"/>
  <c r="AB2592" i="13"/>
  <c r="AB3251" i="13"/>
  <c r="AB2197" i="13"/>
  <c r="AB3381" i="13"/>
  <c r="AB1016" i="13"/>
  <c r="AB1298" i="13"/>
  <c r="AB1493" i="13"/>
  <c r="AB1632" i="13"/>
  <c r="AB1906" i="13"/>
  <c r="AB1849" i="13"/>
  <c r="AB1055" i="13"/>
  <c r="AB2088" i="13"/>
  <c r="AB2621" i="13"/>
  <c r="AB302" i="13"/>
  <c r="AB2556" i="13"/>
  <c r="AB2303" i="13"/>
  <c r="AB500" i="13"/>
  <c r="AB1623" i="13"/>
  <c r="AB2653" i="13"/>
  <c r="AB1756" i="13"/>
  <c r="AB2900" i="13"/>
  <c r="AB468" i="13"/>
  <c r="AB3335" i="13"/>
  <c r="AB755" i="13"/>
  <c r="AB2291" i="13"/>
  <c r="AB2437" i="13"/>
  <c r="AB3305" i="13"/>
  <c r="AB472" i="13"/>
  <c r="AB948" i="13"/>
  <c r="AB2625" i="13"/>
  <c r="AB3177" i="13"/>
  <c r="AB785" i="13"/>
  <c r="AB1067" i="13"/>
  <c r="AB2955" i="13"/>
  <c r="AB3341" i="13"/>
  <c r="AB2968" i="13"/>
  <c r="AB2042" i="13"/>
  <c r="AB176" i="13"/>
  <c r="AB2708" i="13"/>
  <c r="AB429" i="13"/>
  <c r="AB28" i="13"/>
  <c r="AB843" i="13"/>
  <c r="AB415" i="13"/>
  <c r="AB1210" i="13"/>
  <c r="AB2938" i="13"/>
  <c r="AB3044" i="13"/>
  <c r="AB2174" i="13"/>
  <c r="AB1442" i="13"/>
  <c r="AB2005" i="13"/>
  <c r="AB3130" i="13"/>
  <c r="AB2524" i="13"/>
  <c r="AB1601" i="13"/>
  <c r="AB2408" i="13"/>
  <c r="AB3228" i="13"/>
  <c r="AB1792" i="13"/>
  <c r="AB1752" i="13"/>
  <c r="AB3149" i="13"/>
  <c r="AB291" i="13"/>
  <c r="AB1715" i="13"/>
  <c r="AB3129" i="13"/>
  <c r="AB607" i="13"/>
  <c r="AB859" i="13"/>
  <c r="AB1177" i="13"/>
  <c r="AB141" i="13"/>
  <c r="AB2246" i="13"/>
  <c r="AB1438" i="13"/>
  <c r="AB1133" i="13"/>
  <c r="AB2272" i="13"/>
  <c r="AB2946" i="13"/>
  <c r="AB3273" i="13"/>
  <c r="AB1258" i="13"/>
  <c r="AB2394" i="13"/>
  <c r="AB1308" i="13"/>
  <c r="AB2187" i="13"/>
  <c r="AB3524" i="13"/>
  <c r="AB791" i="13"/>
  <c r="AB2116" i="13"/>
  <c r="AB1461" i="13"/>
  <c r="AB2426" i="13"/>
  <c r="AB1607" i="13"/>
  <c r="AB289" i="13"/>
  <c r="AB775" i="13"/>
  <c r="AB861" i="13"/>
  <c r="AB2239" i="13"/>
  <c r="AB1812" i="13"/>
  <c r="AB1747" i="13"/>
  <c r="AB681" i="13"/>
  <c r="AB745" i="13"/>
  <c r="AB2348" i="13"/>
  <c r="AB3009" i="13"/>
  <c r="AB3463" i="13"/>
  <c r="AB2952" i="13"/>
  <c r="AB1670" i="13"/>
  <c r="AB1458" i="13"/>
  <c r="AB135" i="13"/>
  <c r="AB3262" i="13"/>
  <c r="AB3133" i="13"/>
  <c r="AB3379" i="13"/>
  <c r="AB1090" i="13"/>
  <c r="AB2250" i="13"/>
  <c r="AB764" i="13"/>
  <c r="AB2258" i="13"/>
  <c r="AB1255" i="13"/>
  <c r="AB1602" i="13"/>
  <c r="AB3494" i="13"/>
  <c r="AB333" i="13"/>
  <c r="AB2514" i="13"/>
  <c r="AB119" i="13"/>
  <c r="AB1039" i="13"/>
  <c r="AB3375" i="13"/>
  <c r="AB2425" i="13"/>
  <c r="AB2100" i="13"/>
  <c r="AB1362" i="13"/>
  <c r="AB256" i="13"/>
  <c r="AB3011" i="13"/>
  <c r="AB3395" i="13"/>
  <c r="AB95" i="13"/>
  <c r="AB558" i="13"/>
  <c r="AB1504" i="13"/>
  <c r="AB2335" i="13"/>
  <c r="AB3299" i="13"/>
  <c r="AB2206" i="13"/>
  <c r="AB161" i="13"/>
  <c r="AB1758" i="13"/>
  <c r="AB724" i="13"/>
  <c r="AB1482" i="13"/>
  <c r="AB1340" i="13"/>
  <c r="AB1061" i="13"/>
  <c r="AB1966" i="13"/>
  <c r="AB467" i="13"/>
  <c r="AB1471" i="13"/>
  <c r="AB487" i="13"/>
  <c r="AB3432" i="13"/>
  <c r="AB1722" i="13"/>
  <c r="AB2848" i="13"/>
  <c r="AB710" i="13"/>
  <c r="AB1137" i="13"/>
  <c r="AB257" i="13"/>
  <c r="AB470" i="13"/>
  <c r="AB311" i="13"/>
  <c r="AB3503" i="13"/>
  <c r="AB1302" i="13"/>
  <c r="AB3055" i="13"/>
  <c r="AB2836" i="13"/>
  <c r="AB1402" i="13"/>
  <c r="AB595" i="13"/>
  <c r="AB1618" i="13"/>
  <c r="AB101" i="13"/>
  <c r="AB120" i="13"/>
  <c r="AB2454" i="13"/>
  <c r="AB659" i="13"/>
  <c r="AB1050" i="13"/>
  <c r="AB2773" i="13"/>
  <c r="AB3192" i="13"/>
  <c r="AB1419" i="13"/>
  <c r="AB836" i="13"/>
  <c r="AB3373" i="13"/>
  <c r="AB3529" i="13"/>
  <c r="AB2137" i="13"/>
  <c r="AB2819" i="13"/>
  <c r="AB3237" i="13"/>
  <c r="AB1237" i="13"/>
  <c r="AB2628" i="13"/>
  <c r="AB892" i="13"/>
  <c r="AB2675" i="13"/>
  <c r="AB3534" i="13"/>
  <c r="AB3187" i="13"/>
  <c r="AB2911" i="13"/>
  <c r="AB765" i="13"/>
  <c r="AB3110" i="13"/>
  <c r="AB1226" i="13"/>
  <c r="AB553" i="13"/>
  <c r="AB2523" i="13"/>
  <c r="AB2951" i="13"/>
  <c r="AB1484" i="13"/>
  <c r="AB191" i="13"/>
  <c r="AB2443" i="13"/>
  <c r="AB2120" i="13"/>
  <c r="AB652" i="13"/>
  <c r="AB889" i="13"/>
  <c r="AB2921" i="13"/>
  <c r="AB146" i="13"/>
  <c r="AB1112" i="13"/>
  <c r="AB1475" i="13"/>
  <c r="AB1020" i="13"/>
  <c r="AB1027" i="13"/>
  <c r="AB3028" i="13"/>
  <c r="AB2457" i="13"/>
  <c r="AB962" i="13"/>
  <c r="AB2860" i="13"/>
  <c r="AB3119" i="13"/>
  <c r="AB590" i="13"/>
  <c r="AB1705" i="13"/>
  <c r="AB2202" i="13"/>
  <c r="AB1859" i="13"/>
  <c r="AB2152" i="13"/>
  <c r="AB2342" i="13"/>
  <c r="AB2247" i="13"/>
  <c r="AB979" i="13"/>
  <c r="AB2162" i="13"/>
  <c r="AB88" i="13"/>
  <c r="AB471" i="13"/>
  <c r="AB1993" i="13"/>
  <c r="AB3387" i="13"/>
  <c r="AB996" i="13"/>
  <c r="AB768" i="13"/>
  <c r="AB2464" i="13"/>
  <c r="AB1057" i="13"/>
  <c r="AB1185" i="13"/>
  <c r="AB779" i="13"/>
  <c r="AB41" i="13"/>
  <c r="AB2384" i="13"/>
  <c r="AB3037" i="13"/>
  <c r="AB156" i="13"/>
  <c r="AB1662" i="13"/>
  <c r="AB2733" i="13"/>
  <c r="AB1741" i="13"/>
  <c r="AB3374" i="13"/>
  <c r="AB1505" i="13"/>
  <c r="AB1315" i="13"/>
  <c r="AB2559" i="13"/>
  <c r="AB2849" i="13"/>
  <c r="AB2787" i="13"/>
  <c r="AB1013" i="13"/>
  <c r="AB2275" i="13"/>
  <c r="AB2619" i="13"/>
  <c r="AB274" i="13"/>
  <c r="AB3360" i="13"/>
  <c r="AB1107" i="13"/>
  <c r="AB3069" i="13"/>
  <c r="AB3108" i="13"/>
  <c r="AB1457" i="13"/>
  <c r="AB174" i="13"/>
  <c r="AB2612" i="13"/>
  <c r="AB264" i="13"/>
  <c r="AB1371" i="13"/>
  <c r="AB2633" i="13"/>
  <c r="AB2092" i="13"/>
  <c r="AB2341" i="13"/>
  <c r="AB202" i="13"/>
  <c r="AB352" i="13"/>
  <c r="AB186" i="13"/>
  <c r="AB2505" i="13"/>
  <c r="AB1866" i="13"/>
  <c r="AB3157" i="13"/>
  <c r="AB480" i="13"/>
  <c r="AB1040" i="13"/>
  <c r="AB3090" i="13"/>
  <c r="AB720" i="13"/>
  <c r="AB2393" i="13"/>
  <c r="AB2329" i="13"/>
  <c r="AB797" i="13"/>
  <c r="AB976" i="13"/>
  <c r="AB2728" i="13"/>
  <c r="AB3412" i="13"/>
  <c r="AB62" i="13"/>
  <c r="AB142" i="13"/>
  <c r="AB3443" i="13"/>
  <c r="AB1810" i="13"/>
  <c r="AB603" i="13"/>
  <c r="AB1088" i="13"/>
  <c r="AB1687" i="13"/>
  <c r="AB1037" i="13"/>
  <c r="AB2147" i="13"/>
  <c r="AB2847" i="13"/>
  <c r="AB3093" i="13"/>
  <c r="AB1518" i="13"/>
  <c r="AB3136" i="13"/>
  <c r="AB1124" i="13"/>
  <c r="AB3230" i="13"/>
  <c r="AB2411" i="13"/>
  <c r="AB1970" i="13"/>
  <c r="AB3312" i="13"/>
  <c r="AB430" i="13"/>
  <c r="AB1015" i="13"/>
  <c r="AB615" i="13"/>
  <c r="AB662" i="13"/>
  <c r="AB1558" i="13"/>
  <c r="AB2985" i="13"/>
  <c r="AB1832" i="13"/>
  <c r="AB2863" i="13"/>
  <c r="AB398" i="13"/>
  <c r="AB533" i="13"/>
  <c r="AB1941" i="13"/>
  <c r="AB1138" i="13"/>
  <c r="AB2722" i="13"/>
  <c r="AB3408" i="13"/>
  <c r="AB360" i="13"/>
  <c r="AB3061" i="13"/>
  <c r="AB1375" i="13"/>
  <c r="AB2960" i="13"/>
  <c r="AB1648" i="13"/>
  <c r="AB2013" i="13"/>
  <c r="AB2565" i="13"/>
  <c r="AB80" i="13"/>
  <c r="AB482" i="13"/>
  <c r="AB1733" i="13"/>
  <c r="AB3255" i="13"/>
  <c r="AB907" i="13"/>
  <c r="AB1323" i="13"/>
  <c r="AB1038" i="13"/>
  <c r="AB2739" i="13"/>
  <c r="AB541" i="13"/>
  <c r="AB1165" i="13"/>
  <c r="AB2421" i="13"/>
  <c r="AB1726" i="13"/>
  <c r="AB3504" i="13"/>
  <c r="AB3433" i="13"/>
  <c r="AB1863" i="13"/>
  <c r="AB1116" i="13"/>
  <c r="AB2434" i="13"/>
  <c r="AB636" i="13"/>
  <c r="AB366" i="13"/>
  <c r="AB630" i="13"/>
  <c r="AB690" i="13"/>
  <c r="AB2195" i="13"/>
  <c r="AB2589" i="13"/>
  <c r="AB1791" i="13"/>
  <c r="AB58" i="13"/>
  <c r="AB1597" i="13"/>
  <c r="AB2274" i="13"/>
  <c r="AB48" i="13"/>
  <c r="AB1858" i="13"/>
  <c r="AB3141" i="13"/>
  <c r="AB204" i="13"/>
  <c r="AB339" i="13"/>
  <c r="AB40" i="13"/>
  <c r="AB417" i="13"/>
  <c r="AB1774" i="13"/>
  <c r="AB3292" i="13"/>
  <c r="AB187" i="13"/>
  <c r="AB1692" i="13"/>
  <c r="AB163" i="13"/>
  <c r="AB1685" i="13"/>
  <c r="AB3409" i="13"/>
  <c r="AB1167" i="13"/>
  <c r="AB2801" i="13"/>
  <c r="AB1811" i="13"/>
  <c r="AB1519" i="13"/>
  <c r="AB3480" i="13"/>
  <c r="AB1591" i="13"/>
  <c r="AB1086" i="13"/>
  <c r="AB2529" i="13"/>
  <c r="AB1678" i="13"/>
  <c r="AB201" i="13"/>
  <c r="AB984" i="13"/>
  <c r="AB2105" i="13"/>
  <c r="AB214" i="13"/>
  <c r="AB1206" i="13"/>
  <c r="AB1276" i="13"/>
  <c r="AB301" i="13"/>
  <c r="AB811" i="13"/>
  <c r="AB2710" i="13"/>
  <c r="AB3249" i="13"/>
  <c r="AB36" i="13"/>
  <c r="AB3414" i="13"/>
  <c r="AB2982" i="13"/>
  <c r="AB667" i="13"/>
  <c r="AB2752" i="13"/>
  <c r="AB3478" i="13"/>
  <c r="AB597" i="13"/>
  <c r="AB3243" i="13"/>
  <c r="AB1175" i="13"/>
  <c r="AB45" i="13"/>
  <c r="AB1868" i="13"/>
  <c r="AB1992" i="13"/>
  <c r="AB2930" i="13"/>
  <c r="AB3248" i="13"/>
  <c r="AB110" i="13"/>
  <c r="AB2113" i="13"/>
  <c r="AB2579" i="13"/>
  <c r="AB3365" i="13"/>
  <c r="AB248" i="13"/>
  <c r="AB3096" i="13"/>
  <c r="AB1228" i="13"/>
  <c r="AB815" i="13"/>
  <c r="AB832" i="13"/>
  <c r="AB404" i="13"/>
  <c r="J53" i="5"/>
  <c r="J19" i="5"/>
  <c r="J92" i="5"/>
  <c r="J123" i="5"/>
  <c r="J35" i="5"/>
  <c r="J78" i="5"/>
  <c r="J52" i="5"/>
  <c r="J47" i="5"/>
  <c r="J44" i="5"/>
  <c r="J56" i="5"/>
  <c r="J34" i="5"/>
  <c r="J57" i="5"/>
  <c r="J122" i="5"/>
  <c r="J28" i="5"/>
  <c r="J112" i="5"/>
  <c r="J84" i="5"/>
  <c r="J86" i="5"/>
  <c r="J59" i="5"/>
  <c r="J21" i="5"/>
  <c r="J109" i="5"/>
  <c r="J106" i="5"/>
  <c r="J69" i="5"/>
  <c r="J16" i="5"/>
  <c r="J101" i="5"/>
  <c r="J93" i="5"/>
  <c r="J70" i="5"/>
  <c r="J126" i="5"/>
  <c r="J3" i="5"/>
  <c r="J60" i="5"/>
  <c r="J118" i="5"/>
  <c r="J45" i="5"/>
  <c r="J94" i="5"/>
  <c r="J27" i="5"/>
  <c r="J114" i="5"/>
  <c r="J6" i="5"/>
  <c r="J12" i="5"/>
  <c r="J104" i="5"/>
  <c r="J99" i="5"/>
  <c r="J54" i="5"/>
  <c r="J91" i="5"/>
  <c r="J39" i="5"/>
  <c r="J96" i="5"/>
  <c r="J33" i="5"/>
  <c r="J105" i="5"/>
  <c r="J13" i="5"/>
  <c r="J15" i="5"/>
  <c r="J95" i="5"/>
  <c r="J90" i="5"/>
  <c r="J8" i="5"/>
  <c r="J10" i="5"/>
  <c r="J77" i="5"/>
  <c r="J68" i="5"/>
  <c r="J17" i="5"/>
  <c r="J48" i="5"/>
  <c r="J7" i="5"/>
  <c r="J115" i="5"/>
  <c r="J2" i="5"/>
  <c r="J4" i="5"/>
  <c r="J40" i="5"/>
  <c r="J22" i="5"/>
  <c r="J108" i="5"/>
  <c r="J100" i="5"/>
  <c r="J71" i="5"/>
  <c r="J23" i="5"/>
  <c r="J31" i="5"/>
  <c r="J74" i="5"/>
  <c r="J32" i="5"/>
  <c r="J37" i="5"/>
  <c r="J80" i="5"/>
  <c r="J29" i="5"/>
  <c r="J97" i="5"/>
  <c r="J119" i="5"/>
  <c r="J18" i="5"/>
  <c r="J76" i="5"/>
  <c r="J36" i="5"/>
  <c r="J102" i="5"/>
  <c r="J24" i="5"/>
  <c r="J88" i="5"/>
  <c r="J116" i="5"/>
  <c r="J11" i="5"/>
  <c r="J98" i="5"/>
  <c r="J107" i="5"/>
  <c r="J62" i="5"/>
  <c r="J25" i="5"/>
  <c r="J82" i="5"/>
  <c r="J46" i="5"/>
  <c r="J64" i="5"/>
  <c r="J124" i="5"/>
  <c r="J113" i="5"/>
  <c r="J63" i="5"/>
  <c r="J66" i="5"/>
  <c r="J73" i="5"/>
  <c r="J5" i="5"/>
  <c r="J79" i="5"/>
  <c r="J75" i="5"/>
  <c r="J110" i="5"/>
  <c r="J38" i="5"/>
  <c r="J121" i="5"/>
  <c r="J58" i="5"/>
  <c r="J41" i="5"/>
  <c r="J65" i="5"/>
  <c r="J111" i="5"/>
  <c r="J103" i="5"/>
  <c r="J51" i="5"/>
  <c r="J120" i="5"/>
  <c r="J55" i="5"/>
  <c r="J20" i="5"/>
  <c r="J42" i="5"/>
  <c r="J85" i="5"/>
  <c r="J50" i="5"/>
  <c r="J89" i="5"/>
  <c r="J67" i="5"/>
  <c r="J72" i="5"/>
  <c r="J14" i="5"/>
  <c r="J43" i="5"/>
  <c r="J81" i="5"/>
  <c r="J125" i="5"/>
  <c r="J83" i="5"/>
  <c r="J9" i="5"/>
  <c r="J87" i="5"/>
  <c r="J117" i="5"/>
  <c r="J49" i="5"/>
  <c r="J30" i="5"/>
  <c r="J61" i="5"/>
  <c r="J26" i="5"/>
  <c r="J1" i="5"/>
  <c r="O56" i="13"/>
  <c r="O34" i="13"/>
  <c r="O59" i="13"/>
  <c r="O48" i="13"/>
  <c r="P74" i="13"/>
  <c r="N45" i="13"/>
  <c r="N53" i="13"/>
  <c r="N34" i="13"/>
  <c r="AA17" i="13"/>
  <c r="O27" i="13"/>
  <c r="S27" i="13"/>
  <c r="T27" i="13"/>
  <c r="U27" i="13"/>
  <c r="O28" i="13"/>
  <c r="S28" i="13"/>
  <c r="T28" i="13" s="1"/>
  <c r="U28" i="13" l="1"/>
  <c r="S29" i="13"/>
  <c r="T29" i="13" s="1"/>
  <c r="U29" i="13" l="1"/>
  <c r="S30" i="13"/>
  <c r="T30" i="13" s="1"/>
  <c r="S31" i="13"/>
  <c r="T31" i="13" s="1"/>
  <c r="U30" i="13" l="1"/>
  <c r="U31" i="13"/>
  <c r="S32" i="13"/>
  <c r="T32" i="13" s="1"/>
  <c r="O33" i="13"/>
  <c r="S33" i="13"/>
  <c r="T33" i="13" s="1"/>
  <c r="U32" i="13" l="1"/>
  <c r="U33" i="13"/>
  <c r="S34" i="13"/>
  <c r="T34" i="13" s="1"/>
  <c r="S39" i="13"/>
  <c r="T39" i="13" s="1"/>
  <c r="O49" i="13"/>
  <c r="S49" i="13"/>
  <c r="T49" i="13" s="1"/>
  <c r="U34" i="13" l="1"/>
  <c r="U49" i="13"/>
  <c r="O50" i="13"/>
  <c r="S50" i="13"/>
  <c r="T50" i="13" s="1"/>
  <c r="V27" i="13" l="1" a="1"/>
  <c r="V27" i="13" s="1"/>
  <c r="U50" i="13"/>
  <c r="O38" i="13"/>
  <c r="S38" i="13"/>
  <c r="T38" i="13" s="1"/>
  <c r="S56" i="13"/>
  <c r="T56" i="13" s="1"/>
  <c r="U38" i="13" l="1"/>
  <c r="U56" i="13"/>
  <c r="O37" i="13"/>
  <c r="S37" i="13"/>
  <c r="T37" i="13" s="1"/>
  <c r="U37" i="13"/>
  <c r="S51" i="13"/>
  <c r="T51" i="13" s="1"/>
  <c r="S43" i="13"/>
  <c r="T43" i="13" s="1"/>
  <c r="U51" i="13" l="1"/>
  <c r="U43" i="13"/>
  <c r="S44" i="13"/>
  <c r="T44" i="13" s="1"/>
  <c r="S46" i="13"/>
  <c r="T46" i="13" s="1"/>
  <c r="U46" i="13"/>
  <c r="S24" i="13"/>
  <c r="O36" i="13"/>
  <c r="S36" i="13"/>
  <c r="T36" i="13" s="1"/>
  <c r="U36" i="13"/>
  <c r="S52" i="13"/>
  <c r="T52" i="13" s="1"/>
  <c r="S48" i="13"/>
  <c r="T48" i="13" s="1"/>
  <c r="O42" i="13"/>
  <c r="S42" i="13"/>
  <c r="T42" i="13" s="1"/>
  <c r="U42" i="13"/>
  <c r="U39" i="13"/>
  <c r="O45" i="13"/>
  <c r="S45" i="13"/>
  <c r="T45" i="13" s="1"/>
  <c r="U45" i="13"/>
  <c r="O58" i="13"/>
  <c r="S58" i="13"/>
  <c r="T58" i="13" s="1"/>
  <c r="S21" i="13"/>
  <c r="U58" i="13" l="1"/>
  <c r="T21" i="13"/>
  <c r="S22" i="13"/>
  <c r="U21" i="13" l="1"/>
  <c r="T22" i="13"/>
  <c r="U22" i="13" l="1"/>
  <c r="U44" i="13"/>
  <c r="O54" i="13"/>
  <c r="S54" i="13"/>
  <c r="T54" i="13" s="1"/>
  <c r="S53" i="13"/>
  <c r="T53" i="13" s="1"/>
  <c r="U54" i="13" l="1"/>
  <c r="S19" i="13"/>
  <c r="U53" i="13" l="1"/>
  <c r="T19" i="13"/>
  <c r="S20" i="13"/>
  <c r="U19" i="13" l="1"/>
  <c r="T20" i="13"/>
  <c r="S23" i="13"/>
  <c r="T23" i="13"/>
  <c r="U20" i="13" l="1"/>
  <c r="U23" i="13"/>
  <c r="T24" i="13"/>
  <c r="U24" i="13" l="1"/>
  <c r="V19" i="13" s="1" a="1"/>
  <c r="V19" i="13" s="1"/>
  <c r="S40" i="13"/>
  <c r="T40" i="13" s="1"/>
  <c r="U40" i="13"/>
  <c r="S59" i="13"/>
  <c r="T59" i="13" s="1"/>
  <c r="N36" i="13"/>
  <c r="O35" i="13"/>
  <c r="P75" i="13"/>
  <c r="U52" i="13"/>
  <c r="N59" i="13"/>
  <c r="N42" i="13"/>
  <c r="N57" i="13"/>
  <c r="S41" i="13"/>
  <c r="T41" i="13" s="1"/>
  <c r="N51" i="13"/>
  <c r="N29" i="13"/>
  <c r="D15" i="6"/>
  <c r="U48" i="13"/>
  <c r="N43" i="13"/>
  <c r="N49" i="13"/>
  <c r="U59" i="13"/>
  <c r="S60" i="13"/>
  <c r="T60" i="13" s="1"/>
  <c r="N40" i="13"/>
  <c r="S47" i="13"/>
  <c r="T47" i="13" s="1"/>
  <c r="AA19" i="13" a="1"/>
  <c r="U60" i="13" l="1"/>
  <c r="AA499" i="13"/>
  <c r="AA2111" i="13"/>
  <c r="AA1610" i="13"/>
  <c r="AA1410" i="13"/>
  <c r="AA3083" i="13"/>
  <c r="AA2668" i="13"/>
  <c r="AA2748" i="13"/>
  <c r="AA3167" i="13"/>
  <c r="AA1134" i="13"/>
  <c r="AA2275" i="13"/>
  <c r="AA3183" i="13"/>
  <c r="AA1910" i="13"/>
  <c r="AA852" i="13"/>
  <c r="AA2588" i="13"/>
  <c r="AA580" i="13"/>
  <c r="AA1731" i="13"/>
  <c r="AA2390" i="13"/>
  <c r="AA2968" i="13"/>
  <c r="AA829" i="13"/>
  <c r="AA3179" i="13"/>
  <c r="AA509" i="13"/>
  <c r="AA3000" i="13"/>
  <c r="AA3230" i="13"/>
  <c r="AA2368" i="13"/>
  <c r="AA988" i="13"/>
  <c r="AA1360" i="13"/>
  <c r="AA907" i="13"/>
  <c r="AA1339" i="13"/>
  <c r="AA2856" i="13"/>
  <c r="AA2596" i="13"/>
  <c r="AA2370" i="13"/>
  <c r="AA913" i="13"/>
  <c r="AA1618" i="13"/>
  <c r="AA418" i="13"/>
  <c r="AA188" i="13"/>
  <c r="AA2160" i="13"/>
  <c r="AA1510" i="13"/>
  <c r="AA3435" i="13"/>
  <c r="AA653" i="13"/>
  <c r="AA182" i="13"/>
  <c r="AA1662" i="13"/>
  <c r="AA1115" i="13"/>
  <c r="AA1009" i="13"/>
  <c r="AA3213" i="13"/>
  <c r="AA2234" i="13"/>
  <c r="AA3518" i="13"/>
  <c r="AA2564" i="13"/>
  <c r="AA1913" i="13"/>
  <c r="AA1561" i="13"/>
  <c r="AA3388" i="13"/>
  <c r="AA1240" i="13"/>
  <c r="AA1848" i="13"/>
  <c r="AA287" i="13"/>
  <c r="AA1534" i="13"/>
  <c r="AA2067" i="13"/>
  <c r="AA1975" i="13"/>
  <c r="AA66" i="13"/>
  <c r="AA2466" i="13"/>
  <c r="AA1155" i="13"/>
  <c r="AA1729" i="13"/>
  <c r="AA2249" i="13"/>
  <c r="AA1096" i="13"/>
  <c r="AA1740" i="13"/>
  <c r="AA2652" i="13"/>
  <c r="AA382" i="13"/>
  <c r="AA2861" i="13"/>
  <c r="AA1330" i="13"/>
  <c r="AA3480" i="13"/>
  <c r="AA3259" i="13"/>
  <c r="AA2404" i="13"/>
  <c r="AA483" i="13"/>
  <c r="AA2348" i="13"/>
  <c r="AA3469" i="13"/>
  <c r="AA927" i="13"/>
  <c r="AA46" i="13"/>
  <c r="AA1811" i="13"/>
  <c r="AA2057" i="13"/>
  <c r="AA1771" i="13"/>
  <c r="AA1850" i="13"/>
  <c r="AA2060" i="13"/>
  <c r="AA3428" i="13"/>
  <c r="AA2015" i="13"/>
  <c r="AA135" i="13"/>
  <c r="AA1426" i="13"/>
  <c r="AA853" i="13"/>
  <c r="AA691" i="13"/>
  <c r="AA3387" i="13"/>
  <c r="AA408" i="13"/>
  <c r="AA2117" i="13"/>
  <c r="AA3262" i="13"/>
  <c r="AA2481" i="13"/>
  <c r="AA3442" i="13"/>
  <c r="AA3001" i="13"/>
  <c r="AA2218" i="13"/>
  <c r="AA1141" i="13"/>
  <c r="AA1082" i="13"/>
  <c r="AA2385" i="13"/>
  <c r="AA1963" i="13"/>
  <c r="AA164" i="13"/>
  <c r="AA2520" i="13"/>
  <c r="AA2422" i="13"/>
  <c r="AA624" i="13"/>
  <c r="AA240" i="13"/>
  <c r="AA1641" i="13"/>
  <c r="AA2884" i="13"/>
  <c r="AA1469" i="13"/>
  <c r="AA2914" i="13"/>
  <c r="AA2338" i="13"/>
  <c r="AA1619" i="13"/>
  <c r="AA534" i="13"/>
  <c r="AA1875" i="13"/>
  <c r="AA1670" i="13"/>
  <c r="AA3195" i="13"/>
  <c r="AA2288" i="13"/>
  <c r="AA1243" i="13"/>
  <c r="AA2043" i="13"/>
  <c r="AA2886" i="13"/>
  <c r="AA429" i="13"/>
  <c r="AA2806" i="13"/>
  <c r="AA3400" i="13"/>
  <c r="AA3042" i="13"/>
  <c r="AA2788" i="13"/>
  <c r="AA1617" i="13"/>
  <c r="AA3308" i="13"/>
  <c r="AA2706" i="13"/>
  <c r="AA532" i="13"/>
  <c r="AA2653" i="13"/>
  <c r="AA2586" i="13"/>
  <c r="AA774" i="13"/>
  <c r="AA104" i="13"/>
  <c r="AA1195" i="13"/>
  <c r="AA2956" i="13"/>
  <c r="AA3483" i="13"/>
  <c r="AA87" i="13"/>
  <c r="AA2758" i="13"/>
  <c r="AA947" i="13"/>
  <c r="AA3222" i="13"/>
  <c r="AA1265" i="13"/>
  <c r="AA3080" i="13"/>
  <c r="AA2282" i="13"/>
  <c r="AA713" i="13"/>
  <c r="AA1487" i="13"/>
  <c r="AA320" i="13"/>
  <c r="AA2394" i="13"/>
  <c r="AA1143" i="13"/>
  <c r="AA242" i="13"/>
  <c r="AA3327" i="13"/>
  <c r="AA1523" i="13"/>
  <c r="AA1076" i="13"/>
  <c r="AA290" i="13"/>
  <c r="AA2606" i="13"/>
  <c r="AA321" i="13"/>
  <c r="AA2916" i="13"/>
  <c r="AA309" i="13"/>
  <c r="AA1295" i="13"/>
  <c r="AA1122" i="13"/>
  <c r="AA1069" i="13"/>
  <c r="AA2979" i="13"/>
  <c r="AA739" i="13"/>
  <c r="AA941" i="13"/>
  <c r="AA353" i="13"/>
  <c r="AA1308" i="13"/>
  <c r="AA1477" i="13"/>
  <c r="AA2917" i="13"/>
  <c r="AA1592" i="13"/>
  <c r="AA1814" i="13"/>
  <c r="AA1458" i="13"/>
  <c r="AA786" i="13"/>
  <c r="AA1394" i="13"/>
  <c r="AA3351" i="13"/>
  <c r="AA602" i="13"/>
  <c r="AA3539" i="13"/>
  <c r="AA2333" i="13"/>
  <c r="AA1887" i="13"/>
  <c r="AA2065" i="13"/>
  <c r="AA255" i="13"/>
  <c r="AA150" i="13"/>
  <c r="AA1637" i="13"/>
  <c r="AA223" i="13"/>
  <c r="AA83" i="13"/>
  <c r="AA460" i="13"/>
  <c r="AA432" i="13"/>
  <c r="AA979" i="13"/>
  <c r="AA2503" i="13"/>
  <c r="AA1807" i="13"/>
  <c r="AA29" i="13"/>
  <c r="AA249" i="13"/>
  <c r="AA3501" i="13"/>
  <c r="AA946" i="13"/>
  <c r="AA3321" i="13"/>
  <c r="AA3231" i="13"/>
  <c r="AA2669" i="13"/>
  <c r="AA378" i="13"/>
  <c r="AA34" i="13"/>
  <c r="AA3126" i="13"/>
  <c r="AA1991" i="13"/>
  <c r="AA208" i="13"/>
  <c r="AA61" i="13"/>
  <c r="AA495" i="13"/>
  <c r="AA2452" i="13"/>
  <c r="AA280" i="13"/>
  <c r="AA3221" i="13"/>
  <c r="AA593" i="13"/>
  <c r="AA2623" i="13"/>
  <c r="AA931" i="13"/>
  <c r="AA2880" i="13"/>
  <c r="AA2443" i="13"/>
  <c r="AA692" i="13"/>
  <c r="AA2531" i="13"/>
  <c r="AA2876" i="13"/>
  <c r="AA305" i="13"/>
  <c r="AA649" i="13"/>
  <c r="AA2865" i="13"/>
  <c r="AA2479" i="13"/>
  <c r="AA3366" i="13"/>
  <c r="AA2296" i="13"/>
  <c r="AA2532" i="13"/>
  <c r="AA3302" i="13"/>
  <c r="AA1733" i="13"/>
  <c r="AA1132" i="13"/>
  <c r="AA3211" i="13"/>
  <c r="AA556" i="13"/>
  <c r="AA1421" i="13"/>
  <c r="AA1894" i="13"/>
  <c r="AA342" i="13"/>
  <c r="AA632" i="13"/>
  <c r="AA1244" i="13"/>
  <c r="AA2828" i="13"/>
  <c r="AA224" i="13"/>
  <c r="AA1676" i="13"/>
  <c r="AA1810" i="13"/>
  <c r="AA2846" i="13"/>
  <c r="AA1005" i="13"/>
  <c r="AA2725" i="13"/>
  <c r="AA2412" i="13"/>
  <c r="AA1948" i="13"/>
  <c r="AA474" i="13"/>
  <c r="AA449" i="13"/>
  <c r="AA776" i="13"/>
  <c r="AA569" i="13"/>
  <c r="AA3363" i="13"/>
  <c r="AA1392" i="13"/>
  <c r="AA740" i="13"/>
  <c r="AA2351" i="13"/>
  <c r="AA254" i="13"/>
  <c r="AA1252" i="13"/>
  <c r="AA1095" i="13"/>
  <c r="AA893" i="13"/>
  <c r="AA3160" i="13"/>
  <c r="AA3408" i="13"/>
  <c r="AA3248" i="13"/>
  <c r="AA3149" i="13"/>
  <c r="AA1306" i="13"/>
  <c r="AA3300" i="13"/>
  <c r="AA462" i="13"/>
  <c r="AA1649" i="13"/>
  <c r="AA3464" i="13"/>
  <c r="AA2595" i="13"/>
  <c r="AA1482" i="13"/>
  <c r="AA2943" i="13"/>
  <c r="AA1580" i="13"/>
  <c r="AA919" i="13"/>
  <c r="AA315" i="13"/>
  <c r="AA2195" i="13"/>
  <c r="AA2175" i="13"/>
  <c r="AA1072" i="13"/>
  <c r="AA374" i="13"/>
  <c r="AA2703" i="13"/>
  <c r="AA644" i="13"/>
  <c r="AA912" i="13"/>
  <c r="AA2142" i="13"/>
  <c r="AA2304" i="13"/>
  <c r="AA2926" i="13"/>
  <c r="AA1571" i="13"/>
  <c r="AA119" i="13"/>
  <c r="AA2425" i="13"/>
  <c r="AA2136" i="13"/>
  <c r="AA788" i="13"/>
  <c r="AA1384" i="13"/>
  <c r="AA407" i="13"/>
  <c r="AA544" i="13"/>
  <c r="AA547" i="13"/>
  <c r="AA3207" i="13"/>
  <c r="AA332" i="13"/>
  <c r="AA597" i="13"/>
  <c r="AA2611" i="13"/>
  <c r="AA3187" i="13"/>
  <c r="AA2196" i="13"/>
  <c r="AA180" i="13"/>
  <c r="AA1724" i="13"/>
  <c r="AA1863" i="13"/>
  <c r="AA2147" i="13"/>
  <c r="AA2608" i="13"/>
  <c r="AA1245" i="13"/>
  <c r="AA482" i="13"/>
  <c r="AA3497" i="13"/>
  <c r="AA2550" i="13"/>
  <c r="AA1799" i="13"/>
  <c r="AA898" i="13"/>
  <c r="AA1559" i="13"/>
  <c r="AA1125" i="13"/>
  <c r="AA3438" i="13"/>
  <c r="AA2839" i="13"/>
  <c r="AA1506" i="13"/>
  <c r="AA2186" i="13"/>
  <c r="AA2188" i="13"/>
  <c r="AA618" i="13"/>
  <c r="AA1652" i="13"/>
  <c r="AA606" i="13"/>
  <c r="AA493" i="13"/>
  <c r="AA2434" i="13"/>
  <c r="AA3391" i="13"/>
  <c r="AA1001" i="13"/>
  <c r="AA2509" i="13"/>
  <c r="AA2455" i="13"/>
  <c r="AA3524" i="13"/>
  <c r="AA1452" i="13"/>
  <c r="AA2622" i="13"/>
  <c r="AA2184" i="13"/>
  <c r="AA966" i="13"/>
  <c r="AA2635" i="13"/>
  <c r="AA1993" i="13"/>
  <c r="AA2259" i="13"/>
  <c r="AA736" i="13"/>
  <c r="AA1603" i="13"/>
  <c r="AA197" i="13"/>
  <c r="AA872" i="13"/>
  <c r="AA1797" i="13"/>
  <c r="AA2954" i="13"/>
  <c r="AA1553" i="13"/>
  <c r="AA3215" i="13"/>
  <c r="AA757" i="13"/>
  <c r="AA1953" i="13"/>
  <c r="AA2912" i="13"/>
  <c r="AA211" i="13"/>
  <c r="AA3299" i="13"/>
  <c r="AA3476" i="13"/>
  <c r="AA552" i="13"/>
  <c r="AA869" i="13"/>
  <c r="AA1933" i="13"/>
  <c r="AA388" i="13"/>
  <c r="AA2590" i="13"/>
  <c r="AA420" i="13"/>
  <c r="AA3039" i="13"/>
  <c r="AA1490" i="13"/>
  <c r="AA1003" i="13"/>
  <c r="AA2251" i="13"/>
  <c r="AA520" i="13"/>
  <c r="AA1723" i="13"/>
  <c r="AA286" i="13"/>
  <c r="AA2972" i="13"/>
  <c r="AA2704" i="13"/>
  <c r="AA3284" i="13"/>
  <c r="AA1976" i="13"/>
  <c r="AA42" i="13"/>
  <c r="AA914" i="13"/>
  <c r="AA1755" i="13"/>
  <c r="AA3538" i="13"/>
  <c r="AA401" i="13"/>
  <c r="AA1593" i="13"/>
  <c r="AA2389" i="13"/>
  <c r="AA1022" i="13"/>
  <c r="AA1060" i="13"/>
  <c r="AA2040" i="13"/>
  <c r="AA3082" i="13"/>
  <c r="AA1136" i="13"/>
  <c r="AA1199" i="13"/>
  <c r="AA146" i="13"/>
  <c r="AA2676" i="13"/>
  <c r="AA3517" i="13"/>
  <c r="AA1038" i="13"/>
  <c r="AA3390" i="13"/>
  <c r="AA84" i="13"/>
  <c r="AA2769" i="13"/>
  <c r="AA3437" i="13"/>
  <c r="AA125" i="13"/>
  <c r="AA559" i="13"/>
  <c r="AA1718" i="13"/>
  <c r="AA930" i="13"/>
  <c r="AA1588" i="13"/>
  <c r="AA3138" i="13"/>
  <c r="AA3151" i="13"/>
  <c r="AA3293" i="13"/>
  <c r="AA241" i="13"/>
  <c r="AA952" i="13"/>
  <c r="AA3022" i="13"/>
  <c r="AA2197" i="13"/>
  <c r="AA2598" i="13"/>
  <c r="AA881" i="13"/>
  <c r="AA2415" i="13"/>
  <c r="AA1080" i="13"/>
  <c r="AA3004" i="13"/>
  <c r="AA136" i="13"/>
  <c r="AA1702" i="13"/>
  <c r="AA350" i="13"/>
  <c r="AA1386" i="13"/>
  <c r="AA1505" i="13"/>
  <c r="AA2536" i="13"/>
  <c r="AA1351" i="13"/>
  <c r="AA3009" i="13"/>
  <c r="AA1983" i="13"/>
  <c r="AA1443" i="13"/>
  <c r="AA1926" i="13"/>
  <c r="AA2997" i="13"/>
  <c r="AA2053" i="13"/>
  <c r="AA1761" i="13"/>
  <c r="AA1728" i="13"/>
  <c r="AA1629" i="13"/>
  <c r="AA1376" i="13"/>
  <c r="AA3340" i="13"/>
  <c r="AA856" i="13"/>
  <c r="AA3372" i="13"/>
  <c r="AA152" i="13"/>
  <c r="AA1258" i="13"/>
  <c r="AA3448" i="13"/>
  <c r="AA3168" i="13"/>
  <c r="AA3247" i="13"/>
  <c r="AA1973" i="13"/>
  <c r="AA917" i="13"/>
  <c r="AA570" i="13"/>
  <c r="AA1564" i="13"/>
  <c r="AA1829" i="13"/>
  <c r="AA3389" i="13"/>
  <c r="AA235" i="13"/>
  <c r="AA2258" i="13"/>
  <c r="AA1950" i="13"/>
  <c r="AA1938" i="13"/>
  <c r="AA2014" i="13"/>
  <c r="AA3096" i="13"/>
  <c r="AA1409" i="13"/>
  <c r="AA2895" i="13"/>
  <c r="AA3330" i="13"/>
  <c r="AA2726" i="13"/>
  <c r="AA2772" i="13"/>
  <c r="AA702" i="13"/>
  <c r="AA2253" i="13"/>
  <c r="AA452" i="13"/>
  <c r="AA1884" i="13"/>
  <c r="AA1586" i="13"/>
  <c r="AA1815" i="13"/>
  <c r="AA3267" i="13"/>
  <c r="AA3282" i="13"/>
  <c r="AA2384" i="13"/>
  <c r="AA905" i="13"/>
  <c r="AA1555" i="13"/>
  <c r="AA1311" i="13"/>
  <c r="AA2008" i="13"/>
  <c r="AA3337" i="13"/>
  <c r="AA2537" i="13"/>
  <c r="AA3460" i="13"/>
  <c r="AA933" i="13"/>
  <c r="AA2042" i="13"/>
  <c r="AA3456" i="13"/>
  <c r="AA648" i="13"/>
  <c r="AA638" i="13"/>
  <c r="AA330" i="13"/>
  <c r="AA2149" i="13"/>
  <c r="AA756" i="13"/>
  <c r="AA86" i="13"/>
  <c r="AA2754" i="13"/>
  <c r="AA251" i="13"/>
  <c r="AA1929" i="13"/>
  <c r="AA2119" i="13"/>
  <c r="AA2157" i="13"/>
  <c r="AA989" i="13"/>
  <c r="AA1063" i="13"/>
  <c r="AA504" i="13"/>
  <c r="AA177" i="13"/>
  <c r="AA1946" i="13"/>
  <c r="AA3216" i="13"/>
  <c r="AA2457" i="13"/>
  <c r="AA2236" i="13"/>
  <c r="AA233" i="13"/>
  <c r="AA1142" i="13"/>
  <c r="AA729" i="13"/>
  <c r="AA1578" i="13"/>
  <c r="AA1062" i="13"/>
  <c r="AA1562" i="13"/>
  <c r="AA1643" i="13"/>
  <c r="AA596" i="13"/>
  <c r="AA1204" i="13"/>
  <c r="AA2573" i="13"/>
  <c r="AA471" i="13"/>
  <c r="AA750" i="13"/>
  <c r="AA3449" i="13"/>
  <c r="AA3550" i="13"/>
  <c r="AA1438" i="13"/>
  <c r="AA1292" i="13"/>
  <c r="AA2030" i="13"/>
  <c r="AA669" i="13"/>
  <c r="AA918" i="13"/>
  <c r="AA2324" i="13"/>
  <c r="AA2690" i="13"/>
  <c r="AA2904" i="13"/>
  <c r="AA39" i="13"/>
  <c r="AA2048" i="13"/>
  <c r="AA213" i="13"/>
  <c r="AA2546" i="13"/>
  <c r="AA1541" i="13"/>
  <c r="AA371" i="13"/>
  <c r="AA2738" i="13"/>
  <c r="AA3490" i="13"/>
  <c r="AA486" i="13"/>
  <c r="AA1674" i="13"/>
  <c r="AA3066" i="13"/>
  <c r="AA1040" i="13"/>
  <c r="AA459" i="13"/>
  <c r="AA1858" i="13"/>
  <c r="AA963" i="13"/>
  <c r="AA3311" i="13"/>
  <c r="AA3044" i="13"/>
  <c r="AA635" i="13"/>
  <c r="AA3528" i="13"/>
  <c r="AA722" i="13"/>
  <c r="AA672" i="13"/>
  <c r="AA102" i="13"/>
  <c r="AA1689" i="13"/>
  <c r="AA2402" i="13"/>
  <c r="AA3324" i="13"/>
  <c r="AA604" i="13"/>
  <c r="AA2105" i="13"/>
  <c r="AA550" i="13"/>
  <c r="AA615" i="13"/>
  <c r="AA2850" i="13"/>
  <c r="AA3240" i="13"/>
  <c r="AA2966" i="13"/>
  <c r="AA2212" i="13"/>
  <c r="AA2033" i="13"/>
  <c r="AA3441" i="13"/>
  <c r="AA583" i="13"/>
  <c r="AA2804" i="13"/>
  <c r="AA268" i="13"/>
  <c r="AA1181" i="13"/>
  <c r="AA1900" i="13"/>
  <c r="AA2750" i="13"/>
  <c r="AA72" i="13"/>
  <c r="AA2843" i="13"/>
  <c r="AA1672" i="13"/>
  <c r="AA294" i="13"/>
  <c r="AA578" i="13"/>
  <c r="AA1985" i="13"/>
  <c r="AA2500" i="13"/>
  <c r="AA3452" i="13"/>
  <c r="AA472" i="13"/>
  <c r="AA361" i="13"/>
  <c r="AA724" i="13"/>
  <c r="AA1049" i="13"/>
  <c r="AA1743" i="13"/>
  <c r="AA2232" i="13"/>
  <c r="AA3177" i="13"/>
  <c r="AA2709" i="13"/>
  <c r="AA1575" i="13"/>
  <c r="AA3380" i="13"/>
  <c r="AA1449" i="13"/>
  <c r="AA1066" i="13"/>
  <c r="AA257" i="13"/>
  <c r="AA3503" i="13"/>
  <c r="AA2031" i="13"/>
  <c r="AA1497" i="13"/>
  <c r="AA2162" i="13"/>
  <c r="AA1757" i="13"/>
  <c r="AA1485" i="13"/>
  <c r="AA1416" i="13"/>
  <c r="AA436" i="13"/>
  <c r="AA3356" i="13"/>
  <c r="AA1107" i="13"/>
  <c r="AA2743" i="13"/>
  <c r="AA2811" i="13"/>
  <c r="AA2285" i="13"/>
  <c r="AA1436" i="13"/>
  <c r="AA3418" i="13"/>
  <c r="AA2802" i="13"/>
  <c r="AA381" i="13"/>
  <c r="AA155" i="13"/>
  <c r="AA3455" i="13"/>
  <c r="AA1297" i="13"/>
  <c r="AA1389" i="13"/>
  <c r="AA3236" i="13"/>
  <c r="AA2679" i="13"/>
  <c r="AA1816" i="13"/>
  <c r="AA3295" i="13"/>
  <c r="AA2082" i="13"/>
  <c r="AA1579" i="13"/>
  <c r="AA824" i="13"/>
  <c r="AA1514" i="13"/>
  <c r="AA1130" i="13"/>
  <c r="AA1582" i="13"/>
  <c r="AA3060" i="13"/>
  <c r="AA2666" i="13"/>
  <c r="AA3312" i="13"/>
  <c r="AA129" i="13"/>
  <c r="AA2492" i="13"/>
  <c r="AA3326" i="13"/>
  <c r="AA265" i="13"/>
  <c r="AA234" i="13"/>
  <c r="AA2174" i="13"/>
  <c r="AA1006" i="13"/>
  <c r="AA851" i="13"/>
  <c r="AA2323" i="13"/>
  <c r="AA1354" i="13"/>
  <c r="AA2499" i="13"/>
  <c r="AA1064" i="13"/>
  <c r="AA2214" i="13"/>
  <c r="AA2529" i="13"/>
  <c r="AA2373" i="13"/>
  <c r="AA1133" i="13"/>
  <c r="AA68" i="13"/>
  <c r="AA1206" i="13"/>
  <c r="AA124" i="13"/>
  <c r="AA3051" i="13"/>
  <c r="AA908" i="13"/>
  <c r="AA2106" i="13"/>
  <c r="AA3322" i="13"/>
  <c r="AA50" i="13"/>
  <c r="AA1211" i="13"/>
  <c r="AA2248" i="13"/>
  <c r="AA3551" i="13"/>
  <c r="AA2569" i="13"/>
  <c r="AA1825" i="13"/>
  <c r="AA1914" i="13"/>
  <c r="AA2833" i="13"/>
  <c r="AA3254" i="13"/>
  <c r="AA1092" i="13"/>
  <c r="AA2380" i="13"/>
  <c r="AA1131" i="13"/>
  <c r="AA130" i="13"/>
  <c r="AA269" i="13"/>
  <c r="AA1517" i="13"/>
  <c r="AA2145" i="13"/>
  <c r="AA543" i="13"/>
  <c r="AA3053" i="13"/>
  <c r="AA357" i="13"/>
  <c r="AA2250" i="13"/>
  <c r="AA797" i="13"/>
  <c r="AA1153" i="13"/>
  <c r="AA2644" i="13"/>
  <c r="AA3048" i="13"/>
  <c r="AA1552" i="13"/>
  <c r="AA664" i="13"/>
  <c r="AA772" i="13"/>
  <c r="AA1493" i="13"/>
  <c r="AA3410" i="13"/>
  <c r="AA1826" i="13"/>
  <c r="AA2290" i="13"/>
  <c r="AA611" i="13"/>
  <c r="AA2729" i="13"/>
  <c r="AA1023" i="13"/>
  <c r="AA289" i="13"/>
  <c r="AA1052" i="13"/>
  <c r="AA3533" i="13"/>
  <c r="AA2654" i="13"/>
  <c r="AA181" i="13"/>
  <c r="AA2490" i="13"/>
  <c r="AA3214" i="13"/>
  <c r="AA1112" i="13"/>
  <c r="AA703" i="13"/>
  <c r="AA2430" i="13"/>
  <c r="AA640" i="13"/>
  <c r="AA2528" i="13"/>
  <c r="AA1305" i="13"/>
  <c r="AA2477" i="13"/>
  <c r="AA2655" i="13"/>
  <c r="AA379" i="13"/>
  <c r="AA558" i="13"/>
  <c r="AA3158" i="13"/>
  <c r="AA2903" i="13"/>
  <c r="AA961" i="13"/>
  <c r="AA1017" i="13"/>
  <c r="AA1762" i="13"/>
  <c r="AA3165" i="13"/>
  <c r="AA2685" i="13"/>
  <c r="AA3447" i="13"/>
  <c r="AA683" i="13"/>
  <c r="AA924" i="13"/>
  <c r="AA926" i="13"/>
  <c r="AA3329" i="13"/>
  <c r="AA1058" i="13"/>
  <c r="AA1732" i="13"/>
  <c r="AA600" i="13"/>
  <c r="AA2639" i="13"/>
  <c r="AA410" i="13"/>
  <c r="AA117" i="13"/>
  <c r="AA468" i="13"/>
  <c r="AA2673" i="13"/>
  <c r="AA1238" i="13"/>
  <c r="AA1951" i="13"/>
  <c r="AA2074" i="13"/>
  <c r="AA71" i="13"/>
  <c r="AA2525" i="13"/>
  <c r="AA1262" i="13"/>
  <c r="AA2382" i="13"/>
  <c r="AA1085" i="13"/>
  <c r="AA77" i="13"/>
  <c r="AA1364" i="13"/>
  <c r="AA413" i="13"/>
  <c r="AA469" i="13"/>
  <c r="AA2244" i="13"/>
  <c r="AA491" i="13"/>
  <c r="AA661" i="13"/>
  <c r="AA492" i="13"/>
  <c r="AA3488" i="13"/>
  <c r="AA3318" i="13"/>
  <c r="AA2454" i="13"/>
  <c r="AA1126" i="13"/>
  <c r="AA666" i="13"/>
  <c r="AA1210" i="13"/>
  <c r="AA938" i="13"/>
  <c r="AA2975" i="13"/>
  <c r="AA266" i="13"/>
  <c r="AA2768" i="13"/>
  <c r="AA3409" i="13"/>
  <c r="AA3285" i="13"/>
  <c r="AA3535" i="13"/>
  <c r="AA3344" i="13"/>
  <c r="AA1695" i="13"/>
  <c r="AA1693" i="13"/>
  <c r="AA711" i="13"/>
  <c r="AA264" i="13"/>
  <c r="AA1599" i="13"/>
  <c r="AA2764" i="13"/>
  <c r="AA3075" i="13"/>
  <c r="AA447" i="13"/>
  <c r="AA2463" i="13"/>
  <c r="AA595" i="13"/>
  <c r="AA3150" i="13"/>
  <c r="AA1342" i="13"/>
  <c r="AA2885" i="13"/>
  <c r="AA445" i="13"/>
  <c r="AA3114" i="13"/>
  <c r="AA2278" i="13"/>
  <c r="AA295" i="13"/>
  <c r="AA1447" i="13"/>
  <c r="AA1182" i="13"/>
  <c r="AA247" i="13"/>
  <c r="AA89" i="13"/>
  <c r="AA2495" i="13"/>
  <c r="AA2263" i="13"/>
  <c r="AA680" i="13"/>
  <c r="AA2291" i="13"/>
  <c r="AA2776" i="13"/>
  <c r="AA818" i="13"/>
  <c r="AA1661" i="13"/>
  <c r="AA2080" i="13"/>
  <c r="AA827" i="13"/>
  <c r="AA36" i="13"/>
  <c r="AA1684" i="13"/>
  <c r="AA3144" i="13"/>
  <c r="AA3369" i="13"/>
  <c r="AA3396" i="13"/>
  <c r="AA1570" i="13"/>
  <c r="AA2435" i="13"/>
  <c r="AA3079" i="13"/>
  <c r="AA78" i="13"/>
  <c r="AA1466" i="13"/>
  <c r="AA3127" i="13"/>
  <c r="AA3414" i="13"/>
  <c r="AA793" i="13"/>
  <c r="AA2656" i="13"/>
  <c r="AA2567" i="13"/>
  <c r="AA1886" i="13"/>
  <c r="AA3253" i="13"/>
  <c r="AA2369" i="13"/>
  <c r="AA383" i="13"/>
  <c r="AA1573" i="13"/>
  <c r="AA2970" i="13"/>
  <c r="AA367" i="13"/>
  <c r="AA1266" i="13"/>
  <c r="AA862" i="13"/>
  <c r="AA338" i="13"/>
  <c r="AA766" i="13"/>
  <c r="AA209" i="13"/>
  <c r="AA3049" i="13"/>
  <c r="AA2007" i="13"/>
  <c r="AA3433" i="13"/>
  <c r="AA531" i="13"/>
  <c r="AA123" i="13"/>
  <c r="AA2123" i="13"/>
  <c r="AA541" i="13"/>
  <c r="AA1890" i="13"/>
  <c r="AA1638" i="13"/>
  <c r="AA1515" i="13"/>
  <c r="AA932" i="13"/>
  <c r="AA2784" i="13"/>
  <c r="AA1464" i="13"/>
  <c r="AA3399" i="13"/>
  <c r="AA1903" i="13"/>
  <c r="AA694" i="13"/>
  <c r="AA3090" i="13"/>
  <c r="AA592" i="13"/>
  <c r="AA2621" i="13"/>
  <c r="AA3379" i="13"/>
  <c r="AA717" i="13"/>
  <c r="AA2991" i="13"/>
  <c r="AA2561" i="13"/>
  <c r="AA843" i="13"/>
  <c r="AA567" i="13"/>
  <c r="AA2626" i="13"/>
  <c r="AA709" i="13"/>
  <c r="AA1273" i="13"/>
  <c r="AA2229" i="13"/>
  <c r="AA1213" i="13"/>
  <c r="AA2976" i="13"/>
  <c r="AA855" i="13"/>
  <c r="AA1725" i="13"/>
  <c r="AA2589" i="13"/>
  <c r="AA3191" i="13"/>
  <c r="AA2447" i="13"/>
  <c r="AA1996" i="13"/>
  <c r="AA2077" i="13"/>
  <c r="AA1765" i="13"/>
  <c r="AA795" i="13"/>
  <c r="AA533" i="13"/>
  <c r="AA2410" i="13"/>
  <c r="AA2209" i="13"/>
  <c r="AA613" i="13"/>
  <c r="AA2226" i="13"/>
  <c r="AA2549" i="13"/>
  <c r="AA889" i="13"/>
  <c r="AA1955" i="13"/>
  <c r="AA2365" i="13"/>
  <c r="AA340" i="13"/>
  <c r="AA1542" i="13"/>
  <c r="AA3134" i="13"/>
  <c r="AA163" i="13"/>
  <c r="AA2017" i="13"/>
  <c r="AA1992" i="13"/>
  <c r="AA2297" i="13"/>
  <c r="AA1876" i="13"/>
  <c r="AA1413" i="13"/>
  <c r="AA23" i="13"/>
  <c r="AA929" i="13"/>
  <c r="AA2940" i="13"/>
  <c r="AA1838" i="13"/>
  <c r="AA52" i="13"/>
  <c r="AA1480" i="13"/>
  <c r="AA345" i="13"/>
  <c r="AA2101" i="13"/>
  <c r="AA1309" i="13"/>
  <c r="AA2221" i="13"/>
  <c r="AA742" i="13"/>
  <c r="AA1372" i="13"/>
  <c r="AA3233" i="13"/>
  <c r="AA2228" i="13"/>
  <c r="AA3542" i="13"/>
  <c r="AA727" i="13"/>
  <c r="AA1121" i="13"/>
  <c r="AA2585" i="13"/>
  <c r="AA446" i="13"/>
  <c r="AA2471" i="13"/>
  <c r="AA2713" i="13"/>
  <c r="AA1254" i="13"/>
  <c r="AA1256" i="13"/>
  <c r="AA1303" i="13"/>
  <c r="AA700" i="13"/>
  <c r="AA1707" i="13"/>
  <c r="AA24" i="13"/>
  <c r="AA755" i="13"/>
  <c r="AA1101" i="13"/>
  <c r="AA1388" i="13"/>
  <c r="AA236" i="13"/>
  <c r="AA248" i="13"/>
  <c r="AA3398" i="13"/>
  <c r="AA2642" i="13"/>
  <c r="AA2098" i="13"/>
  <c r="AA2428" i="13"/>
  <c r="AA2504" i="13"/>
  <c r="AA1760" i="13"/>
  <c r="AA1770" i="13"/>
  <c r="AA494" i="13"/>
  <c r="AA3306" i="13"/>
  <c r="AA1878" i="13"/>
  <c r="AA2166" i="13"/>
  <c r="AA2890" i="13"/>
  <c r="AA1779" i="13"/>
  <c r="AA2091" i="13"/>
  <c r="AA1809" i="13"/>
  <c r="AA1102" i="13"/>
  <c r="AA2887" i="13"/>
  <c r="AA2200" i="13"/>
  <c r="AA2818" i="13"/>
  <c r="AA828" i="13"/>
  <c r="AA735" i="13"/>
  <c r="AA2183" i="13"/>
  <c r="AA1263" i="13"/>
  <c r="AA2620" i="13"/>
  <c r="AA3499" i="13"/>
  <c r="AA1899" i="13"/>
  <c r="AA142" i="13"/>
  <c r="AA1602" i="13"/>
  <c r="AA2215" i="13"/>
  <c r="AA3056" i="13"/>
  <c r="AA738" i="13"/>
  <c r="AA803" i="13"/>
  <c r="AA2643" i="13"/>
  <c r="AA1565" i="13"/>
  <c r="AA2021" i="13"/>
  <c r="AA2172" i="13"/>
  <c r="AA2331" i="13"/>
  <c r="AA2488" i="13"/>
  <c r="AA1909" i="13"/>
  <c r="AA2599" i="13"/>
  <c r="AA1033" i="13"/>
  <c r="AA3052" i="13"/>
  <c r="AA1969" i="13"/>
  <c r="AA3529" i="13"/>
  <c r="AA2129" i="13"/>
  <c r="AA2988" i="13"/>
  <c r="AA3011" i="13"/>
  <c r="AA2028" i="13"/>
  <c r="AA1937" i="13"/>
  <c r="AA3487" i="13"/>
  <c r="AA2478" i="13"/>
  <c r="AA1433" i="13"/>
  <c r="AA498" i="13"/>
  <c r="AA3266" i="13"/>
  <c r="AA3110" i="13"/>
  <c r="AA2302" i="13"/>
  <c r="AA1403" i="13"/>
  <c r="AA1519" i="13"/>
  <c r="AA1444" i="13"/>
  <c r="AA3349" i="13"/>
  <c r="AA3412" i="13"/>
  <c r="AA1399" i="13"/>
  <c r="AA2044" i="13"/>
  <c r="AA1011" i="13"/>
  <c r="AA804" i="13"/>
  <c r="AA688" i="13"/>
  <c r="AA110" i="13"/>
  <c r="AA768" i="13"/>
  <c r="AA1833" i="13"/>
  <c r="AA3477" i="13"/>
  <c r="AA967" i="13"/>
  <c r="AA799" i="13"/>
  <c r="AA1654" i="13"/>
  <c r="AA1819" i="13"/>
  <c r="AA387" i="13"/>
  <c r="AA318" i="13"/>
  <c r="AA141" i="13"/>
  <c r="AA3105" i="13"/>
  <c r="AA1658" i="13"/>
  <c r="AA2735" i="13"/>
  <c r="AA1041" i="13"/>
  <c r="AA1402" i="13"/>
  <c r="AA1425" i="13"/>
  <c r="AA3103" i="13"/>
  <c r="AA2003" i="13"/>
  <c r="AA375" i="13"/>
  <c r="AA1714" i="13"/>
  <c r="AA744" i="13"/>
  <c r="AA1624" i="13"/>
  <c r="AA2857" i="13"/>
  <c r="AA3532" i="13"/>
  <c r="AA2969" i="13"/>
  <c r="AA801" i="13"/>
  <c r="AA2470" i="13"/>
  <c r="AA53" i="13"/>
  <c r="AA2688" i="13"/>
  <c r="AA2401" i="13"/>
  <c r="AA370" i="13"/>
  <c r="AA868" i="13"/>
  <c r="AA3113" i="13"/>
  <c r="AA473" i="13"/>
  <c r="AA2300" i="13"/>
  <c r="AA2406" i="13"/>
  <c r="AA2426" i="13"/>
  <c r="AA1216" i="13"/>
  <c r="AA2441" i="13"/>
  <c r="AA1865" i="13"/>
  <c r="AA457" i="13"/>
  <c r="AA1879" i="13"/>
  <c r="AA3405" i="13"/>
  <c r="AA802" i="13"/>
  <c r="AA1401" i="13"/>
  <c r="AA1945" i="13"/>
  <c r="AA780" i="13"/>
  <c r="AA1835" i="13"/>
  <c r="AA1941" i="13"/>
  <c r="AA2701" i="13"/>
  <c r="AA1253" i="13"/>
  <c r="AA406" i="13"/>
  <c r="AA2462" i="13"/>
  <c r="AA689" i="13"/>
  <c r="AA1786" i="13"/>
  <c r="AA3129" i="13"/>
  <c r="AA79" i="13"/>
  <c r="AA969" i="13"/>
  <c r="AA2631" i="13"/>
  <c r="AA1325" i="13"/>
  <c r="AA1457" i="13"/>
  <c r="AA1467" i="13"/>
  <c r="AA3338" i="13"/>
  <c r="AA1783" i="13"/>
  <c r="AA751" i="13"/>
  <c r="AA2830" i="13"/>
  <c r="AA2700" i="13"/>
  <c r="AA3361" i="13"/>
  <c r="AA3212" i="13"/>
  <c r="AA31" i="13"/>
  <c r="AA942" i="13"/>
  <c r="AA647" i="13"/>
  <c r="AA2984" i="13"/>
  <c r="AA271" i="13"/>
  <c r="AA3457" i="13"/>
  <c r="AA1395" i="13"/>
  <c r="AA513" i="13"/>
  <c r="AA1631" i="13"/>
  <c r="AA2211" i="13"/>
  <c r="AA2177" i="13"/>
  <c r="AA2958" i="13"/>
  <c r="AA3209" i="13"/>
  <c r="AA2867" i="13"/>
  <c r="AA3515" i="13"/>
  <c r="AA2433" i="13"/>
  <c r="AA1509" i="13"/>
  <c r="AA2689" i="13"/>
  <c r="AA3552" i="13"/>
  <c r="AA3069" i="13"/>
  <c r="AA349" i="13"/>
  <c r="AA1748" i="13"/>
  <c r="AA562" i="13"/>
  <c r="AA1560" i="13"/>
  <c r="AA355" i="13"/>
  <c r="AA1227" i="13"/>
  <c r="AA132" i="13"/>
  <c r="AA854" i="13"/>
  <c r="AA151" i="13"/>
  <c r="AA144" i="13"/>
  <c r="AA1666" i="13"/>
  <c r="AA2629" i="13"/>
  <c r="AA1397" i="13"/>
  <c r="AA2935" i="13"/>
  <c r="AA3153" i="13"/>
  <c r="AA279" i="13"/>
  <c r="AA343" i="13"/>
  <c r="AA481" i="13"/>
  <c r="AA3030" i="13"/>
  <c r="AA96" i="13"/>
  <c r="AA3032" i="13"/>
  <c r="AA2810" i="13"/>
  <c r="AA1756" i="13"/>
  <c r="AA1781" i="13"/>
  <c r="AA1393" i="13"/>
  <c r="AA601" i="13"/>
  <c r="AA2349" i="13"/>
  <c r="AA3131" i="13"/>
  <c r="AA133" i="13"/>
  <c r="AA2718" i="13"/>
  <c r="AA2400" i="13"/>
  <c r="AA3305" i="13"/>
  <c r="AA605" i="13"/>
  <c r="AA2854" i="13"/>
  <c r="AA2923" i="13"/>
  <c r="AA45" i="13"/>
  <c r="AA2407" i="13"/>
  <c r="AA1154" i="13"/>
  <c r="AA2845" i="13"/>
  <c r="AA1249" i="13"/>
  <c r="AA817" i="13"/>
  <c r="AA3485" i="13"/>
  <c r="AA2154" i="13"/>
  <c r="AA2849" i="13"/>
  <c r="AA1031" i="13"/>
  <c r="AA2295" i="13"/>
  <c r="AA347" i="13"/>
  <c r="AA984" i="13"/>
  <c r="AA953" i="13"/>
  <c r="AA584" i="13"/>
  <c r="AA1018" i="13"/>
  <c r="AA503" i="13"/>
  <c r="AA2497" i="13"/>
  <c r="AA1616" i="13"/>
  <c r="AA65" i="13"/>
  <c r="AA678" i="13"/>
  <c r="AA2341" i="13"/>
  <c r="AA2670" i="13"/>
  <c r="AA1083" i="13"/>
  <c r="AA1840" i="13"/>
  <c r="AA1373" i="13"/>
  <c r="AA1113" i="13"/>
  <c r="AA1430" i="13"/>
  <c r="AA1834" i="13"/>
  <c r="AA1919" i="13"/>
  <c r="AA2993" i="13"/>
  <c r="AA1824" i="13"/>
  <c r="AA2237" i="13"/>
  <c r="AA1657" i="13"/>
  <c r="AA1710" i="13"/>
  <c r="AA2346" i="13"/>
  <c r="AA1055" i="13"/>
  <c r="AA2419" i="13"/>
  <c r="AA433" i="13"/>
  <c r="AA1780" i="13"/>
  <c r="AA284" i="13"/>
  <c r="AA588" i="13"/>
  <c r="AA2449" i="13"/>
  <c r="AA2945" i="13"/>
  <c r="AA835" i="13"/>
  <c r="AA1566" i="13"/>
  <c r="AA2908" i="13"/>
  <c r="AA2512" i="13"/>
  <c r="AA2230" i="13"/>
  <c r="AA230" i="13"/>
  <c r="AA798" i="13"/>
  <c r="AA1008" i="13"/>
  <c r="AA1387" i="13"/>
  <c r="AA1470" i="13"/>
  <c r="AA1796" i="13"/>
  <c r="AA301" i="13"/>
  <c r="AA2817" i="13"/>
  <c r="AA769" i="13"/>
  <c r="AA3235" i="13"/>
  <c r="AA2034" i="13"/>
  <c r="AA3545" i="13"/>
  <c r="AA540" i="13"/>
  <c r="AA3281" i="13"/>
  <c r="AA2931" i="13"/>
  <c r="AA2315" i="13"/>
  <c r="AA1961" i="13"/>
  <c r="AA1851" i="13"/>
  <c r="AA2745" i="13"/>
  <c r="AA1173" i="13"/>
  <c r="AA3043" i="13"/>
  <c r="AA2456" i="13"/>
  <c r="AA1999" i="13"/>
  <c r="AA1077" i="13"/>
  <c r="AA1812" i="13"/>
  <c r="AA994" i="13"/>
  <c r="AA2899" i="13"/>
  <c r="AA1501" i="13"/>
  <c r="AA2322" i="13"/>
  <c r="AA2474" i="13"/>
  <c r="AA2760" i="13"/>
  <c r="AA464" i="13"/>
  <c r="AA3489" i="13"/>
  <c r="AA3537" i="13"/>
  <c r="AA3439" i="13"/>
  <c r="AA1145" i="13"/>
  <c r="AA2587" i="13"/>
  <c r="AA1241" i="13"/>
  <c r="AA1772" i="13"/>
  <c r="AA2951" i="13"/>
  <c r="AA1554" i="13"/>
  <c r="AA1068" i="13"/>
  <c r="AA3479" i="13"/>
  <c r="AA2889" i="13"/>
  <c r="AA1651" i="13"/>
  <c r="AA463" i="13"/>
  <c r="AA586" i="13"/>
  <c r="AA1859" i="13"/>
  <c r="AA1746" i="13"/>
  <c r="AA958" i="13"/>
  <c r="AA1503" i="13"/>
  <c r="AA1217" i="13"/>
  <c r="AA2376" i="13"/>
  <c r="AA1639" i="13"/>
  <c r="AA643" i="13"/>
  <c r="AA792" i="13"/>
  <c r="AA3440" i="13"/>
  <c r="AA2020" i="13"/>
  <c r="AA973" i="13"/>
  <c r="AA3370" i="13"/>
  <c r="AA832" i="13"/>
  <c r="AA693" i="13"/>
  <c r="AA2553" i="13"/>
  <c r="AA1110" i="13"/>
  <c r="AA2766" i="13"/>
  <c r="AA1200" i="13"/>
  <c r="AA1047" i="13"/>
  <c r="AA2613" i="13"/>
  <c r="AA2618" i="13"/>
  <c r="AA2960" i="13"/>
  <c r="AA392" i="13"/>
  <c r="AA1966" i="13"/>
  <c r="AA427" i="13"/>
  <c r="AA3250" i="13"/>
  <c r="AA1476" i="13"/>
  <c r="AA1429" i="13"/>
  <c r="AA1207" i="13"/>
  <c r="AA262" i="13"/>
  <c r="AA610" i="13"/>
  <c r="AA277" i="13"/>
  <c r="AA2877" i="13"/>
  <c r="AA54" i="13"/>
  <c r="AA3382" i="13"/>
  <c r="AA2339" i="13"/>
  <c r="AA3097" i="13"/>
  <c r="AA1138" i="13"/>
  <c r="AA441" i="13"/>
  <c r="AA878" i="13"/>
  <c r="AA529" i="13"/>
  <c r="AA1106" i="13"/>
  <c r="AA1982" i="13"/>
  <c r="AA32" i="13"/>
  <c r="AA67" i="13"/>
  <c r="AA1032" i="13"/>
  <c r="AA1897" i="13"/>
  <c r="AA3486" i="13"/>
  <c r="AA1450" i="13"/>
  <c r="AA2235" i="13"/>
  <c r="AA1366" i="13"/>
  <c r="AA585" i="13"/>
  <c r="AA1148" i="13"/>
  <c r="AA1234" i="13"/>
  <c r="AA1944" i="13"/>
  <c r="AA2851" i="13"/>
  <c r="AA1627" i="13"/>
  <c r="AA444" i="13"/>
  <c r="AA1000" i="13"/>
  <c r="AA2202" i="13"/>
  <c r="AA3101" i="13"/>
  <c r="AA1690" i="13"/>
  <c r="AA1390" i="13"/>
  <c r="AA3342" i="13"/>
  <c r="AA2574" i="13"/>
  <c r="AA2307" i="13"/>
  <c r="AA708" i="13"/>
  <c r="AA2543" i="13"/>
  <c r="AA1423" i="13"/>
  <c r="AA107" i="13"/>
  <c r="AA1800" i="13"/>
  <c r="AA1483" i="13"/>
  <c r="AA1004" i="13"/>
  <c r="AA833" i="13"/>
  <c r="AA3093" i="13"/>
  <c r="AA821" i="13"/>
  <c r="AA1232" i="13"/>
  <c r="AA574" i="13"/>
  <c r="AA2134" i="13"/>
  <c r="AA1808" i="13"/>
  <c r="AA3392" i="13"/>
  <c r="AA871" i="13"/>
  <c r="AA2601" i="13"/>
  <c r="AA665" i="13"/>
  <c r="AA883" i="13"/>
  <c r="AA2906" i="13"/>
  <c r="AA98" i="13"/>
  <c r="AA876" i="13"/>
  <c r="AA2239" i="13"/>
  <c r="AA2894" i="13"/>
  <c r="AA1314" i="13"/>
  <c r="AA2522" i="13"/>
  <c r="AA2392" i="13"/>
  <c r="AA3286" i="13"/>
  <c r="AA2891" i="13"/>
  <c r="AA662" i="13"/>
  <c r="AA2287" i="13"/>
  <c r="AA2277" i="13"/>
  <c r="AA3422" i="13"/>
  <c r="AA3275" i="13"/>
  <c r="AA1020" i="13"/>
  <c r="AA1129" i="13"/>
  <c r="AA3453" i="13"/>
  <c r="AA687" i="13"/>
  <c r="AA2646" i="13"/>
  <c r="AA167" i="13"/>
  <c r="AA2088" i="13"/>
  <c r="AA2318" i="13"/>
  <c r="AA2311" i="13"/>
  <c r="AA3364" i="13"/>
  <c r="AA1044" i="13"/>
  <c r="AA2937" i="13"/>
  <c r="AA238" i="13"/>
  <c r="AA90" i="13"/>
  <c r="AA2336" i="13"/>
  <c r="AA2061" i="13"/>
  <c r="AA944" i="13"/>
  <c r="AA3496" i="13"/>
  <c r="AA2742" i="13"/>
  <c r="AA3223" i="13"/>
  <c r="AA1543" i="13"/>
  <c r="AA204" i="13"/>
  <c r="AA1418" i="13"/>
  <c r="AA1379" i="13"/>
  <c r="AA1831" i="13"/>
  <c r="AA1547" i="13"/>
  <c r="AA2982" i="13"/>
  <c r="AA900" i="13"/>
  <c r="AA1837" i="13"/>
  <c r="AA1836" i="13"/>
  <c r="AA1034" i="13"/>
  <c r="AA200" i="13"/>
  <c r="AA183" i="13"/>
  <c r="AA2064" i="13"/>
  <c r="AA1671" i="13"/>
  <c r="AA2243" i="13"/>
  <c r="AA1157" i="13"/>
  <c r="AA1171" i="13"/>
  <c r="AA193" i="13"/>
  <c r="AA3020" i="13"/>
  <c r="AA2084" i="13"/>
  <c r="AA1461" i="13"/>
  <c r="AA2950" i="13"/>
  <c r="AA2881" i="13"/>
  <c r="AA328" i="13"/>
  <c r="AA1665" i="13"/>
  <c r="AA720" i="13"/>
  <c r="AA2882" i="13"/>
  <c r="AA765" i="13"/>
  <c r="AA2025" i="13"/>
  <c r="AA2619" i="13"/>
  <c r="AA1025" i="13"/>
  <c r="AA2511" i="13"/>
  <c r="AA3466" i="13"/>
  <c r="AA778" i="13"/>
  <c r="AA2552" i="13"/>
  <c r="AA3218" i="13"/>
  <c r="AA2842" i="13"/>
  <c r="AA976" i="13"/>
  <c r="AA2544" i="13"/>
  <c r="AA1103" i="13"/>
  <c r="AA1347" i="13"/>
  <c r="AA231" i="13"/>
  <c r="AA2577" i="13"/>
  <c r="AA3148" i="13"/>
  <c r="AA2506" i="13"/>
  <c r="AA1646" i="13"/>
  <c r="AA1481" i="13"/>
  <c r="AA906" i="13"/>
  <c r="AA225" i="13"/>
  <c r="AA1750" i="13"/>
  <c r="AA372" i="13"/>
  <c r="AA847" i="13"/>
  <c r="AA1911" i="13"/>
  <c r="AA174" i="13"/>
  <c r="AA940" i="13"/>
  <c r="AA1594" i="13"/>
  <c r="AA1345" i="13"/>
  <c r="AA393" i="13"/>
  <c r="AA3226" i="13"/>
  <c r="AA1344" i="13"/>
  <c r="AA972" i="13"/>
  <c r="AA2566" i="13"/>
  <c r="AA2823" i="13"/>
  <c r="AA2792" i="13"/>
  <c r="AA1137" i="13"/>
  <c r="AA3251" i="13"/>
  <c r="AA2749" i="13"/>
  <c r="AA970" i="13"/>
  <c r="AA3166" i="13"/>
  <c r="AA2915" i="13"/>
  <c r="AA2649" i="13"/>
  <c r="AA2662" i="13"/>
  <c r="AA154" i="13"/>
  <c r="AA237" i="13"/>
  <c r="AA2269" i="13"/>
  <c r="AA525" i="13"/>
  <c r="AA2097" i="13"/>
  <c r="AA718" i="13"/>
  <c r="AA549" i="13"/>
  <c r="AA1934" i="13"/>
  <c r="AA1417" i="13"/>
  <c r="AA2672" i="13"/>
  <c r="AA2327" i="13"/>
  <c r="AA902" i="13"/>
  <c r="AA3203" i="13"/>
  <c r="AA217" i="13"/>
  <c r="AA1385" i="13"/>
  <c r="AA2728" i="13"/>
  <c r="AA3225" i="13"/>
  <c r="AA1739" i="13"/>
  <c r="AA1790" i="13"/>
  <c r="AA1747" i="13"/>
  <c r="AA634" i="13"/>
  <c r="AA1868" i="13"/>
  <c r="AA1907" i="13"/>
  <c r="AA44" i="13"/>
  <c r="AA2538" i="13"/>
  <c r="AA2847" i="13"/>
  <c r="AA1697" i="13"/>
  <c r="AA1365" i="13"/>
  <c r="AA1127" i="13"/>
  <c r="AA2029" i="13"/>
  <c r="AA2607" i="13"/>
  <c r="AA2271" i="13"/>
  <c r="AA2870" i="13"/>
  <c r="AA1832" i="13"/>
  <c r="AA1569" i="13"/>
  <c r="AA2411" i="13"/>
  <c r="AA2518" i="13"/>
  <c r="AA608" i="13"/>
  <c r="AA1596" i="13"/>
  <c r="AA2715" i="13"/>
  <c r="AA1073" i="13"/>
  <c r="AA1499" i="13"/>
  <c r="AA1606" i="13"/>
  <c r="AA1404" i="13"/>
  <c r="AA1407" i="13"/>
  <c r="AA1320" i="13"/>
  <c r="AA2489" i="13"/>
  <c r="AA1179" i="13"/>
  <c r="AA3085" i="13"/>
  <c r="AA3199" i="13"/>
  <c r="AA2482" i="13"/>
  <c r="AA1540" i="13"/>
  <c r="AA2050" i="13"/>
  <c r="AA897" i="13"/>
  <c r="AA2762" i="13"/>
  <c r="AA3381" i="13"/>
  <c r="AA1849" i="13"/>
  <c r="AA2924" i="13"/>
  <c r="AA1590" i="13"/>
  <c r="AA1842" i="13"/>
  <c r="AA1889" i="13"/>
  <c r="AA1291" i="13"/>
  <c r="AA1577" i="13"/>
  <c r="AA1412" i="13"/>
  <c r="AA1435" i="13"/>
  <c r="AA1871" i="13"/>
  <c r="AA2835" i="13"/>
  <c r="AA2582" i="13"/>
  <c r="AA787" i="13"/>
  <c r="AA887" i="13"/>
  <c r="AA1152" i="13"/>
  <c r="AA2809" i="13"/>
  <c r="AA697" i="13"/>
  <c r="AA859" i="13"/>
  <c r="AA2947" i="13"/>
  <c r="AA2684" i="13"/>
  <c r="AA775" i="13"/>
  <c r="AA3013" i="13"/>
  <c r="AA1350" i="13"/>
  <c r="AA1518" i="13"/>
  <c r="AA2674" i="13"/>
  <c r="AA3128" i="13"/>
  <c r="AA733" i="13"/>
  <c r="AA641" i="13"/>
  <c r="AA892" i="13"/>
  <c r="AA2039" i="13"/>
  <c r="AA2363" i="13"/>
  <c r="AA809" i="13"/>
  <c r="AA654" i="13"/>
  <c r="AA2266" i="13"/>
  <c r="AA2146" i="13"/>
  <c r="AA1271" i="13"/>
  <c r="AA3465" i="13"/>
  <c r="AA2192" i="13"/>
  <c r="AA1660" i="13"/>
  <c r="AA2731" i="13"/>
  <c r="AA3122" i="13"/>
  <c r="AA2641" i="13"/>
  <c r="AA2448" i="13"/>
  <c r="AA2151" i="13"/>
  <c r="AA1920" i="13"/>
  <c r="AA3026" i="13"/>
  <c r="AA2869" i="13"/>
  <c r="AA2459" i="13"/>
  <c r="AA3016" i="13"/>
  <c r="AA3549" i="13"/>
  <c r="AA783" i="13"/>
  <c r="AA435" i="13"/>
  <c r="AA2231" i="13"/>
  <c r="AA2364" i="13"/>
  <c r="AA1870" i="13"/>
  <c r="AA1277" i="13"/>
  <c r="AA1532" i="13"/>
  <c r="AA1414" i="13"/>
  <c r="AA3345" i="13"/>
  <c r="AA716" i="13"/>
  <c r="AA1791" i="13"/>
  <c r="AA258" i="13"/>
  <c r="AA2464" i="13"/>
  <c r="AA1785" i="13"/>
  <c r="AA210" i="13"/>
  <c r="AA327" i="13"/>
  <c r="AA228" i="13"/>
  <c r="AA2141" i="13"/>
  <c r="AA1813" i="13"/>
  <c r="AA2321" i="13"/>
  <c r="AA1935" i="13"/>
  <c r="AA1521" i="13"/>
  <c r="AA791" i="13"/>
  <c r="AA3245" i="13"/>
  <c r="AA1773" i="13"/>
  <c r="AA2939" i="13"/>
  <c r="AA3429" i="13"/>
  <c r="AA1978" i="13"/>
  <c r="AA3094" i="13"/>
  <c r="AA1285" i="13"/>
  <c r="AA1432" i="13"/>
  <c r="AA1319" i="13"/>
  <c r="AA2838" i="13"/>
  <c r="AA2219" i="13"/>
  <c r="AA37" i="13"/>
  <c r="AA1774" i="13"/>
  <c r="AA723" i="13"/>
  <c r="AA1722" i="13"/>
  <c r="AA2638" i="13"/>
  <c r="AA2408" i="13"/>
  <c r="AA2719" i="13"/>
  <c r="AA1535" i="13"/>
  <c r="AA3402" i="13"/>
  <c r="AA807" i="13"/>
  <c r="AA2733" i="13"/>
  <c r="AA108" i="13"/>
  <c r="AA3142" i="13"/>
  <c r="AA2812" i="13"/>
  <c r="AA3360" i="13"/>
  <c r="AA999" i="13"/>
  <c r="AA3548" i="13"/>
  <c r="AA126" i="13"/>
  <c r="AA2681" i="13"/>
  <c r="AA293" i="13"/>
  <c r="AA1528" i="13"/>
  <c r="AA3378" i="13"/>
  <c r="AA538" i="13"/>
  <c r="AA949" i="13"/>
  <c r="AA1194" i="13"/>
  <c r="AA2959" i="13"/>
  <c r="AA2721" i="13"/>
  <c r="AA2247" i="13"/>
  <c r="AA139" i="13"/>
  <c r="AA1046" i="13"/>
  <c r="AA568" i="13"/>
  <c r="AA2113" i="13"/>
  <c r="AA114" i="13"/>
  <c r="AA1222" i="13"/>
  <c r="AA3261" i="13"/>
  <c r="AA1208" i="13"/>
  <c r="AA1862" i="13"/>
  <c r="AA2650" i="13"/>
  <c r="AA863" i="13"/>
  <c r="AA172" i="13"/>
  <c r="AA2645" i="13"/>
  <c r="AA1172" i="13"/>
  <c r="AA3335" i="13"/>
  <c r="AA3227" i="13"/>
  <c r="AA1283" i="13"/>
  <c r="AA1581" i="13"/>
  <c r="AA1628" i="13"/>
  <c r="AA2508" i="13"/>
  <c r="AA731" i="13"/>
  <c r="AA3117" i="13"/>
  <c r="AA1744" i="13"/>
  <c r="AA948" i="13"/>
  <c r="AA2026" i="13"/>
  <c r="AA245" i="13"/>
  <c r="AA2292" i="13"/>
  <c r="AA1704" i="13"/>
  <c r="AA2308" i="13"/>
  <c r="AA3257" i="13"/>
  <c r="AA2187" i="13"/>
  <c r="AA2831" i="13"/>
  <c r="AA3307" i="13"/>
  <c r="AA1362" i="13"/>
  <c r="AA2888" i="13"/>
  <c r="AA633" i="13"/>
  <c r="AA2627" i="13"/>
  <c r="AA377" i="13"/>
  <c r="AA3353" i="13"/>
  <c r="AA2491" i="13"/>
  <c r="AA1598" i="13"/>
  <c r="AA2403" i="13"/>
  <c r="AA3522" i="13"/>
  <c r="AA229" i="13"/>
  <c r="AA1324" i="13"/>
  <c r="AA3546" i="13"/>
  <c r="AA485" i="13"/>
  <c r="AA1280" i="13"/>
  <c r="AA2667" i="13"/>
  <c r="AA134" i="13"/>
  <c r="AA1473" i="13"/>
  <c r="AA2337" i="13"/>
  <c r="AA2720" i="13"/>
  <c r="AA2388" i="13"/>
  <c r="AA1822" i="13"/>
  <c r="AA1099" i="13"/>
  <c r="AA1091" i="13"/>
  <c r="AA1705" i="13"/>
  <c r="AA2548" i="13"/>
  <c r="AA625" i="13"/>
  <c r="AA40" i="13"/>
  <c r="AA2911" i="13"/>
  <c r="AA896" i="13"/>
  <c r="AA623" i="13"/>
  <c r="AA1701" i="13"/>
  <c r="AA1694" i="13"/>
  <c r="AA3029" i="13"/>
  <c r="AA1659" i="13"/>
  <c r="AA147" i="13"/>
  <c r="AA2100" i="13"/>
  <c r="AA3178" i="13"/>
  <c r="AA443" i="13"/>
  <c r="AA103" i="13"/>
  <c r="AA1382" i="13"/>
  <c r="AA1634" i="13"/>
  <c r="AA1912" i="13"/>
  <c r="AA1094" i="13"/>
  <c r="AA1916" i="13"/>
  <c r="AA2176" i="13"/>
  <c r="AA1448" i="13"/>
  <c r="AA3492" i="13"/>
  <c r="AA1759" i="13"/>
  <c r="AA303" i="13"/>
  <c r="AA2609" i="13"/>
  <c r="AA1846" i="13"/>
  <c r="AA450" i="13"/>
  <c r="AA2617" i="13"/>
  <c r="AA1272" i="13"/>
  <c r="AA439" i="13"/>
  <c r="AA530" i="13"/>
  <c r="AA3176" i="13"/>
  <c r="AA1852" i="13"/>
  <c r="AA2439" i="13"/>
  <c r="AA2790" i="13"/>
  <c r="AA1075" i="13"/>
  <c r="AA2432" i="13"/>
  <c r="AA2206" i="13"/>
  <c r="AA2702" i="13"/>
  <c r="AA1079" i="13"/>
  <c r="AA943" i="13"/>
  <c r="AA2858" i="13"/>
  <c r="AA785" i="13"/>
  <c r="AA2517" i="13"/>
  <c r="AA1721" i="13"/>
  <c r="AA3040" i="13"/>
  <c r="AA841" i="13"/>
  <c r="AA2274" i="13"/>
  <c r="AA1818" i="13"/>
  <c r="AA3115" i="13"/>
  <c r="AA1793" i="13"/>
  <c r="AA97" i="13"/>
  <c r="AA1427" i="13"/>
  <c r="AA2194" i="13"/>
  <c r="AA1437" i="13"/>
  <c r="AA992" i="13"/>
  <c r="AA2137" i="13"/>
  <c r="AA1605" i="13"/>
  <c r="AA1766" i="13"/>
  <c r="AA2000" i="13"/>
  <c r="AA2356" i="13"/>
  <c r="AA1455" i="13"/>
  <c r="AA2156" i="13"/>
  <c r="AA409" i="13"/>
  <c r="AA3474" i="13"/>
  <c r="AA2565" i="13"/>
  <c r="AA806" i="13"/>
  <c r="AA2527" i="13"/>
  <c r="AA109" i="13"/>
  <c r="AA2751" i="13"/>
  <c r="AA762" i="13"/>
  <c r="AA1193" i="13"/>
  <c r="AA3478" i="13"/>
  <c r="AA2054" i="13"/>
  <c r="AA397" i="13"/>
  <c r="AA2821" i="13"/>
  <c r="AA2752" i="13"/>
  <c r="AA2468" i="13"/>
  <c r="AA3506" i="13"/>
  <c r="AA1471" i="13"/>
  <c r="AA1317" i="13"/>
  <c r="AA1375" i="13"/>
  <c r="AA3536" i="13"/>
  <c r="AA308" i="13"/>
  <c r="AA1164" i="13"/>
  <c r="AA784" i="13"/>
  <c r="AA458" i="13"/>
  <c r="AA652" i="13"/>
  <c r="AA1902" i="13"/>
  <c r="AA3420" i="13"/>
  <c r="AA2687" i="13"/>
  <c r="AA2568" i="13"/>
  <c r="AA1333" i="13"/>
  <c r="AA281" i="13"/>
  <c r="AA364" i="13"/>
  <c r="AA782" i="13"/>
  <c r="AA3202" i="13"/>
  <c r="AA1212" i="13"/>
  <c r="AA2167" i="13"/>
  <c r="AA201" i="13"/>
  <c r="AA3055" i="13"/>
  <c r="AA2781" i="13"/>
  <c r="AA1358" i="13"/>
  <c r="AA3444" i="13"/>
  <c r="AA937" i="13"/>
  <c r="AA1176" i="13"/>
  <c r="AA2487" i="13"/>
  <c r="AA3106" i="13"/>
  <c r="AA960" i="13"/>
  <c r="AA2898" i="13"/>
  <c r="AA2515" i="13"/>
  <c r="AA826" i="13"/>
  <c r="AA1764" i="13"/>
  <c r="AA2862" i="13"/>
  <c r="AA179" i="13"/>
  <c r="AA2922" i="13"/>
  <c r="AA2516" i="13"/>
  <c r="AA2352" i="13"/>
  <c r="AA3513" i="13"/>
  <c r="AA707" i="13"/>
  <c r="AA2510" i="13"/>
  <c r="AA2615" i="13"/>
  <c r="AA1997" i="13"/>
  <c r="AA1456" i="13"/>
  <c r="AA365" i="13"/>
  <c r="AA1988" i="13"/>
  <c r="AA1219" i="13"/>
  <c r="AA1500" i="13"/>
  <c r="AA1720" i="13"/>
  <c r="AA2191" i="13"/>
  <c r="AA3358" i="13"/>
  <c r="AA1214" i="13"/>
  <c r="AA910" i="13"/>
  <c r="AA1968" i="13"/>
  <c r="AA3283" i="13"/>
  <c r="AA306" i="13"/>
  <c r="AA3050" i="13"/>
  <c r="AA38" i="13"/>
  <c r="AA761" i="13"/>
  <c r="AA1758" i="13"/>
  <c r="AA1223" i="13"/>
  <c r="AA428" i="13"/>
  <c r="AA1864" i="13"/>
  <c r="AA3273" i="13"/>
  <c r="AA1353" i="13"/>
  <c r="AA2664" i="13"/>
  <c r="AA1667" i="13"/>
  <c r="AA2399" i="13"/>
  <c r="AA2225" i="13"/>
  <c r="AA2819" i="13"/>
  <c r="AA1302" i="13"/>
  <c r="AA256" i="13"/>
  <c r="AA351" i="13"/>
  <c r="AA423" i="13"/>
  <c r="AA1522" i="13"/>
  <c r="AA2472" i="13"/>
  <c r="AA1028" i="13"/>
  <c r="AA1081" i="13"/>
  <c r="AA2397" i="13"/>
  <c r="AA1949" i="13"/>
  <c r="AA48" i="13"/>
  <c r="AA341" i="13"/>
  <c r="AA573" i="13"/>
  <c r="AA41" i="13"/>
  <c r="AA2722" i="13"/>
  <c r="AA3086" i="13"/>
  <c r="AA553" i="13"/>
  <c r="AA2261" i="13"/>
  <c r="AA1054" i="13"/>
  <c r="AA2686" i="13"/>
  <c r="AA3132" i="13"/>
  <c r="AA1078" i="13"/>
  <c r="AA2125" i="13"/>
  <c r="AA1440" i="13"/>
  <c r="AA1196" i="13"/>
  <c r="AA3220" i="13"/>
  <c r="AA319" i="13"/>
  <c r="AA1611" i="13"/>
  <c r="AA2698" i="13"/>
  <c r="AA1312" i="13"/>
  <c r="AA184" i="13"/>
  <c r="AA1446" i="13"/>
  <c r="AA555" i="13"/>
  <c r="AA2741" i="13"/>
  <c r="AA246" i="13"/>
  <c r="AA81" i="13"/>
  <c r="AA2953" i="13"/>
  <c r="AA3276" i="13"/>
  <c r="AA1089" i="13"/>
  <c r="AA1738" i="13"/>
  <c r="AA577" i="13"/>
  <c r="AA414" i="13"/>
  <c r="AA2163" i="13"/>
  <c r="AA1209" i="13"/>
  <c r="AA1065" i="13"/>
  <c r="AA3377" i="13"/>
  <c r="AA1696" i="13"/>
  <c r="AA3021" i="13"/>
  <c r="AA1828" i="13"/>
  <c r="AA1260" i="13"/>
  <c r="AA1056" i="13"/>
  <c r="AA758" i="13"/>
  <c r="AA1801" i="13"/>
  <c r="AA867" i="13"/>
  <c r="AA405" i="13"/>
  <c r="AA3182" i="13"/>
  <c r="AA3303" i="13"/>
  <c r="AA614" i="13"/>
  <c r="AA101" i="13"/>
  <c r="AA3046" i="13"/>
  <c r="AA2883" i="13"/>
  <c r="AA2121" i="13"/>
  <c r="AA3087" i="13"/>
  <c r="AA3277" i="13"/>
  <c r="AA2678" i="13"/>
  <c r="AA2855" i="13"/>
  <c r="AA3334" i="13"/>
  <c r="AA1789" i="13"/>
  <c r="AA3180" i="13"/>
  <c r="AA2913" i="13"/>
  <c r="AA2220" i="13"/>
  <c r="AA2260" i="13"/>
  <c r="AA339" i="13"/>
  <c r="AA250" i="13"/>
  <c r="AA1104" i="13"/>
  <c r="AA2990" i="13"/>
  <c r="AA3159" i="13"/>
  <c r="AA116" i="13"/>
  <c r="AA2708" i="13"/>
  <c r="AA3310" i="13"/>
  <c r="AA2519" i="13"/>
  <c r="AA384" i="13"/>
  <c r="AA161" i="13"/>
  <c r="AA127" i="13"/>
  <c r="AA3291" i="13"/>
  <c r="AA794" i="13"/>
  <c r="AA626" i="13"/>
  <c r="AA3472" i="13"/>
  <c r="AA88" i="13"/>
  <c r="AA923" i="13"/>
  <c r="AA581" i="13"/>
  <c r="AA1109" i="13"/>
  <c r="AA2651" i="13"/>
  <c r="AA2334" i="13"/>
  <c r="AA3371" i="13"/>
  <c r="AA3467" i="13"/>
  <c r="AA51" i="13"/>
  <c r="AA981" i="13"/>
  <c r="AA2763" i="13"/>
  <c r="AA1742" i="13"/>
  <c r="AA2787" i="13"/>
  <c r="AA3028" i="13"/>
  <c r="AA842" i="13"/>
  <c r="AA1168" i="13"/>
  <c r="AA2089" i="13"/>
  <c r="AA675" i="13"/>
  <c r="AA358" i="13"/>
  <c r="AA1956" i="13"/>
  <c r="AA1230" i="13"/>
  <c r="AA3357" i="13"/>
  <c r="AA524" i="13"/>
  <c r="AA2791" i="13"/>
  <c r="AA3278" i="13"/>
  <c r="AA3482" i="13"/>
  <c r="AA1117" i="13"/>
  <c r="AA3541" i="13"/>
  <c r="AA1936" i="13"/>
  <c r="AA376" i="13"/>
  <c r="AA2298" i="13"/>
  <c r="AA3423" i="13"/>
  <c r="AA1893" i="13"/>
  <c r="AA2986" i="13"/>
  <c r="AA272" i="13"/>
  <c r="AA686" i="13"/>
  <c r="AA1315" i="13"/>
  <c r="AA2579" i="13"/>
  <c r="AA1468" i="13"/>
  <c r="AA1895" i="13"/>
  <c r="AA3198" i="13"/>
  <c r="AA2078" i="13"/>
  <c r="AA3156" i="13"/>
  <c r="AA1299" i="13"/>
  <c r="AA1070" i="13"/>
  <c r="AA2581" i="13"/>
  <c r="AA3238" i="13"/>
  <c r="AA3461" i="13"/>
  <c r="AA1400" i="13"/>
  <c r="AA2458" i="13"/>
  <c r="AA3509" i="13"/>
  <c r="AA322" i="13"/>
  <c r="AA1175" i="13"/>
  <c r="AA2513" i="13"/>
  <c r="AA73" i="13"/>
  <c r="AA2632" i="13"/>
  <c r="AA671" i="13"/>
  <c r="AA417" i="13"/>
  <c r="AA781" i="13"/>
  <c r="AA2992" i="13"/>
  <c r="AA1108" i="13"/>
  <c r="AA2832" i="13"/>
  <c r="AA3527" i="13"/>
  <c r="AA2207" i="13"/>
  <c r="AA3343" i="13"/>
  <c r="AA2592" i="13"/>
  <c r="AA676" i="13"/>
  <c r="AA489" i="13"/>
  <c r="AA2900" i="13"/>
  <c r="AA3407" i="13"/>
  <c r="AA2930" i="13"/>
  <c r="AA1782" i="13"/>
  <c r="AA497" i="13"/>
  <c r="AA1100" i="13"/>
  <c r="AA2691" i="13"/>
  <c r="AA3373" i="13"/>
  <c r="AA1381" i="13"/>
  <c r="AA487" i="13"/>
  <c r="AA1536" i="13"/>
  <c r="AA1981" i="13"/>
  <c r="AA3157" i="13"/>
  <c r="AA3036" i="13"/>
  <c r="AA522" i="13"/>
  <c r="AA2486" i="13"/>
  <c r="AA2717" i="13"/>
  <c r="AA1024" i="13"/>
  <c r="AA2524" i="13"/>
  <c r="AA2473" i="13"/>
  <c r="AA2357" i="13"/>
  <c r="AA642" i="13"/>
  <c r="AA2164" i="13"/>
  <c r="AA404" i="13"/>
  <c r="AA1304" i="13"/>
  <c r="AA426" i="13"/>
  <c r="AA1625" i="13"/>
  <c r="AA1512" i="13"/>
  <c r="AA2542" i="13"/>
  <c r="AA1971" i="13"/>
  <c r="AA922" i="13"/>
  <c r="AA3070" i="13"/>
  <c r="AA3197" i="13"/>
  <c r="AA3031" i="13"/>
  <c r="AA3092" i="13"/>
  <c r="AA3270" i="13"/>
  <c r="AA352" i="13"/>
  <c r="AA2475" i="13"/>
  <c r="AA3352" i="13"/>
  <c r="AA1282" i="13"/>
  <c r="AA3296" i="13"/>
  <c r="AA1706" i="13"/>
  <c r="AA137" i="13"/>
  <c r="AA1687" i="13"/>
  <c r="AA1768" i="13"/>
  <c r="AA627" i="13"/>
  <c r="AA2557" i="13"/>
  <c r="AA3003" i="13"/>
  <c r="AA1591" i="13"/>
  <c r="AA360" i="13"/>
  <c r="AA2099" i="13"/>
  <c r="AA2320" i="13"/>
  <c r="AA1328" i="13"/>
  <c r="AA1086" i="13"/>
  <c r="AA3350" i="13"/>
  <c r="AA1321" i="13"/>
  <c r="AA1275" i="13"/>
  <c r="AA2414" i="13"/>
  <c r="AA909" i="13"/>
  <c r="AA3319" i="13"/>
  <c r="AA3241" i="13"/>
  <c r="AA55" i="13"/>
  <c r="AA3473" i="13"/>
  <c r="AA2246" i="13"/>
  <c r="AA2934" i="13"/>
  <c r="AA3505" i="13"/>
  <c r="AA916" i="13"/>
  <c r="AA1640" i="13"/>
  <c r="AA1830" i="13"/>
  <c r="AA1205" i="13"/>
  <c r="AA546" i="13"/>
  <c r="AA2347" i="13"/>
  <c r="AA1326" i="13"/>
  <c r="AA850" i="13"/>
  <c r="AA764" i="13"/>
  <c r="AA448" i="13"/>
  <c r="AA1708" i="13"/>
  <c r="AA3484" i="13"/>
  <c r="AA2580" i="13"/>
  <c r="AA1777" i="13"/>
  <c r="AA2075" i="13"/>
  <c r="AA3288" i="13"/>
  <c r="AA2254" i="13"/>
  <c r="AA2217" i="13"/>
  <c r="AA1653" i="13"/>
  <c r="AA2824" i="13"/>
  <c r="AA3445" i="13"/>
  <c r="AA1093" i="13"/>
  <c r="AA2981" i="13"/>
  <c r="AA3393" i="13"/>
  <c r="AA19" i="13"/>
  <c r="AA3181" i="13"/>
  <c r="AA173" i="13"/>
  <c r="AA3415" i="13"/>
  <c r="AA2707" i="13"/>
  <c r="AA1668" i="13"/>
  <c r="AA2540" i="13"/>
  <c r="AA2815" i="13"/>
  <c r="AA140" i="13"/>
  <c r="AA1998" i="13"/>
  <c r="AA993" i="13"/>
  <c r="AA955" i="13"/>
  <c r="AA714" i="13"/>
  <c r="AA1255" i="13"/>
  <c r="AA1428" i="13"/>
  <c r="AA296" i="13"/>
  <c r="AA430" i="13"/>
  <c r="AA2942" i="13"/>
  <c r="AA3201" i="13"/>
  <c r="AA3119" i="13"/>
  <c r="AA3279" i="13"/>
  <c r="AA331" i="13"/>
  <c r="AA3495" i="13"/>
  <c r="AA2279" i="13"/>
  <c r="AA2453" i="13"/>
  <c r="AA575" i="13"/>
  <c r="AA212" i="13"/>
  <c r="AA2393" i="13"/>
  <c r="AA2169" i="13"/>
  <c r="AA3224" i="13"/>
  <c r="AA1688" i="13"/>
  <c r="AA2381" i="13"/>
  <c r="AA1084" i="13"/>
  <c r="AA3018" i="13"/>
  <c r="AA3426" i="13"/>
  <c r="AA3059" i="13"/>
  <c r="AA2920" i="13"/>
  <c r="AA3362" i="13"/>
  <c r="AA479" i="13"/>
  <c r="AA3463" i="13"/>
  <c r="AA2132" i="13"/>
  <c r="AA3434" i="13"/>
  <c r="AA1332" i="13"/>
  <c r="AA1548" i="13"/>
  <c r="AA1278" i="13"/>
  <c r="AA911" i="13"/>
  <c r="AA2648" i="13"/>
  <c r="AA2526" i="13"/>
  <c r="AA1855" i="13"/>
  <c r="AA2779" i="13"/>
  <c r="AA1711" i="13"/>
  <c r="AA2747" i="13"/>
  <c r="AA2949" i="13"/>
  <c r="AA548" i="13"/>
  <c r="AA1120" i="13"/>
  <c r="AA1597" i="13"/>
  <c r="AA506" i="13"/>
  <c r="AA719" i="13"/>
  <c r="AA2614" i="13"/>
  <c r="AA894" i="13"/>
  <c r="AA300" i="13"/>
  <c r="AA1337" i="13"/>
  <c r="AA2073" i="13"/>
  <c r="AA2575" i="13"/>
  <c r="AA1442" i="13"/>
  <c r="AA1513" i="13"/>
  <c r="AA1460" i="13"/>
  <c r="AA886" i="13"/>
  <c r="AA1918" i="13"/>
  <c r="AA3184" i="13"/>
  <c r="AA470" i="13"/>
  <c r="AA2421" i="13"/>
  <c r="AA2372" i="13"/>
  <c r="AA510" i="13"/>
  <c r="AA385" i="13"/>
  <c r="AA461" i="13"/>
  <c r="AA590" i="13"/>
  <c r="AA243" i="13"/>
  <c r="AA214" i="13"/>
  <c r="AA80" i="13"/>
  <c r="AA3058" i="13"/>
  <c r="AA3188" i="13"/>
  <c r="AA920" i="13"/>
  <c r="AA2012" i="13"/>
  <c r="AA3228" i="13"/>
  <c r="AA759" i="13"/>
  <c r="AA2963" i="13"/>
  <c r="AA1928" i="13"/>
  <c r="AA2534" i="13"/>
  <c r="AA218" i="13"/>
  <c r="AA1682" i="13"/>
  <c r="AA3234" i="13"/>
  <c r="AA2616" i="13"/>
  <c r="AA2879" i="13"/>
  <c r="AA1784" i="13"/>
  <c r="AA3514" i="13"/>
  <c r="AA2148" i="13"/>
  <c r="AA1279" i="13"/>
  <c r="AA3512" i="13"/>
  <c r="AA304" i="13"/>
  <c r="AA2807" i="13"/>
  <c r="AA3116" i="13"/>
  <c r="AA3530" i="13"/>
  <c r="AA1995" i="13"/>
  <c r="AA2753" i="13"/>
  <c r="AA3454" i="13"/>
  <c r="AA511" i="13"/>
  <c r="AA1648" i="13"/>
  <c r="AA451" i="13"/>
  <c r="AA1368" i="13"/>
  <c r="AA2460" i="13"/>
  <c r="AA178" i="13"/>
  <c r="AA2116" i="13"/>
  <c r="AA118" i="13"/>
  <c r="AA1160" i="13"/>
  <c r="AA21" i="13"/>
  <c r="AA747" i="13"/>
  <c r="AA814" i="13"/>
  <c r="AA3451" i="13"/>
  <c r="AA1699" i="13"/>
  <c r="AA3047" i="13"/>
  <c r="AA857" i="13"/>
  <c r="AA3035" i="13"/>
  <c r="AA76" i="13"/>
  <c r="AA877" i="13"/>
  <c r="AA1906" i="13"/>
  <c r="AA1917" i="13"/>
  <c r="AA3081" i="13"/>
  <c r="AA2361" i="13"/>
  <c r="AA1874" i="13"/>
  <c r="AA1967" i="13"/>
  <c r="AA1158" i="13"/>
  <c r="AA2663" i="13"/>
  <c r="AA3109" i="13"/>
  <c r="AA1964" i="13"/>
  <c r="AA3258" i="13"/>
  <c r="AA3077" i="13"/>
  <c r="AA915" i="13"/>
  <c r="AA925" i="13"/>
  <c r="AA2727" i="13"/>
  <c r="AA2199" i="13"/>
  <c r="AA3432" i="13"/>
  <c r="AA1802" i="13"/>
  <c r="AA2213" i="13"/>
  <c r="AA1686" i="13"/>
  <c r="AA682" i="13"/>
  <c r="AA2024" i="13"/>
  <c r="AA2967" i="13"/>
  <c r="AA297" i="13"/>
  <c r="AA2630" i="13"/>
  <c r="AA1248" i="13"/>
  <c r="AA2671" i="13"/>
  <c r="AA324" i="13"/>
  <c r="AA2980" i="13"/>
  <c r="AA186" i="13"/>
  <c r="AA2834" i="13"/>
  <c r="AA2987" i="13"/>
  <c r="AA3063" i="13"/>
  <c r="AA291" i="13"/>
  <c r="AA805" i="13"/>
  <c r="AA773" i="13"/>
  <c r="AA2933" i="13"/>
  <c r="AA2803" i="13"/>
  <c r="AA2771" i="13"/>
  <c r="AA514" i="13"/>
  <c r="AA1524" i="13"/>
  <c r="AA2035" i="13"/>
  <c r="AA3540" i="13"/>
  <c r="AA3446" i="13"/>
  <c r="AA3304" i="13"/>
  <c r="AA2683" i="13"/>
  <c r="AA3315" i="13"/>
  <c r="AA3458" i="13"/>
  <c r="AA1754" i="13"/>
  <c r="AA363" i="13"/>
  <c r="AA1191" i="13"/>
  <c r="AA63" i="13"/>
  <c r="AA2871" i="13"/>
  <c r="AA3100" i="13"/>
  <c r="AA1957" i="13"/>
  <c r="AA1221" i="13"/>
  <c r="AA335" i="13"/>
  <c r="AA2150" i="13"/>
  <c r="AA2310" i="13"/>
  <c r="AA2079" i="13"/>
  <c r="AA770" i="13"/>
  <c r="AA1989" i="13"/>
  <c r="AA745" i="13"/>
  <c r="AA1225" i="13"/>
  <c r="AA1587" i="13"/>
  <c r="AA2796" i="13"/>
  <c r="AA1276" i="13"/>
  <c r="AA3172" i="13"/>
  <c r="AA760" i="13"/>
  <c r="AA312" i="13"/>
  <c r="AA1905" i="13"/>
  <c r="AA1612" i="13"/>
  <c r="AA1203" i="13"/>
  <c r="AA3523" i="13"/>
  <c r="AA1090" i="13"/>
  <c r="AA2265" i="13"/>
  <c r="AA3425" i="13"/>
  <c r="AA1451" i="13"/>
  <c r="AA1289" i="13"/>
  <c r="AA1525" i="13"/>
  <c r="AA162" i="13"/>
  <c r="AA2138" i="13"/>
  <c r="AA2814" i="13"/>
  <c r="AA2994" i="13"/>
  <c r="AA402" i="13"/>
  <c r="AA2985" i="13"/>
  <c r="AA2068" i="13"/>
  <c r="AA2306" i="13"/>
  <c r="AA704" i="13"/>
  <c r="AA2095" i="13"/>
  <c r="AA1520" i="13"/>
  <c r="AA3173" i="13"/>
  <c r="AA1184" i="13"/>
  <c r="AA484" i="13"/>
  <c r="AA128" i="13"/>
  <c r="AA645" i="13"/>
  <c r="AA811" i="13"/>
  <c r="AA3385" i="13"/>
  <c r="AA2514" i="13"/>
  <c r="AA861" i="13"/>
  <c r="AA2086" i="13"/>
  <c r="AA2759" i="13"/>
  <c r="AA2093" i="13"/>
  <c r="AA516" i="13"/>
  <c r="AA1507" i="13"/>
  <c r="AA3268" i="13"/>
  <c r="AA190" i="13"/>
  <c r="AA501" i="13"/>
  <c r="AA2973" i="13"/>
  <c r="AA2446" i="13"/>
  <c r="AA1630" i="13"/>
  <c r="AA95" i="13"/>
  <c r="AA1979" i="13"/>
  <c r="AA1954" i="13"/>
  <c r="AA2593" i="13"/>
  <c r="AA359" i="13"/>
  <c r="AA1198" i="13"/>
  <c r="AA1538" i="13"/>
  <c r="AA836" i="13"/>
  <c r="AA3135" i="13"/>
  <c r="AA216" i="13"/>
  <c r="AA2710" i="13"/>
  <c r="AA2442" i="13"/>
  <c r="AA3232" i="13"/>
  <c r="AA2697" i="13"/>
  <c r="AA1140" i="13"/>
  <c r="AA2047" i="13"/>
  <c r="AA3419" i="13"/>
  <c r="AA965" i="13"/>
  <c r="AA3112" i="13"/>
  <c r="AA3531" i="13"/>
  <c r="AA2658" i="13"/>
  <c r="AA2971" i="13"/>
  <c r="AA1932" i="13"/>
  <c r="AA2085" i="13"/>
  <c r="AA1806" i="13"/>
  <c r="AA2624" i="13"/>
  <c r="AA1357" i="13"/>
  <c r="AA1877" i="13"/>
  <c r="AA1727" i="13"/>
  <c r="AA1841" i="13"/>
  <c r="AA2547" i="13"/>
  <c r="AA956" i="13"/>
  <c r="AA3547" i="13"/>
  <c r="AA1479" i="13"/>
  <c r="AA1880" i="13"/>
  <c r="AA2092" i="13"/>
  <c r="AA2801" i="13"/>
  <c r="AA2009" i="13"/>
  <c r="AA3431" i="13"/>
  <c r="AA777" i="13"/>
  <c r="AA2264" i="13"/>
  <c r="AA2822" i="13"/>
  <c r="AA311" i="13"/>
  <c r="AA2938" i="13"/>
  <c r="AA3355" i="13"/>
  <c r="AA3525" i="13"/>
  <c r="AA899" i="13"/>
  <c r="AA3098" i="13"/>
  <c r="AA2387" i="13"/>
  <c r="AA2316" i="13"/>
  <c r="AA2996" i="13"/>
  <c r="AA2314" i="13"/>
  <c r="AA1045" i="13"/>
  <c r="AA2109" i="13"/>
  <c r="AA1406" i="13"/>
  <c r="AA2208" i="13"/>
  <c r="AA1197" i="13"/>
  <c r="AA2695" i="13"/>
  <c r="AA3348" i="13"/>
  <c r="AA1604" i="13"/>
  <c r="AA2395" i="13"/>
  <c r="AA2115" i="13"/>
  <c r="AA323" i="13"/>
  <c r="AA1857" i="13"/>
  <c r="AA2437" i="13"/>
  <c r="AA1901" i="13"/>
  <c r="AA3333" i="13"/>
  <c r="AA741" i="13"/>
  <c r="AA599" i="13"/>
  <c r="AA2907" i="13"/>
  <c r="AA2071" i="13"/>
  <c r="AA2173" i="13"/>
  <c r="AA748" i="13"/>
  <c r="AA2505" i="13"/>
  <c r="AA904" i="13"/>
  <c r="AA2693" i="13"/>
  <c r="AA2273" i="13"/>
  <c r="AA3427" i="13"/>
  <c r="AA3298" i="13"/>
  <c r="AA329" i="13"/>
  <c r="AA2483" i="13"/>
  <c r="AA278" i="13"/>
  <c r="AA403" i="13"/>
  <c r="AA2732" i="13"/>
  <c r="AA159" i="13"/>
  <c r="AA3204" i="13"/>
  <c r="AA466" i="13"/>
  <c r="AA47" i="13"/>
  <c r="AA1367" i="13"/>
  <c r="AA507" i="13"/>
  <c r="AA1338" i="13"/>
  <c r="AA2955" i="13"/>
  <c r="AA789" i="13"/>
  <c r="AA935" i="13"/>
  <c r="AA1915" i="13"/>
  <c r="AA1294" i="13"/>
  <c r="AA74" i="13"/>
  <c r="AA2340" i="13"/>
  <c r="AA3219" i="13"/>
  <c r="AA734" i="13"/>
  <c r="AA2494" i="13"/>
  <c r="AA274" i="13"/>
  <c r="AA3054" i="13"/>
  <c r="AA2358" i="13"/>
  <c r="AA2602" i="13"/>
  <c r="AA1767" i="13"/>
  <c r="AA2011" i="13"/>
  <c r="AA28" i="13"/>
  <c r="AA3534" i="13"/>
  <c r="AA1163" i="13"/>
  <c r="AA1663" i="13"/>
  <c r="AA215" i="13"/>
  <c r="AA1411" i="13"/>
  <c r="AA3169" i="13"/>
  <c r="AA2305" i="13"/>
  <c r="AA2329" i="13"/>
  <c r="AA261" i="13"/>
  <c r="AA1119" i="13"/>
  <c r="AA1165" i="13"/>
  <c r="AA2677" i="13"/>
  <c r="AA25" i="13"/>
  <c r="AA2004" i="13"/>
  <c r="AA2436" i="13"/>
  <c r="AA808" i="13"/>
  <c r="AA1408" i="13"/>
  <c r="AA2999" i="13"/>
  <c r="AA1231" i="13"/>
  <c r="AA2978" i="13"/>
  <c r="AA1636" i="13"/>
  <c r="AA2152" i="13"/>
  <c r="AA1334" i="13"/>
  <c r="AA1335" i="13"/>
  <c r="AA2659" i="13"/>
  <c r="AA2325" i="13"/>
  <c r="AA283" i="13"/>
  <c r="AA2371" i="13"/>
  <c r="AA168" i="13"/>
  <c r="AA819" i="13"/>
  <c r="AA945" i="13"/>
  <c r="AA1377" i="13"/>
  <c r="AA2740" i="13"/>
  <c r="AA2476" i="13"/>
  <c r="AA1839" i="13"/>
  <c r="AA2825" i="13"/>
  <c r="AA875" i="13"/>
  <c r="AA3297" i="13"/>
  <c r="AA3057" i="13"/>
  <c r="AA557" i="13"/>
  <c r="AA696" i="13"/>
  <c r="AA3368" i="13"/>
  <c r="AA2049" i="13"/>
  <c r="AA356" i="13"/>
  <c r="AA1057" i="13"/>
  <c r="AA1644" i="13"/>
  <c r="AA2469" i="13"/>
  <c r="AA1845" i="13"/>
  <c r="AA1369" i="13"/>
  <c r="AA2155" i="13"/>
  <c r="AA1787" i="13"/>
  <c r="AA120" i="13"/>
  <c r="AA2962" i="13"/>
  <c r="AA3341" i="13"/>
  <c r="AA2303" i="13"/>
  <c r="AA2240" i="13"/>
  <c r="AA521" i="13"/>
  <c r="AA3193" i="13"/>
  <c r="AA1709" i="13"/>
  <c r="AA316" i="13"/>
  <c r="AA2094" i="13"/>
  <c r="AA657" i="13"/>
  <c r="AA1454" i="13"/>
  <c r="AA199" i="13"/>
  <c r="AA1827" i="13"/>
  <c r="AA2107" i="13"/>
  <c r="AA1990" i="13"/>
  <c r="AA3443" i="13"/>
  <c r="AA810" i="13"/>
  <c r="AA26" i="13"/>
  <c r="AA1296" i="13"/>
  <c r="AA2928" i="13"/>
  <c r="AA1151" i="13"/>
  <c r="AA968" i="13"/>
  <c r="AA1405" i="13"/>
  <c r="AA2974" i="13"/>
  <c r="AA1974" i="13"/>
  <c r="AA2102" i="13"/>
  <c r="AA1885" i="13"/>
  <c r="AA1042" i="13"/>
  <c r="AA1419" i="13"/>
  <c r="AA1341" i="13"/>
  <c r="AA2284" i="13"/>
  <c r="AA631" i="13"/>
  <c r="AA1504" i="13"/>
  <c r="AA2451" i="13"/>
  <c r="AA566" i="13"/>
  <c r="AA3421" i="13"/>
  <c r="AA1980" i="13"/>
  <c r="AA2921" i="13"/>
  <c r="AA2126" i="13"/>
  <c r="AA3161" i="13"/>
  <c r="AA3507" i="13"/>
  <c r="AA2897" i="13"/>
  <c r="AA1190" i="13"/>
  <c r="AA1116" i="13"/>
  <c r="AA2533" i="13"/>
  <c r="AA425" i="13"/>
  <c r="AA2746" i="13"/>
  <c r="AA2210" i="13"/>
  <c r="AA1861" i="13"/>
  <c r="AA2952" i="13"/>
  <c r="AA864" i="13"/>
  <c r="AA621" i="13"/>
  <c r="AA3064" i="13"/>
  <c r="AA2799" i="13"/>
  <c r="AA58" i="13"/>
  <c r="AA2041" i="13"/>
  <c r="AA870" i="13"/>
  <c r="AA1530" i="13"/>
  <c r="AA2465" i="13"/>
  <c r="AA198" i="13"/>
  <c r="AA156" i="13"/>
  <c r="AA3269" i="13"/>
  <c r="AA1537" i="13"/>
  <c r="AA282" i="13"/>
  <c r="AA957" i="13"/>
  <c r="AA3316" i="13"/>
  <c r="AA302" i="13"/>
  <c r="AA1595" i="13"/>
  <c r="AA1118" i="13"/>
  <c r="AA1892" i="13"/>
  <c r="AA1371" i="13"/>
  <c r="AA1286" i="13"/>
  <c r="AA3023" i="13"/>
  <c r="AA1882" i="13"/>
  <c r="AA373" i="13"/>
  <c r="AA2013" i="13"/>
  <c r="AA3544" i="13"/>
  <c r="AA1027" i="13"/>
  <c r="AA326" i="13"/>
  <c r="AA1635" i="13"/>
  <c r="AA43" i="13"/>
  <c r="AA1847" i="13"/>
  <c r="AA982" i="13"/>
  <c r="AA2484" i="13"/>
  <c r="AA790" i="13"/>
  <c r="AA2837" i="13"/>
  <c r="AA333" i="13"/>
  <c r="AA56" i="13"/>
  <c r="AA1202" i="13"/>
  <c r="AA3072" i="13"/>
  <c r="AA2103" i="13"/>
  <c r="AA2224" i="13"/>
  <c r="AA2016" i="13"/>
  <c r="AA275" i="13"/>
  <c r="AA3271" i="13"/>
  <c r="AA82" i="13"/>
  <c r="AA1463" i="13"/>
  <c r="AA3107" i="13"/>
  <c r="AA2844" i="13"/>
  <c r="AA528" i="13"/>
  <c r="AA1960" i="13"/>
  <c r="AA2045" i="13"/>
  <c r="AA1472" i="13"/>
  <c r="AA3249" i="13"/>
  <c r="AA519" i="13"/>
  <c r="AA2521" i="13"/>
  <c r="AA431" i="13"/>
  <c r="AA2805" i="13"/>
  <c r="AA2424" i="13"/>
  <c r="AA2600" i="13"/>
  <c r="AA2773" i="13"/>
  <c r="AA1620" i="13"/>
  <c r="AA1664" i="13"/>
  <c r="AA990" i="13"/>
  <c r="AA663" i="13"/>
  <c r="AA1363" i="13"/>
  <c r="AA1348" i="13"/>
  <c r="AA3367" i="13"/>
  <c r="AA591" i="13"/>
  <c r="AA1114" i="13"/>
  <c r="AA2813" i="13"/>
  <c r="AA1898" i="13"/>
  <c r="AA3152" i="13"/>
  <c r="AA2153" i="13"/>
  <c r="AA2775" i="13"/>
  <c r="AA2216" i="13"/>
  <c r="AA616" i="13"/>
  <c r="AA2612" i="13"/>
  <c r="AA1310" i="13"/>
  <c r="AA2450" i="13"/>
  <c r="AA950" i="13"/>
  <c r="AA732" i="13"/>
  <c r="AA2841" i="13"/>
  <c r="AA3170" i="13"/>
  <c r="AA2736" i="13"/>
  <c r="AA1088" i="13"/>
  <c r="AA465" i="13"/>
  <c r="AA222" i="13"/>
  <c r="AA3014" i="13"/>
  <c r="AA2603" i="13"/>
  <c r="AA398" i="13"/>
  <c r="AA571" i="13"/>
  <c r="AA620" i="13"/>
  <c r="AA796" i="13"/>
  <c r="AA2135" i="13"/>
  <c r="AA59" i="13"/>
  <c r="AA1817" i="13"/>
  <c r="AA2723" i="13"/>
  <c r="AA2998" i="13"/>
  <c r="AA2783" i="13"/>
  <c r="AA149" i="13"/>
  <c r="AA884" i="13"/>
  <c r="AA695" i="13"/>
  <c r="AA3521" i="13"/>
  <c r="AA3406" i="13"/>
  <c r="AA1614" i="13"/>
  <c r="AA27" i="13"/>
  <c r="AA1673" i="13"/>
  <c r="AA263" i="13"/>
  <c r="AA2179" i="13"/>
  <c r="AA396" i="13"/>
  <c r="AA2576" i="13"/>
  <c r="AA2896" i="13"/>
  <c r="AA2293" i="13"/>
  <c r="AA3450" i="13"/>
  <c r="AA2256" i="13"/>
  <c r="AA1233" i="13"/>
  <c r="AA1583" i="13"/>
  <c r="AA849" i="13"/>
  <c r="AA169" i="13"/>
  <c r="AA901" i="13"/>
  <c r="AA2001" i="13"/>
  <c r="AA710" i="13"/>
  <c r="AA49" i="13"/>
  <c r="AA2090" i="13"/>
  <c r="AA3155" i="13"/>
  <c r="AA1224" i="13"/>
  <c r="AA3280" i="13"/>
  <c r="AA3229" i="13"/>
  <c r="AA2262" i="13"/>
  <c r="AA2006" i="13"/>
  <c r="AA2122" i="13"/>
  <c r="AA582" i="13"/>
  <c r="AA576" i="13"/>
  <c r="AA1250" i="13"/>
  <c r="AA2765" i="13"/>
  <c r="AA2584" i="13"/>
  <c r="AA2427" i="13"/>
  <c r="AA2625" i="13"/>
  <c r="AA1307" i="13"/>
  <c r="AA1135" i="13"/>
  <c r="AA515" i="13"/>
  <c r="AA1622" i="13"/>
  <c r="AA1655" i="13"/>
  <c r="AA1290" i="13"/>
  <c r="AA467" i="13"/>
  <c r="AA2335" i="13"/>
  <c r="AA3147" i="13"/>
  <c r="AA1087" i="13"/>
  <c r="AA496" i="13"/>
  <c r="AA478" i="13"/>
  <c r="AA2665" i="13"/>
  <c r="AA2927" i="13"/>
  <c r="AA1462" i="13"/>
  <c r="AA725" i="13"/>
  <c r="AA2238" i="13"/>
  <c r="AA1883" i="13"/>
  <c r="AA2366" i="13"/>
  <c r="AA475" i="13"/>
  <c r="AA3260" i="13"/>
  <c r="AA2383" i="13"/>
  <c r="AA3154" i="13"/>
  <c r="AA1600" i="13"/>
  <c r="AA3037" i="13"/>
  <c r="AA1567" i="13"/>
  <c r="AA726" i="13"/>
  <c r="AA3121" i="13"/>
  <c r="AA3196" i="13"/>
  <c r="AA113" i="13"/>
  <c r="AA1051" i="13"/>
  <c r="AA1574" i="13"/>
  <c r="AA3346" i="13"/>
  <c r="AA1987" i="13"/>
  <c r="AA1492" i="13"/>
  <c r="AA2280" i="13"/>
  <c r="AA3171" i="13"/>
  <c r="AA1026" i="13"/>
  <c r="AA424" i="13"/>
  <c r="AA977" i="13"/>
  <c r="AA1053" i="13"/>
  <c r="AA2182" i="13"/>
  <c r="AA1589" i="13"/>
  <c r="AA299" i="13"/>
  <c r="AA2777" i="13"/>
  <c r="AA838" i="13"/>
  <c r="AA310" i="13"/>
  <c r="AA221" i="13"/>
  <c r="AA100" i="13"/>
  <c r="AA2498" i="13"/>
  <c r="AA885" i="13"/>
  <c r="AA3008" i="13"/>
  <c r="AA2350" i="13"/>
  <c r="AA2374" i="13"/>
  <c r="AA2929" i="13"/>
  <c r="AA1965" i="13"/>
  <c r="AA3038" i="13"/>
  <c r="AA1615" i="13"/>
  <c r="AA752" i="13"/>
  <c r="AA721" i="13"/>
  <c r="AA3062" i="13"/>
  <c r="AA453" i="13"/>
  <c r="AA1970" i="13"/>
  <c r="AA2836" i="13"/>
  <c r="AA517" i="13"/>
  <c r="AA2417" i="13"/>
  <c r="AA380" i="13"/>
  <c r="AA2961" i="13"/>
  <c r="AA890" i="13"/>
  <c r="AA368" i="13"/>
  <c r="AA2178" i="13"/>
  <c r="AA874" i="13"/>
  <c r="AA3073" i="13"/>
  <c r="AA2170" i="13"/>
  <c r="AA2578" i="13"/>
  <c r="AA422" i="13"/>
  <c r="AA1434" i="13"/>
  <c r="AA2072" i="13"/>
  <c r="AA3404" i="13"/>
  <c r="AA205" i="13"/>
  <c r="AA2027" i="13"/>
  <c r="AA1508" i="13"/>
  <c r="AA3264" i="13"/>
  <c r="AA646" i="13"/>
  <c r="AA2386" i="13"/>
  <c r="AA537" i="13"/>
  <c r="AA3376" i="13"/>
  <c r="AA1931" i="13"/>
  <c r="AA2925" i="13"/>
  <c r="AA1374" i="13"/>
  <c r="AA763" i="13"/>
  <c r="AA1698" i="13"/>
  <c r="AA651" i="13"/>
  <c r="AA3468" i="13"/>
  <c r="AA1323" i="13"/>
  <c r="AA1268" i="13"/>
  <c r="AA2205" i="13"/>
  <c r="AA3076" i="13"/>
  <c r="AA1533" i="13"/>
  <c r="AA70" i="13"/>
  <c r="AA1074" i="13"/>
  <c r="AA1343" i="13"/>
  <c r="AA2571" i="13"/>
  <c r="AA1178" i="13"/>
  <c r="AA3320" i="13"/>
  <c r="AA2770" i="13"/>
  <c r="AA2744" i="13"/>
  <c r="AA1247" i="13"/>
  <c r="AA2360" i="13"/>
  <c r="AA2059" i="13"/>
  <c r="AA2010" i="13"/>
  <c r="AA2110" i="13"/>
  <c r="AA1962" i="13"/>
  <c r="AA3325" i="13"/>
  <c r="AA2901" i="13"/>
  <c r="AA1860" i="13"/>
  <c r="AA527" i="13"/>
  <c r="AA207" i="13"/>
  <c r="AA860" i="13"/>
  <c r="AA3274" i="13"/>
  <c r="AA2782" i="13"/>
  <c r="AA1511" i="13"/>
  <c r="AA20" i="13"/>
  <c r="AA2637" i="13"/>
  <c r="AA823" i="13"/>
  <c r="AA2161" i="13"/>
  <c r="AA1529" i="13"/>
  <c r="AA2535" i="13"/>
  <c r="AA2319" i="13"/>
  <c r="AA1015" i="13"/>
  <c r="AA572" i="13"/>
  <c r="AA3323" i="13"/>
  <c r="AA1557" i="13"/>
  <c r="AA985" i="13"/>
  <c r="AA2705" i="13"/>
  <c r="AA2780" i="13"/>
  <c r="AA2647" i="13"/>
  <c r="AA737" i="13"/>
  <c r="AA2409" i="13"/>
  <c r="AA629" i="13"/>
  <c r="AA1984" i="13"/>
  <c r="AA2378" i="13"/>
  <c r="AA3255" i="13"/>
  <c r="AA3065" i="13"/>
  <c r="AA1656" i="13"/>
  <c r="AA1531" i="13"/>
  <c r="AA2523" i="13"/>
  <c r="AA192" i="13"/>
  <c r="AA3332" i="13"/>
  <c r="AA3384" i="13"/>
  <c r="AA561" i="13"/>
  <c r="AA2168" i="13"/>
  <c r="AA526" i="13"/>
  <c r="AA753" i="13"/>
  <c r="AA1322" i="13"/>
  <c r="AA2267" i="13"/>
  <c r="AA69" i="13"/>
  <c r="AA1713" i="13"/>
  <c r="AA1259" i="13"/>
  <c r="AA3290" i="13"/>
  <c r="AA3206" i="13"/>
  <c r="AA535" i="13"/>
  <c r="AA2420" i="13"/>
  <c r="AA2941" i="13"/>
  <c r="AA1613" i="13"/>
  <c r="AA1891" i="13"/>
  <c r="AA1251" i="13"/>
  <c r="AA3163" i="13"/>
  <c r="AA157" i="13"/>
  <c r="AA2354" i="13"/>
  <c r="AA317" i="13"/>
  <c r="AA1633" i="13"/>
  <c r="AA1904" i="13"/>
  <c r="AA2299" i="13"/>
  <c r="AA2252" i="13"/>
  <c r="AA767" i="13"/>
  <c r="AA1576" i="13"/>
  <c r="AA1745" i="13"/>
  <c r="AA3502" i="13"/>
  <c r="AA813" i="13"/>
  <c r="AA1002" i="13"/>
  <c r="AA2309" i="13"/>
  <c r="AA2628" i="13"/>
  <c r="AA1128" i="13"/>
  <c r="AA3041" i="13"/>
  <c r="AA587" i="13"/>
  <c r="AA2848" i="13"/>
  <c r="AA64" i="13"/>
  <c r="AA1496" i="13"/>
  <c r="AA94" i="13"/>
  <c r="AA1284" i="13"/>
  <c r="AA3027" i="13"/>
  <c r="AA2344" i="13"/>
  <c r="AA206" i="13"/>
  <c r="AA2699" i="13"/>
  <c r="AA816" i="13"/>
  <c r="AA477" i="13"/>
  <c r="AA831" i="13"/>
  <c r="AA706" i="13"/>
  <c r="AA3164" i="13"/>
  <c r="AA2118" i="13"/>
  <c r="AA594" i="13"/>
  <c r="AA160" i="13"/>
  <c r="AA3102" i="13"/>
  <c r="AA354" i="13"/>
  <c r="AA659" i="13"/>
  <c r="AA539" i="13"/>
  <c r="AA1908" i="13"/>
  <c r="AA1943" i="13"/>
  <c r="AA2964" i="13"/>
  <c r="AA2948" i="13"/>
  <c r="AA3500" i="13"/>
  <c r="AA1318" i="13"/>
  <c r="AA2140" i="13"/>
  <c r="AA2133" i="13"/>
  <c r="AA3508" i="13"/>
  <c r="AA2294" i="13"/>
  <c r="AA1550" i="13"/>
  <c r="AA3185" i="13"/>
  <c r="AA2112" i="13"/>
  <c r="AA2634" i="13"/>
  <c r="AA728" i="13"/>
  <c r="AA260" i="13"/>
  <c r="AA2840" i="13"/>
  <c r="AA166" i="13"/>
  <c r="AA1856" i="13"/>
  <c r="AA22" i="13"/>
  <c r="AA1147" i="13"/>
  <c r="AA2131" i="13"/>
  <c r="AA411" i="13"/>
  <c r="AA2046" i="13"/>
  <c r="AA636" i="13"/>
  <c r="AA2820" i="13"/>
  <c r="AA2438" i="13"/>
  <c r="AA2317" i="13"/>
  <c r="AA928" i="13"/>
  <c r="AA3045" i="13"/>
  <c r="AA1545" i="13"/>
  <c r="AA3091" i="13"/>
  <c r="AA2944" i="13"/>
  <c r="AA2413" i="13"/>
  <c r="AA1269" i="13"/>
  <c r="AA30" i="13"/>
  <c r="AA60" i="13"/>
  <c r="AA1775" i="13"/>
  <c r="AA743" i="13"/>
  <c r="AA518" i="13"/>
  <c r="AA712" i="13"/>
  <c r="AA609" i="13"/>
  <c r="AA1475" i="13"/>
  <c r="AA1568" i="13"/>
  <c r="AA512" i="13"/>
  <c r="AA3511" i="13"/>
  <c r="AA273" i="13"/>
  <c r="AA1281" i="13"/>
  <c r="AA536" i="13"/>
  <c r="AA2255" i="13"/>
  <c r="AA1170" i="13"/>
  <c r="AA3175" i="13"/>
  <c r="AA292" i="13"/>
  <c r="AA995" i="13"/>
  <c r="AA346" i="13"/>
  <c r="AA820" i="13"/>
  <c r="AA3424" i="13"/>
  <c r="AA2800" i="13"/>
  <c r="AA1298" i="13"/>
  <c r="AA219" i="13"/>
  <c r="AA3015" i="13"/>
  <c r="AA1939" i="13"/>
  <c r="AA3519" i="13"/>
  <c r="AA1174" i="13"/>
  <c r="AA1737" i="13"/>
  <c r="AA2193" i="13"/>
  <c r="AA1563" i="13"/>
  <c r="AA1014" i="13"/>
  <c r="AA3430" i="13"/>
  <c r="AA865" i="13"/>
  <c r="AA2789" i="13"/>
  <c r="AA2660" i="13"/>
  <c r="AA998" i="13"/>
  <c r="AA2558" i="13"/>
  <c r="AA619" i="13"/>
  <c r="AA822" i="13"/>
  <c r="AA148" i="13"/>
  <c r="AA1237" i="13"/>
  <c r="AA1346" i="13"/>
  <c r="AA1050" i="13"/>
  <c r="AA3002" i="13"/>
  <c r="AA921" i="13"/>
  <c r="AA1608" i="13"/>
  <c r="AA545" i="13"/>
  <c r="AA1675" i="13"/>
  <c r="AA1691" i="13"/>
  <c r="AA158" i="13"/>
  <c r="AA2018" i="13"/>
  <c r="AA2127" i="13"/>
  <c r="AA749" i="13"/>
  <c r="AA1067" i="13"/>
  <c r="AA1441" i="13"/>
  <c r="AA2798" i="13"/>
  <c r="AA1556" i="13"/>
  <c r="AA2786" i="13"/>
  <c r="AA1097" i="13"/>
  <c r="AA2983" i="13"/>
  <c r="AA3061" i="13"/>
  <c r="AA2038" i="13"/>
  <c r="AA171" i="13"/>
  <c r="AA2281" i="13"/>
  <c r="AA2377" i="13"/>
  <c r="AA270" i="13"/>
  <c r="AA1730" i="13"/>
  <c r="AA1415" i="13"/>
  <c r="AA840" i="13"/>
  <c r="AA1124" i="13"/>
  <c r="AA974" i="13"/>
  <c r="AA2467" i="13"/>
  <c r="AA2636" i="13"/>
  <c r="AA934" i="13"/>
  <c r="AA1361" i="13"/>
  <c r="AA3124" i="13"/>
  <c r="AA888" i="13"/>
  <c r="AA2640" i="13"/>
  <c r="AA2114" i="13"/>
  <c r="AA2139" i="13"/>
  <c r="AA1703" i="13"/>
  <c r="AA202" i="13"/>
  <c r="AA698" i="13"/>
  <c r="AA2859" i="13"/>
  <c r="AA939" i="13"/>
  <c r="AA3475" i="13"/>
  <c r="AA3067" i="13"/>
  <c r="AA3401" i="13"/>
  <c r="AA846" i="13"/>
  <c r="AA1169" i="13"/>
  <c r="AA1383" i="13"/>
  <c r="AA165" i="13"/>
  <c r="AA1994" i="13"/>
  <c r="AA2716" i="13"/>
  <c r="AA1229" i="13"/>
  <c r="AA800" i="13"/>
  <c r="AA334" i="13"/>
  <c r="AA2405" i="13"/>
  <c r="AA880" i="13"/>
  <c r="AA3395" i="13"/>
  <c r="AA1150" i="13"/>
  <c r="AA2892" i="13"/>
  <c r="AA1959" i="13"/>
  <c r="AA2375" i="13"/>
  <c r="AA617" i="13"/>
  <c r="AA252" i="13"/>
  <c r="AA1623" i="13"/>
  <c r="AA1359" i="13"/>
  <c r="AA3265" i="13"/>
  <c r="AA962" i="13"/>
  <c r="AA3111" i="13"/>
  <c r="AA2496" i="13"/>
  <c r="AA2866" i="13"/>
  <c r="AA2816" i="13"/>
  <c r="AA1327" i="13"/>
  <c r="AA2853" i="13"/>
  <c r="AA2083" i="13"/>
  <c r="AA3071" i="13"/>
  <c r="AA1798" i="13"/>
  <c r="AA986" i="13"/>
  <c r="AA1098" i="13"/>
  <c r="AA490" i="13"/>
  <c r="AA2675" i="13"/>
  <c r="AA1465" i="13"/>
  <c r="AA3237" i="13"/>
  <c r="AA1977" i="13"/>
  <c r="AA2826" i="13"/>
  <c r="AA1162" i="13"/>
  <c r="AA997" i="13"/>
  <c r="AA2440" i="13"/>
  <c r="AA637" i="13"/>
  <c r="AA2056" i="13"/>
  <c r="AA2501" i="13"/>
  <c r="AA440" i="13"/>
  <c r="AA1621" i="13"/>
  <c r="AA3394" i="13"/>
  <c r="AA563" i="13"/>
  <c r="AA2554" i="13"/>
  <c r="AA598" i="13"/>
  <c r="AA2919" i="13"/>
  <c r="AA523" i="13"/>
  <c r="AA1013" i="13"/>
  <c r="AA1156" i="13"/>
  <c r="AA991" i="13"/>
  <c r="AA2353" i="13"/>
  <c r="AA1678" i="13"/>
  <c r="AA2270" i="13"/>
  <c r="AA1228" i="13"/>
  <c r="AA3375" i="13"/>
  <c r="AA701" i="13"/>
  <c r="AA612" i="13"/>
  <c r="AA2124" i="13"/>
  <c r="AA2852" i="13"/>
  <c r="AA1544" i="13"/>
  <c r="AA3411" i="13"/>
  <c r="AA1645" i="13"/>
  <c r="AA679" i="13"/>
  <c r="AA1925" i="13"/>
  <c r="AA845" i="13"/>
  <c r="AA412" i="13"/>
  <c r="AA456" i="13"/>
  <c r="AA419" i="13"/>
  <c r="AA1048" i="13"/>
  <c r="AA1111" i="13"/>
  <c r="AA1391" i="13"/>
  <c r="AA3123" i="13"/>
  <c r="AA505" i="13"/>
  <c r="AA391" i="13"/>
  <c r="AA389" i="13"/>
  <c r="AA2076" i="13"/>
  <c r="AA670" i="13"/>
  <c r="AA959" i="13"/>
  <c r="AA844" i="13"/>
  <c r="AA1844" i="13"/>
  <c r="AA2724" i="13"/>
  <c r="AA1794" i="13"/>
  <c r="AA1264" i="13"/>
  <c r="AA3287" i="13"/>
  <c r="AA3314" i="13"/>
  <c r="AA2739" i="13"/>
  <c r="AA112" i="13"/>
  <c r="AA35" i="13"/>
  <c r="AA2070" i="13"/>
  <c r="AA1823" i="13"/>
  <c r="AA1242" i="13"/>
  <c r="AA2063" i="13"/>
  <c r="AA175" i="13"/>
  <c r="AA2242" i="13"/>
  <c r="AA1942" i="13"/>
  <c r="AA1396" i="13"/>
  <c r="AA2909" i="13"/>
  <c r="AA3481" i="13"/>
  <c r="AA1803" i="13"/>
  <c r="AA1972" i="13"/>
  <c r="AA239" i="13"/>
  <c r="AA674" i="13"/>
  <c r="AA3462" i="13"/>
  <c r="AA191" i="13"/>
  <c r="AA2159" i="13"/>
  <c r="AA2560" i="13"/>
  <c r="AA3416" i="13"/>
  <c r="AA1257" i="13"/>
  <c r="AA3186" i="13"/>
  <c r="AA971" i="13"/>
  <c r="AA2069" i="13"/>
  <c r="AA551" i="13"/>
  <c r="AA1007" i="13"/>
  <c r="AA1952" i="13"/>
  <c r="AA685" i="13"/>
  <c r="AA1792" i="13"/>
  <c r="AA882" i="13"/>
  <c r="AA2778" i="13"/>
  <c r="AA121" i="13"/>
  <c r="AA143" i="13"/>
  <c r="AA951" i="13"/>
  <c r="AA3292" i="13"/>
  <c r="AA1301" i="13"/>
  <c r="AA1527" i="13"/>
  <c r="AA873" i="13"/>
  <c r="AA437" i="13"/>
  <c r="AA3033" i="13"/>
  <c r="AA779" i="13"/>
  <c r="AA2610" i="13"/>
  <c r="AA1029" i="13"/>
  <c r="AA1930" i="13"/>
  <c r="AA2052" i="13"/>
  <c r="AA1355" i="13"/>
  <c r="AA603" i="13"/>
  <c r="AA1246" i="13"/>
  <c r="AA153" i="13"/>
  <c r="AA2087" i="13"/>
  <c r="AA1186" i="13"/>
  <c r="AA2268" i="13"/>
  <c r="AA2910" i="13"/>
  <c r="AA3190" i="13"/>
  <c r="AA1187" i="13"/>
  <c r="AA1872" i="13"/>
  <c r="AA668" i="13"/>
  <c r="AA848" i="13"/>
  <c r="AA560" i="13"/>
  <c r="AA3133" i="13"/>
  <c r="AA2696" i="13"/>
  <c r="AA1159" i="13"/>
  <c r="AA369" i="13"/>
  <c r="AA1692" i="13"/>
  <c r="AA2556" i="13"/>
  <c r="AA3328" i="13"/>
  <c r="AA2120" i="13"/>
  <c r="AA1356" i="13"/>
  <c r="AA3347" i="13"/>
  <c r="AA3012" i="13"/>
  <c r="AA1149" i="13"/>
  <c r="AA1177" i="13"/>
  <c r="AA1986" i="13"/>
  <c r="AA2203" i="13"/>
  <c r="AA2559" i="13"/>
  <c r="AA1924" i="13"/>
  <c r="AA3470" i="13"/>
  <c r="AA1776" i="13"/>
  <c r="AA1329" i="13"/>
  <c r="AA1313" i="13"/>
  <c r="AA2755" i="13"/>
  <c r="AA650" i="13"/>
  <c r="AA3417" i="13"/>
  <c r="AA455" i="13"/>
  <c r="AA488" i="13"/>
  <c r="AA508" i="13"/>
  <c r="AA1146" i="13"/>
  <c r="AA2171" i="13"/>
  <c r="AA3493" i="13"/>
  <c r="AA2198" i="13"/>
  <c r="AA2737" i="13"/>
  <c r="AA1489" i="13"/>
  <c r="AA1491" i="13"/>
  <c r="AA1192" i="13"/>
  <c r="AA2604" i="13"/>
  <c r="AA954" i="13"/>
  <c r="AA673" i="13"/>
  <c r="AA2431" i="13"/>
  <c r="AA1896" i="13"/>
  <c r="AA3017" i="13"/>
  <c r="AA1516" i="13"/>
  <c r="AA684" i="13"/>
  <c r="AA1439" i="13"/>
  <c r="AA2918" i="13"/>
  <c r="AA415" i="13"/>
  <c r="AA337" i="13"/>
  <c r="AA288" i="13"/>
  <c r="AA1805" i="13"/>
  <c r="AA3516" i="13"/>
  <c r="AA3200" i="13"/>
  <c r="AA1037" i="13"/>
  <c r="AA267" i="13"/>
  <c r="AA1584" i="13"/>
  <c r="AA2530" i="13"/>
  <c r="AA1572" i="13"/>
  <c r="AA285" i="13"/>
  <c r="AA3403" i="13"/>
  <c r="AA2493" i="13"/>
  <c r="AA3145" i="13"/>
  <c r="AA3383" i="13"/>
  <c r="AA639" i="13"/>
  <c r="AA1293" i="13"/>
  <c r="AA996" i="13"/>
  <c r="AA2863" i="13"/>
  <c r="AA2181" i="13"/>
  <c r="AA1558" i="13"/>
  <c r="AA1336" i="13"/>
  <c r="AA3246" i="13"/>
  <c r="AA1867" i="13"/>
  <c r="AA3336" i="13"/>
  <c r="AA91" i="13"/>
  <c r="AA2868" i="13"/>
  <c r="AA3252" i="13"/>
  <c r="AA699" i="13"/>
  <c r="AA1105" i="13"/>
  <c r="AA1601" i="13"/>
  <c r="AA1681" i="13"/>
  <c r="AA3289" i="13"/>
  <c r="AA3339" i="13"/>
  <c r="AA3354" i="13"/>
  <c r="AA1235" i="13"/>
  <c r="AA1488" i="13"/>
  <c r="AA1795" i="13"/>
  <c r="AA1422" i="13"/>
  <c r="AA565" i="13"/>
  <c r="AA2583" i="13"/>
  <c r="AA2874" i="13"/>
  <c r="AA2391" i="13"/>
  <c r="AA1123" i="13"/>
  <c r="AA3504" i="13"/>
  <c r="AA2485" i="13"/>
  <c r="AA3099" i="13"/>
  <c r="AA866" i="13"/>
  <c r="AA771" i="13"/>
  <c r="AA3313" i="13"/>
  <c r="AA2144" i="13"/>
  <c r="AA1183" i="13"/>
  <c r="AA1043" i="13"/>
  <c r="AA2313" i="13"/>
  <c r="AA658" i="13"/>
  <c r="AA622" i="13"/>
  <c r="AA2562" i="13"/>
  <c r="AA3005" i="13"/>
  <c r="AA3088" i="13"/>
  <c r="AA987" i="13"/>
  <c r="AA106" i="13"/>
  <c r="AA3309" i="13"/>
  <c r="AA1059" i="13"/>
  <c r="AA1881" i="13"/>
  <c r="AA1459" i="13"/>
  <c r="AA628" i="13"/>
  <c r="AA1927" i="13"/>
  <c r="AA3242" i="13"/>
  <c r="AA1677" i="13"/>
  <c r="AA3084" i="13"/>
  <c r="AA399" i="13"/>
  <c r="AA1632" i="13"/>
  <c r="AA1021" i="13"/>
  <c r="AA891" i="13"/>
  <c r="AA3034" i="13"/>
  <c r="AA2130" i="13"/>
  <c r="AA1607" i="13"/>
  <c r="AA2932" i="13"/>
  <c r="AA2946" i="13"/>
  <c r="AA2355" i="13"/>
  <c r="AA3510" i="13"/>
  <c r="AA2563" i="13"/>
  <c r="AA1486" i="13"/>
  <c r="AA2965" i="13"/>
  <c r="AA2055" i="13"/>
  <c r="AA3331" i="13"/>
  <c r="AA2541" i="13"/>
  <c r="AA1300" i="13"/>
  <c r="AA3471" i="13"/>
  <c r="AA1685" i="13"/>
  <c r="AA3208" i="13"/>
  <c r="AA2661" i="13"/>
  <c r="AA170" i="13"/>
  <c r="AA1287" i="13"/>
  <c r="AA1751" i="13"/>
  <c r="AA2429" i="13"/>
  <c r="AA2767" i="13"/>
  <c r="AA3239" i="13"/>
  <c r="AA2692" i="13"/>
  <c r="AA579" i="13"/>
  <c r="AA2272" i="13"/>
  <c r="AA978" i="13"/>
  <c r="AA2936" i="13"/>
  <c r="AA1922" i="13"/>
  <c r="AA1958" i="13"/>
  <c r="AA895" i="13"/>
  <c r="AA3436" i="13"/>
  <c r="AA145" i="13"/>
  <c r="AA2808" i="13"/>
  <c r="AA1736" i="13"/>
  <c r="AA3526" i="13"/>
  <c r="AA812" i="13"/>
  <c r="AA2023" i="13"/>
  <c r="AA185" i="13"/>
  <c r="AA554" i="13"/>
  <c r="AA2864" i="13"/>
  <c r="AA2301" i="13"/>
  <c r="AA2283" i="13"/>
  <c r="AA825" i="13"/>
  <c r="AA1853" i="13"/>
  <c r="AA1039" i="13"/>
  <c r="AA1185" i="13"/>
  <c r="AA3140" i="13"/>
  <c r="AA2794" i="13"/>
  <c r="AA194" i="13"/>
  <c r="AA1923" i="13"/>
  <c r="AA93" i="13"/>
  <c r="AA1349" i="13"/>
  <c r="AA2774" i="13"/>
  <c r="AA3136" i="13"/>
  <c r="AA1495" i="13"/>
  <c r="AA1352" i="13"/>
  <c r="AA2416" i="13"/>
  <c r="AA1683" i="13"/>
  <c r="AA2185" i="13"/>
  <c r="AA1769" i="13"/>
  <c r="AA879" i="13"/>
  <c r="AA227" i="13"/>
  <c r="AA3520" i="13"/>
  <c r="AA111" i="13"/>
  <c r="AA980" i="13"/>
  <c r="AA3359" i="13"/>
  <c r="AA3317" i="13"/>
  <c r="AA1180" i="13"/>
  <c r="AA3019" i="13"/>
  <c r="AA815" i="13"/>
  <c r="AA3095" i="13"/>
  <c r="AA1288" i="13"/>
  <c r="AA1424" i="13"/>
  <c r="AA2712" i="13"/>
  <c r="AA1734" i="13"/>
  <c r="AA2227" i="13"/>
  <c r="AA564" i="13"/>
  <c r="AA400" i="13"/>
  <c r="AA975" i="13"/>
  <c r="AA3137" i="13"/>
  <c r="AA3374" i="13"/>
  <c r="AA3498" i="13"/>
  <c r="AA1869" i="13"/>
  <c r="AA1071" i="13"/>
  <c r="AA232" i="13"/>
  <c r="AA1370" i="13"/>
  <c r="AA226" i="13"/>
  <c r="AA2797" i="13"/>
  <c r="AA85" i="13"/>
  <c r="AA1726" i="13"/>
  <c r="AA1752" i="13"/>
  <c r="AA253" i="13"/>
  <c r="AA1398" i="13"/>
  <c r="AA730" i="13"/>
  <c r="AA2680" i="13"/>
  <c r="AA1854" i="13"/>
  <c r="AA1804" i="13"/>
  <c r="AA1502" i="13"/>
  <c r="AA2730" i="13"/>
  <c r="AA3263" i="13"/>
  <c r="AA1201" i="13"/>
  <c r="AA1012" i="13"/>
  <c r="AA2367" i="13"/>
  <c r="AA2793" i="13"/>
  <c r="AA1888" i="13"/>
  <c r="AA3459" i="13"/>
  <c r="AA2757" i="13"/>
  <c r="AA1551" i="13"/>
  <c r="AA3192" i="13"/>
  <c r="AA62" i="13"/>
  <c r="AA2734" i="13"/>
  <c r="AA105" i="13"/>
  <c r="AA3413" i="13"/>
  <c r="AA1609" i="13"/>
  <c r="AA244" i="13"/>
  <c r="AA1010" i="13"/>
  <c r="AA1921" i="13"/>
  <c r="AA3143" i="13"/>
  <c r="AA1669" i="13"/>
  <c r="AA1420" i="13"/>
  <c r="AA92" i="13"/>
  <c r="AA1778" i="13"/>
  <c r="AA839" i="13"/>
  <c r="AA366" i="13"/>
  <c r="AA2359" i="13"/>
  <c r="AA1484" i="13"/>
  <c r="AA189" i="13"/>
  <c r="AA500" i="13"/>
  <c r="AA667" i="13"/>
  <c r="AA2257" i="13"/>
  <c r="AA3007" i="13"/>
  <c r="AA2873" i="13"/>
  <c r="AA1218" i="13"/>
  <c r="AA1378" i="13"/>
  <c r="AA3365" i="13"/>
  <c r="AA395" i="13"/>
  <c r="AA2461" i="13"/>
  <c r="AA1144" i="13"/>
  <c r="AA2591" i="13"/>
  <c r="AA2104" i="13"/>
  <c r="AA964" i="13"/>
  <c r="AA3243" i="13"/>
  <c r="AA2022" i="13"/>
  <c r="AA502" i="13"/>
  <c r="AA2761" i="13"/>
  <c r="AA2694" i="13"/>
  <c r="AA2714" i="13"/>
  <c r="AA1947" i="13"/>
  <c r="AA1445" i="13"/>
  <c r="AA983" i="13"/>
  <c r="AA1236" i="13"/>
  <c r="AA1316" i="13"/>
  <c r="AA1940" i="13"/>
  <c r="AA138" i="13"/>
  <c r="AA2555" i="13"/>
  <c r="AA2328" i="13"/>
  <c r="AA2878" i="13"/>
  <c r="AA1498" i="13"/>
  <c r="AA2241" i="13"/>
  <c r="AA336" i="13"/>
  <c r="AA2036" i="13"/>
  <c r="AA3162" i="13"/>
  <c r="AA480" i="13"/>
  <c r="AA2233" i="13"/>
  <c r="AA656" i="13"/>
  <c r="AA1741" i="13"/>
  <c r="AA3108" i="13"/>
  <c r="AA2893" i="13"/>
  <c r="AA362" i="13"/>
  <c r="AA2343" i="13"/>
  <c r="AA57" i="13"/>
  <c r="AA454" i="13"/>
  <c r="AA705" i="13"/>
  <c r="AA715" i="13"/>
  <c r="AA3189" i="13"/>
  <c r="AA630" i="13"/>
  <c r="AA2201" i="13"/>
  <c r="AA1453" i="13"/>
  <c r="AA1526" i="13"/>
  <c r="AA2445" i="13"/>
  <c r="AA1642" i="13"/>
  <c r="AA2795" i="13"/>
  <c r="AA2128" i="13"/>
  <c r="AA936" i="13"/>
  <c r="AA314" i="13"/>
  <c r="AA2398" i="13"/>
  <c r="AA1650" i="13"/>
  <c r="AA313" i="13"/>
  <c r="AA2342" i="13"/>
  <c r="AA2081" i="13"/>
  <c r="AA1166" i="13"/>
  <c r="AA3244" i="13"/>
  <c r="AA476" i="13"/>
  <c r="AA1220" i="13"/>
  <c r="AA2995" i="13"/>
  <c r="AA2551" i="13"/>
  <c r="AA2158" i="13"/>
  <c r="AA830" i="13"/>
  <c r="AA386" i="13"/>
  <c r="AA3074" i="13"/>
  <c r="AA1494" i="13"/>
  <c r="AA33" i="13"/>
  <c r="AA3386" i="13"/>
  <c r="AA2785" i="13"/>
  <c r="AA2286" i="13"/>
  <c r="AA3120" i="13"/>
  <c r="AA746" i="13"/>
  <c r="AA834" i="13"/>
  <c r="AA837" i="13"/>
  <c r="AA1030" i="13"/>
  <c r="AA3256" i="13"/>
  <c r="AA1474" i="13"/>
  <c r="AA2418" i="13"/>
  <c r="AA1274" i="13"/>
  <c r="AA2289" i="13"/>
  <c r="AA196" i="13"/>
  <c r="AA438" i="13"/>
  <c r="AA2597" i="13"/>
  <c r="AA3194" i="13"/>
  <c r="AA2058" i="13"/>
  <c r="AA2572" i="13"/>
  <c r="AA122" i="13"/>
  <c r="AA1735" i="13"/>
  <c r="AA1866" i="13"/>
  <c r="AA2326" i="13"/>
  <c r="AA903" i="13"/>
  <c r="AA1061" i="13"/>
  <c r="AA2096" i="13"/>
  <c r="AA1626" i="13"/>
  <c r="AA2222" i="13"/>
  <c r="AA2657" i="13"/>
  <c r="AA1679" i="13"/>
  <c r="AA1239" i="13"/>
  <c r="AA2245" i="13"/>
  <c r="AA3068" i="13"/>
  <c r="AA1261" i="13"/>
  <c r="AA1161" i="13"/>
  <c r="AA1188" i="13"/>
  <c r="AA2051" i="13"/>
  <c r="AA858" i="13"/>
  <c r="AA2143" i="13"/>
  <c r="AA3272" i="13"/>
  <c r="AA259" i="13"/>
  <c r="AA2396" i="13"/>
  <c r="AA3294" i="13"/>
  <c r="AA1843" i="13"/>
  <c r="AA1270" i="13"/>
  <c r="AA1539" i="13"/>
  <c r="AA307" i="13"/>
  <c r="AA3174" i="13"/>
  <c r="AA1139" i="13"/>
  <c r="AA390" i="13"/>
  <c r="AA2204" i="13"/>
  <c r="AA75" i="13"/>
  <c r="AA1749" i="13"/>
  <c r="AA1189" i="13"/>
  <c r="AA2902" i="13"/>
  <c r="AA3010" i="13"/>
  <c r="AA3301" i="13"/>
  <c r="AA2605" i="13"/>
  <c r="AA348" i="13"/>
  <c r="AA1035" i="13"/>
  <c r="AA2066" i="13"/>
  <c r="AA1380" i="13"/>
  <c r="AA1215" i="13"/>
  <c r="AA1585" i="13"/>
  <c r="AA2444" i="13"/>
  <c r="AA2332" i="13"/>
  <c r="AA416" i="13"/>
  <c r="AA589" i="13"/>
  <c r="AA1167" i="13"/>
  <c r="AA1478" i="13"/>
  <c r="AA2223" i="13"/>
  <c r="AA3025" i="13"/>
  <c r="AA2165" i="13"/>
  <c r="AA344" i="13"/>
  <c r="AA3006" i="13"/>
  <c r="AA2682" i="13"/>
  <c r="AA3543" i="13"/>
  <c r="AA2756" i="13"/>
  <c r="AA3024" i="13"/>
  <c r="AA1647" i="13"/>
  <c r="AA176" i="13"/>
  <c r="AA3146" i="13"/>
  <c r="AA607" i="13"/>
  <c r="AA1820" i="13"/>
  <c r="AA2989" i="13"/>
  <c r="AA3078" i="13"/>
  <c r="AA754" i="13"/>
  <c r="AA2502" i="13"/>
  <c r="AA3494" i="13"/>
  <c r="AA3104" i="13"/>
  <c r="AA3397" i="13"/>
  <c r="AA131" i="13"/>
  <c r="AA1700" i="13"/>
  <c r="AA1712" i="13"/>
  <c r="AA2539" i="13"/>
  <c r="AA1267" i="13"/>
  <c r="AA3130" i="13"/>
  <c r="AA3089" i="13"/>
  <c r="AA2190" i="13"/>
  <c r="AA195" i="13"/>
  <c r="AA2189" i="13"/>
  <c r="AA2019" i="13"/>
  <c r="AA2860" i="13"/>
  <c r="AA1019" i="13"/>
  <c r="AA2711" i="13"/>
  <c r="AA2312" i="13"/>
  <c r="AA3491" i="13"/>
  <c r="AA1016" i="13"/>
  <c r="AA276" i="13"/>
  <c r="AA2362" i="13"/>
  <c r="AA2829" i="13"/>
  <c r="AA1873" i="13"/>
  <c r="AA542" i="13"/>
  <c r="AA1821" i="13"/>
  <c r="AA2905" i="13"/>
  <c r="AA2875" i="13"/>
  <c r="AA2957" i="13"/>
  <c r="AA115" i="13"/>
  <c r="AA1680" i="13"/>
  <c r="AA442" i="13"/>
  <c r="AA3125" i="13"/>
  <c r="AA434" i="13"/>
  <c r="AA2594" i="13"/>
  <c r="AA1226" i="13"/>
  <c r="AA2276" i="13"/>
  <c r="AA99" i="13"/>
  <c r="AA2005" i="13"/>
  <c r="AA298" i="13"/>
  <c r="AA1546" i="13"/>
  <c r="AA3139" i="13"/>
  <c r="AA3205" i="13"/>
  <c r="AA690" i="13"/>
  <c r="AA2570" i="13"/>
  <c r="AA325" i="13"/>
  <c r="AA2872" i="13"/>
  <c r="AA2037" i="13"/>
  <c r="AA1788" i="13"/>
  <c r="AA681" i="13"/>
  <c r="AA3217" i="13"/>
  <c r="AA220" i="13"/>
  <c r="AA1716" i="13"/>
  <c r="AA2379" i="13"/>
  <c r="AA3118" i="13"/>
  <c r="AA1431" i="13"/>
  <c r="AA2423" i="13"/>
  <c r="AA3141" i="13"/>
  <c r="AA187" i="13"/>
  <c r="AA2345" i="13"/>
  <c r="AA203" i="13"/>
  <c r="AA2108" i="13"/>
  <c r="AA2480" i="13"/>
  <c r="AA1717" i="13"/>
  <c r="AA2545" i="13"/>
  <c r="AA660" i="13"/>
  <c r="AA677" i="13"/>
  <c r="AA2180" i="13"/>
  <c r="AA1753" i="13"/>
  <c r="AA2507" i="13"/>
  <c r="AA1340" i="13"/>
  <c r="AA2032" i="13"/>
  <c r="AA2330" i="13"/>
  <c r="AA2002" i="13"/>
  <c r="AA2827" i="13"/>
  <c r="AA1715" i="13"/>
  <c r="AA1036" i="13"/>
  <c r="AA1331" i="13"/>
  <c r="AA1549" i="13"/>
  <c r="AA3210" i="13"/>
  <c r="AA655" i="13"/>
  <c r="AA2633" i="13"/>
  <c r="AA394" i="13"/>
  <c r="AA1719" i="13"/>
  <c r="AA421" i="13"/>
  <c r="AA2062" i="13"/>
  <c r="AA2977" i="13"/>
  <c r="AA1763" i="13"/>
  <c r="U41" i="13"/>
  <c r="N33" i="13"/>
  <c r="P76" i="13"/>
  <c r="S35" i="13"/>
  <c r="T35" i="13" s="1"/>
  <c r="P77" i="13"/>
  <c r="N52" i="13"/>
  <c r="U35" i="13" l="1"/>
  <c r="U47" i="13"/>
  <c r="S57" i="13"/>
  <c r="T57" i="13" s="1"/>
  <c r="N27" i="13"/>
  <c r="N39" i="13"/>
  <c r="S55" i="13"/>
  <c r="T55" i="13" s="1"/>
  <c r="U57" i="13" l="1"/>
  <c r="P70" i="13"/>
  <c r="N66" i="13"/>
  <c r="O67" i="13"/>
  <c r="U55" i="13" l="1"/>
  <c r="S67" i="13"/>
  <c r="T67" i="13" s="1"/>
  <c r="P67" i="13"/>
  <c r="U67" i="13"/>
  <c r="N70" i="13"/>
  <c r="O66" i="13"/>
  <c r="S66" i="13"/>
  <c r="T66" i="13"/>
  <c r="P66" i="13"/>
  <c r="U66" i="13"/>
  <c r="N65" i="13"/>
  <c r="O63" i="13"/>
  <c r="S63" i="13"/>
  <c r="T63" i="13"/>
  <c r="P63" i="13"/>
  <c r="U63" i="13"/>
  <c r="V63" i="13" s="1" a="1"/>
  <c r="P65" i="13"/>
  <c r="P64" i="13"/>
  <c r="D29" i="6"/>
  <c r="O70" i="13"/>
  <c r="S70" i="13"/>
  <c r="T70" i="13"/>
  <c r="O64" i="13"/>
  <c r="V63" i="13" l="1"/>
  <c r="U70" i="13"/>
  <c r="S64" i="13"/>
  <c r="T64" i="13"/>
  <c r="N67" i="13"/>
  <c r="O69" i="13"/>
  <c r="U64" i="13" l="1"/>
  <c r="S69" i="13"/>
  <c r="T69" i="13"/>
  <c r="P69" i="13"/>
  <c r="U69" i="13"/>
  <c r="N63" i="13"/>
  <c r="N69" i="13"/>
  <c r="O68" i="13"/>
  <c r="S68" i="13"/>
  <c r="T68" i="13"/>
  <c r="P68" i="13"/>
  <c r="U68" i="13"/>
  <c r="N68" i="13"/>
  <c r="O65" i="13"/>
  <c r="S65" i="13"/>
  <c r="T65" i="13"/>
  <c r="N64" i="13"/>
  <c r="D28" i="6"/>
  <c r="D27" i="6"/>
  <c r="K3" i="13"/>
  <c r="K13" i="13"/>
  <c r="K12" i="13"/>
  <c r="K7" i="13"/>
  <c r="K14" i="13"/>
  <c r="J14" i="13"/>
  <c r="J11" i="13"/>
  <c r="J12" i="13"/>
  <c r="J10" i="13"/>
  <c r="K10" i="13"/>
  <c r="J13" i="13"/>
  <c r="K5" i="13"/>
  <c r="J7" i="13"/>
  <c r="J5" i="13"/>
  <c r="K6" i="13"/>
  <c r="J3" i="13"/>
  <c r="K4" i="13"/>
  <c r="J4" i="13"/>
  <c r="K11" i="13"/>
  <c r="J6" i="13"/>
  <c r="K15" i="13"/>
  <c r="J15" i="13"/>
  <c r="K8" i="13"/>
  <c r="J8" i="13"/>
  <c r="K9" i="13"/>
  <c r="J16" i="13"/>
  <c r="K16" i="13"/>
  <c r="J9" i="13"/>
  <c r="U65" i="13" l="1"/>
  <c r="G11" i="13"/>
  <c r="G7" i="13"/>
  <c r="H7" i="13"/>
  <c r="I7" i="13"/>
  <c r="H11" i="13"/>
  <c r="I11" i="13"/>
  <c r="G8" i="13"/>
  <c r="I8" i="13" s="1"/>
  <c r="H8" i="13"/>
  <c r="G15" i="13"/>
  <c r="G16" i="13"/>
  <c r="H3" i="13"/>
  <c r="G12" i="13"/>
  <c r="G5" i="13"/>
  <c r="H16" i="13"/>
  <c r="I16" i="13" s="1"/>
  <c r="H13" i="13"/>
  <c r="I13" i="13" s="1"/>
  <c r="G10" i="13"/>
  <c r="H6" i="13"/>
  <c r="G6" i="13"/>
  <c r="I6" i="13"/>
  <c r="H12" i="13"/>
  <c r="I12" i="13"/>
  <c r="H10" i="13"/>
  <c r="I10" i="13" s="1"/>
  <c r="G3" i="13"/>
  <c r="G9" i="13"/>
  <c r="G4" i="13"/>
  <c r="G13" i="13"/>
  <c r="H4" i="13"/>
  <c r="I4" i="13" s="1"/>
  <c r="H14" i="13"/>
  <c r="H5" i="13"/>
  <c r="G14" i="13"/>
  <c r="H9" i="13"/>
  <c r="I9" i="13" s="1"/>
  <c r="H15" i="13"/>
  <c r="I15" i="13"/>
  <c r="S74" i="13"/>
  <c r="T74" i="13"/>
  <c r="I5" i="13" l="1"/>
  <c r="I14" i="13"/>
  <c r="I3" i="13"/>
  <c r="U74" i="13"/>
  <c r="S73" i="13"/>
  <c r="T73" i="13"/>
  <c r="U73" i="13"/>
  <c r="S75" i="13"/>
  <c r="T75" i="13"/>
  <c r="U75" i="13"/>
  <c r="V75" i="13" s="1" a="1"/>
  <c r="V75" i="13"/>
  <c r="U77" i="13"/>
  <c r="U78" i="13"/>
  <c r="U7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<sst xmlns="http://schemas.openxmlformats.org/spreadsheetml/2006/main" count="444" uniqueCount="167">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</sst>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7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2" fontId="18" fillId="0" borderId="0" xfId="1" applyNumberFormat="1" applyFont="1" applyBorder="1"/>
    <xf numFmtId="166" fontId="18" fillId="0" borderId="0" xfId="1" applyNumberFormat="1" applyFont="1" applyBorder="1"/>
    <xf numFmtId="165" fontId="29" fillId="0" borderId="0" xfId="2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41897</c:v>
                </c:pt>
                <c:pt idx="1">
                  <c:v>41898</c:v>
                </c:pt>
                <c:pt idx="2">
                  <c:v>41899</c:v>
                </c:pt>
                <c:pt idx="3">
                  <c:v>41900</c:v>
                </c:pt>
                <c:pt idx="4">
                  <c:v>41901</c:v>
                </c:pt>
                <c:pt idx="5">
                  <c:v>41904</c:v>
                </c:pt>
                <c:pt idx="6">
                  <c:v>41905</c:v>
                </c:pt>
                <c:pt idx="7">
                  <c:v>41906</c:v>
                </c:pt>
                <c:pt idx="8">
                  <c:v>41907</c:v>
                </c:pt>
                <c:pt idx="9">
                  <c:v>41908</c:v>
                </c:pt>
                <c:pt idx="10">
                  <c:v>41911</c:v>
                </c:pt>
                <c:pt idx="11">
                  <c:v>41912</c:v>
                </c:pt>
                <c:pt idx="12">
                  <c:v>41913</c:v>
                </c:pt>
                <c:pt idx="13">
                  <c:v>41914</c:v>
                </c:pt>
                <c:pt idx="14">
                  <c:v>41915</c:v>
                </c:pt>
                <c:pt idx="15">
                  <c:v>41919</c:v>
                </c:pt>
                <c:pt idx="16">
                  <c:v>41920</c:v>
                </c:pt>
                <c:pt idx="17">
                  <c:v>41921</c:v>
                </c:pt>
                <c:pt idx="18">
                  <c:v>41922</c:v>
                </c:pt>
                <c:pt idx="19">
                  <c:v>41925</c:v>
                </c:pt>
                <c:pt idx="20">
                  <c:v>41926</c:v>
                </c:pt>
                <c:pt idx="21">
                  <c:v>41927</c:v>
                </c:pt>
                <c:pt idx="22">
                  <c:v>41928</c:v>
                </c:pt>
                <c:pt idx="23">
                  <c:v>41929</c:v>
                </c:pt>
                <c:pt idx="24">
                  <c:v>41932</c:v>
                </c:pt>
                <c:pt idx="25">
                  <c:v>41933</c:v>
                </c:pt>
                <c:pt idx="26">
                  <c:v>41934</c:v>
                </c:pt>
                <c:pt idx="27">
                  <c:v>41935</c:v>
                </c:pt>
                <c:pt idx="28">
                  <c:v>41936</c:v>
                </c:pt>
                <c:pt idx="29">
                  <c:v>41939</c:v>
                </c:pt>
                <c:pt idx="30">
                  <c:v>41940</c:v>
                </c:pt>
                <c:pt idx="31">
                  <c:v>41941</c:v>
                </c:pt>
                <c:pt idx="32">
                  <c:v>41942</c:v>
                </c:pt>
                <c:pt idx="33">
                  <c:v>41943</c:v>
                </c:pt>
                <c:pt idx="34">
                  <c:v>41946</c:v>
                </c:pt>
                <c:pt idx="35">
                  <c:v>41947</c:v>
                </c:pt>
                <c:pt idx="36">
                  <c:v>41948</c:v>
                </c:pt>
                <c:pt idx="37">
                  <c:v>41949</c:v>
                </c:pt>
                <c:pt idx="38">
                  <c:v>41950</c:v>
                </c:pt>
                <c:pt idx="39">
                  <c:v>41953</c:v>
                </c:pt>
                <c:pt idx="40">
                  <c:v>41954</c:v>
                </c:pt>
                <c:pt idx="41">
                  <c:v>41955</c:v>
                </c:pt>
                <c:pt idx="42">
                  <c:v>41956</c:v>
                </c:pt>
                <c:pt idx="43">
                  <c:v>41957</c:v>
                </c:pt>
                <c:pt idx="44">
                  <c:v>41960</c:v>
                </c:pt>
                <c:pt idx="45">
                  <c:v>41961</c:v>
                </c:pt>
                <c:pt idx="46">
                  <c:v>41962</c:v>
                </c:pt>
                <c:pt idx="47">
                  <c:v>41963</c:v>
                </c:pt>
                <c:pt idx="48">
                  <c:v>41964</c:v>
                </c:pt>
                <c:pt idx="49">
                  <c:v>41967</c:v>
                </c:pt>
                <c:pt idx="50">
                  <c:v>41968</c:v>
                </c:pt>
                <c:pt idx="51">
                  <c:v>41969</c:v>
                </c:pt>
                <c:pt idx="52">
                  <c:v>41970</c:v>
                </c:pt>
                <c:pt idx="53">
                  <c:v>41971</c:v>
                </c:pt>
                <c:pt idx="54">
                  <c:v>41974</c:v>
                </c:pt>
                <c:pt idx="55">
                  <c:v>41975</c:v>
                </c:pt>
                <c:pt idx="56">
                  <c:v>41976</c:v>
                </c:pt>
                <c:pt idx="57">
                  <c:v>41977</c:v>
                </c:pt>
                <c:pt idx="58">
                  <c:v>41978</c:v>
                </c:pt>
                <c:pt idx="59">
                  <c:v>41981</c:v>
                </c:pt>
                <c:pt idx="60">
                  <c:v>41982</c:v>
                </c:pt>
                <c:pt idx="61">
                  <c:v>41983</c:v>
                </c:pt>
                <c:pt idx="62">
                  <c:v>41984</c:v>
                </c:pt>
                <c:pt idx="63">
                  <c:v>41985</c:v>
                </c:pt>
                <c:pt idx="64">
                  <c:v>41988</c:v>
                </c:pt>
                <c:pt idx="65">
                  <c:v>41989</c:v>
                </c:pt>
                <c:pt idx="66">
                  <c:v>41990</c:v>
                </c:pt>
                <c:pt idx="67">
                  <c:v>41991</c:v>
                </c:pt>
                <c:pt idx="68">
                  <c:v>41992</c:v>
                </c:pt>
                <c:pt idx="69">
                  <c:v>41995</c:v>
                </c:pt>
                <c:pt idx="70">
                  <c:v>41996</c:v>
                </c:pt>
                <c:pt idx="71">
                  <c:v>41997</c:v>
                </c:pt>
                <c:pt idx="72">
                  <c:v>42002</c:v>
                </c:pt>
                <c:pt idx="73">
                  <c:v>42003</c:v>
                </c:pt>
                <c:pt idx="74">
                  <c:v>42004</c:v>
                </c:pt>
                <c:pt idx="75">
                  <c:v>42006</c:v>
                </c:pt>
                <c:pt idx="76">
                  <c:v>42009</c:v>
                </c:pt>
                <c:pt idx="77">
                  <c:v>42010</c:v>
                </c:pt>
                <c:pt idx="78">
                  <c:v>42011</c:v>
                </c:pt>
                <c:pt idx="79">
                  <c:v>42012</c:v>
                </c:pt>
                <c:pt idx="80">
                  <c:v>42013</c:v>
                </c:pt>
                <c:pt idx="81">
                  <c:v>42016</c:v>
                </c:pt>
                <c:pt idx="82">
                  <c:v>42017</c:v>
                </c:pt>
                <c:pt idx="83">
                  <c:v>42018</c:v>
                </c:pt>
                <c:pt idx="84">
                  <c:v>42019</c:v>
                </c:pt>
                <c:pt idx="85">
                  <c:v>42020</c:v>
                </c:pt>
                <c:pt idx="86">
                  <c:v>42023</c:v>
                </c:pt>
                <c:pt idx="87">
                  <c:v>42024</c:v>
                </c:pt>
                <c:pt idx="88">
                  <c:v>42025</c:v>
                </c:pt>
                <c:pt idx="89">
                  <c:v>42026</c:v>
                </c:pt>
                <c:pt idx="90">
                  <c:v>42027</c:v>
                </c:pt>
                <c:pt idx="91">
                  <c:v>42031</c:v>
                </c:pt>
                <c:pt idx="92">
                  <c:v>42032</c:v>
                </c:pt>
                <c:pt idx="93">
                  <c:v>42033</c:v>
                </c:pt>
                <c:pt idx="94">
                  <c:v>42034</c:v>
                </c:pt>
                <c:pt idx="95">
                  <c:v>42037</c:v>
                </c:pt>
                <c:pt idx="96">
                  <c:v>42038</c:v>
                </c:pt>
                <c:pt idx="97">
                  <c:v>42039</c:v>
                </c:pt>
                <c:pt idx="98">
                  <c:v>42040</c:v>
                </c:pt>
                <c:pt idx="99">
                  <c:v>42041</c:v>
                </c:pt>
                <c:pt idx="100">
                  <c:v>42044</c:v>
                </c:pt>
                <c:pt idx="101">
                  <c:v>42045</c:v>
                </c:pt>
                <c:pt idx="102">
                  <c:v>42046</c:v>
                </c:pt>
                <c:pt idx="103">
                  <c:v>42047</c:v>
                </c:pt>
                <c:pt idx="104">
                  <c:v>42048</c:v>
                </c:pt>
                <c:pt idx="105">
                  <c:v>42051</c:v>
                </c:pt>
                <c:pt idx="106">
                  <c:v>42052</c:v>
                </c:pt>
                <c:pt idx="107">
                  <c:v>42053</c:v>
                </c:pt>
                <c:pt idx="108">
                  <c:v>42054</c:v>
                </c:pt>
                <c:pt idx="109">
                  <c:v>42055</c:v>
                </c:pt>
                <c:pt idx="110">
                  <c:v>42058</c:v>
                </c:pt>
                <c:pt idx="111">
                  <c:v>42059</c:v>
                </c:pt>
                <c:pt idx="112">
                  <c:v>42060</c:v>
                </c:pt>
                <c:pt idx="113">
                  <c:v>42061</c:v>
                </c:pt>
                <c:pt idx="114">
                  <c:v>42062</c:v>
                </c:pt>
                <c:pt idx="115">
                  <c:v>42065</c:v>
                </c:pt>
                <c:pt idx="116">
                  <c:v>42066</c:v>
                </c:pt>
                <c:pt idx="117">
                  <c:v>42067</c:v>
                </c:pt>
                <c:pt idx="118">
                  <c:v>42068</c:v>
                </c:pt>
                <c:pt idx="119">
                  <c:v>42069</c:v>
                </c:pt>
                <c:pt idx="120">
                  <c:v>42072</c:v>
                </c:pt>
                <c:pt idx="121">
                  <c:v>42073</c:v>
                </c:pt>
                <c:pt idx="122">
                  <c:v>42074</c:v>
                </c:pt>
                <c:pt idx="123">
                  <c:v>42075</c:v>
                </c:pt>
                <c:pt idx="124">
                  <c:v>42076</c:v>
                </c:pt>
                <c:pt idx="125">
                  <c:v>42079</c:v>
                </c:pt>
                <c:pt idx="126">
                  <c:v>42080</c:v>
                </c:pt>
                <c:pt idx="127">
                  <c:v>42081</c:v>
                </c:pt>
                <c:pt idx="128">
                  <c:v>42082</c:v>
                </c:pt>
                <c:pt idx="129">
                  <c:v>42083</c:v>
                </c:pt>
                <c:pt idx="130">
                  <c:v>42086</c:v>
                </c:pt>
                <c:pt idx="131">
                  <c:v>42087</c:v>
                </c:pt>
                <c:pt idx="132">
                  <c:v>42088</c:v>
                </c:pt>
                <c:pt idx="133">
                  <c:v>42089</c:v>
                </c:pt>
                <c:pt idx="134">
                  <c:v>42090</c:v>
                </c:pt>
                <c:pt idx="135">
                  <c:v>42093</c:v>
                </c:pt>
                <c:pt idx="136">
                  <c:v>42094</c:v>
                </c:pt>
                <c:pt idx="137">
                  <c:v>42095</c:v>
                </c:pt>
                <c:pt idx="138">
                  <c:v>42096</c:v>
                </c:pt>
                <c:pt idx="139">
                  <c:v>42101</c:v>
                </c:pt>
                <c:pt idx="140">
                  <c:v>42102</c:v>
                </c:pt>
                <c:pt idx="141">
                  <c:v>42103</c:v>
                </c:pt>
                <c:pt idx="142">
                  <c:v>42104</c:v>
                </c:pt>
                <c:pt idx="143">
                  <c:v>42107</c:v>
                </c:pt>
                <c:pt idx="144">
                  <c:v>42108</c:v>
                </c:pt>
                <c:pt idx="145">
                  <c:v>42109</c:v>
                </c:pt>
                <c:pt idx="146">
                  <c:v>42110</c:v>
                </c:pt>
                <c:pt idx="147">
                  <c:v>42111</c:v>
                </c:pt>
                <c:pt idx="148">
                  <c:v>42114</c:v>
                </c:pt>
                <c:pt idx="149">
                  <c:v>42115</c:v>
                </c:pt>
                <c:pt idx="150">
                  <c:v>42116</c:v>
                </c:pt>
                <c:pt idx="151">
                  <c:v>42117</c:v>
                </c:pt>
                <c:pt idx="152">
                  <c:v>42118</c:v>
                </c:pt>
                <c:pt idx="153">
                  <c:v>42121</c:v>
                </c:pt>
                <c:pt idx="154">
                  <c:v>42122</c:v>
                </c:pt>
                <c:pt idx="155">
                  <c:v>42123</c:v>
                </c:pt>
                <c:pt idx="156">
                  <c:v>42124</c:v>
                </c:pt>
                <c:pt idx="157">
                  <c:v>42125</c:v>
                </c:pt>
                <c:pt idx="158">
                  <c:v>42128</c:v>
                </c:pt>
                <c:pt idx="159">
                  <c:v>42129</c:v>
                </c:pt>
                <c:pt idx="160">
                  <c:v>42130</c:v>
                </c:pt>
                <c:pt idx="161">
                  <c:v>42131</c:v>
                </c:pt>
                <c:pt idx="162">
                  <c:v>42132</c:v>
                </c:pt>
                <c:pt idx="163">
                  <c:v>42135</c:v>
                </c:pt>
                <c:pt idx="164">
                  <c:v>42136</c:v>
                </c:pt>
                <c:pt idx="165">
                  <c:v>42137</c:v>
                </c:pt>
                <c:pt idx="166">
                  <c:v>42138</c:v>
                </c:pt>
                <c:pt idx="167">
                  <c:v>42139</c:v>
                </c:pt>
                <c:pt idx="168">
                  <c:v>42142</c:v>
                </c:pt>
                <c:pt idx="169">
                  <c:v>42143</c:v>
                </c:pt>
                <c:pt idx="170">
                  <c:v>42144</c:v>
                </c:pt>
                <c:pt idx="171">
                  <c:v>42145</c:v>
                </c:pt>
                <c:pt idx="172">
                  <c:v>42146</c:v>
                </c:pt>
                <c:pt idx="173">
                  <c:v>42149</c:v>
                </c:pt>
                <c:pt idx="174">
                  <c:v>42150</c:v>
                </c:pt>
                <c:pt idx="175">
                  <c:v>42151</c:v>
                </c:pt>
                <c:pt idx="176">
                  <c:v>42152</c:v>
                </c:pt>
                <c:pt idx="177">
                  <c:v>42153</c:v>
                </c:pt>
                <c:pt idx="178">
                  <c:v>42156</c:v>
                </c:pt>
                <c:pt idx="179">
                  <c:v>42157</c:v>
                </c:pt>
                <c:pt idx="180">
                  <c:v>42158</c:v>
                </c:pt>
                <c:pt idx="181">
                  <c:v>42159</c:v>
                </c:pt>
                <c:pt idx="182">
                  <c:v>42160</c:v>
                </c:pt>
                <c:pt idx="183">
                  <c:v>42164</c:v>
                </c:pt>
                <c:pt idx="184">
                  <c:v>42165</c:v>
                </c:pt>
                <c:pt idx="185">
                  <c:v>42166</c:v>
                </c:pt>
                <c:pt idx="186">
                  <c:v>42167</c:v>
                </c:pt>
                <c:pt idx="187">
                  <c:v>42170</c:v>
                </c:pt>
                <c:pt idx="188">
                  <c:v>42171</c:v>
                </c:pt>
                <c:pt idx="189">
                  <c:v>42172</c:v>
                </c:pt>
                <c:pt idx="190">
                  <c:v>42173</c:v>
                </c:pt>
                <c:pt idx="191">
                  <c:v>42174</c:v>
                </c:pt>
                <c:pt idx="192">
                  <c:v>42177</c:v>
                </c:pt>
                <c:pt idx="193">
                  <c:v>42178</c:v>
                </c:pt>
                <c:pt idx="194">
                  <c:v>42179</c:v>
                </c:pt>
                <c:pt idx="195">
                  <c:v>42180</c:v>
                </c:pt>
                <c:pt idx="196">
                  <c:v>42181</c:v>
                </c:pt>
                <c:pt idx="197">
                  <c:v>42184</c:v>
                </c:pt>
                <c:pt idx="198">
                  <c:v>42185</c:v>
                </c:pt>
                <c:pt idx="199">
                  <c:v>42186</c:v>
                </c:pt>
                <c:pt idx="200">
                  <c:v>42187</c:v>
                </c:pt>
                <c:pt idx="201">
                  <c:v>42188</c:v>
                </c:pt>
                <c:pt idx="202">
                  <c:v>42191</c:v>
                </c:pt>
                <c:pt idx="203">
                  <c:v>42192</c:v>
                </c:pt>
                <c:pt idx="204">
                  <c:v>42193</c:v>
                </c:pt>
                <c:pt idx="205">
                  <c:v>42194</c:v>
                </c:pt>
                <c:pt idx="206">
                  <c:v>42195</c:v>
                </c:pt>
                <c:pt idx="207">
                  <c:v>42198</c:v>
                </c:pt>
                <c:pt idx="208">
                  <c:v>42199</c:v>
                </c:pt>
                <c:pt idx="209">
                  <c:v>42200</c:v>
                </c:pt>
                <c:pt idx="210">
                  <c:v>42201</c:v>
                </c:pt>
                <c:pt idx="211">
                  <c:v>42202</c:v>
                </c:pt>
                <c:pt idx="212">
                  <c:v>42205</c:v>
                </c:pt>
                <c:pt idx="213">
                  <c:v>42206</c:v>
                </c:pt>
                <c:pt idx="214">
                  <c:v>42207</c:v>
                </c:pt>
                <c:pt idx="215">
                  <c:v>42208</c:v>
                </c:pt>
                <c:pt idx="216">
                  <c:v>42209</c:v>
                </c:pt>
                <c:pt idx="217">
                  <c:v>42212</c:v>
                </c:pt>
                <c:pt idx="218">
                  <c:v>42213</c:v>
                </c:pt>
                <c:pt idx="219">
                  <c:v>42214</c:v>
                </c:pt>
                <c:pt idx="220">
                  <c:v>42215</c:v>
                </c:pt>
                <c:pt idx="221">
                  <c:v>42216</c:v>
                </c:pt>
                <c:pt idx="222">
                  <c:v>42220</c:v>
                </c:pt>
                <c:pt idx="223">
                  <c:v>42221</c:v>
                </c:pt>
                <c:pt idx="224">
                  <c:v>42222</c:v>
                </c:pt>
                <c:pt idx="225">
                  <c:v>42223</c:v>
                </c:pt>
                <c:pt idx="226">
                  <c:v>42226</c:v>
                </c:pt>
                <c:pt idx="227">
                  <c:v>42227</c:v>
                </c:pt>
                <c:pt idx="228">
                  <c:v>42228</c:v>
                </c:pt>
                <c:pt idx="229">
                  <c:v>42229</c:v>
                </c:pt>
                <c:pt idx="230">
                  <c:v>42230</c:v>
                </c:pt>
                <c:pt idx="231">
                  <c:v>42233</c:v>
                </c:pt>
                <c:pt idx="232">
                  <c:v>42234</c:v>
                </c:pt>
                <c:pt idx="233">
                  <c:v>42235</c:v>
                </c:pt>
                <c:pt idx="234">
                  <c:v>42236</c:v>
                </c:pt>
                <c:pt idx="235">
                  <c:v>42237</c:v>
                </c:pt>
                <c:pt idx="236">
                  <c:v>42240</c:v>
                </c:pt>
                <c:pt idx="237">
                  <c:v>42241</c:v>
                </c:pt>
                <c:pt idx="238">
                  <c:v>42242</c:v>
                </c:pt>
                <c:pt idx="239">
                  <c:v>42243</c:v>
                </c:pt>
                <c:pt idx="240">
                  <c:v>42244</c:v>
                </c:pt>
                <c:pt idx="241">
                  <c:v>42247</c:v>
                </c:pt>
                <c:pt idx="242">
                  <c:v>42248</c:v>
                </c:pt>
                <c:pt idx="243">
                  <c:v>42249</c:v>
                </c:pt>
                <c:pt idx="244">
                  <c:v>42250</c:v>
                </c:pt>
                <c:pt idx="245">
                  <c:v>42251</c:v>
                </c:pt>
                <c:pt idx="246">
                  <c:v>42254</c:v>
                </c:pt>
                <c:pt idx="247">
                  <c:v>42255</c:v>
                </c:pt>
                <c:pt idx="248">
                  <c:v>42256</c:v>
                </c:pt>
                <c:pt idx="249">
                  <c:v>42257</c:v>
                </c:pt>
                <c:pt idx="250">
                  <c:v>42258</c:v>
                </c:pt>
                <c:pt idx="251">
                  <c:v>42261</c:v>
                </c:pt>
                <c:pt idx="252">
                  <c:v>42262</c:v>
                </c:pt>
                <c:pt idx="253">
                  <c:v>42263</c:v>
                </c:pt>
                <c:pt idx="254">
                  <c:v>42264</c:v>
                </c:pt>
                <c:pt idx="255">
                  <c:v>42265</c:v>
                </c:pt>
                <c:pt idx="256">
                  <c:v>42268</c:v>
                </c:pt>
                <c:pt idx="257">
                  <c:v>42269</c:v>
                </c:pt>
                <c:pt idx="258">
                  <c:v>42270</c:v>
                </c:pt>
                <c:pt idx="259">
                  <c:v>42271</c:v>
                </c:pt>
                <c:pt idx="260">
                  <c:v>42272</c:v>
                </c:pt>
                <c:pt idx="261">
                  <c:v>42275</c:v>
                </c:pt>
                <c:pt idx="262">
                  <c:v>42276</c:v>
                </c:pt>
                <c:pt idx="263">
                  <c:v>42277</c:v>
                </c:pt>
                <c:pt idx="264">
                  <c:v>42278</c:v>
                </c:pt>
                <c:pt idx="265">
                  <c:v>42279</c:v>
                </c:pt>
                <c:pt idx="266">
                  <c:v>42283</c:v>
                </c:pt>
                <c:pt idx="267">
                  <c:v>42284</c:v>
                </c:pt>
                <c:pt idx="268">
                  <c:v>42285</c:v>
                </c:pt>
                <c:pt idx="269">
                  <c:v>42286</c:v>
                </c:pt>
                <c:pt idx="270">
                  <c:v>42289</c:v>
                </c:pt>
                <c:pt idx="271">
                  <c:v>42290</c:v>
                </c:pt>
                <c:pt idx="272">
                  <c:v>42291</c:v>
                </c:pt>
                <c:pt idx="273">
                  <c:v>42292</c:v>
                </c:pt>
                <c:pt idx="274">
                  <c:v>42293</c:v>
                </c:pt>
                <c:pt idx="275">
                  <c:v>42296</c:v>
                </c:pt>
                <c:pt idx="276">
                  <c:v>42297</c:v>
                </c:pt>
                <c:pt idx="277">
                  <c:v>42298</c:v>
                </c:pt>
                <c:pt idx="278">
                  <c:v>42299</c:v>
                </c:pt>
                <c:pt idx="279">
                  <c:v>42300</c:v>
                </c:pt>
                <c:pt idx="280">
                  <c:v>42303</c:v>
                </c:pt>
                <c:pt idx="281">
                  <c:v>42304</c:v>
                </c:pt>
                <c:pt idx="282">
                  <c:v>42305</c:v>
                </c:pt>
                <c:pt idx="283">
                  <c:v>42306</c:v>
                </c:pt>
                <c:pt idx="284">
                  <c:v>42307</c:v>
                </c:pt>
                <c:pt idx="285">
                  <c:v>42310</c:v>
                </c:pt>
                <c:pt idx="286">
                  <c:v>42311</c:v>
                </c:pt>
                <c:pt idx="287">
                  <c:v>42312</c:v>
                </c:pt>
                <c:pt idx="288">
                  <c:v>42313</c:v>
                </c:pt>
                <c:pt idx="289">
                  <c:v>42314</c:v>
                </c:pt>
                <c:pt idx="290">
                  <c:v>42317</c:v>
                </c:pt>
                <c:pt idx="291">
                  <c:v>42318</c:v>
                </c:pt>
                <c:pt idx="292">
                  <c:v>42319</c:v>
                </c:pt>
                <c:pt idx="293">
                  <c:v>42320</c:v>
                </c:pt>
                <c:pt idx="294">
                  <c:v>42321</c:v>
                </c:pt>
                <c:pt idx="295">
                  <c:v>42324</c:v>
                </c:pt>
                <c:pt idx="296">
                  <c:v>42325</c:v>
                </c:pt>
                <c:pt idx="297">
                  <c:v>42326</c:v>
                </c:pt>
                <c:pt idx="298">
                  <c:v>42327</c:v>
                </c:pt>
                <c:pt idx="299">
                  <c:v>42328</c:v>
                </c:pt>
                <c:pt idx="300">
                  <c:v>42331</c:v>
                </c:pt>
                <c:pt idx="301">
                  <c:v>42332</c:v>
                </c:pt>
                <c:pt idx="302">
                  <c:v>42333</c:v>
                </c:pt>
                <c:pt idx="303">
                  <c:v>42334</c:v>
                </c:pt>
                <c:pt idx="304">
                  <c:v>42335</c:v>
                </c:pt>
                <c:pt idx="305">
                  <c:v>42338</c:v>
                </c:pt>
                <c:pt idx="306">
                  <c:v>42339</c:v>
                </c:pt>
                <c:pt idx="307">
                  <c:v>42340</c:v>
                </c:pt>
                <c:pt idx="308">
                  <c:v>42341</c:v>
                </c:pt>
                <c:pt idx="309">
                  <c:v>42342</c:v>
                </c:pt>
                <c:pt idx="310">
                  <c:v>42345</c:v>
                </c:pt>
                <c:pt idx="311">
                  <c:v>42346</c:v>
                </c:pt>
                <c:pt idx="312">
                  <c:v>42347</c:v>
                </c:pt>
                <c:pt idx="313">
                  <c:v>42348</c:v>
                </c:pt>
                <c:pt idx="314">
                  <c:v>42349</c:v>
                </c:pt>
                <c:pt idx="315">
                  <c:v>42352</c:v>
                </c:pt>
                <c:pt idx="316">
                  <c:v>42353</c:v>
                </c:pt>
                <c:pt idx="317">
                  <c:v>42354</c:v>
                </c:pt>
                <c:pt idx="318">
                  <c:v>42355</c:v>
                </c:pt>
                <c:pt idx="319">
                  <c:v>42356</c:v>
                </c:pt>
                <c:pt idx="320">
                  <c:v>42359</c:v>
                </c:pt>
                <c:pt idx="321">
                  <c:v>42360</c:v>
                </c:pt>
                <c:pt idx="322">
                  <c:v>42361</c:v>
                </c:pt>
                <c:pt idx="323">
                  <c:v>42362</c:v>
                </c:pt>
                <c:pt idx="324">
                  <c:v>42367</c:v>
                </c:pt>
                <c:pt idx="325">
                  <c:v>42368</c:v>
                </c:pt>
                <c:pt idx="326">
                  <c:v>42369</c:v>
                </c:pt>
                <c:pt idx="327">
                  <c:v>42373</c:v>
                </c:pt>
                <c:pt idx="328">
                  <c:v>42374</c:v>
                </c:pt>
                <c:pt idx="329">
                  <c:v>42375</c:v>
                </c:pt>
                <c:pt idx="330">
                  <c:v>42376</c:v>
                </c:pt>
                <c:pt idx="331">
                  <c:v>42377</c:v>
                </c:pt>
                <c:pt idx="332">
                  <c:v>42380</c:v>
                </c:pt>
                <c:pt idx="333">
                  <c:v>42381</c:v>
                </c:pt>
                <c:pt idx="334">
                  <c:v>42382</c:v>
                </c:pt>
                <c:pt idx="335">
                  <c:v>42383</c:v>
                </c:pt>
                <c:pt idx="336">
                  <c:v>42384</c:v>
                </c:pt>
                <c:pt idx="337">
                  <c:v>42387</c:v>
                </c:pt>
                <c:pt idx="338">
                  <c:v>42388</c:v>
                </c:pt>
                <c:pt idx="339">
                  <c:v>42389</c:v>
                </c:pt>
                <c:pt idx="340">
                  <c:v>42390</c:v>
                </c:pt>
                <c:pt idx="341">
                  <c:v>42391</c:v>
                </c:pt>
                <c:pt idx="342">
                  <c:v>42394</c:v>
                </c:pt>
                <c:pt idx="343">
                  <c:v>42396</c:v>
                </c:pt>
                <c:pt idx="344">
                  <c:v>42397</c:v>
                </c:pt>
                <c:pt idx="345">
                  <c:v>42398</c:v>
                </c:pt>
                <c:pt idx="346">
                  <c:v>42401</c:v>
                </c:pt>
                <c:pt idx="347">
                  <c:v>42402</c:v>
                </c:pt>
                <c:pt idx="348">
                  <c:v>42403</c:v>
                </c:pt>
                <c:pt idx="349">
                  <c:v>42404</c:v>
                </c:pt>
                <c:pt idx="350">
                  <c:v>42405</c:v>
                </c:pt>
                <c:pt idx="351">
                  <c:v>42408</c:v>
                </c:pt>
                <c:pt idx="352">
                  <c:v>42409</c:v>
                </c:pt>
                <c:pt idx="353">
                  <c:v>42410</c:v>
                </c:pt>
                <c:pt idx="354">
                  <c:v>42411</c:v>
                </c:pt>
                <c:pt idx="355">
                  <c:v>42412</c:v>
                </c:pt>
                <c:pt idx="356">
                  <c:v>42415</c:v>
                </c:pt>
                <c:pt idx="357">
                  <c:v>42416</c:v>
                </c:pt>
                <c:pt idx="358">
                  <c:v>42417</c:v>
                </c:pt>
                <c:pt idx="359">
                  <c:v>42418</c:v>
                </c:pt>
                <c:pt idx="360">
                  <c:v>42419</c:v>
                </c:pt>
                <c:pt idx="361">
                  <c:v>42422</c:v>
                </c:pt>
                <c:pt idx="362">
                  <c:v>42423</c:v>
                </c:pt>
                <c:pt idx="363">
                  <c:v>42424</c:v>
                </c:pt>
                <c:pt idx="364">
                  <c:v>42425</c:v>
                </c:pt>
                <c:pt idx="365">
                  <c:v>42426</c:v>
                </c:pt>
                <c:pt idx="366">
                  <c:v>42429</c:v>
                </c:pt>
                <c:pt idx="367">
                  <c:v>42430</c:v>
                </c:pt>
                <c:pt idx="368">
                  <c:v>42431</c:v>
                </c:pt>
                <c:pt idx="369">
                  <c:v>42432</c:v>
                </c:pt>
                <c:pt idx="370">
                  <c:v>42433</c:v>
                </c:pt>
                <c:pt idx="371">
                  <c:v>42436</c:v>
                </c:pt>
                <c:pt idx="372">
                  <c:v>42437</c:v>
                </c:pt>
                <c:pt idx="373">
                  <c:v>42438</c:v>
                </c:pt>
                <c:pt idx="374">
                  <c:v>42439</c:v>
                </c:pt>
                <c:pt idx="375">
                  <c:v>42440</c:v>
                </c:pt>
                <c:pt idx="376">
                  <c:v>42443</c:v>
                </c:pt>
                <c:pt idx="377">
                  <c:v>42444</c:v>
                </c:pt>
                <c:pt idx="378">
                  <c:v>42445</c:v>
                </c:pt>
                <c:pt idx="379">
                  <c:v>42446</c:v>
                </c:pt>
                <c:pt idx="380">
                  <c:v>42447</c:v>
                </c:pt>
                <c:pt idx="381">
                  <c:v>42450</c:v>
                </c:pt>
                <c:pt idx="382">
                  <c:v>42451</c:v>
                </c:pt>
                <c:pt idx="383">
                  <c:v>42452</c:v>
                </c:pt>
                <c:pt idx="384">
                  <c:v>42453</c:v>
                </c:pt>
                <c:pt idx="385">
                  <c:v>42458</c:v>
                </c:pt>
                <c:pt idx="386">
                  <c:v>42459</c:v>
                </c:pt>
                <c:pt idx="387">
                  <c:v>42460</c:v>
                </c:pt>
                <c:pt idx="388">
                  <c:v>42461</c:v>
                </c:pt>
                <c:pt idx="389">
                  <c:v>42464</c:v>
                </c:pt>
                <c:pt idx="390">
                  <c:v>42465</c:v>
                </c:pt>
                <c:pt idx="391">
                  <c:v>42466</c:v>
                </c:pt>
                <c:pt idx="392">
                  <c:v>42467</c:v>
                </c:pt>
                <c:pt idx="393">
                  <c:v>42468</c:v>
                </c:pt>
                <c:pt idx="394">
                  <c:v>42471</c:v>
                </c:pt>
                <c:pt idx="395">
                  <c:v>42472</c:v>
                </c:pt>
                <c:pt idx="396">
                  <c:v>42473</c:v>
                </c:pt>
                <c:pt idx="397">
                  <c:v>42474</c:v>
                </c:pt>
                <c:pt idx="398">
                  <c:v>42475</c:v>
                </c:pt>
                <c:pt idx="399">
                  <c:v>42478</c:v>
                </c:pt>
                <c:pt idx="400">
                  <c:v>42479</c:v>
                </c:pt>
                <c:pt idx="401">
                  <c:v>42480</c:v>
                </c:pt>
                <c:pt idx="402">
                  <c:v>42481</c:v>
                </c:pt>
                <c:pt idx="403">
                  <c:v>42482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43216</c:v>
                </c:pt>
                <c:pt idx="599">
                  <c:v>43223</c:v>
                </c:pt>
                <c:pt idx="600">
                  <c:v>43230</c:v>
                </c:pt>
                <c:pt idx="601">
                  <c:v>43237</c:v>
                </c:pt>
                <c:pt idx="602">
                  <c:v>43244</c:v>
                </c:pt>
                <c:pt idx="603">
                  <c:v>43251</c:v>
                </c:pt>
                <c:pt idx="604">
                  <c:v>43258</c:v>
                </c:pt>
                <c:pt idx="605">
                  <c:v>43265</c:v>
                </c:pt>
                <c:pt idx="606">
                  <c:v>43272</c:v>
                </c:pt>
                <c:pt idx="607">
                  <c:v>43279</c:v>
                </c:pt>
                <c:pt idx="608">
                  <c:v>43286</c:v>
                </c:pt>
                <c:pt idx="609">
                  <c:v>43293</c:v>
                </c:pt>
                <c:pt idx="610">
                  <c:v>43300</c:v>
                </c:pt>
                <c:pt idx="611">
                  <c:v>43307</c:v>
                </c:pt>
                <c:pt idx="612">
                  <c:v>43314</c:v>
                </c:pt>
                <c:pt idx="613">
                  <c:v>43321</c:v>
                </c:pt>
                <c:pt idx="614">
                  <c:v>43328</c:v>
                </c:pt>
                <c:pt idx="615">
                  <c:v>43335</c:v>
                </c:pt>
                <c:pt idx="616">
                  <c:v>43342</c:v>
                </c:pt>
                <c:pt idx="617">
                  <c:v>43349</c:v>
                </c:pt>
                <c:pt idx="618">
                  <c:v>43356</c:v>
                </c:pt>
                <c:pt idx="619">
                  <c:v>43363</c:v>
                </c:pt>
                <c:pt idx="620">
                  <c:v>43370</c:v>
                </c:pt>
                <c:pt idx="621">
                  <c:v>43377</c:v>
                </c:pt>
                <c:pt idx="622">
                  <c:v>43384</c:v>
                </c:pt>
                <c:pt idx="623">
                  <c:v>43391</c:v>
                </c:pt>
                <c:pt idx="624">
                  <c:v>43398</c:v>
                </c:pt>
                <c:pt idx="625">
                  <c:v>43405</c:v>
                </c:pt>
                <c:pt idx="626">
                  <c:v>43412</c:v>
                </c:pt>
                <c:pt idx="627">
                  <c:v>43419</c:v>
                </c:pt>
                <c:pt idx="628">
                  <c:v>43426</c:v>
                </c:pt>
                <c:pt idx="629">
                  <c:v>43433</c:v>
                </c:pt>
                <c:pt idx="630">
                  <c:v>43440</c:v>
                </c:pt>
                <c:pt idx="631">
                  <c:v>43447</c:v>
                </c:pt>
                <c:pt idx="632">
                  <c:v>43454</c:v>
                </c:pt>
                <c:pt idx="633">
                  <c:v>43461</c:v>
                </c:pt>
                <c:pt idx="634">
                  <c:v>43468</c:v>
                </c:pt>
                <c:pt idx="635">
                  <c:v>43475</c:v>
                </c:pt>
                <c:pt idx="636">
                  <c:v>43482</c:v>
                </c:pt>
                <c:pt idx="637">
                  <c:v>43489</c:v>
                </c:pt>
                <c:pt idx="638">
                  <c:v>43496</c:v>
                </c:pt>
                <c:pt idx="639">
                  <c:v>43503</c:v>
                </c:pt>
                <c:pt idx="640">
                  <c:v>43510</c:v>
                </c:pt>
                <c:pt idx="641">
                  <c:v>43517</c:v>
                </c:pt>
                <c:pt idx="642">
                  <c:v>43524</c:v>
                </c:pt>
                <c:pt idx="643">
                  <c:v>43531</c:v>
                </c:pt>
                <c:pt idx="644">
                  <c:v>43538</c:v>
                </c:pt>
                <c:pt idx="645">
                  <c:v>43545</c:v>
                </c:pt>
                <c:pt idx="646">
                  <c:v>43552</c:v>
                </c:pt>
                <c:pt idx="647">
                  <c:v>43559</c:v>
                </c:pt>
                <c:pt idx="648">
                  <c:v>43566</c:v>
                </c:pt>
                <c:pt idx="649">
                  <c:v>43573</c:v>
                </c:pt>
                <c:pt idx="650">
                  <c:v>43581</c:v>
                </c:pt>
                <c:pt idx="651">
                  <c:v>43588</c:v>
                </c:pt>
                <c:pt idx="652">
                  <c:v>43595</c:v>
                </c:pt>
                <c:pt idx="653">
                  <c:v>43602</c:v>
                </c:pt>
                <c:pt idx="654">
                  <c:v>43609</c:v>
                </c:pt>
                <c:pt idx="655">
                  <c:v>43616</c:v>
                </c:pt>
                <c:pt idx="656">
                  <c:v>43623</c:v>
                </c:pt>
                <c:pt idx="657">
                  <c:v>43630</c:v>
                </c:pt>
                <c:pt idx="658">
                  <c:v>43637</c:v>
                </c:pt>
                <c:pt idx="659">
                  <c:v>43644</c:v>
                </c:pt>
                <c:pt idx="660">
                  <c:v>43651</c:v>
                </c:pt>
                <c:pt idx="661">
                  <c:v>43658</c:v>
                </c:pt>
                <c:pt idx="662">
                  <c:v>43665</c:v>
                </c:pt>
                <c:pt idx="663">
                  <c:v>43672</c:v>
                </c:pt>
                <c:pt idx="664">
                  <c:v>43679</c:v>
                </c:pt>
                <c:pt idx="665">
                  <c:v>43686</c:v>
                </c:pt>
                <c:pt idx="666">
                  <c:v>43693</c:v>
                </c:pt>
                <c:pt idx="667">
                  <c:v>43700</c:v>
                </c:pt>
                <c:pt idx="668">
                  <c:v>43707</c:v>
                </c:pt>
                <c:pt idx="669">
                  <c:v>43714</c:v>
                </c:pt>
                <c:pt idx="670">
                  <c:v>43721</c:v>
                </c:pt>
                <c:pt idx="671">
                  <c:v>43728</c:v>
                </c:pt>
                <c:pt idx="672">
                  <c:v>43735</c:v>
                </c:pt>
                <c:pt idx="673">
                  <c:v>43742</c:v>
                </c:pt>
                <c:pt idx="674">
                  <c:v>43749</c:v>
                </c:pt>
                <c:pt idx="675">
                  <c:v>43756</c:v>
                </c:pt>
                <c:pt idx="676">
                  <c:v>43763</c:v>
                </c:pt>
                <c:pt idx="677">
                  <c:v>43770</c:v>
                </c:pt>
                <c:pt idx="678">
                  <c:v>43777</c:v>
                </c:pt>
                <c:pt idx="679">
                  <c:v>43784</c:v>
                </c:pt>
                <c:pt idx="680">
                  <c:v>43791</c:v>
                </c:pt>
                <c:pt idx="681">
                  <c:v>43798</c:v>
                </c:pt>
                <c:pt idx="682">
                  <c:v>43805</c:v>
                </c:pt>
                <c:pt idx="683">
                  <c:v>43812</c:v>
                </c:pt>
                <c:pt idx="684">
                  <c:v>43819</c:v>
                </c:pt>
                <c:pt idx="685">
                  <c:v>43826</c:v>
                </c:pt>
                <c:pt idx="686">
                  <c:v>43833</c:v>
                </c:pt>
                <c:pt idx="687">
                  <c:v>43840</c:v>
                </c:pt>
                <c:pt idx="688">
                  <c:v>43847</c:v>
                </c:pt>
                <c:pt idx="689">
                  <c:v>43854</c:v>
                </c:pt>
                <c:pt idx="690">
                  <c:v>43861</c:v>
                </c:pt>
                <c:pt idx="691">
                  <c:v>43868</c:v>
                </c:pt>
                <c:pt idx="692">
                  <c:v>43875</c:v>
                </c:pt>
                <c:pt idx="693">
                  <c:v>43882</c:v>
                </c:pt>
                <c:pt idx="694">
                  <c:v>43889</c:v>
                </c:pt>
                <c:pt idx="695">
                  <c:v>43896</c:v>
                </c:pt>
                <c:pt idx="696">
                  <c:v>43903</c:v>
                </c:pt>
                <c:pt idx="697">
                  <c:v>43910</c:v>
                </c:pt>
                <c:pt idx="698">
                  <c:v>43917</c:v>
                </c:pt>
                <c:pt idx="699">
                  <c:v>43924</c:v>
                </c:pt>
                <c:pt idx="700">
                  <c:v>43935</c:v>
                </c:pt>
                <c:pt idx="701">
                  <c:v>43942</c:v>
                </c:pt>
                <c:pt idx="702">
                  <c:v>43949</c:v>
                </c:pt>
                <c:pt idx="703">
                  <c:v>43956</c:v>
                </c:pt>
                <c:pt idx="704">
                  <c:v>43963</c:v>
                </c:pt>
                <c:pt idx="705">
                  <c:v>43970</c:v>
                </c:pt>
                <c:pt idx="706">
                  <c:v>43977</c:v>
                </c:pt>
                <c:pt idx="707">
                  <c:v>43984</c:v>
                </c:pt>
                <c:pt idx="708">
                  <c:v>43991</c:v>
                </c:pt>
                <c:pt idx="709">
                  <c:v>43998</c:v>
                </c:pt>
                <c:pt idx="710">
                  <c:v>44005</c:v>
                </c:pt>
                <c:pt idx="711">
                  <c:v>44012</c:v>
                </c:pt>
                <c:pt idx="712">
                  <c:v>44019</c:v>
                </c:pt>
                <c:pt idx="713">
                  <c:v>44026</c:v>
                </c:pt>
                <c:pt idx="714">
                  <c:v>44033</c:v>
                </c:pt>
                <c:pt idx="715">
                  <c:v>44040</c:v>
                </c:pt>
                <c:pt idx="716">
                  <c:v>44047</c:v>
                </c:pt>
                <c:pt idx="717">
                  <c:v>44054</c:v>
                </c:pt>
                <c:pt idx="718">
                  <c:v>44061</c:v>
                </c:pt>
                <c:pt idx="719">
                  <c:v>44068</c:v>
                </c:pt>
                <c:pt idx="720">
                  <c:v>44075</c:v>
                </c:pt>
                <c:pt idx="721">
                  <c:v>44082</c:v>
                </c:pt>
                <c:pt idx="722">
                  <c:v>44089</c:v>
                </c:pt>
                <c:pt idx="723">
                  <c:v>44096</c:v>
                </c:pt>
                <c:pt idx="724">
                  <c:v>44103</c:v>
                </c:pt>
                <c:pt idx="725">
                  <c:v>44110</c:v>
                </c:pt>
                <c:pt idx="726">
                  <c:v>44117</c:v>
                </c:pt>
                <c:pt idx="727">
                  <c:v>44124</c:v>
                </c:pt>
                <c:pt idx="728">
                  <c:v>44131</c:v>
                </c:pt>
                <c:pt idx="729">
                  <c:v>44138</c:v>
                </c:pt>
                <c:pt idx="730">
                  <c:v>44145</c:v>
                </c:pt>
                <c:pt idx="731">
                  <c:v>44152</c:v>
                </c:pt>
                <c:pt idx="732">
                  <c:v>44159</c:v>
                </c:pt>
                <c:pt idx="733">
                  <c:v>44166</c:v>
                </c:pt>
                <c:pt idx="734">
                  <c:v>44173</c:v>
                </c:pt>
                <c:pt idx="735">
                  <c:v>44180</c:v>
                </c:pt>
                <c:pt idx="736">
                  <c:v>44187</c:v>
                </c:pt>
                <c:pt idx="737">
                  <c:v>44194</c:v>
                </c:pt>
                <c:pt idx="738">
                  <c:v>44201</c:v>
                </c:pt>
                <c:pt idx="739">
                  <c:v>44208</c:v>
                </c:pt>
                <c:pt idx="740">
                  <c:v>44215</c:v>
                </c:pt>
                <c:pt idx="741">
                  <c:v>44223</c:v>
                </c:pt>
                <c:pt idx="742">
                  <c:v>44230</c:v>
                </c:pt>
                <c:pt idx="743">
                  <c:v>44237</c:v>
                </c:pt>
                <c:pt idx="744">
                  <c:v>44244</c:v>
                </c:pt>
                <c:pt idx="745">
                  <c:v>44251</c:v>
                </c:pt>
                <c:pt idx="746">
                  <c:v>44258</c:v>
                </c:pt>
                <c:pt idx="747">
                  <c:v>44265</c:v>
                </c:pt>
                <c:pt idx="748">
                  <c:v>44272</c:v>
                </c:pt>
                <c:pt idx="749">
                  <c:v>44279</c:v>
                </c:pt>
                <c:pt idx="750">
                  <c:v>44286</c:v>
                </c:pt>
                <c:pt idx="751">
                  <c:v>44293</c:v>
                </c:pt>
                <c:pt idx="752">
                  <c:v>44300</c:v>
                </c:pt>
                <c:pt idx="753">
                  <c:v>44307</c:v>
                </c:pt>
                <c:pt idx="754">
                  <c:v>44314</c:v>
                </c:pt>
                <c:pt idx="755">
                  <c:v>44321</c:v>
                </c:pt>
                <c:pt idx="756">
                  <c:v>44328</c:v>
                </c:pt>
                <c:pt idx="757">
                  <c:v>44335</c:v>
                </c:pt>
                <c:pt idx="758">
                  <c:v>44342</c:v>
                </c:pt>
                <c:pt idx="759">
                  <c:v>44349</c:v>
                </c:pt>
                <c:pt idx="760">
                  <c:v>44356</c:v>
                </c:pt>
                <c:pt idx="761">
                  <c:v>44363</c:v>
                </c:pt>
                <c:pt idx="762">
                  <c:v>44370</c:v>
                </c:pt>
                <c:pt idx="763">
                  <c:v>44377</c:v>
                </c:pt>
                <c:pt idx="764">
                  <c:v>44384</c:v>
                </c:pt>
                <c:pt idx="765">
                  <c:v>44391</c:v>
                </c:pt>
                <c:pt idx="766">
                  <c:v>44398</c:v>
                </c:pt>
                <c:pt idx="767">
                  <c:v>44405</c:v>
                </c:pt>
                <c:pt idx="768">
                  <c:v>44412</c:v>
                </c:pt>
                <c:pt idx="769">
                  <c:v>44419</c:v>
                </c:pt>
                <c:pt idx="770">
                  <c:v>44426</c:v>
                </c:pt>
                <c:pt idx="771">
                  <c:v>44433</c:v>
                </c:pt>
                <c:pt idx="772">
                  <c:v>44440</c:v>
                </c:pt>
                <c:pt idx="773">
                  <c:v>44447</c:v>
                </c:pt>
                <c:pt idx="774">
                  <c:v>44454</c:v>
                </c:pt>
                <c:pt idx="775">
                  <c:v>44461</c:v>
                </c:pt>
                <c:pt idx="776">
                  <c:v>44468</c:v>
                </c:pt>
                <c:pt idx="777">
                  <c:v>44475</c:v>
                </c:pt>
                <c:pt idx="778">
                  <c:v>44482</c:v>
                </c:pt>
                <c:pt idx="779">
                  <c:v>44489</c:v>
                </c:pt>
                <c:pt idx="780">
                  <c:v>44496</c:v>
                </c:pt>
                <c:pt idx="781">
                  <c:v>44503</c:v>
                </c:pt>
                <c:pt idx="782">
                  <c:v>44510</c:v>
                </c:pt>
                <c:pt idx="783">
                  <c:v>44517</c:v>
                </c:pt>
                <c:pt idx="784">
                  <c:v>44524</c:v>
                </c:pt>
                <c:pt idx="785">
                  <c:v>44531</c:v>
                </c:pt>
                <c:pt idx="786">
                  <c:v>44538</c:v>
                </c:pt>
                <c:pt idx="787">
                  <c:v>44545</c:v>
                </c:pt>
                <c:pt idx="788">
                  <c:v>44552</c:v>
                </c:pt>
                <c:pt idx="789">
                  <c:v>44559</c:v>
                </c:pt>
                <c:pt idx="790">
                  <c:v>44566</c:v>
                </c:pt>
                <c:pt idx="791">
                  <c:v>44573</c:v>
                </c:pt>
                <c:pt idx="792">
                  <c:v>44580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44953</c:v>
                </c:pt>
                <c:pt idx="846">
                  <c:v>44960</c:v>
                </c:pt>
                <c:pt idx="847">
                  <c:v>44967</c:v>
                </c:pt>
                <c:pt idx="848">
                  <c:v>44974</c:v>
                </c:pt>
                <c:pt idx="849">
                  <c:v>44981</c:v>
                </c:pt>
                <c:pt idx="850">
                  <c:v>44988</c:v>
                </c:pt>
                <c:pt idx="851">
                  <c:v>44995</c:v>
                </c:pt>
                <c:pt idx="852">
                  <c:v>45002</c:v>
                </c:pt>
                <c:pt idx="853">
                  <c:v>45009</c:v>
                </c:pt>
                <c:pt idx="854">
                  <c:v>45016</c:v>
                </c:pt>
                <c:pt idx="855">
                  <c:v>45027</c:v>
                </c:pt>
                <c:pt idx="856">
                  <c:v>45034</c:v>
                </c:pt>
                <c:pt idx="857">
                  <c:v>45042</c:v>
                </c:pt>
                <c:pt idx="858">
                  <c:v>45049</c:v>
                </c:pt>
                <c:pt idx="859">
                  <c:v>45056</c:v>
                </c:pt>
                <c:pt idx="860">
                  <c:v>45063</c:v>
                </c:pt>
                <c:pt idx="861">
                  <c:v>45070</c:v>
                </c:pt>
                <c:pt idx="862">
                  <c:v>45077</c:v>
                </c:pt>
                <c:pt idx="863">
                  <c:v>45084</c:v>
                </c:pt>
                <c:pt idx="864">
                  <c:v>45091</c:v>
                </c:pt>
                <c:pt idx="865">
                  <c:v>45098</c:v>
                </c:pt>
                <c:pt idx="866">
                  <c:v>45105</c:v>
                </c:pt>
                <c:pt idx="867">
                  <c:v>45112</c:v>
                </c:pt>
                <c:pt idx="868">
                  <c:v>45119</c:v>
                </c:pt>
                <c:pt idx="869">
                  <c:v>45126</c:v>
                </c:pt>
                <c:pt idx="870">
                  <c:v>45133</c:v>
                </c:pt>
                <c:pt idx="871">
                  <c:v>45140</c:v>
                </c:pt>
                <c:pt idx="872">
                  <c:v>45147</c:v>
                </c:pt>
                <c:pt idx="873">
                  <c:v>45154</c:v>
                </c:pt>
                <c:pt idx="874">
                  <c:v>45161</c:v>
                </c:pt>
                <c:pt idx="875">
                  <c:v>45168</c:v>
                </c:pt>
                <c:pt idx="876">
                  <c:v>45175</c:v>
                </c:pt>
                <c:pt idx="877">
                  <c:v>45182</c:v>
                </c:pt>
                <c:pt idx="878">
                  <c:v>45189</c:v>
                </c:pt>
                <c:pt idx="879">
                  <c:v>45196</c:v>
                </c:pt>
                <c:pt idx="880">
                  <c:v>45203</c:v>
                </c:pt>
                <c:pt idx="881">
                  <c:v>45210</c:v>
                </c:pt>
                <c:pt idx="882">
                  <c:v>45217</c:v>
                </c:pt>
                <c:pt idx="883">
                  <c:v>45224</c:v>
                </c:pt>
                <c:pt idx="884">
                  <c:v>45231</c:v>
                </c:pt>
                <c:pt idx="885">
                  <c:v>45238</c:v>
                </c:pt>
                <c:pt idx="886">
                  <c:v>45245</c:v>
                </c:pt>
                <c:pt idx="887">
                  <c:v>45252</c:v>
                </c:pt>
                <c:pt idx="888">
                  <c:v>45259</c:v>
                </c:pt>
                <c:pt idx="889">
                  <c:v>45266</c:v>
                </c:pt>
                <c:pt idx="890">
                  <c:v>45273</c:v>
                </c:pt>
                <c:pt idx="891">
                  <c:v>45280</c:v>
                </c:pt>
                <c:pt idx="892">
                  <c:v>45287</c:v>
                </c:pt>
                <c:pt idx="893">
                  <c:v>45294</c:v>
                </c:pt>
                <c:pt idx="894">
                  <c:v>45301</c:v>
                </c:pt>
                <c:pt idx="895">
                  <c:v>45308</c:v>
                </c:pt>
                <c:pt idx="896">
                  <c:v>45315</c:v>
                </c:pt>
                <c:pt idx="897">
                  <c:v>45322</c:v>
                </c:pt>
                <c:pt idx="898">
                  <c:v>45329</c:v>
                </c:pt>
                <c:pt idx="899">
                  <c:v>45336</c:v>
                </c:pt>
                <c:pt idx="900">
                  <c:v>45343</c:v>
                </c:pt>
                <c:pt idx="901">
                  <c:v>45350</c:v>
                </c:pt>
                <c:pt idx="902">
                  <c:v>45357</c:v>
                </c:pt>
                <c:pt idx="903">
                  <c:v>45364</c:v>
                </c:pt>
                <c:pt idx="904">
                  <c:v>45371</c:v>
                </c:pt>
                <c:pt idx="905">
                  <c:v>45378</c:v>
                </c:pt>
                <c:pt idx="906">
                  <c:v>45385</c:v>
                </c:pt>
                <c:pt idx="907">
                  <c:v>45392</c:v>
                </c:pt>
                <c:pt idx="908">
                  <c:v>45399</c:v>
                </c:pt>
                <c:pt idx="909">
                  <c:v>45406</c:v>
                </c:pt>
                <c:pt idx="910">
                  <c:v>45413</c:v>
                </c:pt>
                <c:pt idx="911">
                  <c:v>45420</c:v>
                </c:pt>
                <c:pt idx="912">
                  <c:v>45427</c:v>
                </c:pt>
                <c:pt idx="913">
                  <c:v>45434</c:v>
                </c:pt>
                <c:pt idx="914">
                  <c:v>45441</c:v>
                </c:pt>
                <c:pt idx="915">
                  <c:v>45448</c:v>
                </c:pt>
                <c:pt idx="916">
                  <c:v>45455</c:v>
                </c:pt>
                <c:pt idx="917">
                  <c:v>45462</c:v>
                </c:pt>
                <c:pt idx="918">
                  <c:v>45469</c:v>
                </c:pt>
                <c:pt idx="919">
                  <c:v>45476</c:v>
                </c:pt>
                <c:pt idx="920">
                  <c:v>45483</c:v>
                </c:pt>
                <c:pt idx="921">
                  <c:v>45490</c:v>
                </c:pt>
                <c:pt idx="922">
                  <c:v>45497</c:v>
                </c:pt>
                <c:pt idx="923">
                  <c:v>45504</c:v>
                </c:pt>
                <c:pt idx="924">
                  <c:v>45511</c:v>
                </c:pt>
                <c:pt idx="925">
                  <c:v>45518</c:v>
                </c:pt>
                <c:pt idx="926">
                  <c:v>45525</c:v>
                </c:pt>
                <c:pt idx="927">
                  <c:v>45532</c:v>
                </c:pt>
                <c:pt idx="928">
                  <c:v>45539</c:v>
                </c:pt>
                <c:pt idx="929">
                  <c:v>45546</c:v>
                </c:pt>
                <c:pt idx="930">
                  <c:v>45553</c:v>
                </c:pt>
                <c:pt idx="931">
                  <c:v>45560</c:v>
                </c:pt>
                <c:pt idx="932">
                  <c:v>45567</c:v>
                </c:pt>
                <c:pt idx="933">
                  <c:v>45574</c:v>
                </c:pt>
                <c:pt idx="934">
                  <c:v>45581</c:v>
                </c:pt>
                <c:pt idx="935">
                  <c:v>45588</c:v>
                </c:pt>
                <c:pt idx="936">
                  <c:v>45595</c:v>
                </c:pt>
                <c:pt idx="937">
                  <c:v>45602</c:v>
                </c:pt>
                <c:pt idx="938">
                  <c:v>45609</c:v>
                </c:pt>
                <c:pt idx="939">
                  <c:v>45616</c:v>
                </c:pt>
                <c:pt idx="940">
                  <c:v>45623</c:v>
                </c:pt>
                <c:pt idx="941">
                  <c:v>45630</c:v>
                </c:pt>
                <c:pt idx="942">
                  <c:v>45637</c:v>
                </c:pt>
                <c:pt idx="943">
                  <c:v>45644</c:v>
                </c:pt>
                <c:pt idx="944">
                  <c:v>45653</c:v>
                </c:pt>
                <c:pt idx="945">
                  <c:v>45660</c:v>
                </c:pt>
                <c:pt idx="946">
                  <c:v>45667</c:v>
                </c:pt>
                <c:pt idx="947">
                  <c:v>45674</c:v>
                </c:pt>
                <c:pt idx="948">
                  <c:v>45681</c:v>
                </c:pt>
                <c:pt idx="949">
                  <c:v>45688</c:v>
                </c:pt>
                <c:pt idx="950">
                  <c:v>45695</c:v>
                </c:pt>
                <c:pt idx="951">
                  <c:v>45702</c:v>
                </c:pt>
                <c:pt idx="952">
                  <c:v>45709</c:v>
                </c:pt>
                <c:pt idx="953">
                  <c:v>45716</c:v>
                </c:pt>
                <c:pt idx="954">
                  <c:v>45723</c:v>
                </c:pt>
                <c:pt idx="955">
                  <c:v>45730</c:v>
                </c:pt>
                <c:pt idx="956">
                  <c:v>45737</c:v>
                </c:pt>
                <c:pt idx="957">
                  <c:v>45744</c:v>
                </c:pt>
                <c:pt idx="958">
                  <c:v>45751</c:v>
                </c:pt>
                <c:pt idx="959">
                  <c:v>45758</c:v>
                </c:pt>
                <c:pt idx="960">
                  <c:v>45769</c:v>
                </c:pt>
                <c:pt idx="961">
                  <c:v>45776</c:v>
                </c:pt>
                <c:pt idx="962">
                  <c:v>45783</c:v>
                </c:pt>
                <c:pt idx="963">
                  <c:v>45790</c:v>
                </c:pt>
                <c:pt idx="964">
                  <c:v>45797</c:v>
                </c:pt>
                <c:pt idx="965">
                  <c:v>45804</c:v>
                </c:pt>
                <c:pt idx="966">
                  <c:v>45811</c:v>
                </c:pt>
                <c:pt idx="967">
                  <c:v>45818</c:v>
                </c:pt>
                <c:pt idx="968">
                  <c:v>45825</c:v>
                </c:pt>
                <c:pt idx="969">
                  <c:v>45832</c:v>
                </c:pt>
                <c:pt idx="970">
                  <c:v>45839</c:v>
                </c:pt>
                <c:pt idx="971">
                  <c:v>45846</c:v>
                </c:pt>
                <c:pt idx="972">
                  <c:v>45853</c:v>
                </c:pt>
                <c:pt idx="973">
                  <c:v>45860</c:v>
                </c:pt>
                <c:pt idx="974">
                  <c:v>45867</c:v>
                </c:pt>
                <c:pt idx="975">
                  <c:v>45874</c:v>
                </c:pt>
                <c:pt idx="976">
                  <c:v>45881</c:v>
                </c:pt>
                <c:pt idx="977">
                  <c:v>45888</c:v>
                </c:pt>
                <c:pt idx="978">
                  <c:v>45895</c:v>
                </c:pt>
                <c:pt idx="979">
                  <c:v>45902</c:v>
                </c:pt>
                <c:pt idx="980">
                  <c:v>45909</c:v>
                </c:pt>
                <c:pt idx="981">
                  <c:v>45916</c:v>
                </c:pt>
                <c:pt idx="982">
                  <c:v>45923</c:v>
                </c:pt>
                <c:pt idx="983">
                  <c:v>45930</c:v>
                </c:pt>
                <c:pt idx="984">
                  <c:v>45937</c:v>
                </c:pt>
                <c:pt idx="985">
                  <c:v>45944</c:v>
                </c:pt>
                <c:pt idx="986">
                  <c:v>45951</c:v>
                </c:pt>
                <c:pt idx="987">
                  <c:v>45958</c:v>
                </c:pt>
                <c:pt idx="988">
                  <c:v>45965</c:v>
                </c:pt>
                <c:pt idx="989">
                  <c:v>45972</c:v>
                </c:pt>
                <c:pt idx="990">
                  <c:v>45979</c:v>
                </c:pt>
                <c:pt idx="991">
                  <c:v>45986</c:v>
                </c:pt>
                <c:pt idx="992">
                  <c:v>45993</c:v>
                </c:pt>
                <c:pt idx="993">
                  <c:v>46000</c:v>
                </c:pt>
                <c:pt idx="994">
                  <c:v>46007</c:v>
                </c:pt>
                <c:pt idx="995">
                  <c:v>46014</c:v>
                </c:pt>
                <c:pt idx="996">
                  <c:v>46021</c:v>
                </c:pt>
                <c:pt idx="997">
                  <c:v>46028</c:v>
                </c:pt>
                <c:pt idx="998">
                  <c:v>46035</c:v>
                </c:pt>
                <c:pt idx="999">
                  <c:v>46042</c:v>
                </c:pt>
                <c:pt idx="1000">
                  <c:v>46049</c:v>
                </c:pt>
                <c:pt idx="1001">
                  <c:v>46056</c:v>
                </c:pt>
                <c:pt idx="1002">
                  <c:v>46063</c:v>
                </c:pt>
                <c:pt idx="1003">
                  <c:v>46070</c:v>
                </c:pt>
                <c:pt idx="1004">
                  <c:v>46077</c:v>
                </c:pt>
                <c:pt idx="1005">
                  <c:v>46084</c:v>
                </c:pt>
                <c:pt idx="1006">
                  <c:v>46091</c:v>
                </c:pt>
                <c:pt idx="1007">
                  <c:v>46098</c:v>
                </c:pt>
                <c:pt idx="1008">
                  <c:v>46105</c:v>
                </c:pt>
                <c:pt idx="1009">
                  <c:v>46112</c:v>
                </c:pt>
                <c:pt idx="1010">
                  <c:v>46119</c:v>
                </c:pt>
                <c:pt idx="1011">
                  <c:v>46126</c:v>
                </c:pt>
                <c:pt idx="1012">
                  <c:v>46133</c:v>
                </c:pt>
                <c:pt idx="1013">
                  <c:v>46140</c:v>
                </c:pt>
                <c:pt idx="1014">
                  <c:v>46147</c:v>
                </c:pt>
                <c:pt idx="1015">
                  <c:v>46154</c:v>
                </c:pt>
                <c:pt idx="1016">
                  <c:v>46161</c:v>
                </c:pt>
                <c:pt idx="1017">
                  <c:v>46168</c:v>
                </c:pt>
                <c:pt idx="1018">
                  <c:v>46175</c:v>
                </c:pt>
                <c:pt idx="1019">
                  <c:v>46182</c:v>
                </c:pt>
                <c:pt idx="1020">
                  <c:v>46189</c:v>
                </c:pt>
                <c:pt idx="1021">
                  <c:v>46196</c:v>
                </c:pt>
                <c:pt idx="1022">
                  <c:v>46203</c:v>
                </c:pt>
                <c:pt idx="1023">
                  <c:v>46210</c:v>
                </c:pt>
                <c:pt idx="1024">
                  <c:v>46217</c:v>
                </c:pt>
                <c:pt idx="1025">
                  <c:v>46224</c:v>
                </c:pt>
                <c:pt idx="1026">
                  <c:v>46231</c:v>
                </c:pt>
                <c:pt idx="1027">
                  <c:v>46238</c:v>
                </c:pt>
                <c:pt idx="1028">
                  <c:v>46245</c:v>
                </c:pt>
                <c:pt idx="1029">
                  <c:v>46252</c:v>
                </c:pt>
                <c:pt idx="1030">
                  <c:v>46259</c:v>
                </c:pt>
                <c:pt idx="1031">
                  <c:v>46266</c:v>
                </c:pt>
                <c:pt idx="1032">
                  <c:v>46273</c:v>
                </c:pt>
                <c:pt idx="1033">
                  <c:v>46280</c:v>
                </c:pt>
                <c:pt idx="1034">
                  <c:v>46287</c:v>
                </c:pt>
                <c:pt idx="1035">
                  <c:v>46294</c:v>
                </c:pt>
                <c:pt idx="1036">
                  <c:v>46301</c:v>
                </c:pt>
                <c:pt idx="1037">
                  <c:v>46308</c:v>
                </c:pt>
                <c:pt idx="1038">
                  <c:v>46315</c:v>
                </c:pt>
                <c:pt idx="1039">
                  <c:v>46322</c:v>
                </c:pt>
                <c:pt idx="1040">
                  <c:v>46329</c:v>
                </c:pt>
                <c:pt idx="1041">
                  <c:v>46336</c:v>
                </c:pt>
                <c:pt idx="1042">
                  <c:v>46343</c:v>
                </c:pt>
                <c:pt idx="1043">
                  <c:v>46350</c:v>
                </c:pt>
                <c:pt idx="1044">
                  <c:v>46357</c:v>
                </c:pt>
                <c:pt idx="1045">
                  <c:v>46364</c:v>
                </c:pt>
                <c:pt idx="1046">
                  <c:v>46371</c:v>
                </c:pt>
                <c:pt idx="1047">
                  <c:v>46378</c:v>
                </c:pt>
                <c:pt idx="1048">
                  <c:v>46385</c:v>
                </c:pt>
                <c:pt idx="1049">
                  <c:v>46392</c:v>
                </c:pt>
                <c:pt idx="1050">
                  <c:v>46399</c:v>
                </c:pt>
                <c:pt idx="1051">
                  <c:v>46406</c:v>
                </c:pt>
                <c:pt idx="1052">
                  <c:v>46414</c:v>
                </c:pt>
                <c:pt idx="1053">
                  <c:v>46421</c:v>
                </c:pt>
                <c:pt idx="1054">
                  <c:v>46428</c:v>
                </c:pt>
                <c:pt idx="1055">
                  <c:v>46435</c:v>
                </c:pt>
                <c:pt idx="1056">
                  <c:v>46442</c:v>
                </c:pt>
                <c:pt idx="1057">
                  <c:v>46449</c:v>
                </c:pt>
                <c:pt idx="1058">
                  <c:v>46456</c:v>
                </c:pt>
                <c:pt idx="1059">
                  <c:v>46463</c:v>
                </c:pt>
                <c:pt idx="1060">
                  <c:v>46470</c:v>
                </c:pt>
                <c:pt idx="1061">
                  <c:v>46477</c:v>
                </c:pt>
                <c:pt idx="1062">
                  <c:v>46484</c:v>
                </c:pt>
                <c:pt idx="1063">
                  <c:v>46491</c:v>
                </c:pt>
                <c:pt idx="1064">
                  <c:v>46498</c:v>
                </c:pt>
                <c:pt idx="1065">
                  <c:v>46505</c:v>
                </c:pt>
                <c:pt idx="1066">
                  <c:v>46512</c:v>
                </c:pt>
                <c:pt idx="1067">
                  <c:v>46519</c:v>
                </c:pt>
                <c:pt idx="1068">
                  <c:v>46526</c:v>
                </c:pt>
                <c:pt idx="1069">
                  <c:v>46533</c:v>
                </c:pt>
                <c:pt idx="1070">
                  <c:v>46540</c:v>
                </c:pt>
                <c:pt idx="1071">
                  <c:v>46547</c:v>
                </c:pt>
                <c:pt idx="1072">
                  <c:v>46554</c:v>
                </c:pt>
                <c:pt idx="1073">
                  <c:v>46561</c:v>
                </c:pt>
                <c:pt idx="1074">
                  <c:v>46568</c:v>
                </c:pt>
                <c:pt idx="1075">
                  <c:v>46575</c:v>
                </c:pt>
                <c:pt idx="1076">
                  <c:v>46582</c:v>
                </c:pt>
                <c:pt idx="1077">
                  <c:v>46589</c:v>
                </c:pt>
                <c:pt idx="1078">
                  <c:v>46596</c:v>
                </c:pt>
                <c:pt idx="1079">
                  <c:v>46603</c:v>
                </c:pt>
                <c:pt idx="1080">
                  <c:v>46610</c:v>
                </c:pt>
                <c:pt idx="1081">
                  <c:v>46617</c:v>
                </c:pt>
                <c:pt idx="1082">
                  <c:v>46624</c:v>
                </c:pt>
                <c:pt idx="1083">
                  <c:v>46631</c:v>
                </c:pt>
                <c:pt idx="1084">
                  <c:v>46638</c:v>
                </c:pt>
                <c:pt idx="1085">
                  <c:v>46645</c:v>
                </c:pt>
                <c:pt idx="1086">
                  <c:v>46652</c:v>
                </c:pt>
                <c:pt idx="1087">
                  <c:v>46659</c:v>
                </c:pt>
                <c:pt idx="1088">
                  <c:v>46666</c:v>
                </c:pt>
                <c:pt idx="1089">
                  <c:v>46673</c:v>
                </c:pt>
                <c:pt idx="1090">
                  <c:v>46680</c:v>
                </c:pt>
                <c:pt idx="1091">
                  <c:v>46687</c:v>
                </c:pt>
                <c:pt idx="1092">
                  <c:v>46694</c:v>
                </c:pt>
                <c:pt idx="1093">
                  <c:v>46701</c:v>
                </c:pt>
                <c:pt idx="1094">
                  <c:v>46708</c:v>
                </c:pt>
                <c:pt idx="1095">
                  <c:v>46715</c:v>
                </c:pt>
                <c:pt idx="1096">
                  <c:v>46722</c:v>
                </c:pt>
                <c:pt idx="1097">
                  <c:v>46729</c:v>
                </c:pt>
                <c:pt idx="1098">
                  <c:v>46736</c:v>
                </c:pt>
                <c:pt idx="1099">
                  <c:v>46743</c:v>
                </c:pt>
                <c:pt idx="1100">
                  <c:v>46750</c:v>
                </c:pt>
                <c:pt idx="1101">
                  <c:v>46757</c:v>
                </c:pt>
                <c:pt idx="1102">
                  <c:v>46764</c:v>
                </c:pt>
                <c:pt idx="1103">
                  <c:v>46771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47115</c:v>
                </c:pt>
                <c:pt idx="1153">
                  <c:v>47122</c:v>
                </c:pt>
                <c:pt idx="1154">
                  <c:v>47129</c:v>
                </c:pt>
                <c:pt idx="1155">
                  <c:v>47136</c:v>
                </c:pt>
                <c:pt idx="1156">
                  <c:v>47143</c:v>
                </c:pt>
                <c:pt idx="1157">
                  <c:v>47150</c:v>
                </c:pt>
                <c:pt idx="1158">
                  <c:v>47157</c:v>
                </c:pt>
                <c:pt idx="1159">
                  <c:v>47164</c:v>
                </c:pt>
                <c:pt idx="1160">
                  <c:v>47171</c:v>
                </c:pt>
                <c:pt idx="1161">
                  <c:v>47178</c:v>
                </c:pt>
                <c:pt idx="1162">
                  <c:v>47185</c:v>
                </c:pt>
                <c:pt idx="1163">
                  <c:v>47192</c:v>
                </c:pt>
                <c:pt idx="1164">
                  <c:v>47199</c:v>
                </c:pt>
                <c:pt idx="1165">
                  <c:v>47206</c:v>
                </c:pt>
                <c:pt idx="1166">
                  <c:v>47213</c:v>
                </c:pt>
                <c:pt idx="1167">
                  <c:v>47220</c:v>
                </c:pt>
                <c:pt idx="1168">
                  <c:v>47227</c:v>
                </c:pt>
                <c:pt idx="1169">
                  <c:v>47234</c:v>
                </c:pt>
                <c:pt idx="1170">
                  <c:v>47241</c:v>
                </c:pt>
                <c:pt idx="1171">
                  <c:v>47248</c:v>
                </c:pt>
                <c:pt idx="1172">
                  <c:v>47255</c:v>
                </c:pt>
                <c:pt idx="1173">
                  <c:v>47262</c:v>
                </c:pt>
                <c:pt idx="1174">
                  <c:v>47269</c:v>
                </c:pt>
                <c:pt idx="1175">
                  <c:v>47276</c:v>
                </c:pt>
                <c:pt idx="1176">
                  <c:v>47283</c:v>
                </c:pt>
                <c:pt idx="1177">
                  <c:v>47290</c:v>
                </c:pt>
                <c:pt idx="1178">
                  <c:v>47297</c:v>
                </c:pt>
                <c:pt idx="1179">
                  <c:v>47304</c:v>
                </c:pt>
                <c:pt idx="1180">
                  <c:v>47311</c:v>
                </c:pt>
                <c:pt idx="1181">
                  <c:v>47318</c:v>
                </c:pt>
                <c:pt idx="1182">
                  <c:v>47325</c:v>
                </c:pt>
                <c:pt idx="1183">
                  <c:v>47332</c:v>
                </c:pt>
                <c:pt idx="1184">
                  <c:v>47339</c:v>
                </c:pt>
                <c:pt idx="1185">
                  <c:v>47346</c:v>
                </c:pt>
                <c:pt idx="1186">
                  <c:v>47353</c:v>
                </c:pt>
                <c:pt idx="1187">
                  <c:v>47360</c:v>
                </c:pt>
                <c:pt idx="1188">
                  <c:v>47367</c:v>
                </c:pt>
                <c:pt idx="1189">
                  <c:v>47374</c:v>
                </c:pt>
                <c:pt idx="1190">
                  <c:v>47381</c:v>
                </c:pt>
                <c:pt idx="1191">
                  <c:v>47388</c:v>
                </c:pt>
                <c:pt idx="1192">
                  <c:v>47395</c:v>
                </c:pt>
                <c:pt idx="1193">
                  <c:v>47402</c:v>
                </c:pt>
                <c:pt idx="1194">
                  <c:v>47409</c:v>
                </c:pt>
                <c:pt idx="1195">
                  <c:v>47416</c:v>
                </c:pt>
                <c:pt idx="1196">
                  <c:v>47423</c:v>
                </c:pt>
                <c:pt idx="1197">
                  <c:v>47430</c:v>
                </c:pt>
                <c:pt idx="1198">
                  <c:v>47437</c:v>
                </c:pt>
                <c:pt idx="1199">
                  <c:v>47444</c:v>
                </c:pt>
                <c:pt idx="1200">
                  <c:v>47451</c:v>
                </c:pt>
                <c:pt idx="1201">
                  <c:v>47458</c:v>
                </c:pt>
                <c:pt idx="1202">
                  <c:v>47465</c:v>
                </c:pt>
                <c:pt idx="1203">
                  <c:v>47472</c:v>
                </c:pt>
                <c:pt idx="1204">
                  <c:v>47479</c:v>
                </c:pt>
                <c:pt idx="1205">
                  <c:v>47486</c:v>
                </c:pt>
                <c:pt idx="1206">
                  <c:v>47493</c:v>
                </c:pt>
                <c:pt idx="1207">
                  <c:v>47500</c:v>
                </c:pt>
                <c:pt idx="1208">
                  <c:v>47507</c:v>
                </c:pt>
                <c:pt idx="1209">
                  <c:v>47514</c:v>
                </c:pt>
                <c:pt idx="1210">
                  <c:v>47521</c:v>
                </c:pt>
                <c:pt idx="1211">
                  <c:v>47528</c:v>
                </c:pt>
                <c:pt idx="1212">
                  <c:v>47535</c:v>
                </c:pt>
                <c:pt idx="1213">
                  <c:v>47542</c:v>
                </c:pt>
                <c:pt idx="1214">
                  <c:v>47549</c:v>
                </c:pt>
                <c:pt idx="1215">
                  <c:v>47556</c:v>
                </c:pt>
                <c:pt idx="1216">
                  <c:v>47563</c:v>
                </c:pt>
                <c:pt idx="1217">
                  <c:v>47570</c:v>
                </c:pt>
                <c:pt idx="1218">
                  <c:v>47577</c:v>
                </c:pt>
                <c:pt idx="1219">
                  <c:v>47584</c:v>
                </c:pt>
                <c:pt idx="1220">
                  <c:v>47591</c:v>
                </c:pt>
                <c:pt idx="1221">
                  <c:v>47599</c:v>
                </c:pt>
                <c:pt idx="1222">
                  <c:v>47606</c:v>
                </c:pt>
                <c:pt idx="1223">
                  <c:v>47613</c:v>
                </c:pt>
                <c:pt idx="1224">
                  <c:v>47620</c:v>
                </c:pt>
                <c:pt idx="1225">
                  <c:v>47627</c:v>
                </c:pt>
                <c:pt idx="1226">
                  <c:v>47634</c:v>
                </c:pt>
                <c:pt idx="1227">
                  <c:v>47641</c:v>
                </c:pt>
                <c:pt idx="1228">
                  <c:v>47648</c:v>
                </c:pt>
                <c:pt idx="1229">
                  <c:v>47655</c:v>
                </c:pt>
                <c:pt idx="1230">
                  <c:v>47662</c:v>
                </c:pt>
                <c:pt idx="1231">
                  <c:v>47669</c:v>
                </c:pt>
                <c:pt idx="1232">
                  <c:v>47676</c:v>
                </c:pt>
                <c:pt idx="1233">
                  <c:v>47683</c:v>
                </c:pt>
                <c:pt idx="1234">
                  <c:v>47690</c:v>
                </c:pt>
                <c:pt idx="1235">
                  <c:v>47697</c:v>
                </c:pt>
                <c:pt idx="1236">
                  <c:v>47704</c:v>
                </c:pt>
                <c:pt idx="1237">
                  <c:v>47711</c:v>
                </c:pt>
                <c:pt idx="1238">
                  <c:v>47718</c:v>
                </c:pt>
                <c:pt idx="1239">
                  <c:v>47725</c:v>
                </c:pt>
                <c:pt idx="1240">
                  <c:v>47732</c:v>
                </c:pt>
                <c:pt idx="1241">
                  <c:v>47739</c:v>
                </c:pt>
                <c:pt idx="1242">
                  <c:v>47746</c:v>
                </c:pt>
                <c:pt idx="1243">
                  <c:v>47753</c:v>
                </c:pt>
                <c:pt idx="1244">
                  <c:v>47760</c:v>
                </c:pt>
                <c:pt idx="1245">
                  <c:v>47767</c:v>
                </c:pt>
                <c:pt idx="1246">
                  <c:v>47774</c:v>
                </c:pt>
                <c:pt idx="1247">
                  <c:v>47781</c:v>
                </c:pt>
                <c:pt idx="1248">
                  <c:v>47788</c:v>
                </c:pt>
                <c:pt idx="1249">
                  <c:v>47795</c:v>
                </c:pt>
                <c:pt idx="1250">
                  <c:v>47802</c:v>
                </c:pt>
                <c:pt idx="1251">
                  <c:v>47809</c:v>
                </c:pt>
                <c:pt idx="1252">
                  <c:v>47816</c:v>
                </c:pt>
                <c:pt idx="1253">
                  <c:v>47823</c:v>
                </c:pt>
                <c:pt idx="1254">
                  <c:v>47830</c:v>
                </c:pt>
                <c:pt idx="1255">
                  <c:v>47837</c:v>
                </c:pt>
                <c:pt idx="1256">
                  <c:v>47844</c:v>
                </c:pt>
                <c:pt idx="1257">
                  <c:v>47851</c:v>
                </c:pt>
                <c:pt idx="1258">
                  <c:v>47858</c:v>
                </c:pt>
                <c:pt idx="1259">
                  <c:v>47865</c:v>
                </c:pt>
                <c:pt idx="1260">
                  <c:v>47872</c:v>
                </c:pt>
                <c:pt idx="1261">
                  <c:v>47879</c:v>
                </c:pt>
                <c:pt idx="1262">
                  <c:v>47886</c:v>
                </c:pt>
                <c:pt idx="1263">
                  <c:v>47893</c:v>
                </c:pt>
                <c:pt idx="1264">
                  <c:v>47900</c:v>
                </c:pt>
                <c:pt idx="1265">
                  <c:v>47907</c:v>
                </c:pt>
                <c:pt idx="1266">
                  <c:v>47914</c:v>
                </c:pt>
                <c:pt idx="1267">
                  <c:v>47921</c:v>
                </c:pt>
                <c:pt idx="1268">
                  <c:v>47928</c:v>
                </c:pt>
                <c:pt idx="1269">
                  <c:v>47935</c:v>
                </c:pt>
                <c:pt idx="1270">
                  <c:v>47942</c:v>
                </c:pt>
                <c:pt idx="1271">
                  <c:v>47953</c:v>
                </c:pt>
                <c:pt idx="1272">
                  <c:v>47960</c:v>
                </c:pt>
                <c:pt idx="1273">
                  <c:v>47967</c:v>
                </c:pt>
                <c:pt idx="1274">
                  <c:v>47974</c:v>
                </c:pt>
                <c:pt idx="1275">
                  <c:v>47981</c:v>
                </c:pt>
                <c:pt idx="1276">
                  <c:v>47988</c:v>
                </c:pt>
                <c:pt idx="1277">
                  <c:v>47995</c:v>
                </c:pt>
                <c:pt idx="1278">
                  <c:v>48002</c:v>
                </c:pt>
                <c:pt idx="1279">
                  <c:v>48009</c:v>
                </c:pt>
                <c:pt idx="1280">
                  <c:v>48016</c:v>
                </c:pt>
                <c:pt idx="1281">
                  <c:v>48023</c:v>
                </c:pt>
                <c:pt idx="1282">
                  <c:v>48030</c:v>
                </c:pt>
                <c:pt idx="1283">
                  <c:v>48037</c:v>
                </c:pt>
                <c:pt idx="1284">
                  <c:v>48044</c:v>
                </c:pt>
                <c:pt idx="1285">
                  <c:v>48051</c:v>
                </c:pt>
                <c:pt idx="1286">
                  <c:v>48058</c:v>
                </c:pt>
                <c:pt idx="1287">
                  <c:v>48065</c:v>
                </c:pt>
                <c:pt idx="1288">
                  <c:v>48072</c:v>
                </c:pt>
                <c:pt idx="1289">
                  <c:v>48079</c:v>
                </c:pt>
                <c:pt idx="1290">
                  <c:v>48086</c:v>
                </c:pt>
                <c:pt idx="1291">
                  <c:v>48093</c:v>
                </c:pt>
                <c:pt idx="1292">
                  <c:v>48100</c:v>
                </c:pt>
                <c:pt idx="1293">
                  <c:v>48107</c:v>
                </c:pt>
                <c:pt idx="1294">
                  <c:v>48114</c:v>
                </c:pt>
                <c:pt idx="1295">
                  <c:v>48121</c:v>
                </c:pt>
                <c:pt idx="1296">
                  <c:v>48128</c:v>
                </c:pt>
                <c:pt idx="1297">
                  <c:v>48135</c:v>
                </c:pt>
                <c:pt idx="1298">
                  <c:v>48142</c:v>
                </c:pt>
                <c:pt idx="1299">
                  <c:v>48149</c:v>
                </c:pt>
                <c:pt idx="1300">
                  <c:v>48156</c:v>
                </c:pt>
                <c:pt idx="1301">
                  <c:v>48163</c:v>
                </c:pt>
                <c:pt idx="1302">
                  <c:v>48170</c:v>
                </c:pt>
                <c:pt idx="1303">
                  <c:v>48177</c:v>
                </c:pt>
                <c:pt idx="1304">
                  <c:v>48184</c:v>
                </c:pt>
                <c:pt idx="1305">
                  <c:v>48191</c:v>
                </c:pt>
                <c:pt idx="1306">
                  <c:v>48198</c:v>
                </c:pt>
                <c:pt idx="1307">
                  <c:v>48205</c:v>
                </c:pt>
                <c:pt idx="1308">
                  <c:v>48212</c:v>
                </c:pt>
                <c:pt idx="1309">
                  <c:v>48219</c:v>
                </c:pt>
                <c:pt idx="1310">
                  <c:v>48226</c:v>
                </c:pt>
                <c:pt idx="1311">
                  <c:v>48233</c:v>
                </c:pt>
                <c:pt idx="1312">
                  <c:v>48240</c:v>
                </c:pt>
                <c:pt idx="1313">
                  <c:v>48247</c:v>
                </c:pt>
                <c:pt idx="1314">
                  <c:v>48254</c:v>
                </c:pt>
                <c:pt idx="1315">
                  <c:v>48261</c:v>
                </c:pt>
                <c:pt idx="1316">
                  <c:v>48268</c:v>
                </c:pt>
                <c:pt idx="1317">
                  <c:v>48275</c:v>
                </c:pt>
                <c:pt idx="1318">
                  <c:v>48282</c:v>
                </c:pt>
                <c:pt idx="1319">
                  <c:v>48289</c:v>
                </c:pt>
                <c:pt idx="1320">
                  <c:v>48296</c:v>
                </c:pt>
                <c:pt idx="1321">
                  <c:v>48303</c:v>
                </c:pt>
                <c:pt idx="1322">
                  <c:v>48310</c:v>
                </c:pt>
                <c:pt idx="1323">
                  <c:v>48317</c:v>
                </c:pt>
                <c:pt idx="1324">
                  <c:v>48324</c:v>
                </c:pt>
                <c:pt idx="1325">
                  <c:v>48331</c:v>
                </c:pt>
                <c:pt idx="1326">
                  <c:v>48338</c:v>
                </c:pt>
                <c:pt idx="1327">
                  <c:v>48345</c:v>
                </c:pt>
                <c:pt idx="1328">
                  <c:v>48352</c:v>
                </c:pt>
                <c:pt idx="1329">
                  <c:v>48359</c:v>
                </c:pt>
                <c:pt idx="1330">
                  <c:v>48366</c:v>
                </c:pt>
                <c:pt idx="1331">
                  <c:v>48373</c:v>
                </c:pt>
                <c:pt idx="1332">
                  <c:v>48380</c:v>
                </c:pt>
                <c:pt idx="1333">
                  <c:v>48387</c:v>
                </c:pt>
                <c:pt idx="1334">
                  <c:v>48394</c:v>
                </c:pt>
                <c:pt idx="1335">
                  <c:v>48401</c:v>
                </c:pt>
                <c:pt idx="1336">
                  <c:v>48408</c:v>
                </c:pt>
                <c:pt idx="1337">
                  <c:v>48415</c:v>
                </c:pt>
                <c:pt idx="1338">
                  <c:v>48422</c:v>
                </c:pt>
                <c:pt idx="1339">
                  <c:v>48429</c:v>
                </c:pt>
                <c:pt idx="1340">
                  <c:v>48436</c:v>
                </c:pt>
                <c:pt idx="1341">
                  <c:v>48443</c:v>
                </c:pt>
                <c:pt idx="1342">
                  <c:v>48450</c:v>
                </c:pt>
                <c:pt idx="1343">
                  <c:v>48457</c:v>
                </c:pt>
                <c:pt idx="1344">
                  <c:v>48464</c:v>
                </c:pt>
                <c:pt idx="1345">
                  <c:v>48471</c:v>
                </c:pt>
                <c:pt idx="1346">
                  <c:v>48478</c:v>
                </c:pt>
                <c:pt idx="1347">
                  <c:v>48485</c:v>
                </c:pt>
                <c:pt idx="1348">
                  <c:v>48492</c:v>
                </c:pt>
                <c:pt idx="1349">
                  <c:v>48499</c:v>
                </c:pt>
                <c:pt idx="1350">
                  <c:v>48506</c:v>
                </c:pt>
                <c:pt idx="1351">
                  <c:v>48513</c:v>
                </c:pt>
                <c:pt idx="1352">
                  <c:v>48520</c:v>
                </c:pt>
                <c:pt idx="1353">
                  <c:v>48527</c:v>
                </c:pt>
                <c:pt idx="1354">
                  <c:v>48534</c:v>
                </c:pt>
                <c:pt idx="1355">
                  <c:v>48541</c:v>
                </c:pt>
                <c:pt idx="1356">
                  <c:v>48548</c:v>
                </c:pt>
                <c:pt idx="1357">
                  <c:v>48555</c:v>
                </c:pt>
                <c:pt idx="1358">
                  <c:v>48562</c:v>
                </c:pt>
                <c:pt idx="1359">
                  <c:v>48569</c:v>
                </c:pt>
                <c:pt idx="1360">
                  <c:v>48577</c:v>
                </c:pt>
                <c:pt idx="1361">
                  <c:v>48584</c:v>
                </c:pt>
                <c:pt idx="1362">
                  <c:v>48591</c:v>
                </c:pt>
                <c:pt idx="1363">
                  <c:v>48598</c:v>
                </c:pt>
                <c:pt idx="1364">
                  <c:v>48606</c:v>
                </c:pt>
                <c:pt idx="1365">
                  <c:v>48613</c:v>
                </c:pt>
                <c:pt idx="1366">
                  <c:v>48620</c:v>
                </c:pt>
                <c:pt idx="1367">
                  <c:v>48627</c:v>
                </c:pt>
                <c:pt idx="1368">
                  <c:v>48634</c:v>
                </c:pt>
                <c:pt idx="1369">
                  <c:v>48641</c:v>
                </c:pt>
                <c:pt idx="1370">
                  <c:v>48648</c:v>
                </c:pt>
                <c:pt idx="1371">
                  <c:v>48655</c:v>
                </c:pt>
                <c:pt idx="1372">
                  <c:v>48662</c:v>
                </c:pt>
                <c:pt idx="1373">
                  <c:v>48669</c:v>
                </c:pt>
                <c:pt idx="1374">
                  <c:v>48676</c:v>
                </c:pt>
                <c:pt idx="1375">
                  <c:v>48683</c:v>
                </c:pt>
                <c:pt idx="1376">
                  <c:v>48690</c:v>
                </c:pt>
                <c:pt idx="1377">
                  <c:v>48697</c:v>
                </c:pt>
                <c:pt idx="1378">
                  <c:v>48704</c:v>
                </c:pt>
                <c:pt idx="1379">
                  <c:v>48711</c:v>
                </c:pt>
                <c:pt idx="1380">
                  <c:v>48718</c:v>
                </c:pt>
                <c:pt idx="1381">
                  <c:v>48725</c:v>
                </c:pt>
                <c:pt idx="1382">
                  <c:v>48732</c:v>
                </c:pt>
                <c:pt idx="1383">
                  <c:v>48739</c:v>
                </c:pt>
                <c:pt idx="1384">
                  <c:v>48746</c:v>
                </c:pt>
                <c:pt idx="1385">
                  <c:v>48753</c:v>
                </c:pt>
                <c:pt idx="1386">
                  <c:v>48760</c:v>
                </c:pt>
                <c:pt idx="1387">
                  <c:v>48767</c:v>
                </c:pt>
                <c:pt idx="1388">
                  <c:v>48774</c:v>
                </c:pt>
                <c:pt idx="1389">
                  <c:v>48781</c:v>
                </c:pt>
                <c:pt idx="1390">
                  <c:v>48788</c:v>
                </c:pt>
                <c:pt idx="1391">
                  <c:v>48795</c:v>
                </c:pt>
                <c:pt idx="1392">
                  <c:v>48802</c:v>
                </c:pt>
                <c:pt idx="1393">
                  <c:v>48809</c:v>
                </c:pt>
                <c:pt idx="1394">
                  <c:v>48816</c:v>
                </c:pt>
                <c:pt idx="1395">
                  <c:v>48823</c:v>
                </c:pt>
                <c:pt idx="1396">
                  <c:v>48830</c:v>
                </c:pt>
                <c:pt idx="1397">
                  <c:v>48837</c:v>
                </c:pt>
                <c:pt idx="1398">
                  <c:v>48844</c:v>
                </c:pt>
                <c:pt idx="1399">
                  <c:v>48851</c:v>
                </c:pt>
                <c:pt idx="1400">
                  <c:v>48858</c:v>
                </c:pt>
                <c:pt idx="1401">
                  <c:v>48865</c:v>
                </c:pt>
                <c:pt idx="1402">
                  <c:v>48872</c:v>
                </c:pt>
                <c:pt idx="1403">
                  <c:v>48879</c:v>
                </c:pt>
                <c:pt idx="1404">
                  <c:v>48886</c:v>
                </c:pt>
                <c:pt idx="1405">
                  <c:v>48893</c:v>
                </c:pt>
                <c:pt idx="1406">
                  <c:v>48900</c:v>
                </c:pt>
                <c:pt idx="1407">
                  <c:v>48907</c:v>
                </c:pt>
                <c:pt idx="1408">
                  <c:v>48914</c:v>
                </c:pt>
                <c:pt idx="1409">
                  <c:v>48921</c:v>
                </c:pt>
                <c:pt idx="1410">
                  <c:v>48928</c:v>
                </c:pt>
                <c:pt idx="1411">
                  <c:v>48935</c:v>
                </c:pt>
                <c:pt idx="1412">
                  <c:v>48942</c:v>
                </c:pt>
                <c:pt idx="1413">
                  <c:v>48949</c:v>
                </c:pt>
                <c:pt idx="1414">
                  <c:v>48956</c:v>
                </c:pt>
                <c:pt idx="1415">
                  <c:v>48963</c:v>
                </c:pt>
                <c:pt idx="1416">
                  <c:v>48971</c:v>
                </c:pt>
                <c:pt idx="1417">
                  <c:v>48978</c:v>
                </c:pt>
                <c:pt idx="1418">
                  <c:v>48985</c:v>
                </c:pt>
                <c:pt idx="1419">
                  <c:v>48992</c:v>
                </c:pt>
                <c:pt idx="1420">
                  <c:v>48999</c:v>
                </c:pt>
                <c:pt idx="1421">
                  <c:v>49006</c:v>
                </c:pt>
                <c:pt idx="1422">
                  <c:v>49013</c:v>
                </c:pt>
                <c:pt idx="1423">
                  <c:v>49020</c:v>
                </c:pt>
                <c:pt idx="1424">
                  <c:v>49027</c:v>
                </c:pt>
                <c:pt idx="1425">
                  <c:v>49034</c:v>
                </c:pt>
                <c:pt idx="1426">
                  <c:v>49045</c:v>
                </c:pt>
                <c:pt idx="1427">
                  <c:v>49052</c:v>
                </c:pt>
                <c:pt idx="1428">
                  <c:v>49060</c:v>
                </c:pt>
                <c:pt idx="1429">
                  <c:v>49067</c:v>
                </c:pt>
                <c:pt idx="1430">
                  <c:v>49074</c:v>
                </c:pt>
                <c:pt idx="1431">
                  <c:v>49081</c:v>
                </c:pt>
                <c:pt idx="1432">
                  <c:v>49088</c:v>
                </c:pt>
                <c:pt idx="1433">
                  <c:v>49095</c:v>
                </c:pt>
                <c:pt idx="1434">
                  <c:v>49102</c:v>
                </c:pt>
                <c:pt idx="1435">
                  <c:v>49109</c:v>
                </c:pt>
                <c:pt idx="1436">
                  <c:v>49116</c:v>
                </c:pt>
                <c:pt idx="1437">
                  <c:v>49123</c:v>
                </c:pt>
                <c:pt idx="1438">
                  <c:v>49130</c:v>
                </c:pt>
                <c:pt idx="1439">
                  <c:v>49137</c:v>
                </c:pt>
                <c:pt idx="1440">
                  <c:v>49144</c:v>
                </c:pt>
                <c:pt idx="1441">
                  <c:v>49151</c:v>
                </c:pt>
                <c:pt idx="1442">
                  <c:v>49158</c:v>
                </c:pt>
                <c:pt idx="1443">
                  <c:v>49165</c:v>
                </c:pt>
                <c:pt idx="1444">
                  <c:v>49172</c:v>
                </c:pt>
                <c:pt idx="1445">
                  <c:v>49179</c:v>
                </c:pt>
                <c:pt idx="1446">
                  <c:v>49186</c:v>
                </c:pt>
                <c:pt idx="1447">
                  <c:v>49193</c:v>
                </c:pt>
                <c:pt idx="1448">
                  <c:v>49200</c:v>
                </c:pt>
                <c:pt idx="1449">
                  <c:v>49207</c:v>
                </c:pt>
                <c:pt idx="1450">
                  <c:v>49214</c:v>
                </c:pt>
                <c:pt idx="1451">
                  <c:v>49221</c:v>
                </c:pt>
                <c:pt idx="1452">
                  <c:v>49228</c:v>
                </c:pt>
                <c:pt idx="1453">
                  <c:v>49235</c:v>
                </c:pt>
                <c:pt idx="1454">
                  <c:v>49242</c:v>
                </c:pt>
                <c:pt idx="1455">
                  <c:v>49249</c:v>
                </c:pt>
                <c:pt idx="1456">
                  <c:v>49256</c:v>
                </c:pt>
                <c:pt idx="1457">
                  <c:v>49263</c:v>
                </c:pt>
                <c:pt idx="1458">
                  <c:v>49270</c:v>
                </c:pt>
                <c:pt idx="1459">
                  <c:v>49277</c:v>
                </c:pt>
                <c:pt idx="1460">
                  <c:v>49284</c:v>
                </c:pt>
                <c:pt idx="1461">
                  <c:v>49291</c:v>
                </c:pt>
                <c:pt idx="1462">
                  <c:v>49298</c:v>
                </c:pt>
                <c:pt idx="1463">
                  <c:v>49305</c:v>
                </c:pt>
                <c:pt idx="1464">
                  <c:v>49312</c:v>
                </c:pt>
                <c:pt idx="1465">
                  <c:v>49319</c:v>
                </c:pt>
                <c:pt idx="1466">
                  <c:v>49326</c:v>
                </c:pt>
                <c:pt idx="1467">
                  <c:v>49333</c:v>
                </c:pt>
                <c:pt idx="1468">
                  <c:v>49340</c:v>
                </c:pt>
                <c:pt idx="1469">
                  <c:v>49347</c:v>
                </c:pt>
                <c:pt idx="1470">
                  <c:v>49354</c:v>
                </c:pt>
                <c:pt idx="1471">
                  <c:v>49361</c:v>
                </c:pt>
                <c:pt idx="1472">
                  <c:v>49368</c:v>
                </c:pt>
                <c:pt idx="1473">
                  <c:v>49375</c:v>
                </c:pt>
                <c:pt idx="1474">
                  <c:v>49382</c:v>
                </c:pt>
                <c:pt idx="1475">
                  <c:v>49389</c:v>
                </c:pt>
                <c:pt idx="1476">
                  <c:v>49396</c:v>
                </c:pt>
                <c:pt idx="1477">
                  <c:v>49403</c:v>
                </c:pt>
                <c:pt idx="1478">
                  <c:v>49410</c:v>
                </c:pt>
                <c:pt idx="1479">
                  <c:v>49417</c:v>
                </c:pt>
                <c:pt idx="1480">
                  <c:v>49425</c:v>
                </c:pt>
                <c:pt idx="1481">
                  <c:v>49432</c:v>
                </c:pt>
                <c:pt idx="1482">
                  <c:v>49439</c:v>
                </c:pt>
                <c:pt idx="1483">
                  <c:v>49446</c:v>
                </c:pt>
                <c:pt idx="1484">
                  <c:v>49453</c:v>
                </c:pt>
                <c:pt idx="1485">
                  <c:v>49460</c:v>
                </c:pt>
                <c:pt idx="1486">
                  <c:v>49467</c:v>
                </c:pt>
                <c:pt idx="1487">
                  <c:v>49474</c:v>
                </c:pt>
                <c:pt idx="1488">
                  <c:v>49481</c:v>
                </c:pt>
                <c:pt idx="1489">
                  <c:v>49488</c:v>
                </c:pt>
                <c:pt idx="1490">
                  <c:v>49495</c:v>
                </c:pt>
                <c:pt idx="1491">
                  <c:v>49502</c:v>
                </c:pt>
                <c:pt idx="1492">
                  <c:v>49509</c:v>
                </c:pt>
                <c:pt idx="1493">
                  <c:v>49516</c:v>
                </c:pt>
                <c:pt idx="1494">
                  <c:v>49523</c:v>
                </c:pt>
                <c:pt idx="1495">
                  <c:v>49530</c:v>
                </c:pt>
                <c:pt idx="1496">
                  <c:v>49537</c:v>
                </c:pt>
                <c:pt idx="1497">
                  <c:v>49544</c:v>
                </c:pt>
                <c:pt idx="1498">
                  <c:v>49551</c:v>
                </c:pt>
                <c:pt idx="1499">
                  <c:v>49558</c:v>
                </c:pt>
                <c:pt idx="1500">
                  <c:v>49565</c:v>
                </c:pt>
                <c:pt idx="1501">
                  <c:v>49572</c:v>
                </c:pt>
                <c:pt idx="1502">
                  <c:v>49579</c:v>
                </c:pt>
                <c:pt idx="1503">
                  <c:v>49586</c:v>
                </c:pt>
                <c:pt idx="1504">
                  <c:v>49593</c:v>
                </c:pt>
                <c:pt idx="1505">
                  <c:v>49600</c:v>
                </c:pt>
                <c:pt idx="1506">
                  <c:v>49607</c:v>
                </c:pt>
                <c:pt idx="1507">
                  <c:v>49614</c:v>
                </c:pt>
                <c:pt idx="1508">
                  <c:v>49621</c:v>
                </c:pt>
                <c:pt idx="1509">
                  <c:v>49628</c:v>
                </c:pt>
                <c:pt idx="1510">
                  <c:v>49635</c:v>
                </c:pt>
                <c:pt idx="1511">
                  <c:v>49642</c:v>
                </c:pt>
                <c:pt idx="1512">
                  <c:v>49649</c:v>
                </c:pt>
                <c:pt idx="1513">
                  <c:v>49656</c:v>
                </c:pt>
                <c:pt idx="1514">
                  <c:v>49663</c:v>
                </c:pt>
                <c:pt idx="1515">
                  <c:v>49670</c:v>
                </c:pt>
                <c:pt idx="1516">
                  <c:v>49677</c:v>
                </c:pt>
                <c:pt idx="1517">
                  <c:v>49684</c:v>
                </c:pt>
                <c:pt idx="1518">
                  <c:v>49691</c:v>
                </c:pt>
                <c:pt idx="1519">
                  <c:v>49698</c:v>
                </c:pt>
                <c:pt idx="1520">
                  <c:v>49705</c:v>
                </c:pt>
                <c:pt idx="1521">
                  <c:v>49712</c:v>
                </c:pt>
                <c:pt idx="1522">
                  <c:v>49719</c:v>
                </c:pt>
                <c:pt idx="1523">
                  <c:v>49726</c:v>
                </c:pt>
                <c:pt idx="1524">
                  <c:v>49733</c:v>
                </c:pt>
                <c:pt idx="1525">
                  <c:v>49740</c:v>
                </c:pt>
                <c:pt idx="1526">
                  <c:v>49747</c:v>
                </c:pt>
                <c:pt idx="1527">
                  <c:v>49754</c:v>
                </c:pt>
                <c:pt idx="1528">
                  <c:v>49761</c:v>
                </c:pt>
                <c:pt idx="1529">
                  <c:v>49768</c:v>
                </c:pt>
                <c:pt idx="1530">
                  <c:v>49775</c:v>
                </c:pt>
                <c:pt idx="1531">
                  <c:v>49782</c:v>
                </c:pt>
                <c:pt idx="1532">
                  <c:v>49789</c:v>
                </c:pt>
                <c:pt idx="1533">
                  <c:v>49796</c:v>
                </c:pt>
                <c:pt idx="1534">
                  <c:v>49803</c:v>
                </c:pt>
                <c:pt idx="1535">
                  <c:v>49810</c:v>
                </c:pt>
                <c:pt idx="1536">
                  <c:v>49817</c:v>
                </c:pt>
                <c:pt idx="1537">
                  <c:v>49824</c:v>
                </c:pt>
                <c:pt idx="1538">
                  <c:v>49831</c:v>
                </c:pt>
                <c:pt idx="1539">
                  <c:v>49838</c:v>
                </c:pt>
                <c:pt idx="1540">
                  <c:v>49845</c:v>
                </c:pt>
                <c:pt idx="1541">
                  <c:v>49852</c:v>
                </c:pt>
                <c:pt idx="1542">
                  <c:v>49859</c:v>
                </c:pt>
                <c:pt idx="1543">
                  <c:v>49866</c:v>
                </c:pt>
                <c:pt idx="1544">
                  <c:v>49873</c:v>
                </c:pt>
                <c:pt idx="1545">
                  <c:v>49880</c:v>
                </c:pt>
                <c:pt idx="1546">
                  <c:v>49887</c:v>
                </c:pt>
                <c:pt idx="1547">
                  <c:v>49894</c:v>
                </c:pt>
                <c:pt idx="1548">
                  <c:v>49901</c:v>
                </c:pt>
                <c:pt idx="1549">
                  <c:v>49908</c:v>
                </c:pt>
                <c:pt idx="1550">
                  <c:v>49915</c:v>
                </c:pt>
                <c:pt idx="1551">
                  <c:v>49922</c:v>
                </c:pt>
                <c:pt idx="1552">
                  <c:v>49929</c:v>
                </c:pt>
                <c:pt idx="1553">
                  <c:v>49936</c:v>
                </c:pt>
                <c:pt idx="1554">
                  <c:v>49943</c:v>
                </c:pt>
                <c:pt idx="1555">
                  <c:v>49950</c:v>
                </c:pt>
                <c:pt idx="1556">
                  <c:v>49957</c:v>
                </c:pt>
                <c:pt idx="1557">
                  <c:v>49964</c:v>
                </c:pt>
                <c:pt idx="1558">
                  <c:v>49971</c:v>
                </c:pt>
                <c:pt idx="1559">
                  <c:v>49978</c:v>
                </c:pt>
                <c:pt idx="1560">
                  <c:v>49985</c:v>
                </c:pt>
                <c:pt idx="1561">
                  <c:v>49992</c:v>
                </c:pt>
                <c:pt idx="1562">
                  <c:v>49999</c:v>
                </c:pt>
                <c:pt idx="1563">
                  <c:v>50006</c:v>
                </c:pt>
                <c:pt idx="1564">
                  <c:v>50013</c:v>
                </c:pt>
                <c:pt idx="1565">
                  <c:v>50020</c:v>
                </c:pt>
                <c:pt idx="1566">
                  <c:v>50027</c:v>
                </c:pt>
                <c:pt idx="1567">
                  <c:v>50038</c:v>
                </c:pt>
                <c:pt idx="1568">
                  <c:v>50045</c:v>
                </c:pt>
                <c:pt idx="1569">
                  <c:v>50052</c:v>
                </c:pt>
                <c:pt idx="1570">
                  <c:v>50059</c:v>
                </c:pt>
                <c:pt idx="1571">
                  <c:v>50067</c:v>
                </c:pt>
                <c:pt idx="1572">
                  <c:v>50074</c:v>
                </c:pt>
                <c:pt idx="1573">
                  <c:v>50081</c:v>
                </c:pt>
                <c:pt idx="1574">
                  <c:v>50088</c:v>
                </c:pt>
                <c:pt idx="1575">
                  <c:v>50095</c:v>
                </c:pt>
                <c:pt idx="1576">
                  <c:v>50102</c:v>
                </c:pt>
                <c:pt idx="1577">
                  <c:v>50109</c:v>
                </c:pt>
                <c:pt idx="1578">
                  <c:v>50116</c:v>
                </c:pt>
                <c:pt idx="1579">
                  <c:v>50123</c:v>
                </c:pt>
                <c:pt idx="1580">
                  <c:v>50130</c:v>
                </c:pt>
                <c:pt idx="1581">
                  <c:v>50137</c:v>
                </c:pt>
                <c:pt idx="1582">
                  <c:v>50144</c:v>
                </c:pt>
                <c:pt idx="1583">
                  <c:v>50151</c:v>
                </c:pt>
                <c:pt idx="1584">
                  <c:v>50158</c:v>
                </c:pt>
                <c:pt idx="1585">
                  <c:v>50165</c:v>
                </c:pt>
                <c:pt idx="1586">
                  <c:v>50172</c:v>
                </c:pt>
                <c:pt idx="1587">
                  <c:v>50179</c:v>
                </c:pt>
                <c:pt idx="1588">
                  <c:v>50186</c:v>
                </c:pt>
                <c:pt idx="1589">
                  <c:v>50193</c:v>
                </c:pt>
                <c:pt idx="1590">
                  <c:v>50200</c:v>
                </c:pt>
                <c:pt idx="1591">
                  <c:v>50207</c:v>
                </c:pt>
                <c:pt idx="1592">
                  <c:v>50214</c:v>
                </c:pt>
                <c:pt idx="1593">
                  <c:v>50221</c:v>
                </c:pt>
                <c:pt idx="1594">
                  <c:v>50228</c:v>
                </c:pt>
                <c:pt idx="1595">
                  <c:v>50235</c:v>
                </c:pt>
                <c:pt idx="1596">
                  <c:v>50242</c:v>
                </c:pt>
                <c:pt idx="1597">
                  <c:v>50249</c:v>
                </c:pt>
                <c:pt idx="1598">
                  <c:v>50256</c:v>
                </c:pt>
                <c:pt idx="1599">
                  <c:v>50263</c:v>
                </c:pt>
                <c:pt idx="1600">
                  <c:v>50270</c:v>
                </c:pt>
                <c:pt idx="1601">
                  <c:v>50277</c:v>
                </c:pt>
                <c:pt idx="1602">
                  <c:v>50284</c:v>
                </c:pt>
                <c:pt idx="1603">
                  <c:v>50291</c:v>
                </c:pt>
                <c:pt idx="1604">
                  <c:v>50298</c:v>
                </c:pt>
                <c:pt idx="1605">
                  <c:v>50305</c:v>
                </c:pt>
                <c:pt idx="1606">
                  <c:v>50312</c:v>
                </c:pt>
                <c:pt idx="1607">
                  <c:v>50319</c:v>
                </c:pt>
                <c:pt idx="1608">
                  <c:v>50326</c:v>
                </c:pt>
                <c:pt idx="1609">
                  <c:v>50333</c:v>
                </c:pt>
                <c:pt idx="1610">
                  <c:v>50340</c:v>
                </c:pt>
                <c:pt idx="1611">
                  <c:v>50347</c:v>
                </c:pt>
                <c:pt idx="1612">
                  <c:v>50354</c:v>
                </c:pt>
                <c:pt idx="1613">
                  <c:v>50361</c:v>
                </c:pt>
                <c:pt idx="1614">
                  <c:v>50368</c:v>
                </c:pt>
                <c:pt idx="1615">
                  <c:v>50375</c:v>
                </c:pt>
                <c:pt idx="1616">
                  <c:v>50382</c:v>
                </c:pt>
                <c:pt idx="1617">
                  <c:v>50389</c:v>
                </c:pt>
                <c:pt idx="1618">
                  <c:v>50396</c:v>
                </c:pt>
                <c:pt idx="1619">
                  <c:v>50403</c:v>
                </c:pt>
                <c:pt idx="1620">
                  <c:v>50410</c:v>
                </c:pt>
                <c:pt idx="1621">
                  <c:v>50417</c:v>
                </c:pt>
                <c:pt idx="1622">
                  <c:v>50424</c:v>
                </c:pt>
                <c:pt idx="1623">
                  <c:v>50432</c:v>
                </c:pt>
                <c:pt idx="1624">
                  <c:v>50439</c:v>
                </c:pt>
                <c:pt idx="1625">
                  <c:v>50446</c:v>
                </c:pt>
                <c:pt idx="1626">
                  <c:v>50453</c:v>
                </c:pt>
                <c:pt idx="1627">
                  <c:v>50460</c:v>
                </c:pt>
                <c:pt idx="1628">
                  <c:v>50467</c:v>
                </c:pt>
                <c:pt idx="1629">
                  <c:v>50474</c:v>
                </c:pt>
                <c:pt idx="1630">
                  <c:v>50481</c:v>
                </c:pt>
                <c:pt idx="1631">
                  <c:v>50488</c:v>
                </c:pt>
                <c:pt idx="1632">
                  <c:v>50495</c:v>
                </c:pt>
                <c:pt idx="1633">
                  <c:v>50502</c:v>
                </c:pt>
                <c:pt idx="1634">
                  <c:v>50509</c:v>
                </c:pt>
                <c:pt idx="1635">
                  <c:v>50516</c:v>
                </c:pt>
                <c:pt idx="1636">
                  <c:v>50523</c:v>
                </c:pt>
                <c:pt idx="1637">
                  <c:v>50530</c:v>
                </c:pt>
                <c:pt idx="1638">
                  <c:v>50537</c:v>
                </c:pt>
                <c:pt idx="1639">
                  <c:v>50544</c:v>
                </c:pt>
                <c:pt idx="1640">
                  <c:v>50551</c:v>
                </c:pt>
                <c:pt idx="1641">
                  <c:v>50558</c:v>
                </c:pt>
                <c:pt idx="1642">
                  <c:v>50565</c:v>
                </c:pt>
                <c:pt idx="1643">
                  <c:v>50572</c:v>
                </c:pt>
                <c:pt idx="1644">
                  <c:v>50579</c:v>
                </c:pt>
                <c:pt idx="1645">
                  <c:v>50586</c:v>
                </c:pt>
                <c:pt idx="1646">
                  <c:v>50593</c:v>
                </c:pt>
                <c:pt idx="1647">
                  <c:v>50600</c:v>
                </c:pt>
                <c:pt idx="1648">
                  <c:v>50607</c:v>
                </c:pt>
                <c:pt idx="1649">
                  <c:v>50614</c:v>
                </c:pt>
                <c:pt idx="1650">
                  <c:v>50621</c:v>
                </c:pt>
                <c:pt idx="1651">
                  <c:v>50628</c:v>
                </c:pt>
                <c:pt idx="1652">
                  <c:v>50635</c:v>
                </c:pt>
                <c:pt idx="1653">
                  <c:v>50642</c:v>
                </c:pt>
                <c:pt idx="1654">
                  <c:v>50649</c:v>
                </c:pt>
                <c:pt idx="1655">
                  <c:v>50656</c:v>
                </c:pt>
                <c:pt idx="1656">
                  <c:v>50663</c:v>
                </c:pt>
                <c:pt idx="1657">
                  <c:v>50670</c:v>
                </c:pt>
                <c:pt idx="1658">
                  <c:v>50677</c:v>
                </c:pt>
                <c:pt idx="1659">
                  <c:v>50684</c:v>
                </c:pt>
                <c:pt idx="1660">
                  <c:v>50691</c:v>
                </c:pt>
                <c:pt idx="1661">
                  <c:v>50698</c:v>
                </c:pt>
                <c:pt idx="1662">
                  <c:v>50705</c:v>
                </c:pt>
                <c:pt idx="1663">
                  <c:v>50712</c:v>
                </c:pt>
                <c:pt idx="1664">
                  <c:v>50719</c:v>
                </c:pt>
                <c:pt idx="1665">
                  <c:v>50726</c:v>
                </c:pt>
                <c:pt idx="1666">
                  <c:v>50733</c:v>
                </c:pt>
                <c:pt idx="1667">
                  <c:v>50740</c:v>
                </c:pt>
                <c:pt idx="1668">
                  <c:v>50747</c:v>
                </c:pt>
                <c:pt idx="1669">
                  <c:v>50754</c:v>
                </c:pt>
                <c:pt idx="1670">
                  <c:v>50761</c:v>
                </c:pt>
                <c:pt idx="1671">
                  <c:v>50768</c:v>
                </c:pt>
                <c:pt idx="1672">
                  <c:v>50775</c:v>
                </c:pt>
                <c:pt idx="1673">
                  <c:v>50782</c:v>
                </c:pt>
                <c:pt idx="1674">
                  <c:v>50789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51162</c:v>
                </c:pt>
                <c:pt idx="1728">
                  <c:v>51169</c:v>
                </c:pt>
                <c:pt idx="1729">
                  <c:v>51176</c:v>
                </c:pt>
                <c:pt idx="1730">
                  <c:v>51183</c:v>
                </c:pt>
                <c:pt idx="1731">
                  <c:v>51190</c:v>
                </c:pt>
                <c:pt idx="1732">
                  <c:v>51197</c:v>
                </c:pt>
                <c:pt idx="1733">
                  <c:v>51204</c:v>
                </c:pt>
                <c:pt idx="1734">
                  <c:v>51211</c:v>
                </c:pt>
                <c:pt idx="1735">
                  <c:v>51218</c:v>
                </c:pt>
                <c:pt idx="1736">
                  <c:v>51229</c:v>
                </c:pt>
                <c:pt idx="1737">
                  <c:v>51236</c:v>
                </c:pt>
                <c:pt idx="1738">
                  <c:v>51243</c:v>
                </c:pt>
                <c:pt idx="1739">
                  <c:v>51250</c:v>
                </c:pt>
                <c:pt idx="1740">
                  <c:v>51257</c:v>
                </c:pt>
                <c:pt idx="1741">
                  <c:v>51264</c:v>
                </c:pt>
                <c:pt idx="1742">
                  <c:v>51271</c:v>
                </c:pt>
                <c:pt idx="1743">
                  <c:v>51278</c:v>
                </c:pt>
                <c:pt idx="1744">
                  <c:v>51285</c:v>
                </c:pt>
                <c:pt idx="1745">
                  <c:v>51292</c:v>
                </c:pt>
                <c:pt idx="1746">
                  <c:v>51299</c:v>
                </c:pt>
                <c:pt idx="1747">
                  <c:v>51306</c:v>
                </c:pt>
                <c:pt idx="1748">
                  <c:v>51313</c:v>
                </c:pt>
                <c:pt idx="1749">
                  <c:v>51320</c:v>
                </c:pt>
                <c:pt idx="1750">
                  <c:v>51327</c:v>
                </c:pt>
                <c:pt idx="1751">
                  <c:v>51334</c:v>
                </c:pt>
                <c:pt idx="1752">
                  <c:v>51341</c:v>
                </c:pt>
                <c:pt idx="1753">
                  <c:v>51348</c:v>
                </c:pt>
                <c:pt idx="1754">
                  <c:v>51355</c:v>
                </c:pt>
                <c:pt idx="1755">
                  <c:v>51362</c:v>
                </c:pt>
                <c:pt idx="1756">
                  <c:v>51369</c:v>
                </c:pt>
                <c:pt idx="1757">
                  <c:v>51376</c:v>
                </c:pt>
                <c:pt idx="1758">
                  <c:v>51383</c:v>
                </c:pt>
                <c:pt idx="1759">
                  <c:v>51390</c:v>
                </c:pt>
                <c:pt idx="1760">
                  <c:v>51397</c:v>
                </c:pt>
                <c:pt idx="1761">
                  <c:v>51404</c:v>
                </c:pt>
                <c:pt idx="1762">
                  <c:v>51411</c:v>
                </c:pt>
                <c:pt idx="1763">
                  <c:v>51418</c:v>
                </c:pt>
                <c:pt idx="1764">
                  <c:v>51425</c:v>
                </c:pt>
                <c:pt idx="1765">
                  <c:v>51432</c:v>
                </c:pt>
                <c:pt idx="1766">
                  <c:v>51439</c:v>
                </c:pt>
                <c:pt idx="1767">
                  <c:v>51446</c:v>
                </c:pt>
                <c:pt idx="1768">
                  <c:v>51453</c:v>
                </c:pt>
                <c:pt idx="1769">
                  <c:v>51460</c:v>
                </c:pt>
                <c:pt idx="1770">
                  <c:v>51467</c:v>
                </c:pt>
                <c:pt idx="1771">
                  <c:v>51474</c:v>
                </c:pt>
                <c:pt idx="1772">
                  <c:v>51481</c:v>
                </c:pt>
                <c:pt idx="1773">
                  <c:v>51488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51617</c:v>
                </c:pt>
                <c:pt idx="1792">
                  <c:v>51624</c:v>
                </c:pt>
                <c:pt idx="1793">
                  <c:v>51631</c:v>
                </c:pt>
                <c:pt idx="1794">
                  <c:v>51638</c:v>
                </c:pt>
                <c:pt idx="1795">
                  <c:v>51645</c:v>
                </c:pt>
                <c:pt idx="1796">
                  <c:v>51652</c:v>
                </c:pt>
                <c:pt idx="1797">
                  <c:v>51659</c:v>
                </c:pt>
                <c:pt idx="1798">
                  <c:v>51666</c:v>
                </c:pt>
                <c:pt idx="1799">
                  <c:v>51673</c:v>
                </c:pt>
                <c:pt idx="1800">
                  <c:v>51680</c:v>
                </c:pt>
                <c:pt idx="1801">
                  <c:v>51687</c:v>
                </c:pt>
                <c:pt idx="1802">
                  <c:v>51694</c:v>
                </c:pt>
                <c:pt idx="1803">
                  <c:v>51701</c:v>
                </c:pt>
                <c:pt idx="1804">
                  <c:v>51708</c:v>
                </c:pt>
                <c:pt idx="1805">
                  <c:v>51715</c:v>
                </c:pt>
                <c:pt idx="1806">
                  <c:v>51722</c:v>
                </c:pt>
                <c:pt idx="1807">
                  <c:v>51729</c:v>
                </c:pt>
                <c:pt idx="1808">
                  <c:v>51736</c:v>
                </c:pt>
                <c:pt idx="1809">
                  <c:v>51743</c:v>
                </c:pt>
                <c:pt idx="1810">
                  <c:v>51750</c:v>
                </c:pt>
                <c:pt idx="1811">
                  <c:v>51757</c:v>
                </c:pt>
                <c:pt idx="1812">
                  <c:v>51764</c:v>
                </c:pt>
                <c:pt idx="1813">
                  <c:v>51771</c:v>
                </c:pt>
                <c:pt idx="1814">
                  <c:v>51778</c:v>
                </c:pt>
                <c:pt idx="1815">
                  <c:v>51785</c:v>
                </c:pt>
                <c:pt idx="1816">
                  <c:v>51792</c:v>
                </c:pt>
                <c:pt idx="1817">
                  <c:v>51799</c:v>
                </c:pt>
                <c:pt idx="1818">
                  <c:v>51806</c:v>
                </c:pt>
                <c:pt idx="1819">
                  <c:v>51813</c:v>
                </c:pt>
                <c:pt idx="1820">
                  <c:v>51820</c:v>
                </c:pt>
                <c:pt idx="1821">
                  <c:v>51827</c:v>
                </c:pt>
                <c:pt idx="1822">
                  <c:v>51834</c:v>
                </c:pt>
                <c:pt idx="1823">
                  <c:v>51841</c:v>
                </c:pt>
                <c:pt idx="1824">
                  <c:v>51848</c:v>
                </c:pt>
                <c:pt idx="1825">
                  <c:v>51855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52623</c:v>
                </c:pt>
                <c:pt idx="1935">
                  <c:v>52630</c:v>
                </c:pt>
                <c:pt idx="1936">
                  <c:v>52637</c:v>
                </c:pt>
                <c:pt idx="1937">
                  <c:v>52644</c:v>
                </c:pt>
                <c:pt idx="1938">
                  <c:v>52651</c:v>
                </c:pt>
                <c:pt idx="1939">
                  <c:v>52658</c:v>
                </c:pt>
                <c:pt idx="1940">
                  <c:v>52665</c:v>
                </c:pt>
                <c:pt idx="1941">
                  <c:v>52672</c:v>
                </c:pt>
                <c:pt idx="1942">
                  <c:v>52679</c:v>
                </c:pt>
                <c:pt idx="1943">
                  <c:v>52686</c:v>
                </c:pt>
                <c:pt idx="1944">
                  <c:v>52693</c:v>
                </c:pt>
                <c:pt idx="1945">
                  <c:v>52700</c:v>
                </c:pt>
                <c:pt idx="1946">
                  <c:v>52707</c:v>
                </c:pt>
                <c:pt idx="1947">
                  <c:v>52714</c:v>
                </c:pt>
                <c:pt idx="1948">
                  <c:v>52721</c:v>
                </c:pt>
                <c:pt idx="1949">
                  <c:v>52728</c:v>
                </c:pt>
                <c:pt idx="1950">
                  <c:v>52735</c:v>
                </c:pt>
                <c:pt idx="1951">
                  <c:v>52742</c:v>
                </c:pt>
                <c:pt idx="1952">
                  <c:v>52749</c:v>
                </c:pt>
                <c:pt idx="1953">
                  <c:v>52756</c:v>
                </c:pt>
                <c:pt idx="1954">
                  <c:v>52763</c:v>
                </c:pt>
                <c:pt idx="1955">
                  <c:v>52770</c:v>
                </c:pt>
                <c:pt idx="1956">
                  <c:v>52777</c:v>
                </c:pt>
                <c:pt idx="1957">
                  <c:v>52784</c:v>
                </c:pt>
                <c:pt idx="1958">
                  <c:v>52791</c:v>
                </c:pt>
                <c:pt idx="1959">
                  <c:v>52798</c:v>
                </c:pt>
                <c:pt idx="1960">
                  <c:v>52805</c:v>
                </c:pt>
                <c:pt idx="1961">
                  <c:v>52812</c:v>
                </c:pt>
                <c:pt idx="1962">
                  <c:v>52819</c:v>
                </c:pt>
                <c:pt idx="1963">
                  <c:v>52826</c:v>
                </c:pt>
                <c:pt idx="1964">
                  <c:v>52833</c:v>
                </c:pt>
                <c:pt idx="1965">
                  <c:v>52840</c:v>
                </c:pt>
                <c:pt idx="1966">
                  <c:v>52847</c:v>
                </c:pt>
                <c:pt idx="1967">
                  <c:v>52854</c:v>
                </c:pt>
                <c:pt idx="1968">
                  <c:v>52861</c:v>
                </c:pt>
                <c:pt idx="1969">
                  <c:v>52868</c:v>
                </c:pt>
                <c:pt idx="1970">
                  <c:v>52875</c:v>
                </c:pt>
                <c:pt idx="1971">
                  <c:v>52882</c:v>
                </c:pt>
                <c:pt idx="1972">
                  <c:v>52889</c:v>
                </c:pt>
                <c:pt idx="1973">
                  <c:v>52896</c:v>
                </c:pt>
                <c:pt idx="1974">
                  <c:v>52903</c:v>
                </c:pt>
                <c:pt idx="1975">
                  <c:v>52910</c:v>
                </c:pt>
                <c:pt idx="1976">
                  <c:v>52917</c:v>
                </c:pt>
                <c:pt idx="1977">
                  <c:v>52924</c:v>
                </c:pt>
                <c:pt idx="1978">
                  <c:v>52931</c:v>
                </c:pt>
                <c:pt idx="1979">
                  <c:v>52938</c:v>
                </c:pt>
                <c:pt idx="1980">
                  <c:v>52945</c:v>
                </c:pt>
                <c:pt idx="1981">
                  <c:v>52952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53443</c:v>
                </c:pt>
                <c:pt idx="2052">
                  <c:v>53450</c:v>
                </c:pt>
                <c:pt idx="2053">
                  <c:v>53457</c:v>
                </c:pt>
                <c:pt idx="2054">
                  <c:v>53464</c:v>
                </c:pt>
                <c:pt idx="2055">
                  <c:v>53471</c:v>
                </c:pt>
                <c:pt idx="2056">
                  <c:v>53478</c:v>
                </c:pt>
                <c:pt idx="2057">
                  <c:v>53485</c:v>
                </c:pt>
                <c:pt idx="2058">
                  <c:v>53492</c:v>
                </c:pt>
                <c:pt idx="2059">
                  <c:v>53499</c:v>
                </c:pt>
                <c:pt idx="2060">
                  <c:v>53506</c:v>
                </c:pt>
                <c:pt idx="2061">
                  <c:v>53513</c:v>
                </c:pt>
                <c:pt idx="2062">
                  <c:v>53520</c:v>
                </c:pt>
                <c:pt idx="2063">
                  <c:v>53527</c:v>
                </c:pt>
                <c:pt idx="2064">
                  <c:v>53534</c:v>
                </c:pt>
                <c:pt idx="2065">
                  <c:v>53541</c:v>
                </c:pt>
                <c:pt idx="2066">
                  <c:v>53548</c:v>
                </c:pt>
                <c:pt idx="2067">
                  <c:v>53555</c:v>
                </c:pt>
                <c:pt idx="2068">
                  <c:v>53562</c:v>
                </c:pt>
                <c:pt idx="2069">
                  <c:v>53569</c:v>
                </c:pt>
                <c:pt idx="2070">
                  <c:v>53576</c:v>
                </c:pt>
                <c:pt idx="2071">
                  <c:v>53583</c:v>
                </c:pt>
                <c:pt idx="2072">
                  <c:v>53590</c:v>
                </c:pt>
                <c:pt idx="2073">
                  <c:v>53597</c:v>
                </c:pt>
                <c:pt idx="2074">
                  <c:v>53604</c:v>
                </c:pt>
                <c:pt idx="2075">
                  <c:v>53611</c:v>
                </c:pt>
                <c:pt idx="2076">
                  <c:v>53618</c:v>
                </c:pt>
                <c:pt idx="2077">
                  <c:v>53625</c:v>
                </c:pt>
                <c:pt idx="2078">
                  <c:v>53632</c:v>
                </c:pt>
                <c:pt idx="2079">
                  <c:v>53639</c:v>
                </c:pt>
                <c:pt idx="2080">
                  <c:v>53646</c:v>
                </c:pt>
                <c:pt idx="2081">
                  <c:v>53653</c:v>
                </c:pt>
                <c:pt idx="2082">
                  <c:v>53660</c:v>
                </c:pt>
                <c:pt idx="2083">
                  <c:v>53667</c:v>
                </c:pt>
                <c:pt idx="2084">
                  <c:v>53674</c:v>
                </c:pt>
                <c:pt idx="2085">
                  <c:v>53681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53808</c:v>
                </c:pt>
                <c:pt idx="2104">
                  <c:v>53815</c:v>
                </c:pt>
                <c:pt idx="2105">
                  <c:v>53822</c:v>
                </c:pt>
                <c:pt idx="2106">
                  <c:v>53829</c:v>
                </c:pt>
                <c:pt idx="2107">
                  <c:v>53836</c:v>
                </c:pt>
                <c:pt idx="2108">
                  <c:v>53843</c:v>
                </c:pt>
                <c:pt idx="2109">
                  <c:v>53850</c:v>
                </c:pt>
                <c:pt idx="2110">
                  <c:v>53857</c:v>
                </c:pt>
                <c:pt idx="2111">
                  <c:v>53864</c:v>
                </c:pt>
                <c:pt idx="2112">
                  <c:v>53871</c:v>
                </c:pt>
                <c:pt idx="2113">
                  <c:v>53878</c:v>
                </c:pt>
                <c:pt idx="2114">
                  <c:v>53885</c:v>
                </c:pt>
                <c:pt idx="2115">
                  <c:v>53892</c:v>
                </c:pt>
                <c:pt idx="2116">
                  <c:v>53899</c:v>
                </c:pt>
                <c:pt idx="2117">
                  <c:v>53906</c:v>
                </c:pt>
                <c:pt idx="2118">
                  <c:v>53913</c:v>
                </c:pt>
                <c:pt idx="2119">
                  <c:v>53920</c:v>
                </c:pt>
                <c:pt idx="2120">
                  <c:v>53927</c:v>
                </c:pt>
                <c:pt idx="2121">
                  <c:v>53934</c:v>
                </c:pt>
                <c:pt idx="2122">
                  <c:v>53941</c:v>
                </c:pt>
                <c:pt idx="2123">
                  <c:v>53948</c:v>
                </c:pt>
                <c:pt idx="2124">
                  <c:v>53955</c:v>
                </c:pt>
                <c:pt idx="2125">
                  <c:v>53962</c:v>
                </c:pt>
                <c:pt idx="2126">
                  <c:v>53969</c:v>
                </c:pt>
                <c:pt idx="2127">
                  <c:v>53976</c:v>
                </c:pt>
                <c:pt idx="2128">
                  <c:v>53983</c:v>
                </c:pt>
                <c:pt idx="2129">
                  <c:v>53990</c:v>
                </c:pt>
                <c:pt idx="2130">
                  <c:v>53997</c:v>
                </c:pt>
                <c:pt idx="2131">
                  <c:v>54004</c:v>
                </c:pt>
                <c:pt idx="2132">
                  <c:v>54011</c:v>
                </c:pt>
                <c:pt idx="2133">
                  <c:v>54018</c:v>
                </c:pt>
                <c:pt idx="2134">
                  <c:v>54025</c:v>
                </c:pt>
                <c:pt idx="2135">
                  <c:v>54032</c:v>
                </c:pt>
                <c:pt idx="2136">
                  <c:v>54039</c:v>
                </c:pt>
                <c:pt idx="2137">
                  <c:v>54046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54450</c:v>
                </c:pt>
                <c:pt idx="2195">
                  <c:v>54457</c:v>
                </c:pt>
                <c:pt idx="2196">
                  <c:v>54464</c:v>
                </c:pt>
                <c:pt idx="2197">
                  <c:v>54471</c:v>
                </c:pt>
                <c:pt idx="2198">
                  <c:v>54478</c:v>
                </c:pt>
                <c:pt idx="2199">
                  <c:v>54485</c:v>
                </c:pt>
                <c:pt idx="2200">
                  <c:v>54492</c:v>
                </c:pt>
                <c:pt idx="2201">
                  <c:v>54499</c:v>
                </c:pt>
                <c:pt idx="2202">
                  <c:v>54506</c:v>
                </c:pt>
                <c:pt idx="2203">
                  <c:v>54513</c:v>
                </c:pt>
                <c:pt idx="2204">
                  <c:v>54520</c:v>
                </c:pt>
                <c:pt idx="2205">
                  <c:v>54527</c:v>
                </c:pt>
                <c:pt idx="2206">
                  <c:v>54534</c:v>
                </c:pt>
                <c:pt idx="2207">
                  <c:v>54541</c:v>
                </c:pt>
                <c:pt idx="2208">
                  <c:v>54548</c:v>
                </c:pt>
                <c:pt idx="2209">
                  <c:v>54555</c:v>
                </c:pt>
                <c:pt idx="2210">
                  <c:v>54562</c:v>
                </c:pt>
                <c:pt idx="2211">
                  <c:v>54569</c:v>
                </c:pt>
                <c:pt idx="2212">
                  <c:v>54576</c:v>
                </c:pt>
                <c:pt idx="2213">
                  <c:v>54583</c:v>
                </c:pt>
                <c:pt idx="2214">
                  <c:v>54590</c:v>
                </c:pt>
                <c:pt idx="2215">
                  <c:v>54597</c:v>
                </c:pt>
                <c:pt idx="2216">
                  <c:v>54604</c:v>
                </c:pt>
                <c:pt idx="2217">
                  <c:v>54611</c:v>
                </c:pt>
                <c:pt idx="2218">
                  <c:v>54618</c:v>
                </c:pt>
                <c:pt idx="2219">
                  <c:v>54625</c:v>
                </c:pt>
                <c:pt idx="2220">
                  <c:v>54632</c:v>
                </c:pt>
                <c:pt idx="2221">
                  <c:v>54639</c:v>
                </c:pt>
                <c:pt idx="2222">
                  <c:v>54646</c:v>
                </c:pt>
                <c:pt idx="2223">
                  <c:v>54653</c:v>
                </c:pt>
                <c:pt idx="2224">
                  <c:v>54660</c:v>
                </c:pt>
                <c:pt idx="2225">
                  <c:v>54667</c:v>
                </c:pt>
                <c:pt idx="2226">
                  <c:v>54674</c:v>
                </c:pt>
                <c:pt idx="2227">
                  <c:v>54681</c:v>
                </c:pt>
                <c:pt idx="2228">
                  <c:v>54688</c:v>
                </c:pt>
                <c:pt idx="2229">
                  <c:v>54695</c:v>
                </c:pt>
                <c:pt idx="2230">
                  <c:v>54702</c:v>
                </c:pt>
                <c:pt idx="2231">
                  <c:v>54709</c:v>
                </c:pt>
                <c:pt idx="2232">
                  <c:v>54716</c:v>
                </c:pt>
                <c:pt idx="2233">
                  <c:v>54723</c:v>
                </c:pt>
                <c:pt idx="2234">
                  <c:v>54730</c:v>
                </c:pt>
                <c:pt idx="2235">
                  <c:v>54737</c:v>
                </c:pt>
                <c:pt idx="2236">
                  <c:v>54744</c:v>
                </c:pt>
                <c:pt idx="2237">
                  <c:v>54751</c:v>
                </c:pt>
                <c:pt idx="2238">
                  <c:v>54758</c:v>
                </c:pt>
                <c:pt idx="2239">
                  <c:v>54765</c:v>
                </c:pt>
                <c:pt idx="2240">
                  <c:v>54772</c:v>
                </c:pt>
                <c:pt idx="2241">
                  <c:v>54779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55254</c:v>
                </c:pt>
                <c:pt idx="2309">
                  <c:v>55261</c:v>
                </c:pt>
                <c:pt idx="2310">
                  <c:v>55269</c:v>
                </c:pt>
                <c:pt idx="2311">
                  <c:v>55276</c:v>
                </c:pt>
                <c:pt idx="2312">
                  <c:v>55283</c:v>
                </c:pt>
                <c:pt idx="2313">
                  <c:v>55290</c:v>
                </c:pt>
                <c:pt idx="2314">
                  <c:v>55297</c:v>
                </c:pt>
                <c:pt idx="2315">
                  <c:v>55304</c:v>
                </c:pt>
                <c:pt idx="2316">
                  <c:v>55311</c:v>
                </c:pt>
                <c:pt idx="2317">
                  <c:v>55318</c:v>
                </c:pt>
                <c:pt idx="2318">
                  <c:v>55325</c:v>
                </c:pt>
                <c:pt idx="2319">
                  <c:v>55332</c:v>
                </c:pt>
                <c:pt idx="2320">
                  <c:v>55339</c:v>
                </c:pt>
                <c:pt idx="2321">
                  <c:v>55346</c:v>
                </c:pt>
                <c:pt idx="2322">
                  <c:v>55353</c:v>
                </c:pt>
                <c:pt idx="2323">
                  <c:v>55360</c:v>
                </c:pt>
                <c:pt idx="2324">
                  <c:v>55367</c:v>
                </c:pt>
                <c:pt idx="2325">
                  <c:v>55374</c:v>
                </c:pt>
                <c:pt idx="2326">
                  <c:v>55381</c:v>
                </c:pt>
                <c:pt idx="2327">
                  <c:v>55388</c:v>
                </c:pt>
                <c:pt idx="2328">
                  <c:v>55395</c:v>
                </c:pt>
                <c:pt idx="2329">
                  <c:v>55402</c:v>
                </c:pt>
                <c:pt idx="2330">
                  <c:v>55409</c:v>
                </c:pt>
                <c:pt idx="2331">
                  <c:v>55416</c:v>
                </c:pt>
                <c:pt idx="2332">
                  <c:v>55423</c:v>
                </c:pt>
                <c:pt idx="2333">
                  <c:v>55430</c:v>
                </c:pt>
                <c:pt idx="2334">
                  <c:v>55437</c:v>
                </c:pt>
                <c:pt idx="2335">
                  <c:v>55444</c:v>
                </c:pt>
                <c:pt idx="2336">
                  <c:v>55451</c:v>
                </c:pt>
                <c:pt idx="2337">
                  <c:v>55458</c:v>
                </c:pt>
                <c:pt idx="2338">
                  <c:v>55465</c:v>
                </c:pt>
                <c:pt idx="2339">
                  <c:v>55472</c:v>
                </c:pt>
                <c:pt idx="2340">
                  <c:v>55479</c:v>
                </c:pt>
                <c:pt idx="2341">
                  <c:v>55486</c:v>
                </c:pt>
                <c:pt idx="2342">
                  <c:v>55493</c:v>
                </c:pt>
                <c:pt idx="2343">
                  <c:v>55500</c:v>
                </c:pt>
                <c:pt idx="2344">
                  <c:v>55507</c:v>
                </c:pt>
                <c:pt idx="2345">
                  <c:v>55514</c:v>
                </c:pt>
                <c:pt idx="2346">
                  <c:v>55521</c:v>
                </c:pt>
                <c:pt idx="2347">
                  <c:v>55528</c:v>
                </c:pt>
                <c:pt idx="2348">
                  <c:v>55535</c:v>
                </c:pt>
                <c:pt idx="2349">
                  <c:v>55542</c:v>
                </c:pt>
                <c:pt idx="2350">
                  <c:v>55549</c:v>
                </c:pt>
                <c:pt idx="2351">
                  <c:v>55556</c:v>
                </c:pt>
                <c:pt idx="2352">
                  <c:v>55563</c:v>
                </c:pt>
                <c:pt idx="2353">
                  <c:v>55570</c:v>
                </c:pt>
                <c:pt idx="2354">
                  <c:v>55577</c:v>
                </c:pt>
                <c:pt idx="2355">
                  <c:v>55584</c:v>
                </c:pt>
                <c:pt idx="2356">
                  <c:v>55591</c:v>
                </c:pt>
                <c:pt idx="2357">
                  <c:v>55598</c:v>
                </c:pt>
                <c:pt idx="2358">
                  <c:v>55605</c:v>
                </c:pt>
                <c:pt idx="2359">
                  <c:v>55612</c:v>
                </c:pt>
                <c:pt idx="2360">
                  <c:v>55619</c:v>
                </c:pt>
                <c:pt idx="2361">
                  <c:v>55626</c:v>
                </c:pt>
                <c:pt idx="2362">
                  <c:v>55633</c:v>
                </c:pt>
                <c:pt idx="2363">
                  <c:v>55640</c:v>
                </c:pt>
                <c:pt idx="2364">
                  <c:v>55647</c:v>
                </c:pt>
                <c:pt idx="2365">
                  <c:v>55654</c:v>
                </c:pt>
                <c:pt idx="2366">
                  <c:v>55661</c:v>
                </c:pt>
                <c:pt idx="2367">
                  <c:v>55668</c:v>
                </c:pt>
                <c:pt idx="2368">
                  <c:v>55675</c:v>
                </c:pt>
                <c:pt idx="2369">
                  <c:v>55682</c:v>
                </c:pt>
                <c:pt idx="2370">
                  <c:v>55689</c:v>
                </c:pt>
                <c:pt idx="2371">
                  <c:v>55696</c:v>
                </c:pt>
                <c:pt idx="2372">
                  <c:v>55703</c:v>
                </c:pt>
                <c:pt idx="2373">
                  <c:v>55710</c:v>
                </c:pt>
                <c:pt idx="2374">
                  <c:v>55717</c:v>
                </c:pt>
                <c:pt idx="2375">
                  <c:v>55724</c:v>
                </c:pt>
                <c:pt idx="2376">
                  <c:v>55731</c:v>
                </c:pt>
                <c:pt idx="2377">
                  <c:v>55738</c:v>
                </c:pt>
                <c:pt idx="2378">
                  <c:v>55745</c:v>
                </c:pt>
                <c:pt idx="2379">
                  <c:v>55752</c:v>
                </c:pt>
                <c:pt idx="2380">
                  <c:v>55759</c:v>
                </c:pt>
                <c:pt idx="2381">
                  <c:v>55766</c:v>
                </c:pt>
                <c:pt idx="2382">
                  <c:v>55773</c:v>
                </c:pt>
                <c:pt idx="2383">
                  <c:v>55780</c:v>
                </c:pt>
                <c:pt idx="2384">
                  <c:v>55787</c:v>
                </c:pt>
                <c:pt idx="2385">
                  <c:v>55794</c:v>
                </c:pt>
                <c:pt idx="2386">
                  <c:v>55801</c:v>
                </c:pt>
                <c:pt idx="2387">
                  <c:v>55808</c:v>
                </c:pt>
                <c:pt idx="2388">
                  <c:v>55815</c:v>
                </c:pt>
                <c:pt idx="2389">
                  <c:v>55822</c:v>
                </c:pt>
                <c:pt idx="2390">
                  <c:v>55829</c:v>
                </c:pt>
                <c:pt idx="2391">
                  <c:v>55836</c:v>
                </c:pt>
                <c:pt idx="2392">
                  <c:v>55843</c:v>
                </c:pt>
                <c:pt idx="2393">
                  <c:v>55850</c:v>
                </c:pt>
                <c:pt idx="2394">
                  <c:v>55857</c:v>
                </c:pt>
                <c:pt idx="2395">
                  <c:v>55864</c:v>
                </c:pt>
                <c:pt idx="2396">
                  <c:v>55871</c:v>
                </c:pt>
                <c:pt idx="2397">
                  <c:v>55880</c:v>
                </c:pt>
                <c:pt idx="2398">
                  <c:v>55887</c:v>
                </c:pt>
                <c:pt idx="2399">
                  <c:v>55894</c:v>
                </c:pt>
                <c:pt idx="2400">
                  <c:v>55901</c:v>
                </c:pt>
                <c:pt idx="2401">
                  <c:v>55908</c:v>
                </c:pt>
                <c:pt idx="2402">
                  <c:v>55915</c:v>
                </c:pt>
                <c:pt idx="2403">
                  <c:v>55922</c:v>
                </c:pt>
                <c:pt idx="2404">
                  <c:v>55929</c:v>
                </c:pt>
                <c:pt idx="2405">
                  <c:v>55936</c:v>
                </c:pt>
                <c:pt idx="2406">
                  <c:v>55943</c:v>
                </c:pt>
                <c:pt idx="2407">
                  <c:v>55950</c:v>
                </c:pt>
                <c:pt idx="2408">
                  <c:v>55957</c:v>
                </c:pt>
                <c:pt idx="2409">
                  <c:v>55964</c:v>
                </c:pt>
                <c:pt idx="2410">
                  <c:v>55971</c:v>
                </c:pt>
                <c:pt idx="2411">
                  <c:v>55982</c:v>
                </c:pt>
                <c:pt idx="2412">
                  <c:v>55989</c:v>
                </c:pt>
                <c:pt idx="2413">
                  <c:v>55996</c:v>
                </c:pt>
                <c:pt idx="2414">
                  <c:v>56003</c:v>
                </c:pt>
                <c:pt idx="2415">
                  <c:v>56010</c:v>
                </c:pt>
                <c:pt idx="2416">
                  <c:v>56017</c:v>
                </c:pt>
                <c:pt idx="2417">
                  <c:v>56024</c:v>
                </c:pt>
                <c:pt idx="2418">
                  <c:v>56031</c:v>
                </c:pt>
                <c:pt idx="2419">
                  <c:v>56038</c:v>
                </c:pt>
                <c:pt idx="2420">
                  <c:v>56045</c:v>
                </c:pt>
                <c:pt idx="2421">
                  <c:v>56052</c:v>
                </c:pt>
                <c:pt idx="2422">
                  <c:v>56059</c:v>
                </c:pt>
                <c:pt idx="2423">
                  <c:v>56066</c:v>
                </c:pt>
                <c:pt idx="2424">
                  <c:v>56073</c:v>
                </c:pt>
                <c:pt idx="2425">
                  <c:v>56080</c:v>
                </c:pt>
                <c:pt idx="2426">
                  <c:v>56087</c:v>
                </c:pt>
                <c:pt idx="2427">
                  <c:v>56094</c:v>
                </c:pt>
                <c:pt idx="2428">
                  <c:v>56101</c:v>
                </c:pt>
                <c:pt idx="2429">
                  <c:v>56108</c:v>
                </c:pt>
                <c:pt idx="2430">
                  <c:v>56115</c:v>
                </c:pt>
                <c:pt idx="2431">
                  <c:v>56122</c:v>
                </c:pt>
                <c:pt idx="2432">
                  <c:v>56129</c:v>
                </c:pt>
                <c:pt idx="2433">
                  <c:v>56136</c:v>
                </c:pt>
                <c:pt idx="2434">
                  <c:v>56143</c:v>
                </c:pt>
                <c:pt idx="2435">
                  <c:v>56150</c:v>
                </c:pt>
                <c:pt idx="2436">
                  <c:v>56157</c:v>
                </c:pt>
                <c:pt idx="2437">
                  <c:v>56164</c:v>
                </c:pt>
                <c:pt idx="2438">
                  <c:v>56171</c:v>
                </c:pt>
                <c:pt idx="2439">
                  <c:v>56178</c:v>
                </c:pt>
                <c:pt idx="2440">
                  <c:v>56185</c:v>
                </c:pt>
                <c:pt idx="2441">
                  <c:v>56192</c:v>
                </c:pt>
                <c:pt idx="2442">
                  <c:v>56199</c:v>
                </c:pt>
                <c:pt idx="2443">
                  <c:v>56206</c:v>
                </c:pt>
                <c:pt idx="2444">
                  <c:v>56213</c:v>
                </c:pt>
                <c:pt idx="2445">
                  <c:v>56220</c:v>
                </c:pt>
                <c:pt idx="2446">
                  <c:v>56227</c:v>
                </c:pt>
                <c:pt idx="2447">
                  <c:v>56234</c:v>
                </c:pt>
                <c:pt idx="2448">
                  <c:v>56241</c:v>
                </c:pt>
                <c:pt idx="2449">
                  <c:v>56248</c:v>
                </c:pt>
                <c:pt idx="2450">
                  <c:v>56255</c:v>
                </c:pt>
                <c:pt idx="2451">
                  <c:v>56262</c:v>
                </c:pt>
                <c:pt idx="2452">
                  <c:v>56269</c:v>
                </c:pt>
                <c:pt idx="2453">
                  <c:v>56276</c:v>
                </c:pt>
                <c:pt idx="2454">
                  <c:v>56283</c:v>
                </c:pt>
                <c:pt idx="2455">
                  <c:v>56290</c:v>
                </c:pt>
                <c:pt idx="2456">
                  <c:v>56297</c:v>
                </c:pt>
                <c:pt idx="2457">
                  <c:v>56304</c:v>
                </c:pt>
                <c:pt idx="2458">
                  <c:v>56311</c:v>
                </c:pt>
                <c:pt idx="2459">
                  <c:v>56318</c:v>
                </c:pt>
                <c:pt idx="2460">
                  <c:v>56325</c:v>
                </c:pt>
                <c:pt idx="2461">
                  <c:v>56332</c:v>
                </c:pt>
                <c:pt idx="2462">
                  <c:v>56339</c:v>
                </c:pt>
                <c:pt idx="2463">
                  <c:v>56346</c:v>
                </c:pt>
                <c:pt idx="2464">
                  <c:v>56353</c:v>
                </c:pt>
                <c:pt idx="2465">
                  <c:v>56360</c:v>
                </c:pt>
                <c:pt idx="2466">
                  <c:v>56367</c:v>
                </c:pt>
                <c:pt idx="2467">
                  <c:v>56374</c:v>
                </c:pt>
                <c:pt idx="2468">
                  <c:v>56381</c:v>
                </c:pt>
                <c:pt idx="2469">
                  <c:v>56388</c:v>
                </c:pt>
                <c:pt idx="2470">
                  <c:v>56395</c:v>
                </c:pt>
                <c:pt idx="2471">
                  <c:v>56402</c:v>
                </c:pt>
                <c:pt idx="2472">
                  <c:v>56409</c:v>
                </c:pt>
                <c:pt idx="2473">
                  <c:v>56416</c:v>
                </c:pt>
                <c:pt idx="2474">
                  <c:v>56423</c:v>
                </c:pt>
                <c:pt idx="2475">
                  <c:v>56430</c:v>
                </c:pt>
                <c:pt idx="2476">
                  <c:v>56437</c:v>
                </c:pt>
                <c:pt idx="2477">
                  <c:v>56444</c:v>
                </c:pt>
                <c:pt idx="2478">
                  <c:v>56451</c:v>
                </c:pt>
                <c:pt idx="2479">
                  <c:v>56458</c:v>
                </c:pt>
                <c:pt idx="2480">
                  <c:v>56465</c:v>
                </c:pt>
                <c:pt idx="2481">
                  <c:v>56472</c:v>
                </c:pt>
                <c:pt idx="2482">
                  <c:v>56479</c:v>
                </c:pt>
                <c:pt idx="2483">
                  <c:v>56486</c:v>
                </c:pt>
                <c:pt idx="2484">
                  <c:v>56493</c:v>
                </c:pt>
                <c:pt idx="2485">
                  <c:v>56500</c:v>
                </c:pt>
                <c:pt idx="2486">
                  <c:v>56507</c:v>
                </c:pt>
                <c:pt idx="2487">
                  <c:v>56514</c:v>
                </c:pt>
                <c:pt idx="2488">
                  <c:v>56521</c:v>
                </c:pt>
                <c:pt idx="2489">
                  <c:v>56528</c:v>
                </c:pt>
                <c:pt idx="2490">
                  <c:v>56535</c:v>
                </c:pt>
                <c:pt idx="2491">
                  <c:v>56542</c:v>
                </c:pt>
                <c:pt idx="2492">
                  <c:v>56549</c:v>
                </c:pt>
                <c:pt idx="2493">
                  <c:v>56556</c:v>
                </c:pt>
                <c:pt idx="2494">
                  <c:v>56563</c:v>
                </c:pt>
                <c:pt idx="2495">
                  <c:v>56570</c:v>
                </c:pt>
                <c:pt idx="2496">
                  <c:v>56577</c:v>
                </c:pt>
                <c:pt idx="2497">
                  <c:v>56584</c:v>
                </c:pt>
                <c:pt idx="2498">
                  <c:v>56591</c:v>
                </c:pt>
                <c:pt idx="2499">
                  <c:v>56598</c:v>
                </c:pt>
                <c:pt idx="2500">
                  <c:v>56605</c:v>
                </c:pt>
                <c:pt idx="2501">
                  <c:v>56612</c:v>
                </c:pt>
                <c:pt idx="2502">
                  <c:v>56619</c:v>
                </c:pt>
                <c:pt idx="2503">
                  <c:v>56626</c:v>
                </c:pt>
                <c:pt idx="2504">
                  <c:v>56633</c:v>
                </c:pt>
                <c:pt idx="2505">
                  <c:v>56641</c:v>
                </c:pt>
                <c:pt idx="2506">
                  <c:v>56648</c:v>
                </c:pt>
                <c:pt idx="2507">
                  <c:v>56655</c:v>
                </c:pt>
                <c:pt idx="2508">
                  <c:v>56662</c:v>
                </c:pt>
                <c:pt idx="2509">
                  <c:v>56669</c:v>
                </c:pt>
                <c:pt idx="2510">
                  <c:v>56676</c:v>
                </c:pt>
                <c:pt idx="2511">
                  <c:v>56683</c:v>
                </c:pt>
                <c:pt idx="2512">
                  <c:v>56690</c:v>
                </c:pt>
                <c:pt idx="2513">
                  <c:v>56697</c:v>
                </c:pt>
                <c:pt idx="2514">
                  <c:v>56704</c:v>
                </c:pt>
                <c:pt idx="2515">
                  <c:v>56711</c:v>
                </c:pt>
                <c:pt idx="2516">
                  <c:v>56718</c:v>
                </c:pt>
                <c:pt idx="2517">
                  <c:v>56725</c:v>
                </c:pt>
                <c:pt idx="2518">
                  <c:v>56732</c:v>
                </c:pt>
                <c:pt idx="2519">
                  <c:v>56739</c:v>
                </c:pt>
                <c:pt idx="2520">
                  <c:v>56746</c:v>
                </c:pt>
                <c:pt idx="2521">
                  <c:v>56753</c:v>
                </c:pt>
                <c:pt idx="2522">
                  <c:v>56760</c:v>
                </c:pt>
                <c:pt idx="2523">
                  <c:v>56767</c:v>
                </c:pt>
                <c:pt idx="2524">
                  <c:v>56774</c:v>
                </c:pt>
                <c:pt idx="2525">
                  <c:v>56781</c:v>
                </c:pt>
                <c:pt idx="2526">
                  <c:v>56788</c:v>
                </c:pt>
                <c:pt idx="2527">
                  <c:v>56795</c:v>
                </c:pt>
                <c:pt idx="2528">
                  <c:v>56802</c:v>
                </c:pt>
                <c:pt idx="2529">
                  <c:v>56809</c:v>
                </c:pt>
                <c:pt idx="2530">
                  <c:v>56816</c:v>
                </c:pt>
                <c:pt idx="2531">
                  <c:v>56823</c:v>
                </c:pt>
                <c:pt idx="2532">
                  <c:v>56830</c:v>
                </c:pt>
                <c:pt idx="2533">
                  <c:v>56837</c:v>
                </c:pt>
                <c:pt idx="2534">
                  <c:v>56844</c:v>
                </c:pt>
                <c:pt idx="2535">
                  <c:v>56851</c:v>
                </c:pt>
                <c:pt idx="2536">
                  <c:v>56858</c:v>
                </c:pt>
                <c:pt idx="2537">
                  <c:v>56865</c:v>
                </c:pt>
                <c:pt idx="2538">
                  <c:v>56872</c:v>
                </c:pt>
                <c:pt idx="2539">
                  <c:v>56879</c:v>
                </c:pt>
                <c:pt idx="2540">
                  <c:v>56886</c:v>
                </c:pt>
                <c:pt idx="2541">
                  <c:v>56893</c:v>
                </c:pt>
                <c:pt idx="2542">
                  <c:v>56900</c:v>
                </c:pt>
                <c:pt idx="2543">
                  <c:v>56907</c:v>
                </c:pt>
                <c:pt idx="2544">
                  <c:v>56914</c:v>
                </c:pt>
                <c:pt idx="2545">
                  <c:v>56921</c:v>
                </c:pt>
                <c:pt idx="2546">
                  <c:v>56928</c:v>
                </c:pt>
                <c:pt idx="2547">
                  <c:v>56935</c:v>
                </c:pt>
                <c:pt idx="2548">
                  <c:v>56942</c:v>
                </c:pt>
                <c:pt idx="2549">
                  <c:v>56949</c:v>
                </c:pt>
                <c:pt idx="2550">
                  <c:v>56956</c:v>
                </c:pt>
                <c:pt idx="2551">
                  <c:v>56963</c:v>
                </c:pt>
                <c:pt idx="2552">
                  <c:v>56970</c:v>
                </c:pt>
                <c:pt idx="2553">
                  <c:v>56977</c:v>
                </c:pt>
                <c:pt idx="2554">
                  <c:v>56984</c:v>
                </c:pt>
                <c:pt idx="2555">
                  <c:v>56991</c:v>
                </c:pt>
                <c:pt idx="2556">
                  <c:v>56998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57342</c:v>
                </c:pt>
                <c:pt idx="2606">
                  <c:v>57349</c:v>
                </c:pt>
                <c:pt idx="2607">
                  <c:v>57356</c:v>
                </c:pt>
                <c:pt idx="2608">
                  <c:v>57363</c:v>
                </c:pt>
                <c:pt idx="2609">
                  <c:v>57370</c:v>
                </c:pt>
                <c:pt idx="2610">
                  <c:v>57377</c:v>
                </c:pt>
                <c:pt idx="2611">
                  <c:v>57384</c:v>
                </c:pt>
                <c:pt idx="2612">
                  <c:v>57391</c:v>
                </c:pt>
                <c:pt idx="2613">
                  <c:v>57398</c:v>
                </c:pt>
                <c:pt idx="2614">
                  <c:v>57405</c:v>
                </c:pt>
                <c:pt idx="2615">
                  <c:v>57412</c:v>
                </c:pt>
                <c:pt idx="2616">
                  <c:v>57419</c:v>
                </c:pt>
                <c:pt idx="2617">
                  <c:v>57426</c:v>
                </c:pt>
                <c:pt idx="2618">
                  <c:v>57433</c:v>
                </c:pt>
                <c:pt idx="2619">
                  <c:v>57440</c:v>
                </c:pt>
                <c:pt idx="2620">
                  <c:v>57447</c:v>
                </c:pt>
                <c:pt idx="2621">
                  <c:v>57454</c:v>
                </c:pt>
                <c:pt idx="2622">
                  <c:v>57461</c:v>
                </c:pt>
                <c:pt idx="2623">
                  <c:v>57468</c:v>
                </c:pt>
                <c:pt idx="2624">
                  <c:v>57475</c:v>
                </c:pt>
                <c:pt idx="2625">
                  <c:v>57482</c:v>
                </c:pt>
                <c:pt idx="2626">
                  <c:v>57489</c:v>
                </c:pt>
                <c:pt idx="2627">
                  <c:v>57496</c:v>
                </c:pt>
                <c:pt idx="2628">
                  <c:v>57503</c:v>
                </c:pt>
                <c:pt idx="2629">
                  <c:v>57510</c:v>
                </c:pt>
                <c:pt idx="2630">
                  <c:v>57517</c:v>
                </c:pt>
                <c:pt idx="2631">
                  <c:v>57524</c:v>
                </c:pt>
                <c:pt idx="2632">
                  <c:v>57531</c:v>
                </c:pt>
                <c:pt idx="2633">
                  <c:v>57538</c:v>
                </c:pt>
                <c:pt idx="2634">
                  <c:v>57545</c:v>
                </c:pt>
                <c:pt idx="2635">
                  <c:v>57552</c:v>
                </c:pt>
                <c:pt idx="2636">
                  <c:v>57559</c:v>
                </c:pt>
                <c:pt idx="2637">
                  <c:v>57566</c:v>
                </c:pt>
                <c:pt idx="2638">
                  <c:v>57573</c:v>
                </c:pt>
                <c:pt idx="2639">
                  <c:v>57580</c:v>
                </c:pt>
                <c:pt idx="2640">
                  <c:v>57587</c:v>
                </c:pt>
                <c:pt idx="2641">
                  <c:v>57594</c:v>
                </c:pt>
                <c:pt idx="2642">
                  <c:v>57601</c:v>
                </c:pt>
                <c:pt idx="2643">
                  <c:v>57608</c:v>
                </c:pt>
                <c:pt idx="2644">
                  <c:v>57615</c:v>
                </c:pt>
                <c:pt idx="2645">
                  <c:v>57622</c:v>
                </c:pt>
                <c:pt idx="2646">
                  <c:v>57629</c:v>
                </c:pt>
                <c:pt idx="2647">
                  <c:v>57636</c:v>
                </c:pt>
                <c:pt idx="2648">
                  <c:v>57643</c:v>
                </c:pt>
                <c:pt idx="2649">
                  <c:v>57650</c:v>
                </c:pt>
                <c:pt idx="2650">
                  <c:v>57657</c:v>
                </c:pt>
                <c:pt idx="2651">
                  <c:v>57664</c:v>
                </c:pt>
                <c:pt idx="2652">
                  <c:v>57671</c:v>
                </c:pt>
                <c:pt idx="2653">
                  <c:v>57678</c:v>
                </c:pt>
                <c:pt idx="2654">
                  <c:v>57685</c:v>
                </c:pt>
                <c:pt idx="2655">
                  <c:v>57692</c:v>
                </c:pt>
                <c:pt idx="2656">
                  <c:v>57699</c:v>
                </c:pt>
                <c:pt idx="2657">
                  <c:v>57706</c:v>
                </c:pt>
                <c:pt idx="2658">
                  <c:v>57713</c:v>
                </c:pt>
                <c:pt idx="2659">
                  <c:v>57720</c:v>
                </c:pt>
                <c:pt idx="2660">
                  <c:v>57727</c:v>
                </c:pt>
                <c:pt idx="2661">
                  <c:v>57734</c:v>
                </c:pt>
                <c:pt idx="2662">
                  <c:v>57741</c:v>
                </c:pt>
                <c:pt idx="2663">
                  <c:v>57748</c:v>
                </c:pt>
                <c:pt idx="2664">
                  <c:v>57755</c:v>
                </c:pt>
                <c:pt idx="2665">
                  <c:v>57762</c:v>
                </c:pt>
                <c:pt idx="2666">
                  <c:v>57769</c:v>
                </c:pt>
                <c:pt idx="2667">
                  <c:v>57776</c:v>
                </c:pt>
                <c:pt idx="2668">
                  <c:v>57783</c:v>
                </c:pt>
                <c:pt idx="2669">
                  <c:v>57790</c:v>
                </c:pt>
                <c:pt idx="2670">
                  <c:v>57797</c:v>
                </c:pt>
                <c:pt idx="2671">
                  <c:v>57804</c:v>
                </c:pt>
                <c:pt idx="2672">
                  <c:v>57811</c:v>
                </c:pt>
                <c:pt idx="2673">
                  <c:v>57818</c:v>
                </c:pt>
                <c:pt idx="2674">
                  <c:v>57826</c:v>
                </c:pt>
                <c:pt idx="2675">
                  <c:v>57833</c:v>
                </c:pt>
                <c:pt idx="2676">
                  <c:v>57840</c:v>
                </c:pt>
                <c:pt idx="2677">
                  <c:v>57847</c:v>
                </c:pt>
                <c:pt idx="2678">
                  <c:v>57854</c:v>
                </c:pt>
                <c:pt idx="2679">
                  <c:v>57861</c:v>
                </c:pt>
                <c:pt idx="2680">
                  <c:v>57868</c:v>
                </c:pt>
                <c:pt idx="2681">
                  <c:v>57875</c:v>
                </c:pt>
                <c:pt idx="2682">
                  <c:v>57882</c:v>
                </c:pt>
                <c:pt idx="2683">
                  <c:v>57889</c:v>
                </c:pt>
                <c:pt idx="2684">
                  <c:v>57896</c:v>
                </c:pt>
                <c:pt idx="2685">
                  <c:v>57903</c:v>
                </c:pt>
                <c:pt idx="2686">
                  <c:v>57910</c:v>
                </c:pt>
                <c:pt idx="2687">
                  <c:v>57917</c:v>
                </c:pt>
                <c:pt idx="2688">
                  <c:v>57924</c:v>
                </c:pt>
                <c:pt idx="2689">
                  <c:v>57931</c:v>
                </c:pt>
                <c:pt idx="2690">
                  <c:v>57938</c:v>
                </c:pt>
                <c:pt idx="2691">
                  <c:v>57945</c:v>
                </c:pt>
                <c:pt idx="2692">
                  <c:v>57952</c:v>
                </c:pt>
                <c:pt idx="2693">
                  <c:v>57959</c:v>
                </c:pt>
                <c:pt idx="2694">
                  <c:v>57966</c:v>
                </c:pt>
                <c:pt idx="2695">
                  <c:v>57973</c:v>
                </c:pt>
                <c:pt idx="2696">
                  <c:v>57980</c:v>
                </c:pt>
                <c:pt idx="2697">
                  <c:v>57987</c:v>
                </c:pt>
                <c:pt idx="2698">
                  <c:v>57994</c:v>
                </c:pt>
                <c:pt idx="2699">
                  <c:v>58001</c:v>
                </c:pt>
                <c:pt idx="2700">
                  <c:v>58008</c:v>
                </c:pt>
                <c:pt idx="2701">
                  <c:v>58015</c:v>
                </c:pt>
                <c:pt idx="2702">
                  <c:v>58022</c:v>
                </c:pt>
                <c:pt idx="2703">
                  <c:v>58029</c:v>
                </c:pt>
                <c:pt idx="2704">
                  <c:v>58036</c:v>
                </c:pt>
                <c:pt idx="2705">
                  <c:v>58043</c:v>
                </c:pt>
                <c:pt idx="2706">
                  <c:v>58050</c:v>
                </c:pt>
                <c:pt idx="2707">
                  <c:v>58057</c:v>
                </c:pt>
                <c:pt idx="2708">
                  <c:v>58064</c:v>
                </c:pt>
                <c:pt idx="2709">
                  <c:v>58071</c:v>
                </c:pt>
                <c:pt idx="2710">
                  <c:v>58078</c:v>
                </c:pt>
                <c:pt idx="2711">
                  <c:v>58085</c:v>
                </c:pt>
                <c:pt idx="2712">
                  <c:v>58092</c:v>
                </c:pt>
                <c:pt idx="2713">
                  <c:v>58099</c:v>
                </c:pt>
                <c:pt idx="2714">
                  <c:v>58106</c:v>
                </c:pt>
                <c:pt idx="2715">
                  <c:v>58113</c:v>
                </c:pt>
                <c:pt idx="2716">
                  <c:v>58120</c:v>
                </c:pt>
                <c:pt idx="2717">
                  <c:v>58127</c:v>
                </c:pt>
                <c:pt idx="2718">
                  <c:v>58134</c:v>
                </c:pt>
                <c:pt idx="2719">
                  <c:v>58141</c:v>
                </c:pt>
                <c:pt idx="2720">
                  <c:v>58148</c:v>
                </c:pt>
                <c:pt idx="2721">
                  <c:v>58155</c:v>
                </c:pt>
                <c:pt idx="2722">
                  <c:v>58166</c:v>
                </c:pt>
                <c:pt idx="2723">
                  <c:v>58173</c:v>
                </c:pt>
                <c:pt idx="2724">
                  <c:v>58180</c:v>
                </c:pt>
                <c:pt idx="2725">
                  <c:v>58187</c:v>
                </c:pt>
                <c:pt idx="2726">
                  <c:v>58194</c:v>
                </c:pt>
                <c:pt idx="2727">
                  <c:v>58201</c:v>
                </c:pt>
                <c:pt idx="2728">
                  <c:v>58208</c:v>
                </c:pt>
                <c:pt idx="2729">
                  <c:v>58215</c:v>
                </c:pt>
                <c:pt idx="2730">
                  <c:v>58222</c:v>
                </c:pt>
                <c:pt idx="2731">
                  <c:v>58229</c:v>
                </c:pt>
                <c:pt idx="2732">
                  <c:v>58236</c:v>
                </c:pt>
                <c:pt idx="2733">
                  <c:v>58243</c:v>
                </c:pt>
                <c:pt idx="2734">
                  <c:v>58250</c:v>
                </c:pt>
                <c:pt idx="2735">
                  <c:v>58257</c:v>
                </c:pt>
                <c:pt idx="2736">
                  <c:v>58264</c:v>
                </c:pt>
                <c:pt idx="2737">
                  <c:v>58271</c:v>
                </c:pt>
                <c:pt idx="2738">
                  <c:v>58278</c:v>
                </c:pt>
                <c:pt idx="2739">
                  <c:v>58285</c:v>
                </c:pt>
                <c:pt idx="2740">
                  <c:v>58292</c:v>
                </c:pt>
                <c:pt idx="2741">
                  <c:v>58299</c:v>
                </c:pt>
                <c:pt idx="2742">
                  <c:v>58306</c:v>
                </c:pt>
                <c:pt idx="2743">
                  <c:v>58313</c:v>
                </c:pt>
                <c:pt idx="2744">
                  <c:v>58320</c:v>
                </c:pt>
                <c:pt idx="2745">
                  <c:v>58327</c:v>
                </c:pt>
                <c:pt idx="2746">
                  <c:v>58334</c:v>
                </c:pt>
                <c:pt idx="2747">
                  <c:v>58341</c:v>
                </c:pt>
                <c:pt idx="2748">
                  <c:v>58348</c:v>
                </c:pt>
                <c:pt idx="2749">
                  <c:v>58355</c:v>
                </c:pt>
                <c:pt idx="2750">
                  <c:v>58362</c:v>
                </c:pt>
                <c:pt idx="2751">
                  <c:v>58369</c:v>
                </c:pt>
                <c:pt idx="2752">
                  <c:v>58376</c:v>
                </c:pt>
                <c:pt idx="2753">
                  <c:v>58383</c:v>
                </c:pt>
                <c:pt idx="2754">
                  <c:v>58390</c:v>
                </c:pt>
                <c:pt idx="2755">
                  <c:v>58397</c:v>
                </c:pt>
                <c:pt idx="2756">
                  <c:v>58404</c:v>
                </c:pt>
                <c:pt idx="2757">
                  <c:v>58411</c:v>
                </c:pt>
                <c:pt idx="2758">
                  <c:v>58418</c:v>
                </c:pt>
                <c:pt idx="2759">
                  <c:v>58425</c:v>
                </c:pt>
                <c:pt idx="2760">
                  <c:v>58432</c:v>
                </c:pt>
                <c:pt idx="2761">
                  <c:v>58439</c:v>
                </c:pt>
                <c:pt idx="2762">
                  <c:v>58446</c:v>
                </c:pt>
                <c:pt idx="2763">
                  <c:v>58453</c:v>
                </c:pt>
                <c:pt idx="2764">
                  <c:v>58460</c:v>
                </c:pt>
                <c:pt idx="2765">
                  <c:v>58467</c:v>
                </c:pt>
                <c:pt idx="2766">
                  <c:v>58474</c:v>
                </c:pt>
                <c:pt idx="2767">
                  <c:v>58481</c:v>
                </c:pt>
                <c:pt idx="2768">
                  <c:v>58488</c:v>
                </c:pt>
                <c:pt idx="2769">
                  <c:v>58495</c:v>
                </c:pt>
                <c:pt idx="2770">
                  <c:v>58502</c:v>
                </c:pt>
                <c:pt idx="2771">
                  <c:v>58509</c:v>
                </c:pt>
                <c:pt idx="2772">
                  <c:v>58516</c:v>
                </c:pt>
                <c:pt idx="2773">
                  <c:v>58523</c:v>
                </c:pt>
                <c:pt idx="2774">
                  <c:v>58530</c:v>
                </c:pt>
                <c:pt idx="2775">
                  <c:v>58537</c:v>
                </c:pt>
                <c:pt idx="2776">
                  <c:v>58544</c:v>
                </c:pt>
                <c:pt idx="2777">
                  <c:v>58551</c:v>
                </c:pt>
                <c:pt idx="2778">
                  <c:v>58558</c:v>
                </c:pt>
                <c:pt idx="2779">
                  <c:v>58565</c:v>
                </c:pt>
                <c:pt idx="2780">
                  <c:v>58572</c:v>
                </c:pt>
                <c:pt idx="2781">
                  <c:v>58579</c:v>
                </c:pt>
                <c:pt idx="2782">
                  <c:v>58586</c:v>
                </c:pt>
                <c:pt idx="2783">
                  <c:v>58593</c:v>
                </c:pt>
                <c:pt idx="2784">
                  <c:v>58600</c:v>
                </c:pt>
                <c:pt idx="2785">
                  <c:v>58607</c:v>
                </c:pt>
                <c:pt idx="2786">
                  <c:v>58614</c:v>
                </c:pt>
                <c:pt idx="2787">
                  <c:v>58621</c:v>
                </c:pt>
                <c:pt idx="2788">
                  <c:v>58628</c:v>
                </c:pt>
                <c:pt idx="2789">
                  <c:v>58635</c:v>
                </c:pt>
                <c:pt idx="2790">
                  <c:v>58642</c:v>
                </c:pt>
                <c:pt idx="2791">
                  <c:v>58649</c:v>
                </c:pt>
                <c:pt idx="2792">
                  <c:v>58656</c:v>
                </c:pt>
                <c:pt idx="2793">
                  <c:v>58663</c:v>
                </c:pt>
                <c:pt idx="2794">
                  <c:v>58670</c:v>
                </c:pt>
                <c:pt idx="2795">
                  <c:v>58677</c:v>
                </c:pt>
                <c:pt idx="2796">
                  <c:v>58684</c:v>
                </c:pt>
                <c:pt idx="2797">
                  <c:v>58691</c:v>
                </c:pt>
                <c:pt idx="2798">
                  <c:v>58698</c:v>
                </c:pt>
                <c:pt idx="2799">
                  <c:v>58705</c:v>
                </c:pt>
                <c:pt idx="2800">
                  <c:v>58712</c:v>
                </c:pt>
                <c:pt idx="2801">
                  <c:v>58719</c:v>
                </c:pt>
                <c:pt idx="2802">
                  <c:v>58726</c:v>
                </c:pt>
                <c:pt idx="2803">
                  <c:v>58733</c:v>
                </c:pt>
                <c:pt idx="2804">
                  <c:v>58740</c:v>
                </c:pt>
                <c:pt idx="2805">
                  <c:v>58747</c:v>
                </c:pt>
                <c:pt idx="2806">
                  <c:v>58754</c:v>
                </c:pt>
                <c:pt idx="2807">
                  <c:v>58761</c:v>
                </c:pt>
                <c:pt idx="2808">
                  <c:v>58768</c:v>
                </c:pt>
                <c:pt idx="2809">
                  <c:v>58775</c:v>
                </c:pt>
                <c:pt idx="2810">
                  <c:v>58782</c:v>
                </c:pt>
                <c:pt idx="2811">
                  <c:v>58789</c:v>
                </c:pt>
                <c:pt idx="2812">
                  <c:v>58796</c:v>
                </c:pt>
                <c:pt idx="2813">
                  <c:v>58804</c:v>
                </c:pt>
                <c:pt idx="2814">
                  <c:v>58811</c:v>
                </c:pt>
                <c:pt idx="2815">
                  <c:v>58818</c:v>
                </c:pt>
                <c:pt idx="2816">
                  <c:v>58825</c:v>
                </c:pt>
                <c:pt idx="2817">
                  <c:v>58833</c:v>
                </c:pt>
                <c:pt idx="2818">
                  <c:v>58840</c:v>
                </c:pt>
                <c:pt idx="2819">
                  <c:v>58847</c:v>
                </c:pt>
                <c:pt idx="2820">
                  <c:v>58854</c:v>
                </c:pt>
                <c:pt idx="2821">
                  <c:v>58861</c:v>
                </c:pt>
                <c:pt idx="2822">
                  <c:v>58868</c:v>
                </c:pt>
                <c:pt idx="2823">
                  <c:v>58875</c:v>
                </c:pt>
                <c:pt idx="2824">
                  <c:v>58882</c:v>
                </c:pt>
                <c:pt idx="2825">
                  <c:v>58889</c:v>
                </c:pt>
                <c:pt idx="2826">
                  <c:v>58896</c:v>
                </c:pt>
                <c:pt idx="2827">
                  <c:v>58903</c:v>
                </c:pt>
                <c:pt idx="2828">
                  <c:v>58910</c:v>
                </c:pt>
                <c:pt idx="2829">
                  <c:v>58917</c:v>
                </c:pt>
                <c:pt idx="2830">
                  <c:v>58924</c:v>
                </c:pt>
                <c:pt idx="2831">
                  <c:v>58931</c:v>
                </c:pt>
                <c:pt idx="2832">
                  <c:v>58938</c:v>
                </c:pt>
                <c:pt idx="2833">
                  <c:v>58945</c:v>
                </c:pt>
                <c:pt idx="2834">
                  <c:v>58952</c:v>
                </c:pt>
                <c:pt idx="2835">
                  <c:v>58959</c:v>
                </c:pt>
                <c:pt idx="2836">
                  <c:v>58966</c:v>
                </c:pt>
                <c:pt idx="2837">
                  <c:v>58973</c:v>
                </c:pt>
                <c:pt idx="2838">
                  <c:v>58980</c:v>
                </c:pt>
                <c:pt idx="2839">
                  <c:v>58987</c:v>
                </c:pt>
                <c:pt idx="2840">
                  <c:v>58994</c:v>
                </c:pt>
                <c:pt idx="2841">
                  <c:v>59001</c:v>
                </c:pt>
                <c:pt idx="2842">
                  <c:v>59008</c:v>
                </c:pt>
                <c:pt idx="2843">
                  <c:v>59015</c:v>
                </c:pt>
                <c:pt idx="2844">
                  <c:v>59022</c:v>
                </c:pt>
                <c:pt idx="2845">
                  <c:v>59029</c:v>
                </c:pt>
                <c:pt idx="2846">
                  <c:v>59036</c:v>
                </c:pt>
                <c:pt idx="2847">
                  <c:v>59043</c:v>
                </c:pt>
                <c:pt idx="2848">
                  <c:v>59050</c:v>
                </c:pt>
                <c:pt idx="2849">
                  <c:v>59057</c:v>
                </c:pt>
                <c:pt idx="2850">
                  <c:v>59064</c:v>
                </c:pt>
                <c:pt idx="2851">
                  <c:v>59071</c:v>
                </c:pt>
                <c:pt idx="2852">
                  <c:v>59078</c:v>
                </c:pt>
                <c:pt idx="2853">
                  <c:v>59085</c:v>
                </c:pt>
                <c:pt idx="2854">
                  <c:v>59092</c:v>
                </c:pt>
                <c:pt idx="2855">
                  <c:v>59099</c:v>
                </c:pt>
                <c:pt idx="2856">
                  <c:v>59106</c:v>
                </c:pt>
                <c:pt idx="2857">
                  <c:v>59113</c:v>
                </c:pt>
                <c:pt idx="2858">
                  <c:v>59120</c:v>
                </c:pt>
                <c:pt idx="2859">
                  <c:v>59127</c:v>
                </c:pt>
                <c:pt idx="2860">
                  <c:v>59134</c:v>
                </c:pt>
                <c:pt idx="2861">
                  <c:v>59141</c:v>
                </c:pt>
                <c:pt idx="2862">
                  <c:v>59148</c:v>
                </c:pt>
                <c:pt idx="2863">
                  <c:v>59155</c:v>
                </c:pt>
                <c:pt idx="2864">
                  <c:v>59162</c:v>
                </c:pt>
                <c:pt idx="2865">
                  <c:v>59169</c:v>
                </c:pt>
                <c:pt idx="2866">
                  <c:v>59176</c:v>
                </c:pt>
                <c:pt idx="2867">
                  <c:v>59183</c:v>
                </c:pt>
                <c:pt idx="2868">
                  <c:v>59190</c:v>
                </c:pt>
                <c:pt idx="2869">
                  <c:v>59198</c:v>
                </c:pt>
                <c:pt idx="2870">
                  <c:v>59205</c:v>
                </c:pt>
                <c:pt idx="2871">
                  <c:v>59212</c:v>
                </c:pt>
                <c:pt idx="2872">
                  <c:v>59219</c:v>
                </c:pt>
                <c:pt idx="2873">
                  <c:v>59226</c:v>
                </c:pt>
                <c:pt idx="2874">
                  <c:v>59233</c:v>
                </c:pt>
                <c:pt idx="2875">
                  <c:v>59240</c:v>
                </c:pt>
                <c:pt idx="2876">
                  <c:v>59247</c:v>
                </c:pt>
                <c:pt idx="2877">
                  <c:v>59258</c:v>
                </c:pt>
                <c:pt idx="2878">
                  <c:v>59265</c:v>
                </c:pt>
                <c:pt idx="2879">
                  <c:v>59272</c:v>
                </c:pt>
                <c:pt idx="2880">
                  <c:v>59279</c:v>
                </c:pt>
                <c:pt idx="2881">
                  <c:v>59287</c:v>
                </c:pt>
                <c:pt idx="2882">
                  <c:v>59294</c:v>
                </c:pt>
                <c:pt idx="2883">
                  <c:v>59301</c:v>
                </c:pt>
                <c:pt idx="2884">
                  <c:v>59308</c:v>
                </c:pt>
                <c:pt idx="2885">
                  <c:v>59315</c:v>
                </c:pt>
                <c:pt idx="2886">
                  <c:v>59322</c:v>
                </c:pt>
                <c:pt idx="2887">
                  <c:v>59329</c:v>
                </c:pt>
                <c:pt idx="2888">
                  <c:v>59336</c:v>
                </c:pt>
                <c:pt idx="2889">
                  <c:v>59343</c:v>
                </c:pt>
                <c:pt idx="2890">
                  <c:v>59350</c:v>
                </c:pt>
                <c:pt idx="2891">
                  <c:v>59357</c:v>
                </c:pt>
                <c:pt idx="2892">
                  <c:v>59364</c:v>
                </c:pt>
                <c:pt idx="2893">
                  <c:v>59371</c:v>
                </c:pt>
                <c:pt idx="2894">
                  <c:v>59378</c:v>
                </c:pt>
                <c:pt idx="2895">
                  <c:v>59385</c:v>
                </c:pt>
                <c:pt idx="2896">
                  <c:v>59392</c:v>
                </c:pt>
                <c:pt idx="2897">
                  <c:v>59399</c:v>
                </c:pt>
                <c:pt idx="2898">
                  <c:v>59406</c:v>
                </c:pt>
                <c:pt idx="2899">
                  <c:v>59413</c:v>
                </c:pt>
                <c:pt idx="2900">
                  <c:v>59420</c:v>
                </c:pt>
                <c:pt idx="2901">
                  <c:v>59427</c:v>
                </c:pt>
                <c:pt idx="2902">
                  <c:v>59434</c:v>
                </c:pt>
                <c:pt idx="2903">
                  <c:v>59441</c:v>
                </c:pt>
                <c:pt idx="2904">
                  <c:v>59448</c:v>
                </c:pt>
                <c:pt idx="2905">
                  <c:v>59455</c:v>
                </c:pt>
                <c:pt idx="2906">
                  <c:v>59462</c:v>
                </c:pt>
                <c:pt idx="2907">
                  <c:v>59469</c:v>
                </c:pt>
                <c:pt idx="2908">
                  <c:v>59476</c:v>
                </c:pt>
                <c:pt idx="2909">
                  <c:v>59483</c:v>
                </c:pt>
                <c:pt idx="2910">
                  <c:v>59490</c:v>
                </c:pt>
                <c:pt idx="2911">
                  <c:v>59497</c:v>
                </c:pt>
                <c:pt idx="2912">
                  <c:v>59504</c:v>
                </c:pt>
                <c:pt idx="2913">
                  <c:v>59511</c:v>
                </c:pt>
                <c:pt idx="2914">
                  <c:v>59518</c:v>
                </c:pt>
                <c:pt idx="2915">
                  <c:v>59525</c:v>
                </c:pt>
                <c:pt idx="2916">
                  <c:v>59532</c:v>
                </c:pt>
                <c:pt idx="2917">
                  <c:v>59539</c:v>
                </c:pt>
                <c:pt idx="2918">
                  <c:v>59546</c:v>
                </c:pt>
                <c:pt idx="2919">
                  <c:v>59553</c:v>
                </c:pt>
                <c:pt idx="2920">
                  <c:v>59560</c:v>
                </c:pt>
                <c:pt idx="2921">
                  <c:v>59567</c:v>
                </c:pt>
                <c:pt idx="2922">
                  <c:v>59574</c:v>
                </c:pt>
                <c:pt idx="2923">
                  <c:v>59581</c:v>
                </c:pt>
                <c:pt idx="2924">
                  <c:v>59588</c:v>
                </c:pt>
                <c:pt idx="2925">
                  <c:v>59595</c:v>
                </c:pt>
                <c:pt idx="2926">
                  <c:v>59602</c:v>
                </c:pt>
                <c:pt idx="2927">
                  <c:v>59609</c:v>
                </c:pt>
                <c:pt idx="2928">
                  <c:v>59616</c:v>
                </c:pt>
                <c:pt idx="2929">
                  <c:v>59623</c:v>
                </c:pt>
                <c:pt idx="2930">
                  <c:v>59630</c:v>
                </c:pt>
                <c:pt idx="2931">
                  <c:v>59637</c:v>
                </c:pt>
                <c:pt idx="2932">
                  <c:v>59644</c:v>
                </c:pt>
                <c:pt idx="2933">
                  <c:v>59652</c:v>
                </c:pt>
                <c:pt idx="2934">
                  <c:v>59659</c:v>
                </c:pt>
                <c:pt idx="2935">
                  <c:v>59666</c:v>
                </c:pt>
                <c:pt idx="2936">
                  <c:v>59673</c:v>
                </c:pt>
                <c:pt idx="2937">
                  <c:v>59680</c:v>
                </c:pt>
                <c:pt idx="2938">
                  <c:v>59687</c:v>
                </c:pt>
                <c:pt idx="2939">
                  <c:v>59694</c:v>
                </c:pt>
                <c:pt idx="2940">
                  <c:v>59701</c:v>
                </c:pt>
                <c:pt idx="2941">
                  <c:v>59708</c:v>
                </c:pt>
                <c:pt idx="2942">
                  <c:v>59715</c:v>
                </c:pt>
                <c:pt idx="2943">
                  <c:v>59722</c:v>
                </c:pt>
                <c:pt idx="2944">
                  <c:v>59729</c:v>
                </c:pt>
                <c:pt idx="2945">
                  <c:v>59736</c:v>
                </c:pt>
                <c:pt idx="2946">
                  <c:v>59743</c:v>
                </c:pt>
                <c:pt idx="2947">
                  <c:v>59750</c:v>
                </c:pt>
                <c:pt idx="2948">
                  <c:v>59757</c:v>
                </c:pt>
                <c:pt idx="2949">
                  <c:v>59764</c:v>
                </c:pt>
                <c:pt idx="2950">
                  <c:v>59771</c:v>
                </c:pt>
                <c:pt idx="2951">
                  <c:v>59778</c:v>
                </c:pt>
                <c:pt idx="2952">
                  <c:v>59785</c:v>
                </c:pt>
                <c:pt idx="2953">
                  <c:v>59792</c:v>
                </c:pt>
                <c:pt idx="2954">
                  <c:v>59799</c:v>
                </c:pt>
                <c:pt idx="2955">
                  <c:v>59806</c:v>
                </c:pt>
                <c:pt idx="2956">
                  <c:v>59813</c:v>
                </c:pt>
                <c:pt idx="2957">
                  <c:v>59820</c:v>
                </c:pt>
                <c:pt idx="2958">
                  <c:v>59827</c:v>
                </c:pt>
                <c:pt idx="2959">
                  <c:v>59834</c:v>
                </c:pt>
                <c:pt idx="2960">
                  <c:v>59841</c:v>
                </c:pt>
                <c:pt idx="2961">
                  <c:v>59848</c:v>
                </c:pt>
                <c:pt idx="2962">
                  <c:v>59855</c:v>
                </c:pt>
                <c:pt idx="2963">
                  <c:v>59862</c:v>
                </c:pt>
                <c:pt idx="2964">
                  <c:v>59869</c:v>
                </c:pt>
                <c:pt idx="2965">
                  <c:v>59876</c:v>
                </c:pt>
                <c:pt idx="2966">
                  <c:v>59883</c:v>
                </c:pt>
                <c:pt idx="2967">
                  <c:v>59890</c:v>
                </c:pt>
                <c:pt idx="2968">
                  <c:v>59897</c:v>
                </c:pt>
                <c:pt idx="2969">
                  <c:v>59904</c:v>
                </c:pt>
                <c:pt idx="2970">
                  <c:v>59911</c:v>
                </c:pt>
                <c:pt idx="2971">
                  <c:v>59918</c:v>
                </c:pt>
                <c:pt idx="2972">
                  <c:v>59925</c:v>
                </c:pt>
                <c:pt idx="2973">
                  <c:v>59932</c:v>
                </c:pt>
                <c:pt idx="2974">
                  <c:v>59939</c:v>
                </c:pt>
                <c:pt idx="2975">
                  <c:v>59946</c:v>
                </c:pt>
                <c:pt idx="2976">
                  <c:v>59953</c:v>
                </c:pt>
                <c:pt idx="2977">
                  <c:v>59960</c:v>
                </c:pt>
                <c:pt idx="2978">
                  <c:v>59967</c:v>
                </c:pt>
                <c:pt idx="2979">
                  <c:v>59974</c:v>
                </c:pt>
                <c:pt idx="2980">
                  <c:v>59981</c:v>
                </c:pt>
                <c:pt idx="2981">
                  <c:v>59988</c:v>
                </c:pt>
                <c:pt idx="2982">
                  <c:v>59995</c:v>
                </c:pt>
                <c:pt idx="2983">
                  <c:v>60002</c:v>
                </c:pt>
                <c:pt idx="2984">
                  <c:v>60009</c:v>
                </c:pt>
                <c:pt idx="2985">
                  <c:v>60016</c:v>
                </c:pt>
                <c:pt idx="2986">
                  <c:v>60023</c:v>
                </c:pt>
                <c:pt idx="2987">
                  <c:v>60030</c:v>
                </c:pt>
                <c:pt idx="2988">
                  <c:v>60037</c:v>
                </c:pt>
                <c:pt idx="2989">
                  <c:v>60044</c:v>
                </c:pt>
                <c:pt idx="2990">
                  <c:v>60051</c:v>
                </c:pt>
                <c:pt idx="2991">
                  <c:v>60058</c:v>
                </c:pt>
                <c:pt idx="2992">
                  <c:v>60065</c:v>
                </c:pt>
                <c:pt idx="2993">
                  <c:v>60072</c:v>
                </c:pt>
                <c:pt idx="2994">
                  <c:v>60079</c:v>
                </c:pt>
                <c:pt idx="2995">
                  <c:v>60086</c:v>
                </c:pt>
                <c:pt idx="2996">
                  <c:v>60093</c:v>
                </c:pt>
                <c:pt idx="2997">
                  <c:v>60100</c:v>
                </c:pt>
                <c:pt idx="2998">
                  <c:v>60107</c:v>
                </c:pt>
                <c:pt idx="2999">
                  <c:v>60114</c:v>
                </c:pt>
                <c:pt idx="3000">
                  <c:v>60121</c:v>
                </c:pt>
                <c:pt idx="3001">
                  <c:v>60128</c:v>
                </c:pt>
                <c:pt idx="3002">
                  <c:v>60135</c:v>
                </c:pt>
                <c:pt idx="3003">
                  <c:v>60142</c:v>
                </c:pt>
                <c:pt idx="3004">
                  <c:v>60149</c:v>
                </c:pt>
                <c:pt idx="3005">
                  <c:v>60156</c:v>
                </c:pt>
                <c:pt idx="3006">
                  <c:v>60163</c:v>
                </c:pt>
                <c:pt idx="3007">
                  <c:v>60170</c:v>
                </c:pt>
                <c:pt idx="3008">
                  <c:v>60177</c:v>
                </c:pt>
                <c:pt idx="3009">
                  <c:v>60184</c:v>
                </c:pt>
                <c:pt idx="3010">
                  <c:v>60191</c:v>
                </c:pt>
                <c:pt idx="3011">
                  <c:v>60198</c:v>
                </c:pt>
                <c:pt idx="3012">
                  <c:v>60205</c:v>
                </c:pt>
                <c:pt idx="3013">
                  <c:v>60212</c:v>
                </c:pt>
                <c:pt idx="3014">
                  <c:v>60219</c:v>
                </c:pt>
                <c:pt idx="3015">
                  <c:v>60226</c:v>
                </c:pt>
                <c:pt idx="3016">
                  <c:v>60233</c:v>
                </c:pt>
                <c:pt idx="3017">
                  <c:v>60240</c:v>
                </c:pt>
                <c:pt idx="3018">
                  <c:v>60247</c:v>
                </c:pt>
                <c:pt idx="3019">
                  <c:v>60254</c:v>
                </c:pt>
                <c:pt idx="3020">
                  <c:v>60265</c:v>
                </c:pt>
                <c:pt idx="3021">
                  <c:v>60272</c:v>
                </c:pt>
                <c:pt idx="3022">
                  <c:v>60279</c:v>
                </c:pt>
                <c:pt idx="3023">
                  <c:v>60286</c:v>
                </c:pt>
                <c:pt idx="3024">
                  <c:v>60294</c:v>
                </c:pt>
                <c:pt idx="3025">
                  <c:v>60301</c:v>
                </c:pt>
                <c:pt idx="3026">
                  <c:v>60308</c:v>
                </c:pt>
                <c:pt idx="3027">
                  <c:v>60315</c:v>
                </c:pt>
                <c:pt idx="3028">
                  <c:v>60322</c:v>
                </c:pt>
                <c:pt idx="3029">
                  <c:v>60329</c:v>
                </c:pt>
                <c:pt idx="3030">
                  <c:v>60336</c:v>
                </c:pt>
                <c:pt idx="3031">
                  <c:v>60343</c:v>
                </c:pt>
                <c:pt idx="3032">
                  <c:v>60350</c:v>
                </c:pt>
                <c:pt idx="3033">
                  <c:v>60357</c:v>
                </c:pt>
                <c:pt idx="3034">
                  <c:v>60364</c:v>
                </c:pt>
                <c:pt idx="3035">
                  <c:v>60371</c:v>
                </c:pt>
                <c:pt idx="3036">
                  <c:v>60378</c:v>
                </c:pt>
                <c:pt idx="3037">
                  <c:v>60385</c:v>
                </c:pt>
                <c:pt idx="3038">
                  <c:v>60392</c:v>
                </c:pt>
                <c:pt idx="3039">
                  <c:v>60399</c:v>
                </c:pt>
                <c:pt idx="3040">
                  <c:v>60406</c:v>
                </c:pt>
                <c:pt idx="3041">
                  <c:v>60413</c:v>
                </c:pt>
                <c:pt idx="3042">
                  <c:v>60420</c:v>
                </c:pt>
                <c:pt idx="3043">
                  <c:v>60427</c:v>
                </c:pt>
                <c:pt idx="3044">
                  <c:v>60434</c:v>
                </c:pt>
                <c:pt idx="3045">
                  <c:v>60441</c:v>
                </c:pt>
                <c:pt idx="3046">
                  <c:v>60448</c:v>
                </c:pt>
                <c:pt idx="3047">
                  <c:v>60455</c:v>
                </c:pt>
                <c:pt idx="3048">
                  <c:v>60462</c:v>
                </c:pt>
                <c:pt idx="3049">
                  <c:v>60469</c:v>
                </c:pt>
                <c:pt idx="3050">
                  <c:v>60476</c:v>
                </c:pt>
                <c:pt idx="3051">
                  <c:v>60483</c:v>
                </c:pt>
                <c:pt idx="3052">
                  <c:v>60490</c:v>
                </c:pt>
                <c:pt idx="3053">
                  <c:v>60497</c:v>
                </c:pt>
                <c:pt idx="3054">
                  <c:v>60504</c:v>
                </c:pt>
                <c:pt idx="3055">
                  <c:v>60511</c:v>
                </c:pt>
                <c:pt idx="3056">
                  <c:v>60518</c:v>
                </c:pt>
                <c:pt idx="3057">
                  <c:v>60525</c:v>
                </c:pt>
                <c:pt idx="3058">
                  <c:v>60532</c:v>
                </c:pt>
                <c:pt idx="3059">
                  <c:v>60539</c:v>
                </c:pt>
                <c:pt idx="3060">
                  <c:v>60546</c:v>
                </c:pt>
                <c:pt idx="3061">
                  <c:v>60553</c:v>
                </c:pt>
                <c:pt idx="3062">
                  <c:v>60560</c:v>
                </c:pt>
                <c:pt idx="3063">
                  <c:v>60567</c:v>
                </c:pt>
                <c:pt idx="3064">
                  <c:v>60574</c:v>
                </c:pt>
                <c:pt idx="3065">
                  <c:v>60581</c:v>
                </c:pt>
                <c:pt idx="3066">
                  <c:v>60588</c:v>
                </c:pt>
                <c:pt idx="3067">
                  <c:v>60595</c:v>
                </c:pt>
                <c:pt idx="3068">
                  <c:v>60602</c:v>
                </c:pt>
                <c:pt idx="3069">
                  <c:v>60609</c:v>
                </c:pt>
                <c:pt idx="3070">
                  <c:v>60616</c:v>
                </c:pt>
                <c:pt idx="3071">
                  <c:v>60623</c:v>
                </c:pt>
                <c:pt idx="3072">
                  <c:v>60630</c:v>
                </c:pt>
                <c:pt idx="3073">
                  <c:v>60637</c:v>
                </c:pt>
                <c:pt idx="3074">
                  <c:v>60644</c:v>
                </c:pt>
                <c:pt idx="3075">
                  <c:v>60651</c:v>
                </c:pt>
                <c:pt idx="3076">
                  <c:v>60659</c:v>
                </c:pt>
                <c:pt idx="3077">
                  <c:v>60666</c:v>
                </c:pt>
                <c:pt idx="3078">
                  <c:v>60673</c:v>
                </c:pt>
                <c:pt idx="3079">
                  <c:v>60680</c:v>
                </c:pt>
                <c:pt idx="3080">
                  <c:v>60687</c:v>
                </c:pt>
                <c:pt idx="3081">
                  <c:v>60694</c:v>
                </c:pt>
                <c:pt idx="3082">
                  <c:v>60701</c:v>
                </c:pt>
                <c:pt idx="3083">
                  <c:v>60708</c:v>
                </c:pt>
                <c:pt idx="3084">
                  <c:v>60715</c:v>
                </c:pt>
                <c:pt idx="3085">
                  <c:v>60722</c:v>
                </c:pt>
                <c:pt idx="3086">
                  <c:v>60729</c:v>
                </c:pt>
                <c:pt idx="3087">
                  <c:v>60736</c:v>
                </c:pt>
                <c:pt idx="3088">
                  <c:v>60743</c:v>
                </c:pt>
                <c:pt idx="3089">
                  <c:v>60750</c:v>
                </c:pt>
                <c:pt idx="3090">
                  <c:v>60757</c:v>
                </c:pt>
                <c:pt idx="3091">
                  <c:v>60764</c:v>
                </c:pt>
                <c:pt idx="3092">
                  <c:v>60771</c:v>
                </c:pt>
                <c:pt idx="3093">
                  <c:v>60778</c:v>
                </c:pt>
                <c:pt idx="3094">
                  <c:v>60785</c:v>
                </c:pt>
                <c:pt idx="3095">
                  <c:v>60792</c:v>
                </c:pt>
                <c:pt idx="3096">
                  <c:v>60799</c:v>
                </c:pt>
                <c:pt idx="3097">
                  <c:v>60806</c:v>
                </c:pt>
                <c:pt idx="3098">
                  <c:v>60813</c:v>
                </c:pt>
                <c:pt idx="3099">
                  <c:v>60820</c:v>
                </c:pt>
                <c:pt idx="3100">
                  <c:v>60827</c:v>
                </c:pt>
                <c:pt idx="3101">
                  <c:v>60834</c:v>
                </c:pt>
                <c:pt idx="3102">
                  <c:v>60841</c:v>
                </c:pt>
                <c:pt idx="3103">
                  <c:v>60848</c:v>
                </c:pt>
                <c:pt idx="3104">
                  <c:v>60855</c:v>
                </c:pt>
                <c:pt idx="3105">
                  <c:v>60862</c:v>
                </c:pt>
                <c:pt idx="3106">
                  <c:v>60869</c:v>
                </c:pt>
                <c:pt idx="3107">
                  <c:v>60876</c:v>
                </c:pt>
                <c:pt idx="3108">
                  <c:v>60883</c:v>
                </c:pt>
                <c:pt idx="3109">
                  <c:v>60890</c:v>
                </c:pt>
                <c:pt idx="3110">
                  <c:v>60897</c:v>
                </c:pt>
                <c:pt idx="3111">
                  <c:v>60904</c:v>
                </c:pt>
                <c:pt idx="3112">
                  <c:v>60911</c:v>
                </c:pt>
                <c:pt idx="3113">
                  <c:v>60918</c:v>
                </c:pt>
                <c:pt idx="3114">
                  <c:v>60925</c:v>
                </c:pt>
                <c:pt idx="3115">
                  <c:v>60932</c:v>
                </c:pt>
                <c:pt idx="3116">
                  <c:v>60939</c:v>
                </c:pt>
                <c:pt idx="3117">
                  <c:v>60946</c:v>
                </c:pt>
                <c:pt idx="3118">
                  <c:v>60953</c:v>
                </c:pt>
                <c:pt idx="3119">
                  <c:v>60960</c:v>
                </c:pt>
                <c:pt idx="3120">
                  <c:v>60967</c:v>
                </c:pt>
                <c:pt idx="3121">
                  <c:v>60974</c:v>
                </c:pt>
                <c:pt idx="3122">
                  <c:v>60981</c:v>
                </c:pt>
                <c:pt idx="3123">
                  <c:v>60988</c:v>
                </c:pt>
                <c:pt idx="3124">
                  <c:v>60995</c:v>
                </c:pt>
                <c:pt idx="3125">
                  <c:v>61002</c:v>
                </c:pt>
                <c:pt idx="3126">
                  <c:v>61009</c:v>
                </c:pt>
                <c:pt idx="3127">
                  <c:v>61016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61389</c:v>
                </c:pt>
                <c:pt idx="3181">
                  <c:v>61396</c:v>
                </c:pt>
                <c:pt idx="3182">
                  <c:v>61403</c:v>
                </c:pt>
                <c:pt idx="3183">
                  <c:v>61410</c:v>
                </c:pt>
                <c:pt idx="3184">
                  <c:v>61417</c:v>
                </c:pt>
                <c:pt idx="3185">
                  <c:v>61424</c:v>
                </c:pt>
                <c:pt idx="3186">
                  <c:v>61431</c:v>
                </c:pt>
                <c:pt idx="3187">
                  <c:v>61438</c:v>
                </c:pt>
                <c:pt idx="3188">
                  <c:v>61445</c:v>
                </c:pt>
                <c:pt idx="3189">
                  <c:v>61452</c:v>
                </c:pt>
                <c:pt idx="3190">
                  <c:v>61459</c:v>
                </c:pt>
                <c:pt idx="3191">
                  <c:v>61466</c:v>
                </c:pt>
                <c:pt idx="3192">
                  <c:v>61477</c:v>
                </c:pt>
                <c:pt idx="3193">
                  <c:v>61484</c:v>
                </c:pt>
                <c:pt idx="3194">
                  <c:v>61491</c:v>
                </c:pt>
                <c:pt idx="3195">
                  <c:v>61498</c:v>
                </c:pt>
                <c:pt idx="3196">
                  <c:v>61505</c:v>
                </c:pt>
                <c:pt idx="3197">
                  <c:v>61512</c:v>
                </c:pt>
                <c:pt idx="3198">
                  <c:v>61519</c:v>
                </c:pt>
                <c:pt idx="3199">
                  <c:v>61526</c:v>
                </c:pt>
                <c:pt idx="3200">
                  <c:v>61533</c:v>
                </c:pt>
                <c:pt idx="3201">
                  <c:v>61540</c:v>
                </c:pt>
                <c:pt idx="3202">
                  <c:v>61547</c:v>
                </c:pt>
                <c:pt idx="3203">
                  <c:v>61554</c:v>
                </c:pt>
                <c:pt idx="3204">
                  <c:v>61561</c:v>
                </c:pt>
                <c:pt idx="3205">
                  <c:v>61568</c:v>
                </c:pt>
                <c:pt idx="3206">
                  <c:v>61575</c:v>
                </c:pt>
                <c:pt idx="3207">
                  <c:v>61582</c:v>
                </c:pt>
                <c:pt idx="3208">
                  <c:v>61589</c:v>
                </c:pt>
                <c:pt idx="3209">
                  <c:v>61596</c:v>
                </c:pt>
                <c:pt idx="3210">
                  <c:v>61603</c:v>
                </c:pt>
                <c:pt idx="3211">
                  <c:v>61610</c:v>
                </c:pt>
                <c:pt idx="3212">
                  <c:v>61617</c:v>
                </c:pt>
                <c:pt idx="3213">
                  <c:v>61624</c:v>
                </c:pt>
                <c:pt idx="3214">
                  <c:v>61631</c:v>
                </c:pt>
                <c:pt idx="3215">
                  <c:v>61638</c:v>
                </c:pt>
                <c:pt idx="3216">
                  <c:v>61645</c:v>
                </c:pt>
                <c:pt idx="3217">
                  <c:v>61652</c:v>
                </c:pt>
                <c:pt idx="3218">
                  <c:v>61659</c:v>
                </c:pt>
                <c:pt idx="3219">
                  <c:v>61666</c:v>
                </c:pt>
                <c:pt idx="3220">
                  <c:v>61673</c:v>
                </c:pt>
                <c:pt idx="3221">
                  <c:v>61680</c:v>
                </c:pt>
                <c:pt idx="3222">
                  <c:v>61687</c:v>
                </c:pt>
                <c:pt idx="3223">
                  <c:v>61694</c:v>
                </c:pt>
                <c:pt idx="3224">
                  <c:v>61701</c:v>
                </c:pt>
                <c:pt idx="3225">
                  <c:v>61708</c:v>
                </c:pt>
                <c:pt idx="3226">
                  <c:v>61715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61844</c:v>
                </c:pt>
                <c:pt idx="3245">
                  <c:v>61851</c:v>
                </c:pt>
                <c:pt idx="3246">
                  <c:v>61858</c:v>
                </c:pt>
                <c:pt idx="3247">
                  <c:v>61865</c:v>
                </c:pt>
                <c:pt idx="3248">
                  <c:v>61872</c:v>
                </c:pt>
                <c:pt idx="3249">
                  <c:v>61879</c:v>
                </c:pt>
                <c:pt idx="3250">
                  <c:v>61886</c:v>
                </c:pt>
                <c:pt idx="3251">
                  <c:v>61893</c:v>
                </c:pt>
                <c:pt idx="3252">
                  <c:v>61900</c:v>
                </c:pt>
                <c:pt idx="3253">
                  <c:v>61907</c:v>
                </c:pt>
                <c:pt idx="3254">
                  <c:v>61914</c:v>
                </c:pt>
                <c:pt idx="3255">
                  <c:v>61921</c:v>
                </c:pt>
                <c:pt idx="3256">
                  <c:v>61928</c:v>
                </c:pt>
                <c:pt idx="3257">
                  <c:v>61935</c:v>
                </c:pt>
                <c:pt idx="3258">
                  <c:v>61942</c:v>
                </c:pt>
                <c:pt idx="3259">
                  <c:v>61949</c:v>
                </c:pt>
                <c:pt idx="3260">
                  <c:v>61956</c:v>
                </c:pt>
                <c:pt idx="3261">
                  <c:v>61963</c:v>
                </c:pt>
                <c:pt idx="3262">
                  <c:v>61970</c:v>
                </c:pt>
                <c:pt idx="3263">
                  <c:v>61977</c:v>
                </c:pt>
                <c:pt idx="3264">
                  <c:v>61984</c:v>
                </c:pt>
                <c:pt idx="3265">
                  <c:v>61991</c:v>
                </c:pt>
                <c:pt idx="3266">
                  <c:v>61998</c:v>
                </c:pt>
                <c:pt idx="3267">
                  <c:v>62005</c:v>
                </c:pt>
                <c:pt idx="3268">
                  <c:v>62012</c:v>
                </c:pt>
                <c:pt idx="3269">
                  <c:v>62019</c:v>
                </c:pt>
                <c:pt idx="3270">
                  <c:v>62026</c:v>
                </c:pt>
                <c:pt idx="3271">
                  <c:v>62033</c:v>
                </c:pt>
                <c:pt idx="3272">
                  <c:v>62040</c:v>
                </c:pt>
                <c:pt idx="3273">
                  <c:v>62047</c:v>
                </c:pt>
                <c:pt idx="3274">
                  <c:v>62054</c:v>
                </c:pt>
                <c:pt idx="3275">
                  <c:v>62061</c:v>
                </c:pt>
                <c:pt idx="3276">
                  <c:v>62068</c:v>
                </c:pt>
                <c:pt idx="3277">
                  <c:v>62075</c:v>
                </c:pt>
                <c:pt idx="3278">
                  <c:v>62082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62850</c:v>
                </c:pt>
                <c:pt idx="3388">
                  <c:v>62857</c:v>
                </c:pt>
                <c:pt idx="3389">
                  <c:v>62864</c:v>
                </c:pt>
                <c:pt idx="3390">
                  <c:v>62871</c:v>
                </c:pt>
                <c:pt idx="3391">
                  <c:v>62878</c:v>
                </c:pt>
                <c:pt idx="3392">
                  <c:v>62885</c:v>
                </c:pt>
                <c:pt idx="3393">
                  <c:v>62892</c:v>
                </c:pt>
                <c:pt idx="3394">
                  <c:v>62899</c:v>
                </c:pt>
                <c:pt idx="3395">
                  <c:v>62906</c:v>
                </c:pt>
                <c:pt idx="3396">
                  <c:v>62913</c:v>
                </c:pt>
                <c:pt idx="3397">
                  <c:v>62920</c:v>
                </c:pt>
                <c:pt idx="3398">
                  <c:v>62927</c:v>
                </c:pt>
                <c:pt idx="3399">
                  <c:v>62934</c:v>
                </c:pt>
                <c:pt idx="3400">
                  <c:v>62941</c:v>
                </c:pt>
                <c:pt idx="3401">
                  <c:v>62948</c:v>
                </c:pt>
                <c:pt idx="3402">
                  <c:v>62955</c:v>
                </c:pt>
                <c:pt idx="3403">
                  <c:v>62962</c:v>
                </c:pt>
                <c:pt idx="3404">
                  <c:v>62969</c:v>
                </c:pt>
                <c:pt idx="3405">
                  <c:v>62976</c:v>
                </c:pt>
                <c:pt idx="3406">
                  <c:v>62983</c:v>
                </c:pt>
                <c:pt idx="3407">
                  <c:v>62990</c:v>
                </c:pt>
                <c:pt idx="3408">
                  <c:v>62997</c:v>
                </c:pt>
                <c:pt idx="3409">
                  <c:v>63004</c:v>
                </c:pt>
                <c:pt idx="3410">
                  <c:v>63011</c:v>
                </c:pt>
                <c:pt idx="3411">
                  <c:v>63018</c:v>
                </c:pt>
                <c:pt idx="3412">
                  <c:v>63025</c:v>
                </c:pt>
                <c:pt idx="3413">
                  <c:v>63032</c:v>
                </c:pt>
                <c:pt idx="3414">
                  <c:v>63039</c:v>
                </c:pt>
                <c:pt idx="3415">
                  <c:v>63046</c:v>
                </c:pt>
                <c:pt idx="3416">
                  <c:v>63053</c:v>
                </c:pt>
                <c:pt idx="3417">
                  <c:v>63060</c:v>
                </c:pt>
                <c:pt idx="3418">
                  <c:v>63067</c:v>
                </c:pt>
                <c:pt idx="3419">
                  <c:v>63074</c:v>
                </c:pt>
                <c:pt idx="3420">
                  <c:v>63081</c:v>
                </c:pt>
                <c:pt idx="3421">
                  <c:v>63088</c:v>
                </c:pt>
                <c:pt idx="3422">
                  <c:v>63095</c:v>
                </c:pt>
                <c:pt idx="3423">
                  <c:v>63102</c:v>
                </c:pt>
                <c:pt idx="3424">
                  <c:v>63109</c:v>
                </c:pt>
                <c:pt idx="3425">
                  <c:v>63116</c:v>
                </c:pt>
                <c:pt idx="3426">
                  <c:v>63123</c:v>
                </c:pt>
                <c:pt idx="3427">
                  <c:v>63130</c:v>
                </c:pt>
                <c:pt idx="3428">
                  <c:v>63137</c:v>
                </c:pt>
                <c:pt idx="3429">
                  <c:v>63144</c:v>
                </c:pt>
                <c:pt idx="3430">
                  <c:v>63151</c:v>
                </c:pt>
                <c:pt idx="3431">
                  <c:v>63158</c:v>
                </c:pt>
                <c:pt idx="3432">
                  <c:v>63165</c:v>
                </c:pt>
                <c:pt idx="3433">
                  <c:v>63172</c:v>
                </c:pt>
                <c:pt idx="3434">
                  <c:v>63179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63670</c:v>
                </c:pt>
                <c:pt idx="3505">
                  <c:v>63677</c:v>
                </c:pt>
                <c:pt idx="3506">
                  <c:v>63684</c:v>
                </c:pt>
                <c:pt idx="3507">
                  <c:v>63691</c:v>
                </c:pt>
                <c:pt idx="3508">
                  <c:v>63698</c:v>
                </c:pt>
                <c:pt idx="3509">
                  <c:v>63705</c:v>
                </c:pt>
                <c:pt idx="3510">
                  <c:v>63712</c:v>
                </c:pt>
                <c:pt idx="3511">
                  <c:v>63719</c:v>
                </c:pt>
                <c:pt idx="3512">
                  <c:v>63726</c:v>
                </c:pt>
                <c:pt idx="3513">
                  <c:v>63733</c:v>
                </c:pt>
                <c:pt idx="3514">
                  <c:v>63740</c:v>
                </c:pt>
                <c:pt idx="3515">
                  <c:v>63747</c:v>
                </c:pt>
                <c:pt idx="3516">
                  <c:v>63754</c:v>
                </c:pt>
                <c:pt idx="3517">
                  <c:v>63761</c:v>
                </c:pt>
                <c:pt idx="3518">
                  <c:v>63768</c:v>
                </c:pt>
                <c:pt idx="3519">
                  <c:v>63775</c:v>
                </c:pt>
                <c:pt idx="3520">
                  <c:v>63782</c:v>
                </c:pt>
                <c:pt idx="3521">
                  <c:v>63789</c:v>
                </c:pt>
                <c:pt idx="3522">
                  <c:v>63796</c:v>
                </c:pt>
                <c:pt idx="3523">
                  <c:v>63803</c:v>
                </c:pt>
                <c:pt idx="3524">
                  <c:v>63810</c:v>
                </c:pt>
                <c:pt idx="3525">
                  <c:v>63817</c:v>
                </c:pt>
                <c:pt idx="3526">
                  <c:v>63824</c:v>
                </c:pt>
                <c:pt idx="3527">
                  <c:v>63831</c:v>
                </c:pt>
                <c:pt idx="3528">
                  <c:v>63838</c:v>
                </c:pt>
                <c:pt idx="3529">
                  <c:v>63845</c:v>
                </c:pt>
                <c:pt idx="3530">
                  <c:v>63852</c:v>
                </c:pt>
                <c:pt idx="3531">
                  <c:v>63859</c:v>
                </c:pt>
                <c:pt idx="3532">
                  <c:v>63866</c:v>
                </c:pt>
                <c:pt idx="3533">
                  <c:v>63873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2.6655848090410713E-2</c:v>
                </c:pt>
                <c:pt idx="1">
                  <c:v>2.6653444714135721E-2</c:v>
                </c:pt>
                <c:pt idx="2">
                  <c:v>2.6651000000597082E-2</c:v>
                </c:pt>
                <c:pt idx="3">
                  <c:v>2.6648513556582286E-2</c:v>
                </c:pt>
                <c:pt idx="4">
                  <c:v>2.6645986080223994E-2</c:v>
                </c:pt>
                <c:pt idx="5">
                  <c:v>2.6638167166781725E-2</c:v>
                </c:pt>
                <c:pt idx="6">
                  <c:v>2.6635485270735004E-2</c:v>
                </c:pt>
                <c:pt idx="7">
                  <c:v>2.6632767197179105E-2</c:v>
                </c:pt>
                <c:pt idx="8">
                  <c:v>2.6627996695733822E-2</c:v>
                </c:pt>
                <c:pt idx="9">
                  <c:v>2.6625706107978851E-2</c:v>
                </c:pt>
                <c:pt idx="10">
                  <c:v>2.6618688393851359E-2</c:v>
                </c:pt>
                <c:pt idx="11">
                  <c:v>2.6615275735189754E-2</c:v>
                </c:pt>
                <c:pt idx="12">
                  <c:v>2.6611843463623667E-2</c:v>
                </c:pt>
                <c:pt idx="13">
                  <c:v>2.6609410234184071E-2</c:v>
                </c:pt>
                <c:pt idx="14">
                  <c:v>2.6605448696881442E-2</c:v>
                </c:pt>
                <c:pt idx="15">
                  <c:v>2.6594534061691367E-2</c:v>
                </c:pt>
                <c:pt idx="16">
                  <c:v>2.6591555776706841E-2</c:v>
                </c:pt>
                <c:pt idx="17">
                  <c:v>2.6588585949800271E-2</c:v>
                </c:pt>
                <c:pt idx="18">
                  <c:v>2.6584727206556573E-2</c:v>
                </c:pt>
                <c:pt idx="19">
                  <c:v>2.657684164452026E-2</c:v>
                </c:pt>
                <c:pt idx="20">
                  <c:v>2.6573951165175014E-2</c:v>
                </c:pt>
                <c:pt idx="21">
                  <c:v>2.6571083663150721E-2</c:v>
                </c:pt>
                <c:pt idx="22">
                  <c:v>2.6568241507702376E-2</c:v>
                </c:pt>
                <c:pt idx="23">
                  <c:v>2.6564692919356914E-2</c:v>
                </c:pt>
                <c:pt idx="24">
                  <c:v>2.655716234997036E-2</c:v>
                </c:pt>
                <c:pt idx="25">
                  <c:v>2.6554466862197763E-2</c:v>
                </c:pt>
                <c:pt idx="26">
                  <c:v>2.6551800815037246E-2</c:v>
                </c:pt>
                <c:pt idx="27">
                  <c:v>2.6549164047374979E-2</c:v>
                </c:pt>
                <c:pt idx="28">
                  <c:v>2.654580084591892E-2</c:v>
                </c:pt>
                <c:pt idx="29">
                  <c:v>2.6538906549527602E-2</c:v>
                </c:pt>
                <c:pt idx="30">
                  <c:v>2.6536413762728257E-2</c:v>
                </c:pt>
                <c:pt idx="31">
                  <c:v>2.6533949288781118E-2</c:v>
                </c:pt>
                <c:pt idx="32">
                  <c:v>2.6531512966583799E-2</c:v>
                </c:pt>
                <c:pt idx="33">
                  <c:v>2.652926102869398E-2</c:v>
                </c:pt>
                <c:pt idx="34">
                  <c:v>2.6522045973230879E-2</c:v>
                </c:pt>
                <c:pt idx="35">
                  <c:v>2.6519747993249493E-2</c:v>
                </c:pt>
                <c:pt idx="36">
                  <c:v>2.6517477198412409E-2</c:v>
                </c:pt>
                <c:pt idx="37">
                  <c:v>2.651523342762253E-2</c:v>
                </c:pt>
                <c:pt idx="38">
                  <c:v>2.6513067871187034E-2</c:v>
                </c:pt>
                <c:pt idx="39">
                  <c:v>2.6506525363015909E-2</c:v>
                </c:pt>
                <c:pt idx="40">
                  <c:v>2.6504414296031942E-2</c:v>
                </c:pt>
                <c:pt idx="41">
                  <c:v>2.6502329286528428E-2</c:v>
                </c:pt>
                <c:pt idx="42">
                  <c:v>2.6500270173415306E-2</c:v>
                </c:pt>
                <c:pt idx="43">
                  <c:v>2.6498646747226236E-2</c:v>
                </c:pt>
                <c:pt idx="44">
                  <c:v>2.6492289463065678E-2</c:v>
                </c:pt>
                <c:pt idx="45">
                  <c:v>2.6490357712283526E-2</c:v>
                </c:pt>
                <c:pt idx="46">
                  <c:v>2.6488452671688929E-2</c:v>
                </c:pt>
                <c:pt idx="47">
                  <c:v>2.6486575960518743E-2</c:v>
                </c:pt>
                <c:pt idx="48">
                  <c:v>2.6485547676854276E-2</c:v>
                </c:pt>
                <c:pt idx="49">
                  <c:v>2.6479384794784018E-2</c:v>
                </c:pt>
                <c:pt idx="50">
                  <c:v>2.6477674019239422E-2</c:v>
                </c:pt>
                <c:pt idx="51">
                  <c:v>2.6476001288504265E-2</c:v>
                </c:pt>
                <c:pt idx="52">
                  <c:v>2.6474368221803074E-2</c:v>
                </c:pt>
                <c:pt idx="53">
                  <c:v>2.647217714133503E-2</c:v>
                </c:pt>
                <c:pt idx="54">
                  <c:v>2.6467563708132181E-2</c:v>
                </c:pt>
                <c:pt idx="55">
                  <c:v>2.6465407139772301E-2</c:v>
                </c:pt>
                <c:pt idx="56">
                  <c:v>2.6463976383968222E-2</c:v>
                </c:pt>
                <c:pt idx="57">
                  <c:v>2.6462596115707931E-2</c:v>
                </c:pt>
                <c:pt idx="58">
                  <c:v>2.6461267989949275E-2</c:v>
                </c:pt>
                <c:pt idx="59">
                  <c:v>2.6458536939656298E-2</c:v>
                </c:pt>
                <c:pt idx="60">
                  <c:v>2.6456510011154667E-2</c:v>
                </c:pt>
                <c:pt idx="61">
                  <c:v>2.6455467422320574E-2</c:v>
                </c:pt>
                <c:pt idx="62">
                  <c:v>2.6454486905755928E-2</c:v>
                </c:pt>
                <c:pt idx="63">
                  <c:v>2.6453570116427585E-2</c:v>
                </c:pt>
                <c:pt idx="64">
                  <c:v>2.6452397754503018E-2</c:v>
                </c:pt>
                <c:pt idx="65">
                  <c:v>2.6450573330787326E-2</c:v>
                </c:pt>
                <c:pt idx="66">
                  <c:v>2.6450000002149626E-2</c:v>
                </c:pt>
                <c:pt idx="67">
                  <c:v>2.6449500007381815E-2</c:v>
                </c:pt>
                <c:pt idx="68">
                  <c:v>2.6449073385530191E-2</c:v>
                </c:pt>
                <c:pt idx="69">
                  <c:v>2.6449663389868056E-2</c:v>
                </c:pt>
                <c:pt idx="70">
                  <c:v>2.6448094944570705E-2</c:v>
                </c:pt>
                <c:pt idx="71">
                  <c:v>2.6448030925300337E-2</c:v>
                </c:pt>
                <c:pt idx="72">
                  <c:v>2.6450453630746371E-2</c:v>
                </c:pt>
                <c:pt idx="73">
                  <c:v>2.6449141896818587E-2</c:v>
                </c:pt>
                <c:pt idx="74">
                  <c:v>2.6449573588274464E-2</c:v>
                </c:pt>
                <c:pt idx="75">
                  <c:v>2.6450645725344332E-2</c:v>
                </c:pt>
                <c:pt idx="76">
                  <c:v>2.6456597350216514E-2</c:v>
                </c:pt>
                <c:pt idx="77">
                  <c:v>2.6455551693494651E-2</c:v>
                </c:pt>
                <c:pt idx="78">
                  <c:v>2.6454530543323893E-2</c:v>
                </c:pt>
                <c:pt idx="79">
                  <c:v>2.6455511715779881E-2</c:v>
                </c:pt>
                <c:pt idx="80">
                  <c:v>2.6456560295026448E-2</c:v>
                </c:pt>
                <c:pt idx="81">
                  <c:v>2.6462229082995652E-2</c:v>
                </c:pt>
                <c:pt idx="82">
                  <c:v>2.6461422998668802E-2</c:v>
                </c:pt>
                <c:pt idx="83">
                  <c:v>2.6462804350960021E-2</c:v>
                </c:pt>
                <c:pt idx="84">
                  <c:v>2.6464251405701574E-2</c:v>
                </c:pt>
                <c:pt idx="85">
                  <c:v>2.6465763878845153E-2</c:v>
                </c:pt>
                <c:pt idx="86">
                  <c:v>2.6473021547672018E-2</c:v>
                </c:pt>
                <c:pt idx="87">
                  <c:v>2.6472462274602464E-2</c:v>
                </c:pt>
                <c:pt idx="88">
                  <c:v>2.6474297579151405E-2</c:v>
                </c:pt>
                <c:pt idx="89">
                  <c:v>2.6476196597877394E-2</c:v>
                </c:pt>
                <c:pt idx="90">
                  <c:v>2.6478159046752832E-2</c:v>
                </c:pt>
                <c:pt idx="91">
                  <c:v>2.6486637463262137E-2</c:v>
                </c:pt>
                <c:pt idx="92">
                  <c:v>2.6488912802539413E-2</c:v>
                </c:pt>
                <c:pt idx="93">
                  <c:v>2.6491249867842917E-2</c:v>
                </c:pt>
                <c:pt idx="94">
                  <c:v>2.6493648375162167E-2</c:v>
                </c:pt>
                <c:pt idx="95">
                  <c:v>2.6503934140459203E-2</c:v>
                </c:pt>
                <c:pt idx="96">
                  <c:v>2.6503851144408615E-2</c:v>
                </c:pt>
                <c:pt idx="97">
                  <c:v>2.6503791325689315E-2</c:v>
                </c:pt>
                <c:pt idx="98">
                  <c:v>2.6506525659906601E-2</c:v>
                </c:pt>
                <c:pt idx="99">
                  <c:v>2.6509319571406082E-2</c:v>
                </c:pt>
                <c:pt idx="100">
                  <c:v>2.652386156112943E-2</c:v>
                </c:pt>
                <c:pt idx="101">
                  <c:v>2.6524005903094106E-2</c:v>
                </c:pt>
                <c:pt idx="102">
                  <c:v>2.6524172737222906E-2</c:v>
                </c:pt>
                <c:pt idx="103">
                  <c:v>2.6527318081892032E-2</c:v>
                </c:pt>
                <c:pt idx="104">
                  <c:v>2.6530520993686149E-2</c:v>
                </c:pt>
                <c:pt idx="105">
                  <c:v>2.6546641268002793E-2</c:v>
                </c:pt>
                <c:pt idx="106">
                  <c:v>2.6547004328943635E-2</c:v>
                </c:pt>
                <c:pt idx="107">
                  <c:v>2.6547389009000454E-2</c:v>
                </c:pt>
                <c:pt idx="108">
                  <c:v>2.6550931293250434E-2</c:v>
                </c:pt>
                <c:pt idx="109">
                  <c:v>2.6554529134541045E-2</c:v>
                </c:pt>
                <c:pt idx="110">
                  <c:v>2.6572176918774497E-2</c:v>
                </c:pt>
                <c:pt idx="111">
                  <c:v>2.657274901546795E-2</c:v>
                </c:pt>
                <c:pt idx="112">
                  <c:v>2.657334164642396E-2</c:v>
                </c:pt>
                <c:pt idx="113">
                  <c:v>2.6577266799864625E-2</c:v>
                </c:pt>
                <c:pt idx="114">
                  <c:v>2.6587969006610757E-2</c:v>
                </c:pt>
                <c:pt idx="115">
                  <c:v>2.6603832971727491E-2</c:v>
                </c:pt>
                <c:pt idx="116">
                  <c:v>2.6608097038298476E-2</c:v>
                </c:pt>
                <c:pt idx="117">
                  <c:v>2.6612413096758054E-2</c:v>
                </c:pt>
                <c:pt idx="118">
                  <c:v>2.6616780869284866E-2</c:v>
                </c:pt>
                <c:pt idx="119">
                  <c:v>2.6631976812262342E-2</c:v>
                </c:pt>
                <c:pt idx="120">
                  <c:v>2.6634763543643292E-2</c:v>
                </c:pt>
                <c:pt idx="121">
                  <c:v>2.6639385719198119E-2</c:v>
                </c:pt>
                <c:pt idx="122">
                  <c:v>2.6644057941901677E-2</c:v>
                </c:pt>
                <c:pt idx="123">
                  <c:v>2.6648779933937009E-2</c:v>
                </c:pt>
                <c:pt idx="124">
                  <c:v>2.666106214895925E-2</c:v>
                </c:pt>
                <c:pt idx="125">
                  <c:v>2.66681600390727E-2</c:v>
                </c:pt>
                <c:pt idx="126">
                  <c:v>2.6673126710525699E-2</c:v>
                </c:pt>
                <c:pt idx="127">
                  <c:v>2.6678141530750443E-2</c:v>
                </c:pt>
                <c:pt idx="128">
                  <c:v>2.6683204453594598E-2</c:v>
                </c:pt>
                <c:pt idx="129">
                  <c:v>2.6696168111459459E-2</c:v>
                </c:pt>
                <c:pt idx="130">
                  <c:v>2.6703937174852949E-2</c:v>
                </c:pt>
                <c:pt idx="131">
                  <c:v>2.6709240613574402E-2</c:v>
                </c:pt>
                <c:pt idx="132">
                  <c:v>2.6714592156038466E-2</c:v>
                </c:pt>
                <c:pt idx="133">
                  <c:v>2.6719991802439825E-2</c:v>
                </c:pt>
                <c:pt idx="134">
                  <c:v>2.6733634383656377E-2</c:v>
                </c:pt>
                <c:pt idx="135">
                  <c:v>2.6742071431336615E-2</c:v>
                </c:pt>
                <c:pt idx="136">
                  <c:v>2.6743541159784567E-2</c:v>
                </c:pt>
                <c:pt idx="137">
                  <c:v>2.6749204967181618E-2</c:v>
                </c:pt>
                <c:pt idx="138">
                  <c:v>2.6754916876208051E-2</c:v>
                </c:pt>
                <c:pt idx="139">
                  <c:v>2.6784197952989631E-2</c:v>
                </c:pt>
                <c:pt idx="140">
                  <c:v>2.6790198476140361E-2</c:v>
                </c:pt>
                <c:pt idx="141">
                  <c:v>2.6796247102385543E-2</c:v>
                </c:pt>
                <c:pt idx="142">
                  <c:v>2.6802343831941595E-2</c:v>
                </c:pt>
                <c:pt idx="143">
                  <c:v>2.682092264266055E-2</c:v>
                </c:pt>
                <c:pt idx="144">
                  <c:v>2.682721178765457E-2</c:v>
                </c:pt>
                <c:pt idx="145">
                  <c:v>2.6833549037066497E-2</c:v>
                </c:pt>
                <c:pt idx="146">
                  <c:v>2.6839934391120767E-2</c:v>
                </c:pt>
                <c:pt idx="147">
                  <c:v>2.6846367850048056E-2</c:v>
                </c:pt>
                <c:pt idx="148">
                  <c:v>2.6865956858367589E-2</c:v>
                </c:pt>
                <c:pt idx="149">
                  <c:v>2.6872582739098094E-2</c:v>
                </c:pt>
                <c:pt idx="150">
                  <c:v>2.6879256725866541E-2</c:v>
                </c:pt>
                <c:pt idx="151">
                  <c:v>2.6885978818913404E-2</c:v>
                </c:pt>
                <c:pt idx="152">
                  <c:v>2.6892749018476471E-2</c:v>
                </c:pt>
                <c:pt idx="153">
                  <c:v>2.6913348258697858E-2</c:v>
                </c:pt>
                <c:pt idx="154">
                  <c:v>2.6920310886766937E-2</c:v>
                </c:pt>
                <c:pt idx="155">
                  <c:v>2.6927321622579492E-2</c:v>
                </c:pt>
                <c:pt idx="156">
                  <c:v>2.6939286537045793E-2</c:v>
                </c:pt>
                <c:pt idx="157">
                  <c:v>2.6961310033261663E-2</c:v>
                </c:pt>
                <c:pt idx="158">
                  <c:v>2.6968101338131656E-2</c:v>
                </c:pt>
                <c:pt idx="159">
                  <c:v>2.6975425320486076E-2</c:v>
                </c:pt>
                <c:pt idx="160">
                  <c:v>2.698279741620118E-2</c:v>
                </c:pt>
                <c:pt idx="161">
                  <c:v>2.6990217625543017E-2</c:v>
                </c:pt>
                <c:pt idx="162">
                  <c:v>2.7007941659369029E-2</c:v>
                </c:pt>
                <c:pt idx="163">
                  <c:v>2.7020379604560191E-2</c:v>
                </c:pt>
                <c:pt idx="164">
                  <c:v>2.702804038608975E-2</c:v>
                </c:pt>
                <c:pt idx="165">
                  <c:v>2.7035749282879301E-2</c:v>
                </c:pt>
                <c:pt idx="166">
                  <c:v>2.7043506295209862E-2</c:v>
                </c:pt>
                <c:pt idx="167">
                  <c:v>2.7061911917550464E-2</c:v>
                </c:pt>
                <c:pt idx="168">
                  <c:v>2.7075015505555512E-2</c:v>
                </c:pt>
                <c:pt idx="169">
                  <c:v>2.7083013099821376E-2</c:v>
                </c:pt>
                <c:pt idx="170">
                  <c:v>2.7091058811334622E-2</c:v>
                </c:pt>
                <c:pt idx="171">
                  <c:v>2.7099152640385964E-2</c:v>
                </c:pt>
                <c:pt idx="172">
                  <c:v>2.7118240244383411E-2</c:v>
                </c:pt>
                <c:pt idx="173">
                  <c:v>2.7132009137841955E-2</c:v>
                </c:pt>
                <c:pt idx="174">
                  <c:v>2.7140343559003431E-2</c:v>
                </c:pt>
                <c:pt idx="175">
                  <c:v>2.7148726099482497E-2</c:v>
                </c:pt>
                <c:pt idx="176">
                  <c:v>2.7157156759583957E-2</c:v>
                </c:pt>
                <c:pt idx="177">
                  <c:v>2.7176926741757704E-2</c:v>
                </c:pt>
                <c:pt idx="178">
                  <c:v>2.7191360602320379E-2</c:v>
                </c:pt>
                <c:pt idx="179">
                  <c:v>2.7200031865130533E-2</c:v>
                </c:pt>
                <c:pt idx="180">
                  <c:v>2.7208751249417459E-2</c:v>
                </c:pt>
                <c:pt idx="181">
                  <c:v>2.7217518755494764E-2</c:v>
                </c:pt>
                <c:pt idx="182">
                  <c:v>2.7237971515829313E-2</c:v>
                </c:pt>
                <c:pt idx="183">
                  <c:v>2.726207812387646E-2</c:v>
                </c:pt>
                <c:pt idx="184">
                  <c:v>2.7271134367407034E-2</c:v>
                </c:pt>
                <c:pt idx="185">
                  <c:v>2.7280238734980547E-2</c:v>
                </c:pt>
                <c:pt idx="186">
                  <c:v>2.7301374677021206E-2</c:v>
                </c:pt>
                <c:pt idx="187">
                  <c:v>2.731713745232248E-2</c:v>
                </c:pt>
                <c:pt idx="188">
                  <c:v>2.7326482445086227E-2</c:v>
                </c:pt>
                <c:pt idx="189">
                  <c:v>2.7335875469335417E-2</c:v>
                </c:pt>
                <c:pt idx="190">
                  <c:v>2.7345316052616923E-2</c:v>
                </c:pt>
                <c:pt idx="191">
                  <c:v>2.7367124769937357E-2</c:v>
                </c:pt>
                <c:pt idx="192">
                  <c:v>2.7383542635741026E-2</c:v>
                </c:pt>
                <c:pt idx="193">
                  <c:v>2.7393212508902864E-2</c:v>
                </c:pt>
                <c:pt idx="194">
                  <c:v>2.7402926538957387E-2</c:v>
                </c:pt>
                <c:pt idx="195">
                  <c:v>2.741268415886693E-2</c:v>
                </c:pt>
                <c:pt idx="196">
                  <c:v>2.7435096676135622E-2</c:v>
                </c:pt>
                <c:pt idx="197">
                  <c:v>2.7452139196165567E-2</c:v>
                </c:pt>
                <c:pt idx="198">
                  <c:v>2.7462106259644362E-2</c:v>
                </c:pt>
                <c:pt idx="199">
                  <c:v>2.7472113510667643E-2</c:v>
                </c:pt>
                <c:pt idx="200">
                  <c:v>2.7482160382166918E-2</c:v>
                </c:pt>
                <c:pt idx="201">
                  <c:v>2.7511540641863307E-2</c:v>
                </c:pt>
                <c:pt idx="202">
                  <c:v>2.7522732731416668E-2</c:v>
                </c:pt>
                <c:pt idx="203">
                  <c:v>2.7532969199126681E-2</c:v>
                </c:pt>
                <c:pt idx="204">
                  <c:v>2.7543241884811869E-2</c:v>
                </c:pt>
                <c:pt idx="205">
                  <c:v>2.7553550221372909E-2</c:v>
                </c:pt>
                <c:pt idx="206">
                  <c:v>2.7576946616460603E-2</c:v>
                </c:pt>
                <c:pt idx="207">
                  <c:v>2.7595128734200523E-2</c:v>
                </c:pt>
                <c:pt idx="208">
                  <c:v>2.7605606818466803E-2</c:v>
                </c:pt>
                <c:pt idx="209">
                  <c:v>2.761611715090374E-2</c:v>
                </c:pt>
                <c:pt idx="210">
                  <c:v>2.7626659164376767E-2</c:v>
                </c:pt>
                <c:pt idx="211">
                  <c:v>2.7650443857310657E-2</c:v>
                </c:pt>
                <c:pt idx="212">
                  <c:v>2.7669132685739419E-2</c:v>
                </c:pt>
                <c:pt idx="213">
                  <c:v>2.7679824597177997E-2</c:v>
                </c:pt>
                <c:pt idx="214">
                  <c:v>2.7690544786730758E-2</c:v>
                </c:pt>
                <c:pt idx="215">
                  <c:v>2.7701292687222621E-2</c:v>
                </c:pt>
                <c:pt idx="216">
                  <c:v>2.7725402063569441E-2</c:v>
                </c:pt>
                <c:pt idx="217">
                  <c:v>2.7744550054944531E-2</c:v>
                </c:pt>
                <c:pt idx="218">
                  <c:v>2.7755428002351416E-2</c:v>
                </c:pt>
                <c:pt idx="219">
                  <c:v>2.776633025754557E-2</c:v>
                </c:pt>
                <c:pt idx="220">
                  <c:v>2.7777256253313145E-2</c:v>
                </c:pt>
                <c:pt idx="221">
                  <c:v>2.7781495506481371E-2</c:v>
                </c:pt>
                <c:pt idx="222">
                  <c:v>2.7832222487929346E-2</c:v>
                </c:pt>
                <c:pt idx="223">
                  <c:v>2.7843279015360323E-2</c:v>
                </c:pt>
                <c:pt idx="224">
                  <c:v>2.7854355312715379E-2</c:v>
                </c:pt>
                <c:pt idx="225">
                  <c:v>2.7878939650360864E-2</c:v>
                </c:pt>
                <c:pt idx="226">
                  <c:v>2.7898846856112772E-2</c:v>
                </c:pt>
                <c:pt idx="227">
                  <c:v>2.7910013494084132E-2</c:v>
                </c:pt>
                <c:pt idx="228">
                  <c:v>2.7921196498332655E-2</c:v>
                </c:pt>
                <c:pt idx="229">
                  <c:v>2.7932395301565206E-2</c:v>
                </c:pt>
                <c:pt idx="230">
                  <c:v>2.7957138135635617E-2</c:v>
                </c:pt>
                <c:pt idx="231">
                  <c:v>2.7977337158186736E-2</c:v>
                </c:pt>
                <c:pt idx="232">
                  <c:v>2.7988606446678162E-2</c:v>
                </c:pt>
                <c:pt idx="233">
                  <c:v>2.7999888130246821E-2</c:v>
                </c:pt>
                <c:pt idx="234">
                  <c:v>2.801118164155289E-2</c:v>
                </c:pt>
                <c:pt idx="235">
                  <c:v>2.8036035794754898E-2</c:v>
                </c:pt>
                <c:pt idx="236">
                  <c:v>2.8056462617150477E-2</c:v>
                </c:pt>
                <c:pt idx="237">
                  <c:v>2.8067806756833971E-2</c:v>
                </c:pt>
                <c:pt idx="238">
                  <c:v>2.8079159320086443E-2</c:v>
                </c:pt>
                <c:pt idx="239">
                  <c:v>2.8090519739522261E-2</c:v>
                </c:pt>
                <c:pt idx="240">
                  <c:v>2.8115442143605143E-2</c:v>
                </c:pt>
                <c:pt idx="241">
                  <c:v>2.8129251469287148E-2</c:v>
                </c:pt>
                <c:pt idx="242">
                  <c:v>2.814064306437189E-2</c:v>
                </c:pt>
                <c:pt idx="243">
                  <c:v>2.8152039204039546E-2</c:v>
                </c:pt>
                <c:pt idx="244">
                  <c:v>2.8163439314670368E-2</c:v>
                </c:pt>
                <c:pt idx="245">
                  <c:v>2.8174842822638376E-2</c:v>
                </c:pt>
                <c:pt idx="246">
                  <c:v>2.8209067994209511E-2</c:v>
                </c:pt>
                <c:pt idx="247">
                  <c:v>2.8220479355137301E-2</c:v>
                </c:pt>
                <c:pt idx="248">
                  <c:v>2.8231891245175295E-2</c:v>
                </c:pt>
                <c:pt idx="249">
                  <c:v>2.8243303090659207E-2</c:v>
                </c:pt>
                <c:pt idx="250">
                  <c:v>2.8254714317917637E-2</c:v>
                </c:pt>
                <c:pt idx="251">
                  <c:v>2.828893855352357E-2</c:v>
                </c:pt>
                <c:pt idx="252">
                  <c:v>2.830034157103422E-2</c:v>
                </c:pt>
                <c:pt idx="253">
                  <c:v>2.8311741101864404E-2</c:v>
                </c:pt>
                <c:pt idx="254">
                  <c:v>2.8323136667918546E-2</c:v>
                </c:pt>
                <c:pt idx="255">
                  <c:v>2.8334528173548677E-2</c:v>
                </c:pt>
                <c:pt idx="256">
                  <c:v>2.8368678327547657E-2</c:v>
                </c:pt>
                <c:pt idx="257">
                  <c:v>2.8380053591136181E-2</c:v>
                </c:pt>
                <c:pt idx="258">
                  <c:v>2.8391424794127911E-2</c:v>
                </c:pt>
                <c:pt idx="259">
                  <c:v>2.8402791936488116E-2</c:v>
                </c:pt>
                <c:pt idx="260">
                  <c:v>2.8441163099531295E-2</c:v>
                </c:pt>
                <c:pt idx="261">
                  <c:v>2.8454969106080554E-2</c:v>
                </c:pt>
                <c:pt idx="262">
                  <c:v>2.845956673761749E-2</c:v>
                </c:pt>
                <c:pt idx="263">
                  <c:v>2.8477656424592785E-2</c:v>
                </c:pt>
                <c:pt idx="264">
                  <c:v>2.8509228740347437E-2</c:v>
                </c:pt>
                <c:pt idx="265">
                  <c:v>2.8513815455921309E-2</c:v>
                </c:pt>
                <c:pt idx="266">
                  <c:v>2.8545620918493587E-2</c:v>
                </c:pt>
                <c:pt idx="267">
                  <c:v>2.8556934120623451E-2</c:v>
                </c:pt>
                <c:pt idx="268">
                  <c:v>2.856824326165544E-2</c:v>
                </c:pt>
                <c:pt idx="269">
                  <c:v>2.8593020214933554E-2</c:v>
                </c:pt>
                <c:pt idx="270">
                  <c:v>2.8613439214108752E-2</c:v>
                </c:pt>
                <c:pt idx="271">
                  <c:v>2.8624728049130757E-2</c:v>
                </c:pt>
                <c:pt idx="272">
                  <c:v>2.8636012822846103E-2</c:v>
                </c:pt>
                <c:pt idx="273">
                  <c:v>2.8647293535220442E-2</c:v>
                </c:pt>
                <c:pt idx="274">
                  <c:v>2.8672025978018153E-2</c:v>
                </c:pt>
                <c:pt idx="275">
                  <c:v>2.8692375770623207E-2</c:v>
                </c:pt>
                <c:pt idx="276">
                  <c:v>2.8703636175777147E-2</c:v>
                </c:pt>
                <c:pt idx="277">
                  <c:v>2.8714892519383937E-2</c:v>
                </c:pt>
                <c:pt idx="278">
                  <c:v>2.8726144801407463E-2</c:v>
                </c:pt>
                <c:pt idx="279">
                  <c:v>2.8750832733052654E-2</c:v>
                </c:pt>
                <c:pt idx="280">
                  <c:v>2.8777829932869845E-2</c:v>
                </c:pt>
                <c:pt idx="281">
                  <c:v>2.8782345286583272E-2</c:v>
                </c:pt>
                <c:pt idx="282">
                  <c:v>2.8793573198390102E-2</c:v>
                </c:pt>
                <c:pt idx="283">
                  <c:v>2.8804797048372292E-2</c:v>
                </c:pt>
                <c:pt idx="284">
                  <c:v>2.8809304391313077E-2</c:v>
                </c:pt>
                <c:pt idx="285">
                  <c:v>2.884965182937892E-2</c:v>
                </c:pt>
                <c:pt idx="286">
                  <c:v>2.88608553697287E-2</c:v>
                </c:pt>
                <c:pt idx="287">
                  <c:v>2.8872054848047699E-2</c:v>
                </c:pt>
                <c:pt idx="288">
                  <c:v>2.8883250264303318E-2</c:v>
                </c:pt>
                <c:pt idx="289">
                  <c:v>2.8907849170634155E-2</c:v>
                </c:pt>
                <c:pt idx="290">
                  <c:v>2.892799130799871E-2</c:v>
                </c:pt>
                <c:pt idx="291">
                  <c:v>2.8939166413420325E-2</c:v>
                </c:pt>
                <c:pt idx="292">
                  <c:v>2.8950337456570659E-2</c:v>
                </c:pt>
                <c:pt idx="293">
                  <c:v>2.8961504437417997E-2</c:v>
                </c:pt>
                <c:pt idx="294">
                  <c:v>2.8986058829087991E-2</c:v>
                </c:pt>
                <c:pt idx="295">
                  <c:v>2.9006131737082358E-2</c:v>
                </c:pt>
                <c:pt idx="296">
                  <c:v>2.9017278405896737E-2</c:v>
                </c:pt>
                <c:pt idx="297">
                  <c:v>2.9028421012201103E-2</c:v>
                </c:pt>
                <c:pt idx="298">
                  <c:v>2.9039559555962859E-2</c:v>
                </c:pt>
                <c:pt idx="299">
                  <c:v>2.9064069431305403E-2</c:v>
                </c:pt>
                <c:pt idx="300">
                  <c:v>2.9084073104894016E-2</c:v>
                </c:pt>
                <c:pt idx="301">
                  <c:v>2.9095191335426495E-2</c:v>
                </c:pt>
                <c:pt idx="302">
                  <c:v>2.9106305503211988E-2</c:v>
                </c:pt>
                <c:pt idx="303">
                  <c:v>2.9117415608215257E-2</c:v>
                </c:pt>
                <c:pt idx="304">
                  <c:v>2.9141880965314823E-2</c:v>
                </c:pt>
                <c:pt idx="305">
                  <c:v>2.9155138561934576E-2</c:v>
                </c:pt>
                <c:pt idx="306">
                  <c:v>2.9166229501173993E-2</c:v>
                </c:pt>
                <c:pt idx="307">
                  <c:v>2.9177316377432431E-2</c:v>
                </c:pt>
                <c:pt idx="308">
                  <c:v>2.9188399190677831E-2</c:v>
                </c:pt>
                <c:pt idx="309">
                  <c:v>2.9199477940875455E-2</c:v>
                </c:pt>
                <c:pt idx="310">
                  <c:v>2.9232689812847708E-2</c:v>
                </c:pt>
                <c:pt idx="311">
                  <c:v>2.924375231052026E-2</c:v>
                </c:pt>
                <c:pt idx="312">
                  <c:v>2.9254810744976708E-2</c:v>
                </c:pt>
                <c:pt idx="313">
                  <c:v>2.9265865116184994E-2</c:v>
                </c:pt>
                <c:pt idx="314">
                  <c:v>2.9276915424110383E-2</c:v>
                </c:pt>
                <c:pt idx="315">
                  <c:v>2.9310041967859638E-2</c:v>
                </c:pt>
                <c:pt idx="316">
                  <c:v>2.9321076022321237E-2</c:v>
                </c:pt>
                <c:pt idx="317">
                  <c:v>2.9332106013332505E-2</c:v>
                </c:pt>
                <c:pt idx="318">
                  <c:v>2.9343131940861376E-2</c:v>
                </c:pt>
                <c:pt idx="319">
                  <c:v>2.9354153804873117E-2</c:v>
                </c:pt>
                <c:pt idx="320">
                  <c:v>2.9387195015476927E-2</c:v>
                </c:pt>
                <c:pt idx="321">
                  <c:v>2.9398200625088841E-2</c:v>
                </c:pt>
                <c:pt idx="322">
                  <c:v>2.940920217101619E-2</c:v>
                </c:pt>
                <c:pt idx="323">
                  <c:v>2.9420199653227799E-2</c:v>
                </c:pt>
                <c:pt idx="324">
                  <c:v>2.947512610736348E-2</c:v>
                </c:pt>
                <c:pt idx="325">
                  <c:v>2.9486099206573513E-2</c:v>
                </c:pt>
                <c:pt idx="326">
                  <c:v>2.9497068241833579E-2</c:v>
                </c:pt>
                <c:pt idx="327">
                  <c:v>2.9540903742706164E-2</c:v>
                </c:pt>
                <c:pt idx="328">
                  <c:v>2.9551852457717631E-2</c:v>
                </c:pt>
                <c:pt idx="329">
                  <c:v>2.9562797108578738E-2</c:v>
                </c:pt>
                <c:pt idx="330">
                  <c:v>2.9573737695257424E-2</c:v>
                </c:pt>
                <c:pt idx="331">
                  <c:v>2.9584674217719844E-2</c:v>
                </c:pt>
                <c:pt idx="332">
                  <c:v>2.9617459399481762E-2</c:v>
                </c:pt>
                <c:pt idx="333">
                  <c:v>2.9628379664750484E-2</c:v>
                </c:pt>
                <c:pt idx="334">
                  <c:v>2.9639295865636395E-2</c:v>
                </c:pt>
                <c:pt idx="335">
                  <c:v>2.9650208002108325E-2</c:v>
                </c:pt>
                <c:pt idx="336">
                  <c:v>2.9661116074132427E-2</c:v>
                </c:pt>
                <c:pt idx="337">
                  <c:v>2.9693815903188248E-2</c:v>
                </c:pt>
                <c:pt idx="338">
                  <c:v>2.9704707717090627E-2</c:v>
                </c:pt>
                <c:pt idx="339">
                  <c:v>2.9715595466380414E-2</c:v>
                </c:pt>
                <c:pt idx="340">
                  <c:v>2.972647915102377E-2</c:v>
                </c:pt>
                <c:pt idx="341">
                  <c:v>2.9737358770988629E-2</c:v>
                </c:pt>
                <c:pt idx="342">
                  <c:v>2.9776585736208224E-2</c:v>
                </c:pt>
                <c:pt idx="343">
                  <c:v>2.9791695899475005E-2</c:v>
                </c:pt>
                <c:pt idx="344">
                  <c:v>2.9802551130673316E-2</c:v>
                </c:pt>
                <c:pt idx="345">
                  <c:v>2.9813402296961566E-2</c:v>
                </c:pt>
                <c:pt idx="346">
                  <c:v>2.9845931406042688E-2</c:v>
                </c:pt>
                <c:pt idx="347">
                  <c:v>2.9850162602264845E-2</c:v>
                </c:pt>
                <c:pt idx="348">
                  <c:v>2.9860994593331126E-2</c:v>
                </c:pt>
                <c:pt idx="349">
                  <c:v>2.9871822519318577E-2</c:v>
                </c:pt>
                <c:pt idx="350">
                  <c:v>2.9882646380195679E-2</c:v>
                </c:pt>
                <c:pt idx="351">
                  <c:v>2.9921690382588528E-2</c:v>
                </c:pt>
                <c:pt idx="352">
                  <c:v>2.9925901171948651E-2</c:v>
                </c:pt>
                <c:pt idx="353">
                  <c:v>2.9936704706786839E-2</c:v>
                </c:pt>
                <c:pt idx="354">
                  <c:v>2.9947504176319271E-2</c:v>
                </c:pt>
                <c:pt idx="355">
                  <c:v>2.9958299580513523E-2</c:v>
                </c:pt>
                <c:pt idx="356">
                  <c:v>2.999725016086191E-2</c:v>
                </c:pt>
                <c:pt idx="357">
                  <c:v>3.0001440543268504E-2</c:v>
                </c:pt>
                <c:pt idx="358">
                  <c:v>3.0012215620290095E-2</c:v>
                </c:pt>
                <c:pt idx="359">
                  <c:v>3.0022986631778999E-2</c:v>
                </c:pt>
                <c:pt idx="360">
                  <c:v>3.0033753577704599E-2</c:v>
                </c:pt>
                <c:pt idx="361">
                  <c:v>3.0072610729634811E-2</c:v>
                </c:pt>
                <c:pt idx="362">
                  <c:v>3.0076780705120161E-2</c:v>
                </c:pt>
                <c:pt idx="363">
                  <c:v>3.0087527322742055E-2</c:v>
                </c:pt>
                <c:pt idx="364">
                  <c:v>3.0098269874605229E-2</c:v>
                </c:pt>
                <c:pt idx="365">
                  <c:v>3.0109008360679968E-2</c:v>
                </c:pt>
                <c:pt idx="366">
                  <c:v>3.0154344319252277E-2</c:v>
                </c:pt>
                <c:pt idx="367">
                  <c:v>3.016506424044671E-2</c:v>
                </c:pt>
                <c:pt idx="368">
                  <c:v>3.0175780095612659E-2</c:v>
                </c:pt>
                <c:pt idx="369">
                  <c:v>3.0186491884718419E-2</c:v>
                </c:pt>
                <c:pt idx="370">
                  <c:v>3.0210333648409308E-2</c:v>
                </c:pt>
                <c:pt idx="371">
                  <c:v>3.0229298379881451E-2</c:v>
                </c:pt>
                <c:pt idx="372">
                  <c:v>3.0239989838192035E-2</c:v>
                </c:pt>
                <c:pt idx="373">
                  <c:v>3.0250677230245972E-2</c:v>
                </c:pt>
                <c:pt idx="374">
                  <c:v>3.0261360556009795E-2</c:v>
                </c:pt>
                <c:pt idx="375">
                  <c:v>3.0291716089650221E-2</c:v>
                </c:pt>
                <c:pt idx="376">
                  <c:v>3.0304053195506712E-2</c:v>
                </c:pt>
                <c:pt idx="377">
                  <c:v>3.0314716189329259E-2</c:v>
                </c:pt>
                <c:pt idx="378">
                  <c:v>3.0325375116664353E-2</c:v>
                </c:pt>
                <c:pt idx="379">
                  <c:v>3.0336029977480288E-2</c:v>
                </c:pt>
                <c:pt idx="380">
                  <c:v>3.0359782582968457E-2</c:v>
                </c:pt>
                <c:pt idx="381">
                  <c:v>3.0378608754900508E-2</c:v>
                </c:pt>
                <c:pt idx="382">
                  <c:v>3.038924328263171E-2</c:v>
                </c:pt>
                <c:pt idx="383">
                  <c:v>3.0399873743646416E-2</c:v>
                </c:pt>
                <c:pt idx="384">
                  <c:v>3.0410500137915564E-2</c:v>
                </c:pt>
                <c:pt idx="385">
                  <c:v>3.0463571106903547E-2</c:v>
                </c:pt>
                <c:pt idx="386">
                  <c:v>3.0474173100002489E-2</c:v>
                </c:pt>
                <c:pt idx="387">
                  <c:v>3.0478234475202939E-2</c:v>
                </c:pt>
                <c:pt idx="388">
                  <c:v>3.0488829486360496E-2</c:v>
                </c:pt>
                <c:pt idx="389">
                  <c:v>3.0520590117758099E-2</c:v>
                </c:pt>
                <c:pt idx="390">
                  <c:v>3.0531168860759333E-2</c:v>
                </c:pt>
                <c:pt idx="391">
                  <c:v>3.0541743536641776E-2</c:v>
                </c:pt>
                <c:pt idx="392">
                  <c:v>3.0552314145372478E-2</c:v>
                </c:pt>
                <c:pt idx="393">
                  <c:v>3.0562880686920261E-2</c:v>
                </c:pt>
                <c:pt idx="394">
                  <c:v>3.0594555908142831E-2</c:v>
                </c:pt>
                <c:pt idx="395">
                  <c:v>3.0605106180635659E-2</c:v>
                </c:pt>
                <c:pt idx="396">
                  <c:v>3.0615652385786153E-2</c:v>
                </c:pt>
                <c:pt idx="397">
                  <c:v>3.0626194523561356E-2</c:v>
                </c:pt>
                <c:pt idx="398">
                  <c:v>3.0636732593929211E-2</c:v>
                </c:pt>
                <c:pt idx="399">
                  <c:v>3.0668322400268042E-2</c:v>
                </c:pt>
                <c:pt idx="400">
                  <c:v>3.0678844200686759E-2</c:v>
                </c:pt>
                <c:pt idx="401">
                  <c:v>3.0689361933538703E-2</c:v>
                </c:pt>
                <c:pt idx="402">
                  <c:v>3.0699875598790925E-2</c:v>
                </c:pt>
                <c:pt idx="403">
                  <c:v>3.0710385196413139E-2</c:v>
                </c:pt>
                <c:pt idx="404">
                  <c:v>3.0752382909954461E-2</c:v>
                </c:pt>
                <c:pt idx="405">
                  <c:v>3.0762872168943932E-2</c:v>
                </c:pt>
                <c:pt idx="406">
                  <c:v>3.0773357360112802E-2</c:v>
                </c:pt>
                <c:pt idx="407">
                  <c:v>3.0783838483427233E-2</c:v>
                </c:pt>
                <c:pt idx="408">
                  <c:v>3.0821757105251119E-2</c:v>
                </c:pt>
                <c:pt idx="409">
                  <c:v>3.0832220803034379E-2</c:v>
                </c:pt>
                <c:pt idx="410">
                  <c:v>3.0842680432745382E-2</c:v>
                </c:pt>
                <c:pt idx="411">
                  <c:v>3.0853135994350654E-2</c:v>
                </c:pt>
                <c:pt idx="412">
                  <c:v>3.0876576344111079E-2</c:v>
                </c:pt>
                <c:pt idx="413">
                  <c:v>3.0894917559079277E-2</c:v>
                </c:pt>
                <c:pt idx="414">
                  <c:v>3.0905352779678423E-2</c:v>
                </c:pt>
                <c:pt idx="415">
                  <c:v>3.0915783931978913E-2</c:v>
                </c:pt>
                <c:pt idx="416">
                  <c:v>3.0926211015950795E-2</c:v>
                </c:pt>
                <c:pt idx="417">
                  <c:v>3.0949606728976006E-2</c:v>
                </c:pt>
                <c:pt idx="418">
                  <c:v>3.0967878667907386E-2</c:v>
                </c:pt>
                <c:pt idx="419">
                  <c:v>3.0978285409752587E-2</c:v>
                </c:pt>
                <c:pt idx="420">
                  <c:v>3.0988688083078021E-2</c:v>
                </c:pt>
                <c:pt idx="421">
                  <c:v>3.0999086687850202E-2</c:v>
                </c:pt>
                <c:pt idx="422">
                  <c:v>3.1022437756249435E-2</c:v>
                </c:pt>
                <c:pt idx="423">
                  <c:v>3.1040640420773938E-2</c:v>
                </c:pt>
                <c:pt idx="424">
                  <c:v>3.1051018682303293E-2</c:v>
                </c:pt>
                <c:pt idx="425">
                  <c:v>3.1061392875089119E-2</c:v>
                </c:pt>
                <c:pt idx="426">
                  <c:v>3.1071762999098817E-2</c:v>
                </c:pt>
                <c:pt idx="427">
                  <c:v>3.1095069414751292E-2</c:v>
                </c:pt>
                <c:pt idx="428">
                  <c:v>3.1113202806745614E-2</c:v>
                </c:pt>
                <c:pt idx="429">
                  <c:v>3.1123552586399861E-2</c:v>
                </c:pt>
                <c:pt idx="430">
                  <c:v>3.1133898297087702E-2</c:v>
                </c:pt>
                <c:pt idx="431">
                  <c:v>3.1144239938777421E-2</c:v>
                </c:pt>
                <c:pt idx="432">
                  <c:v>3.1167501693331674E-2</c:v>
                </c:pt>
                <c:pt idx="433">
                  <c:v>3.1185565814922569E-2</c:v>
                </c:pt>
                <c:pt idx="434">
                  <c:v>3.1195887111145973E-2</c:v>
                </c:pt>
                <c:pt idx="435">
                  <c:v>3.1206204338181855E-2</c:v>
                </c:pt>
                <c:pt idx="436">
                  <c:v>3.1216517495997621E-2</c:v>
                </c:pt>
                <c:pt idx="437">
                  <c:v>3.1239734580872581E-2</c:v>
                </c:pt>
                <c:pt idx="438">
                  <c:v>3.1268022245673495E-2</c:v>
                </c:pt>
                <c:pt idx="439">
                  <c:v>3.1278310987506087E-2</c:v>
                </c:pt>
                <c:pt idx="440">
                  <c:v>3.1288595659898326E-2</c:v>
                </c:pt>
                <c:pt idx="441">
                  <c:v>3.1311768399337268E-2</c:v>
                </c:pt>
                <c:pt idx="442">
                  <c:v>3.1329694460911335E-2</c:v>
                </c:pt>
                <c:pt idx="443">
                  <c:v>3.1339959554309557E-2</c:v>
                </c:pt>
                <c:pt idx="444">
                  <c:v>3.1350220956122804E-2</c:v>
                </c:pt>
                <c:pt idx="445">
                  <c:v>3.1360478741931146E-2</c:v>
                </c:pt>
                <c:pt idx="446">
                  <c:v>3.1383614473972643E-2</c:v>
                </c:pt>
                <c:pt idx="447">
                  <c:v>3.1401475236735997E-2</c:v>
                </c:pt>
                <c:pt idx="448">
                  <c:v>3.1411716076243608E-2</c:v>
                </c:pt>
                <c:pt idx="449">
                  <c:v>3.1421953753240771E-2</c:v>
                </c:pt>
                <c:pt idx="450">
                  <c:v>3.1432188343314592E-2</c:v>
                </c:pt>
                <c:pt idx="451">
                  <c:v>3.1461737059743485E-2</c:v>
                </c:pt>
                <c:pt idx="452">
                  <c:v>3.1473097346097559E-2</c:v>
                </c:pt>
                <c:pt idx="453">
                  <c:v>3.1483317635355168E-2</c:v>
                </c:pt>
                <c:pt idx="454">
                  <c:v>3.1493535291218254E-2</c:v>
                </c:pt>
                <c:pt idx="455">
                  <c:v>3.1503750389275699E-2</c:v>
                </c:pt>
                <c:pt idx="456">
                  <c:v>3.1526842530960587E-2</c:v>
                </c:pt>
                <c:pt idx="457">
                  <c:v>3.1544586715296023E-2</c:v>
                </c:pt>
                <c:pt idx="458">
                  <c:v>3.1554790158215558E-2</c:v>
                </c:pt>
                <c:pt idx="459">
                  <c:v>3.1564991496891751E-2</c:v>
                </c:pt>
                <c:pt idx="460">
                  <c:v>3.1575190806919624E-2</c:v>
                </c:pt>
                <c:pt idx="461">
                  <c:v>3.1598275271771108E-2</c:v>
                </c:pt>
                <c:pt idx="462">
                  <c:v>3.1615969272502494E-2</c:v>
                </c:pt>
                <c:pt idx="463">
                  <c:v>3.1626159573260183E-2</c:v>
                </c:pt>
                <c:pt idx="464">
                  <c:v>3.1636348298964445E-2</c:v>
                </c:pt>
                <c:pt idx="465">
                  <c:v>3.1646535525214729E-2</c:v>
                </c:pt>
                <c:pt idx="466">
                  <c:v>3.1669620996210207E-2</c:v>
                </c:pt>
                <c:pt idx="467">
                  <c:v>3.1687270947750382E-2</c:v>
                </c:pt>
                <c:pt idx="468">
                  <c:v>3.1697451810787598E-2</c:v>
                </c:pt>
                <c:pt idx="469">
                  <c:v>3.1707631627999201E-2</c:v>
                </c:pt>
                <c:pt idx="470">
                  <c:v>3.1717810474990796E-2</c:v>
                </c:pt>
                <c:pt idx="471">
                  <c:v>3.1740905088166162E-2</c:v>
                </c:pt>
                <c:pt idx="472">
                  <c:v>3.1768692802950756E-2</c:v>
                </c:pt>
                <c:pt idx="473">
                  <c:v>3.1778867416414114E-2</c:v>
                </c:pt>
                <c:pt idx="474">
                  <c:v>3.1789041588928445E-2</c:v>
                </c:pt>
                <c:pt idx="475">
                  <c:v>3.1812152933379231E-2</c:v>
                </c:pt>
                <c:pt idx="476">
                  <c:v>3.1829735381770641E-2</c:v>
                </c:pt>
                <c:pt idx="477">
                  <c:v>3.1839908483753454E-2</c:v>
                </c:pt>
                <c:pt idx="478">
                  <c:v>3.1850081598477277E-2</c:v>
                </c:pt>
                <c:pt idx="479">
                  <c:v>3.1860254801560926E-2</c:v>
                </c:pt>
                <c:pt idx="480">
                  <c:v>3.1883389919439974E-2</c:v>
                </c:pt>
                <c:pt idx="481">
                  <c:v>3.1900950009872885E-2</c:v>
                </c:pt>
                <c:pt idx="482">
                  <c:v>3.1911124789047701E-2</c:v>
                </c:pt>
                <c:pt idx="483">
                  <c:v>3.1921300110305854E-2</c:v>
                </c:pt>
                <c:pt idx="484">
                  <c:v>3.1931476049267923E-2</c:v>
                </c:pt>
                <c:pt idx="485">
                  <c:v>3.1954641435787461E-2</c:v>
                </c:pt>
                <c:pt idx="486">
                  <c:v>3.1972187494668389E-2</c:v>
                </c:pt>
                <c:pt idx="487">
                  <c:v>3.1982367656534588E-2</c:v>
                </c:pt>
                <c:pt idx="488">
                  <c:v>3.1992548889862568E-2</c:v>
                </c:pt>
                <c:pt idx="489">
                  <c:v>3.2002731270279083E-2</c:v>
                </c:pt>
                <c:pt idx="490">
                  <c:v>3.2025932873709327E-2</c:v>
                </c:pt>
                <c:pt idx="491">
                  <c:v>3.2043473775441284E-2</c:v>
                </c:pt>
                <c:pt idx="492">
                  <c:v>3.2053663025762527E-2</c:v>
                </c:pt>
                <c:pt idx="493">
                  <c:v>3.2057336784215143E-2</c:v>
                </c:pt>
                <c:pt idx="494">
                  <c:v>3.2067527076889243E-2</c:v>
                </c:pt>
                <c:pt idx="495">
                  <c:v>3.2077719108801396E-2</c:v>
                </c:pt>
                <c:pt idx="496">
                  <c:v>3.2108306404559403E-2</c:v>
                </c:pt>
                <c:pt idx="497">
                  <c:v>3.2118506158023252E-2</c:v>
                </c:pt>
                <c:pt idx="498">
                  <c:v>3.2128708033029356E-2</c:v>
                </c:pt>
                <c:pt idx="499">
                  <c:v>3.2138912106042666E-2</c:v>
                </c:pt>
                <c:pt idx="500">
                  <c:v>3.2149118453526325E-2</c:v>
                </c:pt>
                <c:pt idx="501">
                  <c:v>3.2179751907449726E-2</c:v>
                </c:pt>
                <c:pt idx="502">
                  <c:v>3.2189968117471331E-2</c:v>
                </c:pt>
                <c:pt idx="503">
                  <c:v>3.2200186984295109E-2</c:v>
                </c:pt>
                <c:pt idx="504">
                  <c:v>3.2210408584390463E-2</c:v>
                </c:pt>
                <c:pt idx="505">
                  <c:v>3.2220632994226776E-2</c:v>
                </c:pt>
                <c:pt idx="506">
                  <c:v>3.2251323502867794E-2</c:v>
                </c:pt>
                <c:pt idx="507">
                  <c:v>3.2261559444938824E-2</c:v>
                </c:pt>
                <c:pt idx="508">
                  <c:v>3.2271798273309268E-2</c:v>
                </c:pt>
                <c:pt idx="509">
                  <c:v>3.2282039987999611E-2</c:v>
                </c:pt>
                <c:pt idx="510">
                  <c:v>3.2292284589032126E-2</c:v>
                </c:pt>
                <c:pt idx="511">
                  <c:v>3.2336192451345412E-2</c:v>
                </c:pt>
                <c:pt idx="512">
                  <c:v>3.2339871599369206E-2</c:v>
                </c:pt>
                <c:pt idx="513">
                  <c:v>3.2343550890090444E-2</c:v>
                </c:pt>
                <c:pt idx="514">
                  <c:v>3.2353812809634626E-2</c:v>
                </c:pt>
                <c:pt idx="515">
                  <c:v>3.2364077615673267E-2</c:v>
                </c:pt>
                <c:pt idx="516">
                  <c:v>3.2411761901390564E-2</c:v>
                </c:pt>
                <c:pt idx="517">
                  <c:v>3.2422043492990792E-2</c:v>
                </c:pt>
                <c:pt idx="518">
                  <c:v>3.2494095476464729E-2</c:v>
                </c:pt>
                <c:pt idx="519">
                  <c:v>3.2566288939352171E-2</c:v>
                </c:pt>
                <c:pt idx="520">
                  <c:v>3.2645273946313329E-2</c:v>
                </c:pt>
                <c:pt idx="521">
                  <c:v>3.2711100333831303E-2</c:v>
                </c:pt>
                <c:pt idx="522">
                  <c:v>3.2783718280696691E-2</c:v>
                </c:pt>
                <c:pt idx="523">
                  <c:v>3.2856477737519464E-2</c:v>
                </c:pt>
                <c:pt idx="524">
                  <c:v>3.2929378711972594E-2</c:v>
                </c:pt>
                <c:pt idx="525">
                  <c:v>3.2988960816829983E-2</c:v>
                </c:pt>
                <c:pt idx="526">
                  <c:v>3.3062111444304931E-2</c:v>
                </c:pt>
                <c:pt idx="527">
                  <c:v>3.313540355674148E-2</c:v>
                </c:pt>
                <c:pt idx="528">
                  <c:v>3.320883716170215E-2</c:v>
                </c:pt>
                <c:pt idx="529">
                  <c:v>3.3282412266762963E-2</c:v>
                </c:pt>
                <c:pt idx="530">
                  <c:v>3.3356128879515251E-2</c:v>
                </c:pt>
                <c:pt idx="531">
                  <c:v>3.3429987007564763E-2</c:v>
                </c:pt>
                <c:pt idx="532">
                  <c:v>3.3503986658531645E-2</c:v>
                </c:pt>
                <c:pt idx="533">
                  <c:v>3.358499142925106E-2</c:v>
                </c:pt>
                <c:pt idx="534">
                  <c:v>3.3645532079355646E-2</c:v>
                </c:pt>
                <c:pt idx="535">
                  <c:v>3.3719939395197553E-2</c:v>
                </c:pt>
                <c:pt idx="536">
                  <c:v>3.3794488235940001E-2</c:v>
                </c:pt>
                <c:pt idx="537">
                  <c:v>3.3869178609190413E-2</c:v>
                </c:pt>
                <c:pt idx="538">
                  <c:v>3.3964856038647594E-2</c:v>
                </c:pt>
                <c:pt idx="539">
                  <c:v>3.403988070863688E-2</c:v>
                </c:pt>
                <c:pt idx="540">
                  <c:v>3.4115047021081008E-2</c:v>
                </c:pt>
                <c:pt idx="541">
                  <c:v>3.4190354983910182E-2</c:v>
                </c:pt>
                <c:pt idx="542">
                  <c:v>3.4265804605067812E-2</c:v>
                </c:pt>
                <c:pt idx="543">
                  <c:v>3.4334359670165154E-2</c:v>
                </c:pt>
                <c:pt idx="544">
                  <c:v>3.4410075411464576E-2</c:v>
                </c:pt>
                <c:pt idx="545">
                  <c:v>3.4485932805542636E-2</c:v>
                </c:pt>
                <c:pt idx="546">
                  <c:v>3.4561931860314261E-2</c:v>
                </c:pt>
                <c:pt idx="547">
                  <c:v>3.4645177864893073E-2</c:v>
                </c:pt>
                <c:pt idx="548">
                  <c:v>3.4721477603696538E-2</c:v>
                </c:pt>
                <c:pt idx="549">
                  <c:v>3.4797919056861394E-2</c:v>
                </c:pt>
                <c:pt idx="550">
                  <c:v>3.4874502232451754E-2</c:v>
                </c:pt>
                <c:pt idx="551">
                  <c:v>3.4951227138546689E-2</c:v>
                </c:pt>
                <c:pt idx="552">
                  <c:v>3.5028093783241135E-2</c:v>
                </c:pt>
                <c:pt idx="553">
                  <c:v>3.5105102174645901E-2</c:v>
                </c:pt>
                <c:pt idx="554">
                  <c:v>3.5182251928377845E-2</c:v>
                </c:pt>
                <c:pt idx="555">
                  <c:v>3.5259529692519415E-2</c:v>
                </c:pt>
                <c:pt idx="556">
                  <c:v>3.5336906485931921E-2</c:v>
                </c:pt>
                <c:pt idx="557">
                  <c:v>3.5414352394805747E-2</c:v>
                </c:pt>
                <c:pt idx="558">
                  <c:v>3.5491837503017071E-2</c:v>
                </c:pt>
                <c:pt idx="559">
                  <c:v>3.5569331892130483E-2</c:v>
                </c:pt>
                <c:pt idx="560">
                  <c:v>3.5646805641393706E-2</c:v>
                </c:pt>
                <c:pt idx="561">
                  <c:v>3.5724228827735821E-2</c:v>
                </c:pt>
                <c:pt idx="562">
                  <c:v>3.5801571525775247E-2</c:v>
                </c:pt>
                <c:pt idx="563">
                  <c:v>3.587880380782054E-2</c:v>
                </c:pt>
                <c:pt idx="564">
                  <c:v>3.5955895743878391E-2</c:v>
                </c:pt>
                <c:pt idx="565">
                  <c:v>3.6025593026265415E-2</c:v>
                </c:pt>
                <c:pt idx="566">
                  <c:v>3.6102324633324974E-2</c:v>
                </c:pt>
                <c:pt idx="567">
                  <c:v>3.6178826450895929E-2</c:v>
                </c:pt>
                <c:pt idx="568">
                  <c:v>3.6255078577411205E-2</c:v>
                </c:pt>
                <c:pt idx="569">
                  <c:v>3.6338262086867808E-2</c:v>
                </c:pt>
                <c:pt idx="570">
                  <c:v>3.6414000657514281E-2</c:v>
                </c:pt>
                <c:pt idx="571">
                  <c:v>3.6489487646586341E-2</c:v>
                </c:pt>
                <c:pt idx="572">
                  <c:v>3.6564723039798699E-2</c:v>
                </c:pt>
                <c:pt idx="573">
                  <c:v>3.6639706822918922E-2</c:v>
                </c:pt>
                <c:pt idx="574">
                  <c:v>3.671443898175511E-2</c:v>
                </c:pt>
                <c:pt idx="575">
                  <c:v>3.6788919502166437E-2</c:v>
                </c:pt>
                <c:pt idx="576">
                  <c:v>3.6863148370058781E-2</c:v>
                </c:pt>
                <c:pt idx="577">
                  <c:v>3.6930026597437243E-2</c:v>
                </c:pt>
                <c:pt idx="578">
                  <c:v>3.6996673697493307E-2</c:v>
                </c:pt>
                <c:pt idx="579">
                  <c:v>3.7070168634769078E-2</c:v>
                </c:pt>
                <c:pt idx="580">
                  <c:v>3.7143411887263868E-2</c:v>
                </c:pt>
                <c:pt idx="581">
                  <c:v>3.7216403441418633E-2</c:v>
                </c:pt>
                <c:pt idx="582">
                  <c:v>3.7289143283718462E-2</c:v>
                </c:pt>
                <c:pt idx="583">
                  <c:v>3.7361631400698862E-2</c:v>
                </c:pt>
                <c:pt idx="584">
                  <c:v>3.7433867778936772E-2</c:v>
                </c:pt>
                <c:pt idx="585">
                  <c:v>3.7505852405059548E-2</c:v>
                </c:pt>
                <c:pt idx="586">
                  <c:v>3.7570580537498004E-2</c:v>
                </c:pt>
                <c:pt idx="587">
                  <c:v>3.7642072272083028E-2</c:v>
                </c:pt>
                <c:pt idx="588">
                  <c:v>3.7713312227670166E-2</c:v>
                </c:pt>
                <c:pt idx="589">
                  <c:v>3.7784300391217336E-2</c:v>
                </c:pt>
                <c:pt idx="590">
                  <c:v>3.787592122638922E-2</c:v>
                </c:pt>
                <c:pt idx="591">
                  <c:v>3.7946373647492711E-2</c:v>
                </c:pt>
                <c:pt idx="592">
                  <c:v>3.8016574197030265E-2</c:v>
                </c:pt>
                <c:pt idx="593">
                  <c:v>3.8086522861712054E-2</c:v>
                </c:pt>
                <c:pt idx="594">
                  <c:v>3.8156219628301992E-2</c:v>
                </c:pt>
                <c:pt idx="595">
                  <c:v>3.8218757213780756E-2</c:v>
                </c:pt>
                <c:pt idx="596">
                  <c:v>3.8287960921556549E-2</c:v>
                </c:pt>
                <c:pt idx="597">
                  <c:v>3.8356912706090193E-2</c:v>
                </c:pt>
                <c:pt idx="598">
                  <c:v>3.8435406251557495E-2</c:v>
                </c:pt>
                <c:pt idx="599">
                  <c:v>3.8510680686186932E-2</c:v>
                </c:pt>
                <c:pt idx="600">
                  <c:v>3.8578829791149676E-2</c:v>
                </c:pt>
                <c:pt idx="601">
                  <c:v>3.8646726904834949E-2</c:v>
                </c:pt>
                <c:pt idx="602">
                  <c:v>3.8714372014391651E-2</c:v>
                </c:pt>
                <c:pt idx="603">
                  <c:v>3.8781765107011819E-2</c:v>
                </c:pt>
                <c:pt idx="604">
                  <c:v>3.8848906169942111E-2</c:v>
                </c:pt>
                <c:pt idx="605">
                  <c:v>3.8915795190470601E-2</c:v>
                </c:pt>
                <c:pt idx="606">
                  <c:v>3.8982431440581451E-2</c:v>
                </c:pt>
                <c:pt idx="607">
                  <c:v>3.9048802176338111E-2</c:v>
                </c:pt>
                <c:pt idx="608">
                  <c:v>3.9114884682426403E-2</c:v>
                </c:pt>
                <c:pt idx="609">
                  <c:v>3.9180655940286913E-2</c:v>
                </c:pt>
                <c:pt idx="610">
                  <c:v>3.9246092929923419E-2</c:v>
                </c:pt>
                <c:pt idx="611">
                  <c:v>3.9311172629913453E-2</c:v>
                </c:pt>
                <c:pt idx="612">
                  <c:v>3.9375872017429467E-2</c:v>
                </c:pt>
                <c:pt idx="613">
                  <c:v>3.9440168068268749E-2</c:v>
                </c:pt>
                <c:pt idx="614">
                  <c:v>3.9504037756860511E-2</c:v>
                </c:pt>
                <c:pt idx="615">
                  <c:v>3.9567458056306376E-2</c:v>
                </c:pt>
                <c:pt idx="616">
                  <c:v>3.9630405938392732E-2</c:v>
                </c:pt>
                <c:pt idx="617">
                  <c:v>3.9686348365907037E-2</c:v>
                </c:pt>
                <c:pt idx="618">
                  <c:v>3.9748315076492804E-2</c:v>
                </c:pt>
                <c:pt idx="619">
                  <c:v>3.9809740777239928E-2</c:v>
                </c:pt>
                <c:pt idx="620">
                  <c:v>3.9870612571068491E-2</c:v>
                </c:pt>
                <c:pt idx="621">
                  <c:v>3.993730794046333E-2</c:v>
                </c:pt>
                <c:pt idx="622">
                  <c:v>3.9997037284050525E-2</c:v>
                </c:pt>
                <c:pt idx="623">
                  <c:v>4.0056211870402758E-2</c:v>
                </c:pt>
                <c:pt idx="624">
                  <c:v>4.0114831674917188E-2</c:v>
                </c:pt>
                <c:pt idx="625">
                  <c:v>4.0172896673223553E-2</c:v>
                </c:pt>
                <c:pt idx="626">
                  <c:v>4.0230406841180635E-2</c:v>
                </c:pt>
                <c:pt idx="627">
                  <c:v>4.0287362154879776E-2</c:v>
                </c:pt>
                <c:pt idx="628">
                  <c:v>4.0343762590639612E-2</c:v>
                </c:pt>
                <c:pt idx="629">
                  <c:v>4.0393496301845383E-2</c:v>
                </c:pt>
                <c:pt idx="630">
                  <c:v>4.0442739410700139E-2</c:v>
                </c:pt>
                <c:pt idx="631">
                  <c:v>4.04975422609875E-2</c:v>
                </c:pt>
                <c:pt idx="632">
                  <c:v>4.0551790250533397E-2</c:v>
                </c:pt>
                <c:pt idx="633">
                  <c:v>4.0605483357268032E-2</c:v>
                </c:pt>
                <c:pt idx="634">
                  <c:v>4.0658621559354825E-2</c:v>
                </c:pt>
                <c:pt idx="635">
                  <c:v>4.0711204835179642E-2</c:v>
                </c:pt>
                <c:pt idx="636">
                  <c:v>4.0763233163352557E-2</c:v>
                </c:pt>
                <c:pt idx="637">
                  <c:v>4.0814706522711505E-2</c:v>
                </c:pt>
                <c:pt idx="638">
                  <c:v>4.0859811298992375E-2</c:v>
                </c:pt>
                <c:pt idx="639">
                  <c:v>4.0910208685906294E-2</c:v>
                </c:pt>
                <c:pt idx="640">
                  <c:v>4.0960051098399133E-2</c:v>
                </c:pt>
                <c:pt idx="641">
                  <c:v>4.1009338516420593E-2</c:v>
                </c:pt>
                <c:pt idx="642">
                  <c:v>4.1075093795707229E-2</c:v>
                </c:pt>
                <c:pt idx="643">
                  <c:v>4.1123168377582842E-2</c:v>
                </c:pt>
                <c:pt idx="644">
                  <c:v>4.1170687734000615E-2</c:v>
                </c:pt>
                <c:pt idx="645">
                  <c:v>4.1217651845199356E-2</c:v>
                </c:pt>
                <c:pt idx="646">
                  <c:v>4.1264060691652206E-2</c:v>
                </c:pt>
                <c:pt idx="647">
                  <c:v>4.1304414740042157E-2</c:v>
                </c:pt>
                <c:pt idx="648">
                  <c:v>4.1349747558621863E-2</c:v>
                </c:pt>
                <c:pt idx="649">
                  <c:v>4.1394525113660006E-2</c:v>
                </c:pt>
                <c:pt idx="650">
                  <c:v>4.1445019524116257E-2</c:v>
                </c:pt>
                <c:pt idx="651">
                  <c:v>4.1510013464473985E-2</c:v>
                </c:pt>
                <c:pt idx="652">
                  <c:v>4.1547594166856092E-2</c:v>
                </c:pt>
                <c:pt idx="653">
                  <c:v>4.1589966542207944E-2</c:v>
                </c:pt>
                <c:pt idx="654">
                  <c:v>4.1631783383596715E-2</c:v>
                </c:pt>
                <c:pt idx="655">
                  <c:v>4.165740435597589E-2</c:v>
                </c:pt>
                <c:pt idx="656">
                  <c:v>4.1713750393650544E-2</c:v>
                </c:pt>
                <c:pt idx="657">
                  <c:v>4.1753900527488126E-2</c:v>
                </c:pt>
                <c:pt idx="658">
                  <c:v>4.1793500271915827E-2</c:v>
                </c:pt>
                <c:pt idx="659">
                  <c:v>4.1832575681573884E-2</c:v>
                </c:pt>
                <c:pt idx="660">
                  <c:v>4.1876209033578755E-2</c:v>
                </c:pt>
                <c:pt idx="661">
                  <c:v>4.1909278578827418E-2</c:v>
                </c:pt>
                <c:pt idx="662">
                  <c:v>4.1946968611069002E-2</c:v>
                </c:pt>
                <c:pt idx="663">
                  <c:v>4.1984259397761584E-2</c:v>
                </c:pt>
                <c:pt idx="664">
                  <c:v>4.2021182214587338E-2</c:v>
                </c:pt>
                <c:pt idx="665">
                  <c:v>4.2057768338519125E-2</c:v>
                </c:pt>
                <c:pt idx="666">
                  <c:v>4.2094049047786027E-2</c:v>
                </c:pt>
                <c:pt idx="667">
                  <c:v>4.2130055621852652E-2</c:v>
                </c:pt>
                <c:pt idx="668">
                  <c:v>4.2150980889356961E-2</c:v>
                </c:pt>
                <c:pt idx="669">
                  <c:v>4.2186551786579388E-2</c:v>
                </c:pt>
                <c:pt idx="670">
                  <c:v>4.2221940973958559E-2</c:v>
                </c:pt>
                <c:pt idx="671">
                  <c:v>4.2257179751319644E-2</c:v>
                </c:pt>
                <c:pt idx="672">
                  <c:v>4.2292282542601041E-2</c:v>
                </c:pt>
                <c:pt idx="673">
                  <c:v>4.2342001357920336E-2</c:v>
                </c:pt>
                <c:pt idx="674">
                  <c:v>4.2376816016007991E-2</c:v>
                </c:pt>
                <c:pt idx="675">
                  <c:v>4.2411495063451134E-2</c:v>
                </c:pt>
                <c:pt idx="676">
                  <c:v>4.2450938319841494E-2</c:v>
                </c:pt>
                <c:pt idx="677">
                  <c:v>4.2480446312025931E-2</c:v>
                </c:pt>
                <c:pt idx="678">
                  <c:v>4.2514718505998784E-2</c:v>
                </c:pt>
                <c:pt idx="679">
                  <c:v>4.2548855075013839E-2</c:v>
                </c:pt>
                <c:pt idx="680">
                  <c:v>4.2582856015528338E-2</c:v>
                </c:pt>
                <c:pt idx="681">
                  <c:v>4.2602106787647767E-2</c:v>
                </c:pt>
                <c:pt idx="682">
                  <c:v>4.2635853765176555E-2</c:v>
                </c:pt>
                <c:pt idx="683">
                  <c:v>4.2669465142454045E-2</c:v>
                </c:pt>
                <c:pt idx="684">
                  <c:v>4.2702940916101231E-2</c:v>
                </c:pt>
                <c:pt idx="685">
                  <c:v>4.2736281082755137E-2</c:v>
                </c:pt>
                <c:pt idx="686">
                  <c:v>4.2769485639064367E-2</c:v>
                </c:pt>
                <c:pt idx="687">
                  <c:v>4.2821901047085761E-2</c:v>
                </c:pt>
                <c:pt idx="688">
                  <c:v>4.2835487907316248E-2</c:v>
                </c:pt>
                <c:pt idx="689">
                  <c:v>4.2868285612625574E-2</c:v>
                </c:pt>
                <c:pt idx="690">
                  <c:v>4.289612818903215E-2</c:v>
                </c:pt>
                <c:pt idx="691">
                  <c:v>4.2928660526852506E-2</c:v>
                </c:pt>
                <c:pt idx="692">
                  <c:v>4.2961057247753752E-2</c:v>
                </c:pt>
                <c:pt idx="693">
                  <c:v>4.2993318348515656E-2</c:v>
                </c:pt>
                <c:pt idx="694">
                  <c:v>4.3030239719574759E-2</c:v>
                </c:pt>
                <c:pt idx="695">
                  <c:v>4.3081381513499495E-2</c:v>
                </c:pt>
                <c:pt idx="696">
                  <c:v>4.3108422750688616E-2</c:v>
                </c:pt>
                <c:pt idx="697">
                  <c:v>4.3140117478166685E-2</c:v>
                </c:pt>
                <c:pt idx="698">
                  <c:v>4.3171676515767157E-2</c:v>
                </c:pt>
                <c:pt idx="699">
                  <c:v>4.3188802830047474E-2</c:v>
                </c:pt>
                <c:pt idx="700">
                  <c:v>4.323793654219775E-2</c:v>
                </c:pt>
                <c:pt idx="701">
                  <c:v>4.3269029029720137E-2</c:v>
                </c:pt>
                <c:pt idx="702">
                  <c:v>4.3299985853357426E-2</c:v>
                </c:pt>
                <c:pt idx="703">
                  <c:v>4.3335545325676461E-2</c:v>
                </c:pt>
                <c:pt idx="704">
                  <c:v>4.3366224745028402E-2</c:v>
                </c:pt>
                <c:pt idx="705">
                  <c:v>4.3396768477489876E-2</c:v>
                </c:pt>
                <c:pt idx="706">
                  <c:v>4.3427176519958227E-2</c:v>
                </c:pt>
                <c:pt idx="707">
                  <c:v>4.3457448869341352E-2</c:v>
                </c:pt>
                <c:pt idx="708">
                  <c:v>4.3487585522564778E-2</c:v>
                </c:pt>
                <c:pt idx="709">
                  <c:v>4.3517586476567255E-2</c:v>
                </c:pt>
                <c:pt idx="710">
                  <c:v>4.3547451728298964E-2</c:v>
                </c:pt>
                <c:pt idx="711">
                  <c:v>4.3577181274725971E-2</c:v>
                </c:pt>
                <c:pt idx="712">
                  <c:v>4.3606775112826644E-2</c:v>
                </c:pt>
                <c:pt idx="713">
                  <c:v>4.3636233239594348E-2</c:v>
                </c:pt>
                <c:pt idx="714">
                  <c:v>4.3665555652036545E-2</c:v>
                </c:pt>
                <c:pt idx="715">
                  <c:v>4.3694742347173007E-2</c:v>
                </c:pt>
                <c:pt idx="716">
                  <c:v>4.3723793322036748E-2</c:v>
                </c:pt>
                <c:pt idx="717">
                  <c:v>4.3752708573677503E-2</c:v>
                </c:pt>
                <c:pt idx="718">
                  <c:v>4.3781488099156461E-2</c:v>
                </c:pt>
                <c:pt idx="719">
                  <c:v>4.3810131895548027E-2</c:v>
                </c:pt>
                <c:pt idx="720">
                  <c:v>4.3834006673658936E-2</c:v>
                </c:pt>
                <c:pt idx="721">
                  <c:v>4.3862385307869137E-2</c:v>
                </c:pt>
                <c:pt idx="722">
                  <c:v>4.3890628218557534E-2</c:v>
                </c:pt>
                <c:pt idx="723">
                  <c:v>4.3918735402885739E-2</c:v>
                </c:pt>
                <c:pt idx="724">
                  <c:v>4.3946706858027804E-2</c:v>
                </c:pt>
                <c:pt idx="725">
                  <c:v>4.3979144201059549E-2</c:v>
                </c:pt>
                <c:pt idx="726">
                  <c:v>4.4006837813120821E-2</c:v>
                </c:pt>
                <c:pt idx="727">
                  <c:v>4.4034395673196482E-2</c:v>
                </c:pt>
                <c:pt idx="728">
                  <c:v>4.4061817778486036E-2</c:v>
                </c:pt>
                <c:pt idx="729">
                  <c:v>4.4089104126203073E-2</c:v>
                </c:pt>
                <c:pt idx="730">
                  <c:v>4.4116254713573527E-2</c:v>
                </c:pt>
                <c:pt idx="731">
                  <c:v>4.4143269537840056E-2</c:v>
                </c:pt>
                <c:pt idx="732">
                  <c:v>4.4170148596255017E-2</c:v>
                </c:pt>
                <c:pt idx="733">
                  <c:v>4.4187791221204732E-2</c:v>
                </c:pt>
                <c:pt idx="734">
                  <c:v>4.4214411722766564E-2</c:v>
                </c:pt>
                <c:pt idx="735">
                  <c:v>4.4240896479599306E-2</c:v>
                </c:pt>
                <c:pt idx="736">
                  <c:v>4.4267245489071662E-2</c:v>
                </c:pt>
                <c:pt idx="737">
                  <c:v>4.4293458748561325E-2</c:v>
                </c:pt>
                <c:pt idx="738">
                  <c:v>4.4324054115821708E-2</c:v>
                </c:pt>
                <c:pt idx="739">
                  <c:v>4.4345478007187161E-2</c:v>
                </c:pt>
                <c:pt idx="740">
                  <c:v>4.4371284001151673E-2</c:v>
                </c:pt>
                <c:pt idx="741">
                  <c:v>4.4400610328401029E-2</c:v>
                </c:pt>
                <c:pt idx="742">
                  <c:v>4.442163456321499E-2</c:v>
                </c:pt>
                <c:pt idx="743">
                  <c:v>4.4447020497070354E-2</c:v>
                </c:pt>
                <c:pt idx="744">
                  <c:v>4.4472270677510223E-2</c:v>
                </c:pt>
                <c:pt idx="745">
                  <c:v>4.4497385102054053E-2</c:v>
                </c:pt>
                <c:pt idx="746">
                  <c:v>4.4535755702885982E-2</c:v>
                </c:pt>
                <c:pt idx="747">
                  <c:v>4.4560578552516529E-2</c:v>
                </c:pt>
                <c:pt idx="748">
                  <c:v>4.4585265593887161E-2</c:v>
                </c:pt>
                <c:pt idx="749">
                  <c:v>4.4609816824490729E-2</c:v>
                </c:pt>
                <c:pt idx="750">
                  <c:v>4.4629795380157426E-2</c:v>
                </c:pt>
                <c:pt idx="751">
                  <c:v>4.4654081728932614E-2</c:v>
                </c:pt>
                <c:pt idx="752">
                  <c:v>4.4678232274605677E-2</c:v>
                </c:pt>
                <c:pt idx="753">
                  <c:v>4.4702247014746122E-2</c:v>
                </c:pt>
                <c:pt idx="754">
                  <c:v>4.4726125946942155E-2</c:v>
                </c:pt>
                <c:pt idx="755">
                  <c:v>4.4754272043212903E-2</c:v>
                </c:pt>
                <c:pt idx="756">
                  <c:v>4.477787252934802E-2</c:v>
                </c:pt>
                <c:pt idx="757">
                  <c:v>4.4801337185138103E-2</c:v>
                </c:pt>
                <c:pt idx="758">
                  <c:v>4.4824666008201987E-2</c:v>
                </c:pt>
                <c:pt idx="759">
                  <c:v>4.4847858996166425E-2</c:v>
                </c:pt>
                <c:pt idx="760">
                  <c:v>4.4870916146674905E-2</c:v>
                </c:pt>
                <c:pt idx="761">
                  <c:v>4.4893837457385011E-2</c:v>
                </c:pt>
                <c:pt idx="762">
                  <c:v>4.4916625381866304E-2</c:v>
                </c:pt>
                <c:pt idx="763">
                  <c:v>4.4939292197426081E-2</c:v>
                </c:pt>
                <c:pt idx="764">
                  <c:v>4.4961852637584898E-2</c:v>
                </c:pt>
                <c:pt idx="765">
                  <c:v>4.4984321436205982E-2</c:v>
                </c:pt>
                <c:pt idx="766">
                  <c:v>4.500671332749262E-2</c:v>
                </c:pt>
                <c:pt idx="767">
                  <c:v>4.5029043045976679E-2</c:v>
                </c:pt>
                <c:pt idx="768">
                  <c:v>4.5051325326524769E-2</c:v>
                </c:pt>
                <c:pt idx="769">
                  <c:v>4.5073574904332121E-2</c:v>
                </c:pt>
                <c:pt idx="770">
                  <c:v>4.5095806514923412E-2</c:v>
                </c:pt>
                <c:pt idx="771">
                  <c:v>4.5118034894147514E-2</c:v>
                </c:pt>
                <c:pt idx="772">
                  <c:v>4.5135898316839E-2</c:v>
                </c:pt>
                <c:pt idx="773">
                  <c:v>4.5158157799405449E-2</c:v>
                </c:pt>
                <c:pt idx="774">
                  <c:v>4.5180458068622253E-2</c:v>
                </c:pt>
                <c:pt idx="775">
                  <c:v>4.5202812458247574E-2</c:v>
                </c:pt>
                <c:pt idx="776">
                  <c:v>4.5225224653527948E-2</c:v>
                </c:pt>
                <c:pt idx="777">
                  <c:v>4.5252105274333342E-2</c:v>
                </c:pt>
                <c:pt idx="778">
                  <c:v>4.5274640006514981E-2</c:v>
                </c:pt>
                <c:pt idx="779">
                  <c:v>4.5297232563048226E-2</c:v>
                </c:pt>
                <c:pt idx="780">
                  <c:v>4.5319882944909143E-2</c:v>
                </c:pt>
                <c:pt idx="781">
                  <c:v>4.5342591153072945E-2</c:v>
                </c:pt>
                <c:pt idx="782">
                  <c:v>4.5365357188522741E-2</c:v>
                </c:pt>
                <c:pt idx="783">
                  <c:v>4.5388181052240788E-2</c:v>
                </c:pt>
                <c:pt idx="784">
                  <c:v>4.5411062745211977E-2</c:v>
                </c:pt>
                <c:pt idx="785">
                  <c:v>4.542507106552085E-2</c:v>
                </c:pt>
                <c:pt idx="786">
                  <c:v>4.544805446718915E-2</c:v>
                </c:pt>
                <c:pt idx="787">
                  <c:v>4.547109568374956E-2</c:v>
                </c:pt>
                <c:pt idx="788">
                  <c:v>4.549419471617553E-2</c:v>
                </c:pt>
                <c:pt idx="789">
                  <c:v>4.551735156544142E-2</c:v>
                </c:pt>
                <c:pt idx="790">
                  <c:v>4.5540566232526093E-2</c:v>
                </c:pt>
                <c:pt idx="791">
                  <c:v>4.55638387184093E-2</c:v>
                </c:pt>
                <c:pt idx="792">
                  <c:v>4.5587169024074413E-2</c:v>
                </c:pt>
                <c:pt idx="793">
                  <c:v>4.5613903031545042E-2</c:v>
                </c:pt>
                <c:pt idx="794">
                  <c:v>4.5632829103468872E-2</c:v>
                </c:pt>
                <c:pt idx="795">
                  <c:v>4.5656334081257417E-2</c:v>
                </c:pt>
                <c:pt idx="796">
                  <c:v>4.5679896874158903E-2</c:v>
                </c:pt>
                <c:pt idx="797">
                  <c:v>4.5703517483160462E-2</c:v>
                </c:pt>
                <c:pt idx="798">
                  <c:v>4.5740868284819033E-2</c:v>
                </c:pt>
                <c:pt idx="799">
                  <c:v>4.5764625800081518E-2</c:v>
                </c:pt>
                <c:pt idx="800">
                  <c:v>4.5788441160846037E-2</c:v>
                </c:pt>
                <c:pt idx="801">
                  <c:v>4.5812314368145056E-2</c:v>
                </c:pt>
                <c:pt idx="802">
                  <c:v>4.5831658488663024E-2</c:v>
                </c:pt>
                <c:pt idx="803">
                  <c:v>4.585564026479802E-2</c:v>
                </c:pt>
                <c:pt idx="804">
                  <c:v>4.5879679881703377E-2</c:v>
                </c:pt>
                <c:pt idx="805">
                  <c:v>4.5903777340405974E-2</c:v>
                </c:pt>
                <c:pt idx="806">
                  <c:v>4.5927932641933573E-2</c:v>
                </c:pt>
                <c:pt idx="807">
                  <c:v>4.595676844700855E-2</c:v>
                </c:pt>
                <c:pt idx="808">
                  <c:v>4.5981046609032766E-2</c:v>
                </c:pt>
                <c:pt idx="809">
                  <c:v>4.6005382625904881E-2</c:v>
                </c:pt>
                <c:pt idx="810">
                  <c:v>4.6029776498675866E-2</c:v>
                </c:pt>
                <c:pt idx="811">
                  <c:v>4.6054228228397553E-2</c:v>
                </c:pt>
                <c:pt idx="812">
                  <c:v>4.6078737816126189E-2</c:v>
                </c:pt>
                <c:pt idx="813">
                  <c:v>4.6103305262920655E-2</c:v>
                </c:pt>
                <c:pt idx="814">
                  <c:v>4.6127930569841616E-2</c:v>
                </c:pt>
                <c:pt idx="815">
                  <c:v>4.6152613737952347E-2</c:v>
                </c:pt>
                <c:pt idx="816">
                  <c:v>4.6177354768317906E-2</c:v>
                </c:pt>
                <c:pt idx="817">
                  <c:v>4.6202153662005113E-2</c:v>
                </c:pt>
                <c:pt idx="818">
                  <c:v>4.6227010420087832E-2</c:v>
                </c:pt>
                <c:pt idx="819">
                  <c:v>4.6251925043636399E-2</c:v>
                </c:pt>
                <c:pt idx="820">
                  <c:v>4.6276897533729086E-2</c:v>
                </c:pt>
                <c:pt idx="821">
                  <c:v>4.6301927891441511E-2</c:v>
                </c:pt>
                <c:pt idx="822">
                  <c:v>4.6327016117856348E-2</c:v>
                </c:pt>
                <c:pt idx="823">
                  <c:v>4.6352162214054513E-2</c:v>
                </c:pt>
                <c:pt idx="824">
                  <c:v>4.6372620380528203E-2</c:v>
                </c:pt>
                <c:pt idx="825">
                  <c:v>4.6397874894550897E-2</c:v>
                </c:pt>
                <c:pt idx="826">
                  <c:v>4.6423187272499132E-2</c:v>
                </c:pt>
                <c:pt idx="827">
                  <c:v>4.644855751545502E-2</c:v>
                </c:pt>
                <c:pt idx="828">
                  <c:v>4.6473985624500648E-2</c:v>
                </c:pt>
                <c:pt idx="829">
                  <c:v>4.6504254117706215E-2</c:v>
                </c:pt>
                <c:pt idx="830">
                  <c:v>4.6529805332939461E-2</c:v>
                </c:pt>
                <c:pt idx="831">
                  <c:v>4.6555414426711669E-2</c:v>
                </c:pt>
                <c:pt idx="832">
                  <c:v>4.6581081400131071E-2</c:v>
                </c:pt>
                <c:pt idx="833">
                  <c:v>4.6606806254304994E-2</c:v>
                </c:pt>
                <c:pt idx="834">
                  <c:v>4.6632588990344309E-2</c:v>
                </c:pt>
                <c:pt idx="835">
                  <c:v>4.6658429609362513E-2</c:v>
                </c:pt>
                <c:pt idx="836">
                  <c:v>4.6684328112473999E-2</c:v>
                </c:pt>
                <c:pt idx="837">
                  <c:v>4.6700602139732192E-2</c:v>
                </c:pt>
                <c:pt idx="838">
                  <c:v>4.6726601526991117E-2</c:v>
                </c:pt>
                <c:pt idx="839">
                  <c:v>4.675265878314059E-2</c:v>
                </c:pt>
                <c:pt idx="840">
                  <c:v>4.677877390928193E-2</c:v>
                </c:pt>
                <c:pt idx="841">
                  <c:v>4.6804946906517375E-2</c:v>
                </c:pt>
                <c:pt idx="842">
                  <c:v>4.6831177775953657E-2</c:v>
                </c:pt>
                <c:pt idx="843">
                  <c:v>4.6857466518698404E-2</c:v>
                </c:pt>
                <c:pt idx="844">
                  <c:v>4.6883813135862852E-2</c:v>
                </c:pt>
                <c:pt idx="845">
                  <c:v>4.6913994423540474E-2</c:v>
                </c:pt>
                <c:pt idx="846">
                  <c:v>4.6935557181809466E-2</c:v>
                </c:pt>
                <c:pt idx="847">
                  <c:v>4.6962078170876317E-2</c:v>
                </c:pt>
                <c:pt idx="848">
                  <c:v>4.6988657029594809E-2</c:v>
                </c:pt>
                <c:pt idx="849">
                  <c:v>4.7015293759074983E-2</c:v>
                </c:pt>
                <c:pt idx="850">
                  <c:v>4.7066690003628307E-2</c:v>
                </c:pt>
                <c:pt idx="851">
                  <c:v>4.7098431650261653E-2</c:v>
                </c:pt>
                <c:pt idx="852">
                  <c:v>4.7120328549727905E-2</c:v>
                </c:pt>
                <c:pt idx="853">
                  <c:v>4.7147234706010357E-2</c:v>
                </c:pt>
                <c:pt idx="854">
                  <c:v>4.715928336562953E-2</c:v>
                </c:pt>
                <c:pt idx="855">
                  <c:v>4.7201736648098333E-2</c:v>
                </c:pt>
                <c:pt idx="856">
                  <c:v>4.7228826813640545E-2</c:v>
                </c:pt>
                <c:pt idx="857">
                  <c:v>4.7259857900141679E-2</c:v>
                </c:pt>
                <c:pt idx="858">
                  <c:v>4.7292078730550927E-2</c:v>
                </c:pt>
                <c:pt idx="859">
                  <c:v>4.7319358519997641E-2</c:v>
                </c:pt>
                <c:pt idx="860">
                  <c:v>4.7346696222079133E-2</c:v>
                </c:pt>
                <c:pt idx="861">
                  <c:v>4.7374091837972344E-2</c:v>
                </c:pt>
                <c:pt idx="862">
                  <c:v>4.7401545368863901E-2</c:v>
                </c:pt>
                <c:pt idx="863">
                  <c:v>4.7429056815937773E-2</c:v>
                </c:pt>
                <c:pt idx="864">
                  <c:v>4.7456626180381475E-2</c:v>
                </c:pt>
                <c:pt idx="865">
                  <c:v>4.7484253463386909E-2</c:v>
                </c:pt>
                <c:pt idx="866">
                  <c:v>4.751193866614687E-2</c:v>
                </c:pt>
                <c:pt idx="867">
                  <c:v>4.7539681789855022E-2</c:v>
                </c:pt>
                <c:pt idx="868">
                  <c:v>4.7567482835712084E-2</c:v>
                </c:pt>
                <c:pt idx="869">
                  <c:v>4.7595341804917903E-2</c:v>
                </c:pt>
                <c:pt idx="870">
                  <c:v>4.7623258698674072E-2</c:v>
                </c:pt>
                <c:pt idx="871">
                  <c:v>4.7651233518187466E-2</c:v>
                </c:pt>
                <c:pt idx="872">
                  <c:v>4.7679266264666752E-2</c:v>
                </c:pt>
                <c:pt idx="873">
                  <c:v>4.7707356939320558E-2</c:v>
                </c:pt>
                <c:pt idx="874">
                  <c:v>4.7735505543363706E-2</c:v>
                </c:pt>
                <c:pt idx="875">
                  <c:v>4.7763712078011014E-2</c:v>
                </c:pt>
                <c:pt idx="876">
                  <c:v>4.778683076958834E-2</c:v>
                </c:pt>
                <c:pt idx="877">
                  <c:v>4.7815145344482432E-2</c:v>
                </c:pt>
                <c:pt idx="878">
                  <c:v>4.7843517843835628E-2</c:v>
                </c:pt>
                <c:pt idx="879">
                  <c:v>4.7871948268861833E-2</c:v>
                </c:pt>
                <c:pt idx="880">
                  <c:v>4.7905613753036209E-2</c:v>
                </c:pt>
                <c:pt idx="881">
                  <c:v>4.7934167896978089E-2</c:v>
                </c:pt>
                <c:pt idx="882">
                  <c:v>4.7962779980104453E-2</c:v>
                </c:pt>
                <c:pt idx="883">
                  <c:v>4.7991450003649502E-2</c:v>
                </c:pt>
                <c:pt idx="884">
                  <c:v>4.8020177968853592E-2</c:v>
                </c:pt>
                <c:pt idx="885">
                  <c:v>4.8048963876955328E-2</c:v>
                </c:pt>
                <c:pt idx="886">
                  <c:v>4.8077807729198591E-2</c:v>
                </c:pt>
                <c:pt idx="887">
                  <c:v>4.8106709526830785E-2</c:v>
                </c:pt>
                <c:pt idx="888">
                  <c:v>4.8135669271096672E-2</c:v>
                </c:pt>
                <c:pt idx="889">
                  <c:v>4.8159438699461578E-2</c:v>
                </c:pt>
                <c:pt idx="890">
                  <c:v>4.8188506387574728E-2</c:v>
                </c:pt>
                <c:pt idx="891">
                  <c:v>4.8217632016095281E-2</c:v>
                </c:pt>
                <c:pt idx="892">
                  <c:v>4.82468155862701E-2</c:v>
                </c:pt>
                <c:pt idx="893">
                  <c:v>4.8276057099343385E-2</c:v>
                </c:pt>
                <c:pt idx="894">
                  <c:v>4.8305356556567348E-2</c:v>
                </c:pt>
                <c:pt idx="895">
                  <c:v>4.8334713959190631E-2</c:v>
                </c:pt>
                <c:pt idx="896">
                  <c:v>4.8364129308469006E-2</c:v>
                </c:pt>
                <c:pt idx="897">
                  <c:v>4.8388291668706444E-2</c:v>
                </c:pt>
                <c:pt idx="898">
                  <c:v>4.8417814883549806E-2</c:v>
                </c:pt>
                <c:pt idx="899">
                  <c:v>4.8447396038729607E-2</c:v>
                </c:pt>
                <c:pt idx="900">
                  <c:v>4.8477035135495769E-2</c:v>
                </c:pt>
                <c:pt idx="901">
                  <c:v>4.8506732175099092E-2</c:v>
                </c:pt>
                <c:pt idx="902">
                  <c:v>4.8547190792543916E-2</c:v>
                </c:pt>
                <c:pt idx="903">
                  <c:v>4.8577019887836602E-2</c:v>
                </c:pt>
                <c:pt idx="904">
                  <c:v>4.8606906950079173E-2</c:v>
                </c:pt>
                <c:pt idx="905">
                  <c:v>4.8636851980560454E-2</c:v>
                </c:pt>
                <c:pt idx="906">
                  <c:v>4.8661470144944784E-2</c:v>
                </c:pt>
                <c:pt idx="907">
                  <c:v>4.8691522990908634E-2</c:v>
                </c:pt>
                <c:pt idx="908">
                  <c:v>4.8721633798769627E-2</c:v>
                </c:pt>
                <c:pt idx="909">
                  <c:v>4.8751802569815587E-2</c:v>
                </c:pt>
                <c:pt idx="910">
                  <c:v>4.8787446701910327E-2</c:v>
                </c:pt>
                <c:pt idx="911">
                  <c:v>4.8817739569075612E-2</c:v>
                </c:pt>
                <c:pt idx="912">
                  <c:v>4.8848090413587612E-2</c:v>
                </c:pt>
                <c:pt idx="913">
                  <c:v>4.8878499236755399E-2</c:v>
                </c:pt>
                <c:pt idx="914">
                  <c:v>4.8908966039893337E-2</c:v>
                </c:pt>
                <c:pt idx="915">
                  <c:v>4.8939490824317547E-2</c:v>
                </c:pt>
                <c:pt idx="916">
                  <c:v>4.8970073591346787E-2</c:v>
                </c:pt>
                <c:pt idx="917">
                  <c:v>4.9000713984019763E-2</c:v>
                </c:pt>
                <c:pt idx="918">
                  <c:v>4.9031399808736775E-2</c:v>
                </c:pt>
                <c:pt idx="919">
                  <c:v>4.9062104606418071E-2</c:v>
                </c:pt>
                <c:pt idx="920">
                  <c:v>4.9092801067894758E-2</c:v>
                </c:pt>
                <c:pt idx="921">
                  <c:v>4.9123461883166325E-2</c:v>
                </c:pt>
                <c:pt idx="922">
                  <c:v>4.9154059741398019E-2</c:v>
                </c:pt>
                <c:pt idx="923">
                  <c:v>4.9184567330924363E-2</c:v>
                </c:pt>
                <c:pt idx="924">
                  <c:v>4.9214957339255329E-2</c:v>
                </c:pt>
                <c:pt idx="925">
                  <c:v>4.9245202453086001E-2</c:v>
                </c:pt>
                <c:pt idx="926">
                  <c:v>4.9275275358297503E-2</c:v>
                </c:pt>
                <c:pt idx="927">
                  <c:v>4.9305148739978093E-2</c:v>
                </c:pt>
                <c:pt idx="928">
                  <c:v>4.9329409932169339E-2</c:v>
                </c:pt>
                <c:pt idx="929">
                  <c:v>4.9358819632001824E-2</c:v>
                </c:pt>
                <c:pt idx="930">
                  <c:v>4.9387948216542077E-2</c:v>
                </c:pt>
                <c:pt idx="931">
                  <c:v>4.9427442021513883E-2</c:v>
                </c:pt>
                <c:pt idx="932">
                  <c:v>4.9450621077958445E-2</c:v>
                </c:pt>
                <c:pt idx="933">
                  <c:v>4.9478830775004312E-2</c:v>
                </c:pt>
                <c:pt idx="934">
                  <c:v>4.9506739465336104E-2</c:v>
                </c:pt>
                <c:pt idx="935">
                  <c:v>4.9534347142678008E-2</c:v>
                </c:pt>
                <c:pt idx="936">
                  <c:v>4.9561653800819415E-2</c:v>
                </c:pt>
                <c:pt idx="937">
                  <c:v>4.9588659433620196E-2</c:v>
                </c:pt>
                <c:pt idx="938">
                  <c:v>4.9615364035004508E-2</c:v>
                </c:pt>
                <c:pt idx="939">
                  <c:v>4.9641767598967892E-2</c:v>
                </c:pt>
                <c:pt idx="940">
                  <c:v>4.9667870119571939E-2</c:v>
                </c:pt>
                <c:pt idx="941">
                  <c:v>4.9683361333560293E-2</c:v>
                </c:pt>
                <c:pt idx="942">
                  <c:v>4.9708897846247588E-2</c:v>
                </c:pt>
                <c:pt idx="943">
                  <c:v>4.9734133376976464E-2</c:v>
                </c:pt>
                <c:pt idx="944">
                  <c:v>4.9766136791214645E-2</c:v>
                </c:pt>
                <c:pt idx="945">
                  <c:v>4.9790684342441806E-2</c:v>
                </c:pt>
                <c:pt idx="946">
                  <c:v>4.9814930893718273E-2</c:v>
                </c:pt>
                <c:pt idx="947">
                  <c:v>4.9838876439706699E-2</c:v>
                </c:pt>
                <c:pt idx="948">
                  <c:v>4.9862520975140878E-2</c:v>
                </c:pt>
                <c:pt idx="949">
                  <c:v>4.9880858146749689E-2</c:v>
                </c:pt>
                <c:pt idx="950">
                  <c:v>4.9903919014033134E-2</c:v>
                </c:pt>
                <c:pt idx="951">
                  <c:v>4.9926678895193144E-2</c:v>
                </c:pt>
                <c:pt idx="952">
                  <c:v>4.9949137785277715E-2</c:v>
                </c:pt>
                <c:pt idx="953">
                  <c:v>4.9981159625252347E-2</c:v>
                </c:pt>
                <c:pt idx="954">
                  <c:v>5.0022617262648714E-2</c:v>
                </c:pt>
                <c:pt idx="955">
                  <c:v>5.0039172801915187E-2</c:v>
                </c:pt>
                <c:pt idx="956">
                  <c:v>5.0060334584691037E-2</c:v>
                </c:pt>
                <c:pt idx="957">
                  <c:v>5.0081195151789985E-2</c:v>
                </c:pt>
                <c:pt idx="958">
                  <c:v>5.0087247879783359E-2</c:v>
                </c:pt>
                <c:pt idx="959">
                  <c:v>5.0107562236076493E-2</c:v>
                </c:pt>
                <c:pt idx="960">
                  <c:v>5.0138876431356318E-2</c:v>
                </c:pt>
                <c:pt idx="961">
                  <c:v>5.0158416498633215E-2</c:v>
                </c:pt>
                <c:pt idx="962">
                  <c:v>5.0182406341241152E-2</c:v>
                </c:pt>
                <c:pt idx="963">
                  <c:v>5.0201325239603176E-2</c:v>
                </c:pt>
                <c:pt idx="964">
                  <c:v>5.0219942968748037E-2</c:v>
                </c:pt>
                <c:pt idx="965">
                  <c:v>5.0238259524489529E-2</c:v>
                </c:pt>
                <c:pt idx="966">
                  <c:v>5.0256274902707489E-2</c:v>
                </c:pt>
                <c:pt idx="967">
                  <c:v>5.027398909934961E-2</c:v>
                </c:pt>
                <c:pt idx="968">
                  <c:v>5.0291402110432294E-2</c:v>
                </c:pt>
                <c:pt idx="969">
                  <c:v>5.0308513932036246E-2</c:v>
                </c:pt>
                <c:pt idx="970">
                  <c:v>5.0325324560313522E-2</c:v>
                </c:pt>
                <c:pt idx="971">
                  <c:v>5.0341833991484917E-2</c:v>
                </c:pt>
                <c:pt idx="972">
                  <c:v>5.0358042221833738E-2</c:v>
                </c:pt>
                <c:pt idx="973">
                  <c:v>5.0373949247716432E-2</c:v>
                </c:pt>
                <c:pt idx="974">
                  <c:v>5.0389555065552871E-2</c:v>
                </c:pt>
                <c:pt idx="975">
                  <c:v>5.0404859671835153E-2</c:v>
                </c:pt>
                <c:pt idx="976">
                  <c:v>5.0419863063117937E-2</c:v>
                </c:pt>
                <c:pt idx="977">
                  <c:v>5.0434565236028989E-2</c:v>
                </c:pt>
                <c:pt idx="978">
                  <c:v>5.0448966187259511E-2</c:v>
                </c:pt>
                <c:pt idx="979">
                  <c:v>5.0458642263824786E-2</c:v>
                </c:pt>
                <c:pt idx="980">
                  <c:v>5.0472460379873733E-2</c:v>
                </c:pt>
                <c:pt idx="981">
                  <c:v>5.0485977305828295E-2</c:v>
                </c:pt>
                <c:pt idx="982">
                  <c:v>5.0499193038684408E-2</c:v>
                </c:pt>
                <c:pt idx="983">
                  <c:v>5.0516452507205052E-2</c:v>
                </c:pt>
                <c:pt idx="984">
                  <c:v>5.0529046062700478E-2</c:v>
                </c:pt>
                <c:pt idx="985">
                  <c:v>5.0541338375262743E-2</c:v>
                </c:pt>
                <c:pt idx="986">
                  <c:v>5.0553329442127468E-2</c:v>
                </c:pt>
                <c:pt idx="987">
                  <c:v>5.056501926059722E-2</c:v>
                </c:pt>
                <c:pt idx="988">
                  <c:v>5.0576407828041514E-2</c:v>
                </c:pt>
                <c:pt idx="989">
                  <c:v>5.0587495141900356E-2</c:v>
                </c:pt>
                <c:pt idx="990">
                  <c:v>5.0598281199677159E-2</c:v>
                </c:pt>
                <c:pt idx="991">
                  <c:v>5.0608765998948466E-2</c:v>
                </c:pt>
                <c:pt idx="992">
                  <c:v>5.0610617185904157E-2</c:v>
                </c:pt>
                <c:pt idx="993">
                  <c:v>5.0620539763786582E-2</c:v>
                </c:pt>
                <c:pt idx="994">
                  <c:v>5.063016115911384E-2</c:v>
                </c:pt>
                <c:pt idx="995">
                  <c:v>5.0639481369767016E-2</c:v>
                </c:pt>
                <c:pt idx="996">
                  <c:v>5.0648500393697449E-2</c:v>
                </c:pt>
                <c:pt idx="997">
                  <c:v>5.0661284019468407E-2</c:v>
                </c:pt>
                <c:pt idx="998">
                  <c:v>5.0665634873514165E-2</c:v>
                </c:pt>
                <c:pt idx="999">
                  <c:v>5.0673750325630006E-2</c:v>
                </c:pt>
                <c:pt idx="1000">
                  <c:v>5.0681564583480387E-2</c:v>
                </c:pt>
                <c:pt idx="1001">
                  <c:v>5.0689077645347136E-2</c:v>
                </c:pt>
                <c:pt idx="1002">
                  <c:v>5.0696289509576907E-2</c:v>
                </c:pt>
                <c:pt idx="1003">
                  <c:v>5.0703200174580292E-2</c:v>
                </c:pt>
                <c:pt idx="1004">
                  <c:v>5.0709809638838116E-2</c:v>
                </c:pt>
                <c:pt idx="1005">
                  <c:v>5.0723919848087433E-2</c:v>
                </c:pt>
                <c:pt idx="1006">
                  <c:v>5.0729885524682647E-2</c:v>
                </c:pt>
                <c:pt idx="1007">
                  <c:v>5.0735549913166679E-2</c:v>
                </c:pt>
                <c:pt idx="1008">
                  <c:v>5.074091301226482E-2</c:v>
                </c:pt>
                <c:pt idx="1009">
                  <c:v>5.0742157681099999E-2</c:v>
                </c:pt>
                <c:pt idx="1010">
                  <c:v>5.0746939058193948E-2</c:v>
                </c:pt>
                <c:pt idx="1011">
                  <c:v>5.0751419184124694E-2</c:v>
                </c:pt>
                <c:pt idx="1012">
                  <c:v>5.0755598057892058E-2</c:v>
                </c:pt>
                <c:pt idx="1013">
                  <c:v>5.0759475678569803E-2</c:v>
                </c:pt>
                <c:pt idx="1014">
                  <c:v>5.0766764466953176E-2</c:v>
                </c:pt>
                <c:pt idx="1015">
                  <c:v>5.0770018510370885E-2</c:v>
                </c:pt>
                <c:pt idx="1016">
                  <c:v>5.0772971256648682E-2</c:v>
                </c:pt>
                <c:pt idx="1017">
                  <c:v>5.077562270512323E-2</c:v>
                </c:pt>
                <c:pt idx="1018">
                  <c:v>5.0777972855199888E-2</c:v>
                </c:pt>
                <c:pt idx="1019">
                  <c:v>5.0780021706345692E-2</c:v>
                </c:pt>
                <c:pt idx="1020">
                  <c:v>5.0781769258103439E-2</c:v>
                </c:pt>
                <c:pt idx="1021">
                  <c:v>5.0783220373836681E-2</c:v>
                </c:pt>
                <c:pt idx="1022">
                  <c:v>5.0784399372022865E-2</c:v>
                </c:pt>
                <c:pt idx="1023">
                  <c:v>5.078533543498398E-2</c:v>
                </c:pt>
                <c:pt idx="1024">
                  <c:v>5.0786057745120426E-2</c:v>
                </c:pt>
                <c:pt idx="1025">
                  <c:v>5.0786595484891631E-2</c:v>
                </c:pt>
                <c:pt idx="1026">
                  <c:v>5.0786977836794887E-2</c:v>
                </c:pt>
                <c:pt idx="1027">
                  <c:v>5.0787233983369776E-2</c:v>
                </c:pt>
                <c:pt idx="1028">
                  <c:v>5.078739310716382E-2</c:v>
                </c:pt>
                <c:pt idx="1029">
                  <c:v>5.078748439075096E-2</c:v>
                </c:pt>
                <c:pt idx="1030">
                  <c:v>5.0787537016701613E-2</c:v>
                </c:pt>
                <c:pt idx="1031">
                  <c:v>5.0784050151362836E-2</c:v>
                </c:pt>
                <c:pt idx="1032">
                  <c:v>5.0784107573567445E-2</c:v>
                </c:pt>
                <c:pt idx="1033">
                  <c:v>5.0784213512670116E-2</c:v>
                </c:pt>
                <c:pt idx="1034">
                  <c:v>5.0784394371740274E-2</c:v>
                </c:pt>
                <c:pt idx="1035">
                  <c:v>5.0784657446748489E-2</c:v>
                </c:pt>
                <c:pt idx="1036">
                  <c:v>5.078856174610865E-2</c:v>
                </c:pt>
                <c:pt idx="1037">
                  <c:v>5.0788995215241994E-2</c:v>
                </c:pt>
                <c:pt idx="1038">
                  <c:v>5.0789510926086127E-2</c:v>
                </c:pt>
                <c:pt idx="1039">
                  <c:v>5.0790108878670137E-2</c:v>
                </c:pt>
                <c:pt idx="1040">
                  <c:v>5.0790789073031889E-2</c:v>
                </c:pt>
                <c:pt idx="1041">
                  <c:v>5.0791551509214557E-2</c:v>
                </c:pt>
                <c:pt idx="1042">
                  <c:v>5.0792396187263063E-2</c:v>
                </c:pt>
                <c:pt idx="1043">
                  <c:v>5.0793323107229386E-2</c:v>
                </c:pt>
                <c:pt idx="1044">
                  <c:v>5.0787119615941824E-2</c:v>
                </c:pt>
                <c:pt idx="1045">
                  <c:v>5.0788198972498214E-2</c:v>
                </c:pt>
                <c:pt idx="1046">
                  <c:v>5.0789360548400171E-2</c:v>
                </c:pt>
                <c:pt idx="1047">
                  <c:v>5.0790604343717939E-2</c:v>
                </c:pt>
                <c:pt idx="1048">
                  <c:v>5.0795560390824779E-2</c:v>
                </c:pt>
                <c:pt idx="1049">
                  <c:v>5.0793338592898057E-2</c:v>
                </c:pt>
                <c:pt idx="1050">
                  <c:v>5.0794829046927906E-2</c:v>
                </c:pt>
                <c:pt idx="1051">
                  <c:v>5.0796401720700449E-2</c:v>
                </c:pt>
                <c:pt idx="1052">
                  <c:v>5.0798299739512547E-2</c:v>
                </c:pt>
                <c:pt idx="1053">
                  <c:v>5.0796388159343127E-2</c:v>
                </c:pt>
                <c:pt idx="1054">
                  <c:v>5.0798213113353294E-2</c:v>
                </c:pt>
                <c:pt idx="1055">
                  <c:v>5.080012027614024E-2</c:v>
                </c:pt>
                <c:pt idx="1056">
                  <c:v>5.0802109647817797E-2</c:v>
                </c:pt>
                <c:pt idx="1057">
                  <c:v>5.0815239045136358E-2</c:v>
                </c:pt>
                <c:pt idx="1058">
                  <c:v>5.0817411352588514E-2</c:v>
                </c:pt>
                <c:pt idx="1059">
                  <c:v>5.0819665903494841E-2</c:v>
                </c:pt>
                <c:pt idx="1060">
                  <c:v>5.0822002697994535E-2</c:v>
                </c:pt>
                <c:pt idx="1061">
                  <c:v>5.0820710102123211E-2</c:v>
                </c:pt>
                <c:pt idx="1062">
                  <c:v>5.0823205164418711E-2</c:v>
                </c:pt>
                <c:pt idx="1063">
                  <c:v>5.0825782459344236E-2</c:v>
                </c:pt>
                <c:pt idx="1064">
                  <c:v>5.0828441987056529E-2</c:v>
                </c:pt>
                <c:pt idx="1065">
                  <c:v>5.0831183747716793E-2</c:v>
                </c:pt>
                <c:pt idx="1066">
                  <c:v>5.0837750588827439E-2</c:v>
                </c:pt>
                <c:pt idx="1067">
                  <c:v>5.0840663092776989E-2</c:v>
                </c:pt>
                <c:pt idx="1068">
                  <c:v>5.0843657841606951E-2</c:v>
                </c:pt>
                <c:pt idx="1069">
                  <c:v>5.084673483550408E-2</c:v>
                </c:pt>
                <c:pt idx="1070">
                  <c:v>5.0849894074656017E-2</c:v>
                </c:pt>
                <c:pt idx="1071">
                  <c:v>5.0853135559255691E-2</c:v>
                </c:pt>
                <c:pt idx="1072">
                  <c:v>5.0856459289503955E-2</c:v>
                </c:pt>
                <c:pt idx="1073">
                  <c:v>5.08598652656043E-2</c:v>
                </c:pt>
                <c:pt idx="1074">
                  <c:v>5.0863353487766397E-2</c:v>
                </c:pt>
                <c:pt idx="1075">
                  <c:v>5.0866923956201668E-2</c:v>
                </c:pt>
                <c:pt idx="1076">
                  <c:v>5.087057667113299E-2</c:v>
                </c:pt>
                <c:pt idx="1077">
                  <c:v>5.087431163278236E-2</c:v>
                </c:pt>
                <c:pt idx="1078">
                  <c:v>5.0878128841380578E-2</c:v>
                </c:pt>
                <c:pt idx="1079">
                  <c:v>5.0882028297161097E-2</c:v>
                </c:pt>
                <c:pt idx="1080">
                  <c:v>5.0886010000362657E-2</c:v>
                </c:pt>
                <c:pt idx="1081">
                  <c:v>5.0890073951231914E-2</c:v>
                </c:pt>
                <c:pt idx="1082">
                  <c:v>5.0894220150016413E-2</c:v>
                </c:pt>
                <c:pt idx="1083">
                  <c:v>5.0894597487838936E-2</c:v>
                </c:pt>
                <c:pt idx="1084">
                  <c:v>5.0898901711854308E-2</c:v>
                </c:pt>
                <c:pt idx="1085">
                  <c:v>5.0903288173097076E-2</c:v>
                </c:pt>
                <c:pt idx="1086">
                  <c:v>5.0907756871835311E-2</c:v>
                </c:pt>
                <c:pt idx="1087">
                  <c:v>5.0912307808338879E-2</c:v>
                </c:pt>
                <c:pt idx="1088">
                  <c:v>5.0920824563570569E-2</c:v>
                </c:pt>
                <c:pt idx="1089">
                  <c:v>5.0925546505178373E-2</c:v>
                </c:pt>
                <c:pt idx="1090">
                  <c:v>5.0930350696879984E-2</c:v>
                </c:pt>
                <c:pt idx="1091">
                  <c:v>5.0935237138971384E-2</c:v>
                </c:pt>
                <c:pt idx="1092">
                  <c:v>5.0940205831750345E-2</c:v>
                </c:pt>
                <c:pt idx="1093">
                  <c:v>5.094525677552518E-2</c:v>
                </c:pt>
                <c:pt idx="1094">
                  <c:v>5.0950389970604228E-2</c:v>
                </c:pt>
                <c:pt idx="1095">
                  <c:v>5.095560541730286E-2</c:v>
                </c:pt>
                <c:pt idx="1096">
                  <c:v>5.0956966983582971E-2</c:v>
                </c:pt>
                <c:pt idx="1097">
                  <c:v>5.0962340313769165E-2</c:v>
                </c:pt>
                <c:pt idx="1098">
                  <c:v>5.096779588503824E-2</c:v>
                </c:pt>
                <c:pt idx="1099">
                  <c:v>5.0973333697717949E-2</c:v>
                </c:pt>
                <c:pt idx="1100">
                  <c:v>5.097895375214672E-2</c:v>
                </c:pt>
                <c:pt idx="1101">
                  <c:v>5.0984656048666553E-2</c:v>
                </c:pt>
                <c:pt idx="1102">
                  <c:v>5.0990440587622116E-2</c:v>
                </c:pt>
                <c:pt idx="1103">
                  <c:v>5.0996307369366091E-2</c:v>
                </c:pt>
                <c:pt idx="1104">
                  <c:v>5.1003112968697743E-2</c:v>
                </c:pt>
                <c:pt idx="1105">
                  <c:v>5.1005159905226277E-2</c:v>
                </c:pt>
                <c:pt idx="1106">
                  <c:v>5.1011278442266043E-2</c:v>
                </c:pt>
                <c:pt idx="1107">
                  <c:v>5.1017479212048321E-2</c:v>
                </c:pt>
                <c:pt idx="1108">
                  <c:v>5.1023762214948636E-2</c:v>
                </c:pt>
                <c:pt idx="1109">
                  <c:v>5.1038174566696966E-2</c:v>
                </c:pt>
                <c:pt idx="1110">
                  <c:v>5.1044635579973449E-2</c:v>
                </c:pt>
                <c:pt idx="1111">
                  <c:v>5.1051178850655514E-2</c:v>
                </c:pt>
                <c:pt idx="1112">
                  <c:v>5.1057804379146636E-2</c:v>
                </c:pt>
                <c:pt idx="1113">
                  <c:v>5.1064512165853809E-2</c:v>
                </c:pt>
                <c:pt idx="1114">
                  <c:v>5.106724416593076E-2</c:v>
                </c:pt>
                <c:pt idx="1115">
                  <c:v>5.1074109640010308E-2</c:v>
                </c:pt>
                <c:pt idx="1116">
                  <c:v>5.1081057361958358E-2</c:v>
                </c:pt>
                <c:pt idx="1117">
                  <c:v>5.1088087332198849E-2</c:v>
                </c:pt>
                <c:pt idx="1118">
                  <c:v>5.1099284987208136E-2</c:v>
                </c:pt>
                <c:pt idx="1119">
                  <c:v>5.1106486332033303E-2</c:v>
                </c:pt>
                <c:pt idx="1120">
                  <c:v>5.1113769938062659E-2</c:v>
                </c:pt>
                <c:pt idx="1121">
                  <c:v>5.112113580574372E-2</c:v>
                </c:pt>
                <c:pt idx="1122">
                  <c:v>5.1128583935530172E-2</c:v>
                </c:pt>
                <c:pt idx="1123">
                  <c:v>5.1136114327876576E-2</c:v>
                </c:pt>
                <c:pt idx="1124">
                  <c:v>5.1143726983248067E-2</c:v>
                </c:pt>
                <c:pt idx="1125">
                  <c:v>5.1151421902109785E-2</c:v>
                </c:pt>
                <c:pt idx="1126">
                  <c:v>5.1159199084935665E-2</c:v>
                </c:pt>
                <c:pt idx="1127">
                  <c:v>5.116705853220406E-2</c:v>
                </c:pt>
                <c:pt idx="1128">
                  <c:v>5.1175000244395967E-2</c:v>
                </c:pt>
                <c:pt idx="1129">
                  <c:v>5.1183024222000301E-2</c:v>
                </c:pt>
                <c:pt idx="1130">
                  <c:v>5.1191130465507752E-2</c:v>
                </c:pt>
                <c:pt idx="1131">
                  <c:v>5.1199318975417796E-2</c:v>
                </c:pt>
                <c:pt idx="1132">
                  <c:v>5.1207589752233468E-2</c:v>
                </c:pt>
                <c:pt idx="1133">
                  <c:v>5.1215942796462174E-2</c:v>
                </c:pt>
                <c:pt idx="1134">
                  <c:v>5.1224378108616624E-2</c:v>
                </c:pt>
                <c:pt idx="1135">
                  <c:v>5.1228691765329196E-2</c:v>
                </c:pt>
                <c:pt idx="1136">
                  <c:v>5.1237284539930136E-2</c:v>
                </c:pt>
                <c:pt idx="1137">
                  <c:v>5.1245959572311275E-2</c:v>
                </c:pt>
                <c:pt idx="1138">
                  <c:v>5.1254716863000746E-2</c:v>
                </c:pt>
                <c:pt idx="1139">
                  <c:v>5.1263556412527576E-2</c:v>
                </c:pt>
                <c:pt idx="1140">
                  <c:v>5.1276717637347397E-2</c:v>
                </c:pt>
                <c:pt idx="1141">
                  <c:v>5.1285728839768605E-2</c:v>
                </c:pt>
                <c:pt idx="1142">
                  <c:v>5.1294822314403077E-2</c:v>
                </c:pt>
                <c:pt idx="1143">
                  <c:v>5.13167871094641E-2</c:v>
                </c:pt>
                <c:pt idx="1144">
                  <c:v>5.131325608254237E-2</c:v>
                </c:pt>
                <c:pt idx="1145">
                  <c:v>5.1322596377179196E-2</c:v>
                </c:pt>
                <c:pt idx="1146">
                  <c:v>5.1332018946293294E-2</c:v>
                </c:pt>
                <c:pt idx="1147">
                  <c:v>5.1341523790459927E-2</c:v>
                </c:pt>
                <c:pt idx="1148">
                  <c:v>5.1342518373070495E-2</c:v>
                </c:pt>
                <c:pt idx="1149">
                  <c:v>5.1352173315464218E-2</c:v>
                </c:pt>
                <c:pt idx="1150">
                  <c:v>5.136191051107996E-2</c:v>
                </c:pt>
                <c:pt idx="1151">
                  <c:v>5.1371729960502141E-2</c:v>
                </c:pt>
                <c:pt idx="1152">
                  <c:v>5.1381631664324204E-2</c:v>
                </c:pt>
                <c:pt idx="1153">
                  <c:v>5.1391615623137793E-2</c:v>
                </c:pt>
                <c:pt idx="1154">
                  <c:v>5.1401681837544448E-2</c:v>
                </c:pt>
                <c:pt idx="1155">
                  <c:v>5.1411830308148408E-2</c:v>
                </c:pt>
                <c:pt idx="1156">
                  <c:v>5.1426414896550726E-2</c:v>
                </c:pt>
                <c:pt idx="1157">
                  <c:v>5.142801394632189E-2</c:v>
                </c:pt>
                <c:pt idx="1158">
                  <c:v>5.1438401858778293E-2</c:v>
                </c:pt>
                <c:pt idx="1159">
                  <c:v>5.1448872018040395E-2</c:v>
                </c:pt>
                <c:pt idx="1160">
                  <c:v>5.1459424424731059E-2</c:v>
                </c:pt>
                <c:pt idx="1161">
                  <c:v>5.1483230825497411E-2</c:v>
                </c:pt>
                <c:pt idx="1162">
                  <c:v>5.1493969868341698E-2</c:v>
                </c:pt>
                <c:pt idx="1163">
                  <c:v>5.1504791196184306E-2</c:v>
                </c:pt>
                <c:pt idx="1164">
                  <c:v>5.1515694809691225E-2</c:v>
                </c:pt>
                <c:pt idx="1165">
                  <c:v>5.1526680709531959E-2</c:v>
                </c:pt>
                <c:pt idx="1166">
                  <c:v>5.153332017160079E-2</c:v>
                </c:pt>
                <c:pt idx="1167">
                  <c:v>5.1544463204875282E-2</c:v>
                </c:pt>
                <c:pt idx="1168">
                  <c:v>5.1555688514589325E-2</c:v>
                </c:pt>
                <c:pt idx="1169">
                  <c:v>5.1566996101423346E-2</c:v>
                </c:pt>
                <c:pt idx="1170">
                  <c:v>5.1582844527516845E-2</c:v>
                </c:pt>
                <c:pt idx="1171">
                  <c:v>5.1594324159699535E-2</c:v>
                </c:pt>
                <c:pt idx="1172">
                  <c:v>5.1605886083043589E-2</c:v>
                </c:pt>
                <c:pt idx="1173">
                  <c:v>5.1617530298259925E-2</c:v>
                </c:pt>
                <c:pt idx="1174">
                  <c:v>5.1629256806062972E-2</c:v>
                </c:pt>
                <c:pt idx="1175">
                  <c:v>5.1641065607174227E-2</c:v>
                </c:pt>
                <c:pt idx="1176">
                  <c:v>5.1652956702315178E-2</c:v>
                </c:pt>
                <c:pt idx="1177">
                  <c:v>5.1664929605949893E-2</c:v>
                </c:pt>
                <c:pt idx="1178">
                  <c:v>5.1676975664715866E-2</c:v>
                </c:pt>
                <c:pt idx="1179">
                  <c:v>5.1689079447731594E-2</c:v>
                </c:pt>
                <c:pt idx="1180">
                  <c:v>5.1701225318790095E-2</c:v>
                </c:pt>
                <c:pt idx="1181">
                  <c:v>5.1713397641497627E-2</c:v>
                </c:pt>
                <c:pt idx="1182">
                  <c:v>5.1725580779268421E-2</c:v>
                </c:pt>
                <c:pt idx="1183">
                  <c:v>5.1737759095329919E-2</c:v>
                </c:pt>
                <c:pt idx="1184">
                  <c:v>5.1749916952720187E-2</c:v>
                </c:pt>
                <c:pt idx="1185">
                  <c:v>5.1762038714285245E-2</c:v>
                </c:pt>
                <c:pt idx="1186">
                  <c:v>5.1774108742687855E-2</c:v>
                </c:pt>
                <c:pt idx="1187">
                  <c:v>5.1786111400400528E-2</c:v>
                </c:pt>
                <c:pt idx="1188">
                  <c:v>5.1793541369723591E-2</c:v>
                </c:pt>
                <c:pt idx="1189">
                  <c:v>5.1805369400430484E-2</c:v>
                </c:pt>
                <c:pt idx="1190">
                  <c:v>5.1817083468151871E-2</c:v>
                </c:pt>
                <c:pt idx="1191">
                  <c:v>5.1828674823602434E-2</c:v>
                </c:pt>
                <c:pt idx="1192">
                  <c:v>5.1844604132948141E-2</c:v>
                </c:pt>
                <c:pt idx="1193">
                  <c:v>5.1855941877109284E-2</c:v>
                </c:pt>
                <c:pt idx="1194">
                  <c:v>5.1867156397190743E-2</c:v>
                </c:pt>
                <c:pt idx="1195">
                  <c:v>5.1878247692155655E-2</c:v>
                </c:pt>
                <c:pt idx="1196">
                  <c:v>5.1889215760987414E-2</c:v>
                </c:pt>
                <c:pt idx="1197">
                  <c:v>5.1900060602675595E-2</c:v>
                </c:pt>
                <c:pt idx="1198">
                  <c:v>5.1910782216222959E-2</c:v>
                </c:pt>
                <c:pt idx="1199">
                  <c:v>5.1921380600642872E-2</c:v>
                </c:pt>
                <c:pt idx="1200">
                  <c:v>5.1927452679936419E-2</c:v>
                </c:pt>
                <c:pt idx="1201">
                  <c:v>5.1933415915141723E-2</c:v>
                </c:pt>
                <c:pt idx="1202">
                  <c:v>5.1943659313988255E-2</c:v>
                </c:pt>
                <c:pt idx="1203">
                  <c:v>5.1953779514292406E-2</c:v>
                </c:pt>
                <c:pt idx="1204">
                  <c:v>5.1963776515146443E-2</c:v>
                </c:pt>
                <c:pt idx="1205">
                  <c:v>5.1973650315650752E-2</c:v>
                </c:pt>
                <c:pt idx="1206">
                  <c:v>5.1983400914914726E-2</c:v>
                </c:pt>
                <c:pt idx="1207">
                  <c:v>5.1993028312061269E-2</c:v>
                </c:pt>
                <c:pt idx="1208">
                  <c:v>5.2002532506225885E-2</c:v>
                </c:pt>
                <c:pt idx="1209">
                  <c:v>5.2007576468246254E-2</c:v>
                </c:pt>
                <c:pt idx="1210">
                  <c:v>5.2016841742208469E-2</c:v>
                </c:pt>
                <c:pt idx="1211">
                  <c:v>5.2025983827931069E-2</c:v>
                </c:pt>
                <c:pt idx="1212">
                  <c:v>5.2035002724601785E-2</c:v>
                </c:pt>
                <c:pt idx="1213">
                  <c:v>5.2056818398805375E-2</c:v>
                </c:pt>
                <c:pt idx="1214">
                  <c:v>5.2065568235667624E-2</c:v>
                </c:pt>
                <c:pt idx="1215">
                  <c:v>5.2074194829163825E-2</c:v>
                </c:pt>
                <c:pt idx="1216">
                  <c:v>5.2082698178499358E-2</c:v>
                </c:pt>
                <c:pt idx="1217">
                  <c:v>5.2091078282892833E-2</c:v>
                </c:pt>
                <c:pt idx="1218">
                  <c:v>5.2095066784961397E-2</c:v>
                </c:pt>
                <c:pt idx="1219">
                  <c:v>5.2103208045890609E-2</c:v>
                </c:pt>
                <c:pt idx="1220">
                  <c:v>5.2111226076952712E-2</c:v>
                </c:pt>
                <c:pt idx="1221">
                  <c:v>5.2120238646374023E-2</c:v>
                </c:pt>
                <c:pt idx="1222">
                  <c:v>5.214493681124191E-2</c:v>
                </c:pt>
                <c:pt idx="1223">
                  <c:v>5.2148308830952415E-2</c:v>
                </c:pt>
                <c:pt idx="1224">
                  <c:v>5.2155793109488091E-2</c:v>
                </c:pt>
                <c:pt idx="1225">
                  <c:v>5.2163154102341527E-2</c:v>
                </c:pt>
                <c:pt idx="1226">
                  <c:v>5.215777614137098E-2</c:v>
                </c:pt>
                <c:pt idx="1227">
                  <c:v>5.2177506228245234E-2</c:v>
                </c:pt>
                <c:pt idx="1228">
                  <c:v>5.2184497359946173E-2</c:v>
                </c:pt>
                <c:pt idx="1229">
                  <c:v>5.2191365203267059E-2</c:v>
                </c:pt>
                <c:pt idx="1230">
                  <c:v>5.2198109757560396E-2</c:v>
                </c:pt>
                <c:pt idx="1231">
                  <c:v>5.2208896390388067E-2</c:v>
                </c:pt>
                <c:pt idx="1232">
                  <c:v>5.221122899654506E-2</c:v>
                </c:pt>
                <c:pt idx="1233">
                  <c:v>5.2217603680003451E-2</c:v>
                </c:pt>
                <c:pt idx="1234">
                  <c:v>5.222385507196927E-2</c:v>
                </c:pt>
                <c:pt idx="1235">
                  <c:v>5.2229983171854504E-2</c:v>
                </c:pt>
                <c:pt idx="1236">
                  <c:v>5.2235987979084068E-2</c:v>
                </c:pt>
                <c:pt idx="1237">
                  <c:v>5.2241869493092362E-2</c:v>
                </c:pt>
                <c:pt idx="1238">
                  <c:v>5.2247627713327575E-2</c:v>
                </c:pt>
                <c:pt idx="1239">
                  <c:v>5.2240954962628795E-2</c:v>
                </c:pt>
                <c:pt idx="1240">
                  <c:v>5.2246490651969867E-2</c:v>
                </c:pt>
                <c:pt idx="1241">
                  <c:v>5.2251903098408728E-2</c:v>
                </c:pt>
                <c:pt idx="1242">
                  <c:v>5.2257192301448416E-2</c:v>
                </c:pt>
                <c:pt idx="1243">
                  <c:v>5.2262358260609772E-2</c:v>
                </c:pt>
                <c:pt idx="1244">
                  <c:v>5.2279587835997413E-2</c:v>
                </c:pt>
                <c:pt idx="1245">
                  <c:v>5.2284482985312096E-2</c:v>
                </c:pt>
                <c:pt idx="1246">
                  <c:v>5.2289254836848806E-2</c:v>
                </c:pt>
                <c:pt idx="1247">
                  <c:v>5.229794051038076E-2</c:v>
                </c:pt>
                <c:pt idx="1248">
                  <c:v>5.2298428644800998E-2</c:v>
                </c:pt>
                <c:pt idx="1249">
                  <c:v>5.2302830600355142E-2</c:v>
                </c:pt>
                <c:pt idx="1250">
                  <c:v>5.2307109256406067E-2</c:v>
                </c:pt>
                <c:pt idx="1251">
                  <c:v>5.2311264612551131E-2</c:v>
                </c:pt>
                <c:pt idx="1252">
                  <c:v>5.2303305844672132E-2</c:v>
                </c:pt>
                <c:pt idx="1253">
                  <c:v>5.2303249825460779E-2</c:v>
                </c:pt>
                <c:pt idx="1254">
                  <c:v>5.2307068333151012E-2</c:v>
                </c:pt>
                <c:pt idx="1255">
                  <c:v>5.2310763609594871E-2</c:v>
                </c:pt>
                <c:pt idx="1256">
                  <c:v>5.2314335654461877E-2</c:v>
                </c:pt>
                <c:pt idx="1257">
                  <c:v>5.2317784467428741E-2</c:v>
                </c:pt>
                <c:pt idx="1258">
                  <c:v>5.2321110048186591E-2</c:v>
                </c:pt>
                <c:pt idx="1259">
                  <c:v>5.2324312396434647E-2</c:v>
                </c:pt>
                <c:pt idx="1260">
                  <c:v>5.2327391511884758E-2</c:v>
                </c:pt>
                <c:pt idx="1261">
                  <c:v>5.2326424018093315E-2</c:v>
                </c:pt>
                <c:pt idx="1262">
                  <c:v>5.2329265064776545E-2</c:v>
                </c:pt>
                <c:pt idx="1263">
                  <c:v>5.2331982895414006E-2</c:v>
                </c:pt>
                <c:pt idx="1264">
                  <c:v>5.2334577509767111E-2</c:v>
                </c:pt>
                <c:pt idx="1265">
                  <c:v>5.234482782863175E-2</c:v>
                </c:pt>
                <c:pt idx="1266">
                  <c:v>5.2362677727498329E-2</c:v>
                </c:pt>
                <c:pt idx="1267">
                  <c:v>5.2360981240417777E-2</c:v>
                </c:pt>
                <c:pt idx="1268">
                  <c:v>5.2363040447860991E-2</c:v>
                </c:pt>
                <c:pt idx="1269">
                  <c:v>5.2364976350140681E-2</c:v>
                </c:pt>
                <c:pt idx="1270">
                  <c:v>5.2355251520586905E-2</c:v>
                </c:pt>
                <c:pt idx="1271">
                  <c:v>5.2357891152187162E-2</c:v>
                </c:pt>
                <c:pt idx="1272">
                  <c:v>5.2359412449591761E-2</c:v>
                </c:pt>
                <c:pt idx="1273">
                  <c:v>5.2360810493814629E-2</c:v>
                </c:pt>
                <c:pt idx="1274">
                  <c:v>5.2365892268447678E-2</c:v>
                </c:pt>
                <c:pt idx="1275">
                  <c:v>5.2367035165002379E-2</c:v>
                </c:pt>
                <c:pt idx="1276">
                  <c:v>5.2368054790454699E-2</c:v>
                </c:pt>
                <c:pt idx="1277">
                  <c:v>5.2368951144714779E-2</c:v>
                </c:pt>
                <c:pt idx="1278">
                  <c:v>5.2369724227697166E-2</c:v>
                </c:pt>
                <c:pt idx="1279">
                  <c:v>5.237037403933139E-2</c:v>
                </c:pt>
                <c:pt idx="1280">
                  <c:v>5.2370900579557546E-2</c:v>
                </c:pt>
                <c:pt idx="1281">
                  <c:v>5.2371303848328055E-2</c:v>
                </c:pt>
                <c:pt idx="1282">
                  <c:v>5.2371583845605051E-2</c:v>
                </c:pt>
                <c:pt idx="1283">
                  <c:v>5.2371740571362978E-2</c:v>
                </c:pt>
                <c:pt idx="1284">
                  <c:v>5.2371774025588624E-2</c:v>
                </c:pt>
                <c:pt idx="1285">
                  <c:v>5.2371684208276703E-2</c:v>
                </c:pt>
                <c:pt idx="1286">
                  <c:v>5.2371471119436908E-2</c:v>
                </c:pt>
                <c:pt idx="1287">
                  <c:v>5.237113475908773E-2</c:v>
                </c:pt>
                <c:pt idx="1288">
                  <c:v>5.2370675127261776E-2</c:v>
                </c:pt>
                <c:pt idx="1289">
                  <c:v>5.2370092224000436E-2</c:v>
                </c:pt>
                <c:pt idx="1290">
                  <c:v>5.236938604935746E-2</c:v>
                </c:pt>
                <c:pt idx="1291">
                  <c:v>5.2364898905319354E-2</c:v>
                </c:pt>
                <c:pt idx="1292">
                  <c:v>5.2363955127731357E-2</c:v>
                </c:pt>
                <c:pt idx="1293">
                  <c:v>5.2362888096550167E-2</c:v>
                </c:pt>
                <c:pt idx="1294">
                  <c:v>5.2361697811872859E-2</c:v>
                </c:pt>
                <c:pt idx="1295">
                  <c:v>5.2364006108086322E-2</c:v>
                </c:pt>
                <c:pt idx="1296">
                  <c:v>5.2362560306911853E-2</c:v>
                </c:pt>
                <c:pt idx="1297">
                  <c:v>5.2360991235051682E-2</c:v>
                </c:pt>
                <c:pt idx="1298">
                  <c:v>5.2359298892644998E-2</c:v>
                </c:pt>
                <c:pt idx="1299">
                  <c:v>5.2357483279851257E-2</c:v>
                </c:pt>
                <c:pt idx="1300">
                  <c:v>5.2355544396833424E-2</c:v>
                </c:pt>
                <c:pt idx="1301">
                  <c:v>5.2353482243773855E-2</c:v>
                </c:pt>
                <c:pt idx="1302">
                  <c:v>5.2351296820861072E-2</c:v>
                </c:pt>
                <c:pt idx="1303">
                  <c:v>5.2348988128295047E-2</c:v>
                </c:pt>
                <c:pt idx="1304">
                  <c:v>5.2343016052164709E-2</c:v>
                </c:pt>
                <c:pt idx="1305">
                  <c:v>5.234046998864169E-2</c:v>
                </c:pt>
                <c:pt idx="1306">
                  <c:v>5.2337800673661186E-2</c:v>
                </c:pt>
                <c:pt idx="1307">
                  <c:v>5.2335008107467218E-2</c:v>
                </c:pt>
                <c:pt idx="1308">
                  <c:v>5.2332092290314512E-2</c:v>
                </c:pt>
                <c:pt idx="1309">
                  <c:v>5.2329053222465796E-2</c:v>
                </c:pt>
                <c:pt idx="1310">
                  <c:v>5.2325890904201609E-2</c:v>
                </c:pt>
                <c:pt idx="1311">
                  <c:v>5.2322605335806065E-2</c:v>
                </c:pt>
                <c:pt idx="1312">
                  <c:v>5.2319196517580192E-2</c:v>
                </c:pt>
                <c:pt idx="1313">
                  <c:v>5.2312206913391175E-2</c:v>
                </c:pt>
                <c:pt idx="1314">
                  <c:v>5.2308560919158205E-2</c:v>
                </c:pt>
                <c:pt idx="1315">
                  <c:v>5.2304791693542893E-2</c:v>
                </c:pt>
                <c:pt idx="1316">
                  <c:v>5.2300899236889228E-2</c:v>
                </c:pt>
                <c:pt idx="1317">
                  <c:v>5.230372325842933E-2</c:v>
                </c:pt>
                <c:pt idx="1318">
                  <c:v>5.2299565552912361E-2</c:v>
                </c:pt>
                <c:pt idx="1319">
                  <c:v>5.2295284582502731E-2</c:v>
                </c:pt>
                <c:pt idx="1320">
                  <c:v>5.2290880347592474E-2</c:v>
                </c:pt>
                <c:pt idx="1321">
                  <c:v>5.2286352848587687E-2</c:v>
                </c:pt>
                <c:pt idx="1322">
                  <c:v>5.2278329668417042E-2</c:v>
                </c:pt>
                <c:pt idx="1323">
                  <c:v>5.227356512499097E-2</c:v>
                </c:pt>
                <c:pt idx="1324">
                  <c:v>5.2268677336198353E-2</c:v>
                </c:pt>
                <c:pt idx="1325">
                  <c:v>5.2263666302480929E-2</c:v>
                </c:pt>
                <c:pt idx="1326">
                  <c:v>5.2261866407127142E-2</c:v>
                </c:pt>
                <c:pt idx="1327">
                  <c:v>5.2256599332699355E-2</c:v>
                </c:pt>
                <c:pt idx="1328">
                  <c:v>5.2251208997333438E-2</c:v>
                </c:pt>
                <c:pt idx="1329">
                  <c:v>5.224569540152009E-2</c:v>
                </c:pt>
                <c:pt idx="1330">
                  <c:v>5.2240058545771115E-2</c:v>
                </c:pt>
                <c:pt idx="1331">
                  <c:v>5.2234298430603641E-2</c:v>
                </c:pt>
                <c:pt idx="1332">
                  <c:v>5.2228415056545345E-2</c:v>
                </c:pt>
                <c:pt idx="1333">
                  <c:v>5.2222408424140644E-2</c:v>
                </c:pt>
                <c:pt idx="1334">
                  <c:v>5.2216278533940126E-2</c:v>
                </c:pt>
                <c:pt idx="1335">
                  <c:v>5.2210025386509352E-2</c:v>
                </c:pt>
                <c:pt idx="1336">
                  <c:v>5.2203648982420928E-2</c:v>
                </c:pt>
                <c:pt idx="1337">
                  <c:v>5.2197149322265088E-2</c:v>
                </c:pt>
                <c:pt idx="1338">
                  <c:v>5.2190526406635587E-2</c:v>
                </c:pt>
                <c:pt idx="1339">
                  <c:v>5.2183780236145547E-2</c:v>
                </c:pt>
                <c:pt idx="1340">
                  <c:v>5.2176910811415157E-2</c:v>
                </c:pt>
                <c:pt idx="1341">
                  <c:v>5.2169918133072528E-2</c:v>
                </c:pt>
                <c:pt idx="1342">
                  <c:v>5.2162802201766022E-2</c:v>
                </c:pt>
                <c:pt idx="1343">
                  <c:v>5.215239338781081E-2</c:v>
                </c:pt>
                <c:pt idx="1344">
                  <c:v>5.2145040799969483E-2</c:v>
                </c:pt>
                <c:pt idx="1345">
                  <c:v>5.213756497845453E-2</c:v>
                </c:pt>
                <c:pt idx="1346">
                  <c:v>5.2129965923948175E-2</c:v>
                </c:pt>
                <c:pt idx="1347">
                  <c:v>5.2125373774043589E-2</c:v>
                </c:pt>
                <c:pt idx="1348">
                  <c:v>5.2117518339082319E-2</c:v>
                </c:pt>
                <c:pt idx="1349">
                  <c:v>5.210953965597679E-2</c:v>
                </c:pt>
                <c:pt idx="1350">
                  <c:v>5.2101437725458173E-2</c:v>
                </c:pt>
                <c:pt idx="1351">
                  <c:v>5.20963022539295E-2</c:v>
                </c:pt>
                <c:pt idx="1352">
                  <c:v>5.2084864125180402E-2</c:v>
                </c:pt>
                <c:pt idx="1353">
                  <c:v>5.2076392456944384E-2</c:v>
                </c:pt>
                <c:pt idx="1354">
                  <c:v>5.206779754434597E-2</c:v>
                </c:pt>
                <c:pt idx="1355">
                  <c:v>5.205907938817713E-2</c:v>
                </c:pt>
                <c:pt idx="1356">
                  <c:v>5.2044156780334756E-2</c:v>
                </c:pt>
                <c:pt idx="1357">
                  <c:v>5.2035212279947174E-2</c:v>
                </c:pt>
                <c:pt idx="1358">
                  <c:v>5.2026144572778384E-2</c:v>
                </c:pt>
                <c:pt idx="1359">
                  <c:v>5.2016953659647869E-2</c:v>
                </c:pt>
                <c:pt idx="1360">
                  <c:v>5.2006298895543757E-2</c:v>
                </c:pt>
                <c:pt idx="1361">
                  <c:v>5.1996843972434467E-2</c:v>
                </c:pt>
                <c:pt idx="1362">
                  <c:v>5.1987265845996548E-2</c:v>
                </c:pt>
                <c:pt idx="1363">
                  <c:v>5.1977564517096293E-2</c:v>
                </c:pt>
                <c:pt idx="1364">
                  <c:v>5.196632642502555E-2</c:v>
                </c:pt>
                <c:pt idx="1365">
                  <c:v>5.1953413610736986E-2</c:v>
                </c:pt>
                <c:pt idx="1366">
                  <c:v>5.1943335305206749E-2</c:v>
                </c:pt>
                <c:pt idx="1367">
                  <c:v>5.1933133817977969E-2</c:v>
                </c:pt>
                <c:pt idx="1368">
                  <c:v>5.1922809149960385E-2</c:v>
                </c:pt>
                <c:pt idx="1369">
                  <c:v>5.1921078611840789E-2</c:v>
                </c:pt>
                <c:pt idx="1370">
                  <c:v>5.1910476696193905E-2</c:v>
                </c:pt>
                <c:pt idx="1371">
                  <c:v>5.1899751551447749E-2</c:v>
                </c:pt>
                <c:pt idx="1372">
                  <c:v>5.1888903178589851E-2</c:v>
                </c:pt>
                <c:pt idx="1373">
                  <c:v>5.1875067815841579E-2</c:v>
                </c:pt>
                <c:pt idx="1374">
                  <c:v>5.186398335674839E-2</c:v>
                </c:pt>
                <c:pt idx="1375">
                  <c:v>5.1852775689554792E-2</c:v>
                </c:pt>
                <c:pt idx="1376">
                  <c:v>5.184144481528323E-2</c:v>
                </c:pt>
                <c:pt idx="1377">
                  <c:v>5.1829990734962361E-2</c:v>
                </c:pt>
                <c:pt idx="1378">
                  <c:v>5.1821225207752668E-2</c:v>
                </c:pt>
                <c:pt idx="1379">
                  <c:v>5.180951426668496E-2</c:v>
                </c:pt>
                <c:pt idx="1380">
                  <c:v>5.1797680105803948E-2</c:v>
                </c:pt>
                <c:pt idx="1381">
                  <c:v>5.1785722726202001E-2</c:v>
                </c:pt>
                <c:pt idx="1382">
                  <c:v>5.1773642128974992E-2</c:v>
                </c:pt>
                <c:pt idx="1383">
                  <c:v>5.1761438315238203E-2</c:v>
                </c:pt>
                <c:pt idx="1384">
                  <c:v>5.174911128611042E-2</c:v>
                </c:pt>
                <c:pt idx="1385">
                  <c:v>5.1736661042730697E-2</c:v>
                </c:pt>
                <c:pt idx="1386">
                  <c:v>5.1724087586238088E-2</c:v>
                </c:pt>
                <c:pt idx="1387">
                  <c:v>5.1711390917793663E-2</c:v>
                </c:pt>
                <c:pt idx="1388">
                  <c:v>5.1698571038563783E-2</c:v>
                </c:pt>
                <c:pt idx="1389">
                  <c:v>5.168562794972803E-2</c:v>
                </c:pt>
                <c:pt idx="1390">
                  <c:v>5.1672561652478313E-2</c:v>
                </c:pt>
                <c:pt idx="1391">
                  <c:v>5.1659372148013583E-2</c:v>
                </c:pt>
                <c:pt idx="1392">
                  <c:v>5.1646059437549539E-2</c:v>
                </c:pt>
                <c:pt idx="1393">
                  <c:v>5.1632623522309802E-2</c:v>
                </c:pt>
                <c:pt idx="1394">
                  <c:v>5.1619064403532089E-2</c:v>
                </c:pt>
                <c:pt idx="1395">
                  <c:v>5.160275029747706E-2</c:v>
                </c:pt>
                <c:pt idx="1396">
                  <c:v>5.1588955513050129E-2</c:v>
                </c:pt>
                <c:pt idx="1397">
                  <c:v>5.1575037545547396E-2</c:v>
                </c:pt>
                <c:pt idx="1398">
                  <c:v>5.1560996396237097E-2</c:v>
                </c:pt>
                <c:pt idx="1399">
                  <c:v>5.1546832066398166E-2</c:v>
                </c:pt>
                <c:pt idx="1400">
                  <c:v>5.1535122487169321E-2</c:v>
                </c:pt>
                <c:pt idx="1401">
                  <c:v>5.1520700979172503E-2</c:v>
                </c:pt>
                <c:pt idx="1402">
                  <c:v>5.1506156277930586E-2</c:v>
                </c:pt>
                <c:pt idx="1403">
                  <c:v>5.1491488384784359E-2</c:v>
                </c:pt>
                <c:pt idx="1404">
                  <c:v>5.1476697301079892E-2</c:v>
                </c:pt>
                <c:pt idx="1405">
                  <c:v>5.1461783028179116E-2</c:v>
                </c:pt>
                <c:pt idx="1406">
                  <c:v>5.1446745567454537E-2</c:v>
                </c:pt>
                <c:pt idx="1407">
                  <c:v>5.143158492028746E-2</c:v>
                </c:pt>
                <c:pt idx="1408">
                  <c:v>5.1411318479490757E-2</c:v>
                </c:pt>
                <c:pt idx="1409">
                  <c:v>5.1395933367864438E-2</c:v>
                </c:pt>
                <c:pt idx="1410">
                  <c:v>5.1380425106988079E-2</c:v>
                </c:pt>
                <c:pt idx="1411">
                  <c:v>5.1364793698255667E-2</c:v>
                </c:pt>
                <c:pt idx="1412">
                  <c:v>5.1349039143074711E-2</c:v>
                </c:pt>
                <c:pt idx="1413">
                  <c:v>5.1333161442862624E-2</c:v>
                </c:pt>
                <c:pt idx="1414">
                  <c:v>5.1317160599047618E-2</c:v>
                </c:pt>
                <c:pt idx="1415">
                  <c:v>5.130103661306961E-2</c:v>
                </c:pt>
                <c:pt idx="1416">
                  <c:v>5.1282458416064713E-2</c:v>
                </c:pt>
                <c:pt idx="1417">
                  <c:v>5.1263678744663678E-2</c:v>
                </c:pt>
                <c:pt idx="1418">
                  <c:v>5.1247178848187067E-2</c:v>
                </c:pt>
                <c:pt idx="1419">
                  <c:v>5.123055583196133E-2</c:v>
                </c:pt>
                <c:pt idx="1420">
                  <c:v>5.1213809697468068E-2</c:v>
                </c:pt>
                <c:pt idx="1421">
                  <c:v>5.1208668582453182E-2</c:v>
                </c:pt>
                <c:pt idx="1422">
                  <c:v>5.1193952276434827E-2</c:v>
                </c:pt>
                <c:pt idx="1423">
                  <c:v>5.117444896661956E-2</c:v>
                </c:pt>
                <c:pt idx="1424">
                  <c:v>5.1157154367722682E-2</c:v>
                </c:pt>
                <c:pt idx="1425">
                  <c:v>5.1132836589447117E-2</c:v>
                </c:pt>
                <c:pt idx="1426">
                  <c:v>5.1105269874815271E-2</c:v>
                </c:pt>
                <c:pt idx="1427">
                  <c:v>5.1087569098000274E-2</c:v>
                </c:pt>
                <c:pt idx="1428">
                  <c:v>5.1067188858320692E-2</c:v>
                </c:pt>
                <c:pt idx="1429">
                  <c:v>5.1051471972191058E-2</c:v>
                </c:pt>
                <c:pt idx="1430">
                  <c:v>5.1033372887583348E-2</c:v>
                </c:pt>
                <c:pt idx="1431">
                  <c:v>5.1015150654559693E-2</c:v>
                </c:pt>
                <c:pt idx="1432">
                  <c:v>5.0996805274792133E-2</c:v>
                </c:pt>
                <c:pt idx="1433">
                  <c:v>5.09783367499703E-2</c:v>
                </c:pt>
                <c:pt idx="1434">
                  <c:v>5.0959745081790873E-2</c:v>
                </c:pt>
                <c:pt idx="1435">
                  <c:v>5.094103027196728E-2</c:v>
                </c:pt>
                <c:pt idx="1436">
                  <c:v>5.0922192513000307E-2</c:v>
                </c:pt>
                <c:pt idx="1437">
                  <c:v>5.0903238300290372E-2</c:v>
                </c:pt>
                <c:pt idx="1438">
                  <c:v>5.0884181725053927E-2</c:v>
                </c:pt>
                <c:pt idx="1439">
                  <c:v>5.0865037330468169E-2</c:v>
                </c:pt>
                <c:pt idx="1440">
                  <c:v>5.0845819659441599E-2</c:v>
                </c:pt>
                <c:pt idx="1441">
                  <c:v>5.0826543254607878E-2</c:v>
                </c:pt>
                <c:pt idx="1442">
                  <c:v>5.0807222658327565E-2</c:v>
                </c:pt>
                <c:pt idx="1443">
                  <c:v>5.0787872412677564E-2</c:v>
                </c:pt>
                <c:pt idx="1444">
                  <c:v>5.0768507059462578E-2</c:v>
                </c:pt>
                <c:pt idx="1445">
                  <c:v>5.074914114020098E-2</c:v>
                </c:pt>
                <c:pt idx="1446">
                  <c:v>5.0729789196135432E-2</c:v>
                </c:pt>
                <c:pt idx="1447">
                  <c:v>5.0708327862019113E-2</c:v>
                </c:pt>
                <c:pt idx="1448">
                  <c:v>5.0689045421183528E-2</c:v>
                </c:pt>
                <c:pt idx="1449">
                  <c:v>5.0669820397443083E-2</c:v>
                </c:pt>
                <c:pt idx="1450">
                  <c:v>5.0650662453430154E-2</c:v>
                </c:pt>
                <c:pt idx="1451">
                  <c:v>5.0633719087168488E-2</c:v>
                </c:pt>
                <c:pt idx="1452">
                  <c:v>5.0614699319155972E-2</c:v>
                </c:pt>
                <c:pt idx="1453">
                  <c:v>5.059574753106269E-2</c:v>
                </c:pt>
                <c:pt idx="1454">
                  <c:v>5.0576863721922265E-2</c:v>
                </c:pt>
                <c:pt idx="1455">
                  <c:v>5.0558047890779757E-2</c:v>
                </c:pt>
                <c:pt idx="1456">
                  <c:v>5.0539300036681112E-2</c:v>
                </c:pt>
                <c:pt idx="1457">
                  <c:v>5.0520620158674034E-2</c:v>
                </c:pt>
                <c:pt idx="1458">
                  <c:v>5.0502008255813274E-2</c:v>
                </c:pt>
                <c:pt idx="1459">
                  <c:v>5.0481299563060689E-2</c:v>
                </c:pt>
                <c:pt idx="1460">
                  <c:v>5.046065463362738E-2</c:v>
                </c:pt>
                <c:pt idx="1461">
                  <c:v>5.0442241999773138E-2</c:v>
                </c:pt>
                <c:pt idx="1462">
                  <c:v>5.0423897316946055E-2</c:v>
                </c:pt>
                <c:pt idx="1463">
                  <c:v>5.0405620584233916E-2</c:v>
                </c:pt>
                <c:pt idx="1464">
                  <c:v>5.0387411800731696E-2</c:v>
                </c:pt>
                <c:pt idx="1465">
                  <c:v>5.0369270965537997E-2</c:v>
                </c:pt>
                <c:pt idx="1466">
                  <c:v>5.0351198077750486E-2</c:v>
                </c:pt>
                <c:pt idx="1467">
                  <c:v>5.0333193136473164E-2</c:v>
                </c:pt>
                <c:pt idx="1468">
                  <c:v>5.0313071029612924E-2</c:v>
                </c:pt>
                <c:pt idx="1469">
                  <c:v>5.0295199573780487E-2</c:v>
                </c:pt>
                <c:pt idx="1470">
                  <c:v>5.0277396051685512E-2</c:v>
                </c:pt>
                <c:pt idx="1471">
                  <c:v>5.0259660462454704E-2</c:v>
                </c:pt>
                <c:pt idx="1472">
                  <c:v>5.0248578483735498E-2</c:v>
                </c:pt>
                <c:pt idx="1473">
                  <c:v>5.0230986096725175E-2</c:v>
                </c:pt>
                <c:pt idx="1474">
                  <c:v>5.0213461670172418E-2</c:v>
                </c:pt>
                <c:pt idx="1475">
                  <c:v>5.0196005203188357E-2</c:v>
                </c:pt>
                <c:pt idx="1476">
                  <c:v>5.0178616694890293E-2</c:v>
                </c:pt>
                <c:pt idx="1477">
                  <c:v>5.0159088145431109E-2</c:v>
                </c:pt>
                <c:pt idx="1478">
                  <c:v>5.0141833054152714E-2</c:v>
                </c:pt>
                <c:pt idx="1479">
                  <c:v>5.0124645908906418E-2</c:v>
                </c:pt>
                <c:pt idx="1480">
                  <c:v>5.0105086655312797E-2</c:v>
                </c:pt>
                <c:pt idx="1481">
                  <c:v>5.0090263517578636E-2</c:v>
                </c:pt>
                <c:pt idx="1482">
                  <c:v>5.0073292450552545E-2</c:v>
                </c:pt>
                <c:pt idx="1483">
                  <c:v>5.0056389335988626E-2</c:v>
                </c:pt>
                <c:pt idx="1484">
                  <c:v>5.0039554173027967E-2</c:v>
                </c:pt>
                <c:pt idx="1485">
                  <c:v>5.0022786960820458E-2</c:v>
                </c:pt>
                <c:pt idx="1486">
                  <c:v>5.0006087698511587E-2</c:v>
                </c:pt>
                <c:pt idx="1487">
                  <c:v>4.9989456385257425E-2</c:v>
                </c:pt>
                <c:pt idx="1488">
                  <c:v>4.9972893020213148E-2</c:v>
                </c:pt>
                <c:pt idx="1489">
                  <c:v>4.9956397602540101E-2</c:v>
                </c:pt>
                <c:pt idx="1490">
                  <c:v>4.9939970131402278E-2</c:v>
                </c:pt>
                <c:pt idx="1491">
                  <c:v>4.9923610605963661E-2</c:v>
                </c:pt>
                <c:pt idx="1492">
                  <c:v>4.9907319025397946E-2</c:v>
                </c:pt>
                <c:pt idx="1493">
                  <c:v>4.9891095388877912E-2</c:v>
                </c:pt>
                <c:pt idx="1494">
                  <c:v>4.9874939695581662E-2</c:v>
                </c:pt>
                <c:pt idx="1495">
                  <c:v>4.9858851944687275E-2</c:v>
                </c:pt>
                <c:pt idx="1496">
                  <c:v>4.9842832135383403E-2</c:v>
                </c:pt>
                <c:pt idx="1497">
                  <c:v>4.9826880266852537E-2</c:v>
                </c:pt>
                <c:pt idx="1498">
                  <c:v>4.9810996338291259E-2</c:v>
                </c:pt>
                <c:pt idx="1499">
                  <c:v>4.9792914713141338E-2</c:v>
                </c:pt>
                <c:pt idx="1500">
                  <c:v>4.9777163944711829E-2</c:v>
                </c:pt>
                <c:pt idx="1501">
                  <c:v>4.9761481104025576E-2</c:v>
                </c:pt>
                <c:pt idx="1502">
                  <c:v>4.9745866190294391E-2</c:v>
                </c:pt>
                <c:pt idx="1503">
                  <c:v>4.9732595766916292E-2</c:v>
                </c:pt>
                <c:pt idx="1504">
                  <c:v>4.9717119461363396E-2</c:v>
                </c:pt>
                <c:pt idx="1505">
                  <c:v>4.9701711090212569E-2</c:v>
                </c:pt>
                <c:pt idx="1506">
                  <c:v>4.9686370652679772E-2</c:v>
                </c:pt>
                <c:pt idx="1507">
                  <c:v>4.9671098147991539E-2</c:v>
                </c:pt>
                <c:pt idx="1508">
                  <c:v>4.9655893575371771E-2</c:v>
                </c:pt>
                <c:pt idx="1509">
                  <c:v>4.9640756934047875E-2</c:v>
                </c:pt>
                <c:pt idx="1510">
                  <c:v>4.9625688223255207E-2</c:v>
                </c:pt>
                <c:pt idx="1511">
                  <c:v>4.9610687442226464E-2</c:v>
                </c:pt>
                <c:pt idx="1512">
                  <c:v>4.9593452864930741E-2</c:v>
                </c:pt>
                <c:pt idx="1513">
                  <c:v>4.9578585096771655E-2</c:v>
                </c:pt>
                <c:pt idx="1514">
                  <c:v>4.9563785246396042E-2</c:v>
                </c:pt>
                <c:pt idx="1515">
                  <c:v>4.9549053313060233E-2</c:v>
                </c:pt>
                <c:pt idx="1516">
                  <c:v>4.9534389296027687E-2</c:v>
                </c:pt>
                <c:pt idx="1517">
                  <c:v>4.951979319456009E-2</c:v>
                </c:pt>
                <c:pt idx="1518">
                  <c:v>4.9505265007927124E-2</c:v>
                </c:pt>
                <c:pt idx="1519">
                  <c:v>4.9490804735400268E-2</c:v>
                </c:pt>
                <c:pt idx="1520">
                  <c:v>4.9474088113074709E-2</c:v>
                </c:pt>
                <c:pt idx="1521">
                  <c:v>4.9459760745854148E-2</c:v>
                </c:pt>
                <c:pt idx="1522">
                  <c:v>4.9445501280926722E-2</c:v>
                </c:pt>
                <c:pt idx="1523">
                  <c:v>4.9431309717582819E-2</c:v>
                </c:pt>
                <c:pt idx="1524">
                  <c:v>4.9417186055121853E-2</c:v>
                </c:pt>
                <c:pt idx="1525">
                  <c:v>4.9407808713572636E-2</c:v>
                </c:pt>
                <c:pt idx="1526">
                  <c:v>4.939382678968892E-2</c:v>
                </c:pt>
                <c:pt idx="1527">
                  <c:v>4.9379912783815663E-2</c:v>
                </c:pt>
                <c:pt idx="1528">
                  <c:v>4.9366066695246347E-2</c:v>
                </c:pt>
                <c:pt idx="1529">
                  <c:v>4.9349937128079759E-2</c:v>
                </c:pt>
                <c:pt idx="1530">
                  <c:v>4.9336223863601043E-2</c:v>
                </c:pt>
                <c:pt idx="1531">
                  <c:v>4.9322578504750643E-2</c:v>
                </c:pt>
                <c:pt idx="1532">
                  <c:v>4.9309001050844556E-2</c:v>
                </c:pt>
                <c:pt idx="1533">
                  <c:v>4.9297854987509368E-2</c:v>
                </c:pt>
                <c:pt idx="1534">
                  <c:v>4.9284416388143668E-2</c:v>
                </c:pt>
                <c:pt idx="1535">
                  <c:v>4.9271045701239392E-2</c:v>
                </c:pt>
                <c:pt idx="1536">
                  <c:v>4.9257742926120861E-2</c:v>
                </c:pt>
                <c:pt idx="1537">
                  <c:v>4.9244508062112405E-2</c:v>
                </c:pt>
                <c:pt idx="1538">
                  <c:v>4.9231341108542742E-2</c:v>
                </c:pt>
                <c:pt idx="1539">
                  <c:v>4.9218242064744115E-2</c:v>
                </c:pt>
                <c:pt idx="1540">
                  <c:v>4.9205210930053193E-2</c:v>
                </c:pt>
                <c:pt idx="1541">
                  <c:v>4.9192247703810144E-2</c:v>
                </c:pt>
                <c:pt idx="1542">
                  <c:v>4.9179352385355146E-2</c:v>
                </c:pt>
                <c:pt idx="1543">
                  <c:v>4.9166524974036306E-2</c:v>
                </c:pt>
                <c:pt idx="1544">
                  <c:v>4.9153765469202616E-2</c:v>
                </c:pt>
                <c:pt idx="1545">
                  <c:v>4.9141073870208336E-2</c:v>
                </c:pt>
                <c:pt idx="1546">
                  <c:v>4.9128450176408635E-2</c:v>
                </c:pt>
                <c:pt idx="1547">
                  <c:v>4.9115894387163059E-2</c:v>
                </c:pt>
                <c:pt idx="1548">
                  <c:v>4.9103406501837338E-2</c:v>
                </c:pt>
                <c:pt idx="1549">
                  <c:v>4.9090986519796313E-2</c:v>
                </c:pt>
                <c:pt idx="1550">
                  <c:v>4.9078634440411877E-2</c:v>
                </c:pt>
                <c:pt idx="1551">
                  <c:v>4.9063930480723654E-2</c:v>
                </c:pt>
                <c:pt idx="1552">
                  <c:v>4.9051710987235E-2</c:v>
                </c:pt>
                <c:pt idx="1553">
                  <c:v>4.9039559385104285E-2</c:v>
                </c:pt>
                <c:pt idx="1554">
                  <c:v>4.9037196689991264E-2</c:v>
                </c:pt>
                <c:pt idx="1555">
                  <c:v>4.901789256152124E-2</c:v>
                </c:pt>
                <c:pt idx="1556">
                  <c:v>4.9005947885039342E-2</c:v>
                </c:pt>
                <c:pt idx="1557">
                  <c:v>4.8994071106901842E-2</c:v>
                </c:pt>
                <c:pt idx="1558">
                  <c:v>4.8982262226505299E-2</c:v>
                </c:pt>
                <c:pt idx="1559">
                  <c:v>4.8970521243255079E-2</c:v>
                </c:pt>
                <c:pt idx="1560">
                  <c:v>4.8958848156550383E-2</c:v>
                </c:pt>
                <c:pt idx="1561">
                  <c:v>4.8947242965804508E-2</c:v>
                </c:pt>
                <c:pt idx="1562">
                  <c:v>4.8935705670423699E-2</c:v>
                </c:pt>
                <c:pt idx="1563">
                  <c:v>4.8924236269828295E-2</c:v>
                </c:pt>
                <c:pt idx="1564">
                  <c:v>4.890791061405305E-2</c:v>
                </c:pt>
                <c:pt idx="1565">
                  <c:v>4.889657032323097E-2</c:v>
                </c:pt>
                <c:pt idx="1566">
                  <c:v>4.8885297906769869E-2</c:v>
                </c:pt>
                <c:pt idx="1567">
                  <c:v>4.887019501354635E-2</c:v>
                </c:pt>
                <c:pt idx="1568">
                  <c:v>4.8861578187182508E-2</c:v>
                </c:pt>
                <c:pt idx="1569">
                  <c:v>4.8848073868945178E-2</c:v>
                </c:pt>
                <c:pt idx="1570">
                  <c:v>4.8837115118644289E-2</c:v>
                </c:pt>
                <c:pt idx="1571">
                  <c:v>4.8822186150576603E-2</c:v>
                </c:pt>
                <c:pt idx="1572">
                  <c:v>4.8811369447642187E-2</c:v>
                </c:pt>
                <c:pt idx="1573">
                  <c:v>4.8800620614843533E-2</c:v>
                </c:pt>
                <c:pt idx="1574">
                  <c:v>4.8789939651643952E-2</c:v>
                </c:pt>
                <c:pt idx="1575">
                  <c:v>4.8779326557514824E-2</c:v>
                </c:pt>
                <c:pt idx="1576">
                  <c:v>4.877379177660978E-2</c:v>
                </c:pt>
                <c:pt idx="1577">
                  <c:v>4.876332133384758E-2</c:v>
                </c:pt>
                <c:pt idx="1578">
                  <c:v>4.8752918777127487E-2</c:v>
                </c:pt>
                <c:pt idx="1579">
                  <c:v>4.8742584105923574E-2</c:v>
                </c:pt>
                <c:pt idx="1580">
                  <c:v>4.8729797933510906E-2</c:v>
                </c:pt>
                <c:pt idx="1581">
                  <c:v>4.8719595536750218E-2</c:v>
                </c:pt>
                <c:pt idx="1582">
                  <c:v>4.870946101469735E-2</c:v>
                </c:pt>
                <c:pt idx="1583">
                  <c:v>4.869939436684019E-2</c:v>
                </c:pt>
                <c:pt idx="1584">
                  <c:v>4.8689395592677334E-2</c:v>
                </c:pt>
                <c:pt idx="1585">
                  <c:v>4.8682001645449592E-2</c:v>
                </c:pt>
                <c:pt idx="1586">
                  <c:v>4.8672142158384266E-2</c:v>
                </c:pt>
                <c:pt idx="1587">
                  <c:v>4.8662350552739639E-2</c:v>
                </c:pt>
                <c:pt idx="1588">
                  <c:v>4.8652626828020629E-2</c:v>
                </c:pt>
                <c:pt idx="1589">
                  <c:v>4.8642970983733907E-2</c:v>
                </c:pt>
                <c:pt idx="1590">
                  <c:v>4.863338301938791E-2</c:v>
                </c:pt>
                <c:pt idx="1591">
                  <c:v>4.8623862934501647E-2</c:v>
                </c:pt>
                <c:pt idx="1592">
                  <c:v>4.8614410728587083E-2</c:v>
                </c:pt>
                <c:pt idx="1593">
                  <c:v>4.8605026401167623E-2</c:v>
                </c:pt>
                <c:pt idx="1594">
                  <c:v>4.859570995176668E-2</c:v>
                </c:pt>
                <c:pt idx="1595">
                  <c:v>4.858646137991296E-2</c:v>
                </c:pt>
                <c:pt idx="1596">
                  <c:v>4.8577280685136913E-2</c:v>
                </c:pt>
                <c:pt idx="1597">
                  <c:v>4.8568167866973412E-2</c:v>
                </c:pt>
                <c:pt idx="1598">
                  <c:v>4.8559122924959966E-2</c:v>
                </c:pt>
                <c:pt idx="1599">
                  <c:v>4.8550145858637601E-2</c:v>
                </c:pt>
                <c:pt idx="1600">
                  <c:v>4.8541236667553514E-2</c:v>
                </c:pt>
                <c:pt idx="1601">
                  <c:v>4.8532395351254018E-2</c:v>
                </c:pt>
                <c:pt idx="1602">
                  <c:v>4.8521023504128062E-2</c:v>
                </c:pt>
                <c:pt idx="1603">
                  <c:v>4.8512314238747314E-2</c:v>
                </c:pt>
                <c:pt idx="1604">
                  <c:v>4.8503672837678195E-2</c:v>
                </c:pt>
                <c:pt idx="1605">
                  <c:v>4.8495099300487871E-2</c:v>
                </c:pt>
                <c:pt idx="1606">
                  <c:v>4.8486593626747052E-2</c:v>
                </c:pt>
                <c:pt idx="1607">
                  <c:v>4.8480772799086767E-2</c:v>
                </c:pt>
                <c:pt idx="1608">
                  <c:v>4.8472406593926952E-2</c:v>
                </c:pt>
                <c:pt idx="1609">
                  <c:v>4.8464108260062332E-2</c:v>
                </c:pt>
                <c:pt idx="1610">
                  <c:v>4.8455877797072708E-2</c:v>
                </c:pt>
                <c:pt idx="1611">
                  <c:v>4.8447715204542281E-2</c:v>
                </c:pt>
                <c:pt idx="1612">
                  <c:v>4.8439620482054357E-2</c:v>
                </c:pt>
                <c:pt idx="1613">
                  <c:v>4.8431593629201068E-2</c:v>
                </c:pt>
                <c:pt idx="1614">
                  <c:v>4.8423634645575427E-2</c:v>
                </c:pt>
                <c:pt idx="1615">
                  <c:v>4.8410449764931911E-2</c:v>
                </c:pt>
                <c:pt idx="1616">
                  <c:v>4.8402618888174237E-2</c:v>
                </c:pt>
                <c:pt idx="1617">
                  <c:v>4.8394855861279056E-2</c:v>
                </c:pt>
                <c:pt idx="1618">
                  <c:v>4.8387160683861855E-2</c:v>
                </c:pt>
                <c:pt idx="1619">
                  <c:v>4.8379533355542612E-2</c:v>
                </c:pt>
                <c:pt idx="1620">
                  <c:v>4.83719738759395E-2</c:v>
                </c:pt>
                <c:pt idx="1621">
                  <c:v>4.8364482244679721E-2</c:v>
                </c:pt>
                <c:pt idx="1622">
                  <c:v>4.8357058461390455E-2</c:v>
                </c:pt>
                <c:pt idx="1623">
                  <c:v>4.8348657216309543E-2</c:v>
                </c:pt>
                <c:pt idx="1624">
                  <c:v>4.833869763023417E-2</c:v>
                </c:pt>
                <c:pt idx="1625">
                  <c:v>4.8331483184724099E-2</c:v>
                </c:pt>
                <c:pt idx="1626">
                  <c:v>4.8324336576635728E-2</c:v>
                </c:pt>
                <c:pt idx="1627">
                  <c:v>4.831725780562119E-2</c:v>
                </c:pt>
                <c:pt idx="1628">
                  <c:v>4.8318339198805668E-2</c:v>
                </c:pt>
                <c:pt idx="1629">
                  <c:v>4.8311407901856611E-2</c:v>
                </c:pt>
                <c:pt idx="1630">
                  <c:v>4.8304544468041749E-2</c:v>
                </c:pt>
                <c:pt idx="1631">
                  <c:v>4.8297748897013118E-2</c:v>
                </c:pt>
                <c:pt idx="1632">
                  <c:v>4.8288307339516334E-2</c:v>
                </c:pt>
                <c:pt idx="1633">
                  <c:v>4.8281643522100327E-2</c:v>
                </c:pt>
                <c:pt idx="1634">
                  <c:v>4.8275047557429486E-2</c:v>
                </c:pt>
                <c:pt idx="1635">
                  <c:v>4.8268519445174289E-2</c:v>
                </c:pt>
                <c:pt idx="1636">
                  <c:v>4.8262059185006985E-2</c:v>
                </c:pt>
                <c:pt idx="1637">
                  <c:v>4.8258400570304359E-2</c:v>
                </c:pt>
                <c:pt idx="1638">
                  <c:v>4.8252080029328591E-2</c:v>
                </c:pt>
                <c:pt idx="1639">
                  <c:v>4.8245827348477731E-2</c:v>
                </c:pt>
                <c:pt idx="1640">
                  <c:v>4.8239642527437281E-2</c:v>
                </c:pt>
                <c:pt idx="1641">
                  <c:v>4.8233525565893644E-2</c:v>
                </c:pt>
                <c:pt idx="1642">
                  <c:v>4.8227476463536714E-2</c:v>
                </c:pt>
                <c:pt idx="1643">
                  <c:v>4.8221495220059925E-2</c:v>
                </c:pt>
                <c:pt idx="1644">
                  <c:v>4.8215581835157603E-2</c:v>
                </c:pt>
                <c:pt idx="1645">
                  <c:v>4.8209736308534624E-2</c:v>
                </c:pt>
                <c:pt idx="1646">
                  <c:v>4.8203958639889709E-2</c:v>
                </c:pt>
                <c:pt idx="1647">
                  <c:v>4.8198248828934795E-2</c:v>
                </c:pt>
                <c:pt idx="1648">
                  <c:v>4.8192606875375646E-2</c:v>
                </c:pt>
                <c:pt idx="1649">
                  <c:v>4.8187032778929474E-2</c:v>
                </c:pt>
                <c:pt idx="1650">
                  <c:v>4.8181526539312632E-2</c:v>
                </c:pt>
                <c:pt idx="1651">
                  <c:v>4.8176088156246737E-2</c:v>
                </c:pt>
                <c:pt idx="1652">
                  <c:v>4.8170717629456933E-2</c:v>
                </c:pt>
                <c:pt idx="1653">
                  <c:v>4.8165414958666601E-2</c:v>
                </c:pt>
                <c:pt idx="1654">
                  <c:v>4.8157376856177124E-2</c:v>
                </c:pt>
                <c:pt idx="1655">
                  <c:v>4.8152205728006874E-2</c:v>
                </c:pt>
                <c:pt idx="1656">
                  <c:v>4.8147102446091862E-2</c:v>
                </c:pt>
                <c:pt idx="1657">
                  <c:v>4.8142067010177363E-2</c:v>
                </c:pt>
                <c:pt idx="1658">
                  <c:v>4.8137099420009551E-2</c:v>
                </c:pt>
                <c:pt idx="1659">
                  <c:v>4.8135023895174732E-2</c:v>
                </c:pt>
                <c:pt idx="1660">
                  <c:v>4.8130196209068971E-2</c:v>
                </c:pt>
                <c:pt idx="1661">
                  <c:v>4.8125436376913633E-2</c:v>
                </c:pt>
                <c:pt idx="1662">
                  <c:v>4.8120744398463804E-2</c:v>
                </c:pt>
                <c:pt idx="1663">
                  <c:v>4.8116120273483408E-2</c:v>
                </c:pt>
                <c:pt idx="1664">
                  <c:v>4.8111564001738105E-2</c:v>
                </c:pt>
                <c:pt idx="1665">
                  <c:v>4.8107075582997968E-2</c:v>
                </c:pt>
                <c:pt idx="1666">
                  <c:v>4.8102655017032203E-2</c:v>
                </c:pt>
                <c:pt idx="1667">
                  <c:v>4.8092586609922168E-2</c:v>
                </c:pt>
                <c:pt idx="1668">
                  <c:v>4.8088293180537693E-2</c:v>
                </c:pt>
                <c:pt idx="1669">
                  <c:v>4.8084067585428714E-2</c:v>
                </c:pt>
                <c:pt idx="1670">
                  <c:v>4.8079909824384509E-2</c:v>
                </c:pt>
                <c:pt idx="1671">
                  <c:v>4.807581989720066E-2</c:v>
                </c:pt>
                <c:pt idx="1672">
                  <c:v>4.8071797803673648E-2</c:v>
                </c:pt>
                <c:pt idx="1673">
                  <c:v>4.8067843543605361E-2</c:v>
                </c:pt>
                <c:pt idx="1674">
                  <c:v>4.8063957116796785E-2</c:v>
                </c:pt>
                <c:pt idx="1675">
                  <c:v>4.8059598547046757E-2</c:v>
                </c:pt>
                <c:pt idx="1676">
                  <c:v>4.8052961133696462E-2</c:v>
                </c:pt>
                <c:pt idx="1677">
                  <c:v>4.8049283532086394E-2</c:v>
                </c:pt>
                <c:pt idx="1678">
                  <c:v>4.8045673754059139E-2</c:v>
                </c:pt>
                <c:pt idx="1679">
                  <c:v>4.8042131799440772E-2</c:v>
                </c:pt>
                <c:pt idx="1680">
                  <c:v>4.8047401247576775E-2</c:v>
                </c:pt>
                <c:pt idx="1681">
                  <c:v>4.8044008141106952E-2</c:v>
                </c:pt>
                <c:pt idx="1682">
                  <c:v>4.8040682884214564E-2</c:v>
                </c:pt>
                <c:pt idx="1683">
                  <c:v>4.8037425476734001E-2</c:v>
                </c:pt>
                <c:pt idx="1684">
                  <c:v>4.8031303056264789E-2</c:v>
                </c:pt>
                <c:pt idx="1685">
                  <c:v>4.8028176909712748E-2</c:v>
                </c:pt>
                <c:pt idx="1686">
                  <c:v>4.8025118603197643E-2</c:v>
                </c:pt>
                <c:pt idx="1687">
                  <c:v>4.8022128136565395E-2</c:v>
                </c:pt>
                <c:pt idx="1688">
                  <c:v>4.8019205509667269E-2</c:v>
                </c:pt>
                <c:pt idx="1689">
                  <c:v>4.8019305860475522E-2</c:v>
                </c:pt>
                <c:pt idx="1690">
                  <c:v>4.8016523394441332E-2</c:v>
                </c:pt>
                <c:pt idx="1691">
                  <c:v>4.8013808776592712E-2</c:v>
                </c:pt>
                <c:pt idx="1692">
                  <c:v>4.8011162006793978E-2</c:v>
                </c:pt>
                <c:pt idx="1693">
                  <c:v>4.800858308490772E-2</c:v>
                </c:pt>
                <c:pt idx="1694">
                  <c:v>4.8006072010807074E-2</c:v>
                </c:pt>
                <c:pt idx="1695">
                  <c:v>4.8003628784363428E-2</c:v>
                </c:pt>
                <c:pt idx="1696">
                  <c:v>4.8001252640482266E-2</c:v>
                </c:pt>
                <c:pt idx="1697">
                  <c:v>4.7998939754207277E-2</c:v>
                </c:pt>
                <c:pt idx="1698">
                  <c:v>4.7996685535620649E-2</c:v>
                </c:pt>
                <c:pt idx="1699">
                  <c:v>4.7994485394823962E-2</c:v>
                </c:pt>
                <c:pt idx="1700">
                  <c:v>4.7992334741924957E-2</c:v>
                </c:pt>
                <c:pt idx="1701">
                  <c:v>4.7990228987048994E-2</c:v>
                </c:pt>
                <c:pt idx="1702">
                  <c:v>4.7988163540325833E-2</c:v>
                </c:pt>
                <c:pt idx="1703">
                  <c:v>4.7986133811902865E-2</c:v>
                </c:pt>
                <c:pt idx="1704">
                  <c:v>4.7984135211933635E-2</c:v>
                </c:pt>
                <c:pt idx="1705">
                  <c:v>4.7982163150581389E-2</c:v>
                </c:pt>
                <c:pt idx="1706">
                  <c:v>4.7977209028374976E-2</c:v>
                </c:pt>
                <c:pt idx="1707">
                  <c:v>4.7975275919817852E-2</c:v>
                </c:pt>
                <c:pt idx="1708">
                  <c:v>4.7973355636386682E-2</c:v>
                </c:pt>
                <c:pt idx="1709">
                  <c:v>4.7971444025407199E-2</c:v>
                </c:pt>
                <c:pt idx="1710">
                  <c:v>4.7969539939367367E-2</c:v>
                </c:pt>
                <c:pt idx="1711">
                  <c:v>4.7970648905535415E-2</c:v>
                </c:pt>
                <c:pt idx="1712">
                  <c:v>4.7968760155438828E-2</c:v>
                </c:pt>
                <c:pt idx="1713">
                  <c:v>4.796687892898565E-2</c:v>
                </c:pt>
                <c:pt idx="1714">
                  <c:v>4.7965005226164432E-2</c:v>
                </c:pt>
                <c:pt idx="1715">
                  <c:v>4.7963139046967244E-2</c:v>
                </c:pt>
                <c:pt idx="1716">
                  <c:v>4.796128039137823E-2</c:v>
                </c:pt>
                <c:pt idx="1717">
                  <c:v>4.7959429259392103E-2</c:v>
                </c:pt>
                <c:pt idx="1718">
                  <c:v>4.7957585650996531E-2</c:v>
                </c:pt>
                <c:pt idx="1719">
                  <c:v>4.7952741684004048E-2</c:v>
                </c:pt>
                <c:pt idx="1720">
                  <c:v>4.7950912824217186E-2</c:v>
                </c:pt>
                <c:pt idx="1721">
                  <c:v>4.7949091487001834E-2</c:v>
                </c:pt>
                <c:pt idx="1722">
                  <c:v>4.7947277672345509E-2</c:v>
                </c:pt>
                <c:pt idx="1723">
                  <c:v>4.7945471380234861E-2</c:v>
                </c:pt>
                <c:pt idx="1724">
                  <c:v>4.7943672610664546E-2</c:v>
                </c:pt>
                <c:pt idx="1725">
                  <c:v>4.794188136362388E-2</c:v>
                </c:pt>
                <c:pt idx="1726">
                  <c:v>4.7940097639101273E-2</c:v>
                </c:pt>
                <c:pt idx="1727">
                  <c:v>4.7938068308023982E-2</c:v>
                </c:pt>
                <c:pt idx="1728">
                  <c:v>4.7933290346329774E-2</c:v>
                </c:pt>
                <c:pt idx="1729">
                  <c:v>4.7931529956462035E-2</c:v>
                </c:pt>
                <c:pt idx="1730">
                  <c:v>4.7929777088082673E-2</c:v>
                </c:pt>
                <c:pt idx="1731">
                  <c:v>4.792803174118089E-2</c:v>
                </c:pt>
                <c:pt idx="1732">
                  <c:v>4.7938342039763313E-2</c:v>
                </c:pt>
                <c:pt idx="1733">
                  <c:v>4.7939626055773649E-2</c:v>
                </c:pt>
                <c:pt idx="1734">
                  <c:v>4.7934891450095017E-2</c:v>
                </c:pt>
                <c:pt idx="1735">
                  <c:v>4.7933177443360987E-2</c:v>
                </c:pt>
                <c:pt idx="1736">
                  <c:v>4.7921458378750892E-2</c:v>
                </c:pt>
                <c:pt idx="1737">
                  <c:v>4.7919762774435097E-2</c:v>
                </c:pt>
                <c:pt idx="1738">
                  <c:v>4.7918074692515349E-2</c:v>
                </c:pt>
                <c:pt idx="1739">
                  <c:v>4.7916394132980974E-2</c:v>
                </c:pt>
                <c:pt idx="1740">
                  <c:v>4.7917735683245359E-2</c:v>
                </c:pt>
                <c:pt idx="1741">
                  <c:v>4.7916070488484098E-2</c:v>
                </c:pt>
                <c:pt idx="1742">
                  <c:v>4.7914412817072018E-2</c:v>
                </c:pt>
                <c:pt idx="1743">
                  <c:v>4.7912762668996786E-2</c:v>
                </c:pt>
                <c:pt idx="1744">
                  <c:v>4.7911120044251347E-2</c:v>
                </c:pt>
                <c:pt idx="1745">
                  <c:v>4.7909484942822489E-2</c:v>
                </c:pt>
                <c:pt idx="1746">
                  <c:v>4.7907857364706694E-2</c:v>
                </c:pt>
                <c:pt idx="1747">
                  <c:v>4.790623730988898E-2</c:v>
                </c:pt>
                <c:pt idx="1748">
                  <c:v>4.7904624778364067E-2</c:v>
                </c:pt>
                <c:pt idx="1749">
                  <c:v>4.7903019770122263E-2</c:v>
                </c:pt>
                <c:pt idx="1750">
                  <c:v>4.7901422285152109E-2</c:v>
                </c:pt>
                <c:pt idx="1751">
                  <c:v>4.7899832323449208E-2</c:v>
                </c:pt>
                <c:pt idx="1752">
                  <c:v>4.789824988499946E-2</c:v>
                </c:pt>
                <c:pt idx="1753">
                  <c:v>4.7896674969798471E-2</c:v>
                </c:pt>
                <c:pt idx="1754">
                  <c:v>4.7895107577834772E-2</c:v>
                </c:pt>
                <c:pt idx="1755">
                  <c:v>4.7893547709100447E-2</c:v>
                </c:pt>
                <c:pt idx="1756">
                  <c:v>4.7891995363585807E-2</c:v>
                </c:pt>
                <c:pt idx="1757">
                  <c:v>4.789045054128379E-2</c:v>
                </c:pt>
                <c:pt idx="1758">
                  <c:v>4.7885892743076169E-2</c:v>
                </c:pt>
                <c:pt idx="1759">
                  <c:v>4.7884362629362742E-2</c:v>
                </c:pt>
                <c:pt idx="1760">
                  <c:v>4.7882840037850323E-2</c:v>
                </c:pt>
                <c:pt idx="1761">
                  <c:v>4.7887368295086961E-2</c:v>
                </c:pt>
                <c:pt idx="1762">
                  <c:v>4.7882839277644321E-2</c:v>
                </c:pt>
                <c:pt idx="1763">
                  <c:v>4.7881339594428703E-2</c:v>
                </c:pt>
                <c:pt idx="1764">
                  <c:v>4.7879847434367573E-2</c:v>
                </c:pt>
                <c:pt idx="1765">
                  <c:v>4.7878362797449482E-2</c:v>
                </c:pt>
                <c:pt idx="1766">
                  <c:v>4.7876885683666506E-2</c:v>
                </c:pt>
                <c:pt idx="1767">
                  <c:v>4.7875416093009826E-2</c:v>
                </c:pt>
                <c:pt idx="1768">
                  <c:v>4.7873954025470643E-2</c:v>
                </c:pt>
                <c:pt idx="1769">
                  <c:v>4.7872499481042781E-2</c:v>
                </c:pt>
                <c:pt idx="1770">
                  <c:v>4.7871052459717428E-2</c:v>
                </c:pt>
                <c:pt idx="1771">
                  <c:v>4.7863563323096457E-2</c:v>
                </c:pt>
                <c:pt idx="1772">
                  <c:v>4.7862130646812502E-2</c:v>
                </c:pt>
                <c:pt idx="1773">
                  <c:v>4.7860705491632412E-2</c:v>
                </c:pt>
                <c:pt idx="1774">
                  <c:v>4.7858884200669811E-2</c:v>
                </c:pt>
                <c:pt idx="1775">
                  <c:v>4.7857476236562141E-2</c:v>
                </c:pt>
                <c:pt idx="1776">
                  <c:v>4.7856075793535818E-2</c:v>
                </c:pt>
                <c:pt idx="1777">
                  <c:v>4.7854682871582739E-2</c:v>
                </c:pt>
                <c:pt idx="1778">
                  <c:v>4.7853297470696603E-2</c:v>
                </c:pt>
                <c:pt idx="1779">
                  <c:v>4.7848892283667614E-2</c:v>
                </c:pt>
                <c:pt idx="1780">
                  <c:v>4.7847521566331645E-2</c:v>
                </c:pt>
                <c:pt idx="1781">
                  <c:v>4.7846158369055154E-2</c:v>
                </c:pt>
                <c:pt idx="1782">
                  <c:v>4.7844802691828107E-2</c:v>
                </c:pt>
                <c:pt idx="1783">
                  <c:v>4.7852541670978868E-2</c:v>
                </c:pt>
                <c:pt idx="1784">
                  <c:v>4.7851202121673209E-2</c:v>
                </c:pt>
                <c:pt idx="1785">
                  <c:v>4.7849870095349377E-2</c:v>
                </c:pt>
                <c:pt idx="1786">
                  <c:v>4.7848545591998567E-2</c:v>
                </c:pt>
                <c:pt idx="1787">
                  <c:v>4.7847228611616367E-2</c:v>
                </c:pt>
                <c:pt idx="1788">
                  <c:v>4.7842887987127436E-2</c:v>
                </c:pt>
                <c:pt idx="1789">
                  <c:v>4.7841585685004649E-2</c:v>
                </c:pt>
                <c:pt idx="1790">
                  <c:v>4.7840290904843298E-2</c:v>
                </c:pt>
                <c:pt idx="1791">
                  <c:v>4.7838820366642429E-2</c:v>
                </c:pt>
                <c:pt idx="1792">
                  <c:v>4.7849674287123875E-2</c:v>
                </c:pt>
                <c:pt idx="1793">
                  <c:v>4.7845370668391007E-2</c:v>
                </c:pt>
                <c:pt idx="1794">
                  <c:v>4.7844108169063822E-2</c:v>
                </c:pt>
                <c:pt idx="1795">
                  <c:v>4.784285319461308E-2</c:v>
                </c:pt>
                <c:pt idx="1796">
                  <c:v>4.7832502277470809E-2</c:v>
                </c:pt>
                <c:pt idx="1797">
                  <c:v>4.7840365820310746E-2</c:v>
                </c:pt>
                <c:pt idx="1798">
                  <c:v>4.7839133420446218E-2</c:v>
                </c:pt>
                <c:pt idx="1799">
                  <c:v>4.7837908545429686E-2</c:v>
                </c:pt>
                <c:pt idx="1800">
                  <c:v>4.7836691195252523E-2</c:v>
                </c:pt>
                <c:pt idx="1801">
                  <c:v>4.7838518348642958E-2</c:v>
                </c:pt>
                <c:pt idx="1802">
                  <c:v>4.7834279069393887E-2</c:v>
                </c:pt>
                <c:pt idx="1803">
                  <c:v>4.7833084293697752E-2</c:v>
                </c:pt>
                <c:pt idx="1804">
                  <c:v>4.7831897042815125E-2</c:v>
                </c:pt>
                <c:pt idx="1805">
                  <c:v>4.7830717316738235E-2</c:v>
                </c:pt>
                <c:pt idx="1806">
                  <c:v>4.7829545115461058E-2</c:v>
                </c:pt>
                <c:pt idx="1807">
                  <c:v>4.7828380438976692E-2</c:v>
                </c:pt>
                <c:pt idx="1808">
                  <c:v>4.7827223287277371E-2</c:v>
                </c:pt>
                <c:pt idx="1809">
                  <c:v>4.7816955307065138E-2</c:v>
                </c:pt>
                <c:pt idx="1810">
                  <c:v>4.7815812039215422E-2</c:v>
                </c:pt>
                <c:pt idx="1811">
                  <c:v>4.7814676293185525E-2</c:v>
                </c:pt>
                <c:pt idx="1812">
                  <c:v>4.7813548068966538E-2</c:v>
                </c:pt>
                <c:pt idx="1813">
                  <c:v>4.7812427366552238E-2</c:v>
                </c:pt>
                <c:pt idx="1814">
                  <c:v>4.7820438397225225E-2</c:v>
                </c:pt>
                <c:pt idx="1815">
                  <c:v>4.7819333918844513E-2</c:v>
                </c:pt>
                <c:pt idx="1816">
                  <c:v>4.7818236965198838E-2</c:v>
                </c:pt>
                <c:pt idx="1817">
                  <c:v>4.7820190728092911E-2</c:v>
                </c:pt>
                <c:pt idx="1818">
                  <c:v>4.7816065632085035E-2</c:v>
                </c:pt>
                <c:pt idx="1819">
                  <c:v>4.7814991252603967E-2</c:v>
                </c:pt>
                <c:pt idx="1820">
                  <c:v>4.7813924397832074E-2</c:v>
                </c:pt>
                <c:pt idx="1821">
                  <c:v>4.7812865067764193E-2</c:v>
                </c:pt>
                <c:pt idx="1822">
                  <c:v>4.7802679525050039E-2</c:v>
                </c:pt>
                <c:pt idx="1823">
                  <c:v>4.7798589665885266E-2</c:v>
                </c:pt>
                <c:pt idx="1824">
                  <c:v>4.7797551300851941E-2</c:v>
                </c:pt>
                <c:pt idx="1825">
                  <c:v>4.7796520456570374E-2</c:v>
                </c:pt>
                <c:pt idx="1826">
                  <c:v>4.7795497133035166E-2</c:v>
                </c:pt>
                <c:pt idx="1827">
                  <c:v>4.7794481330240016E-2</c:v>
                </c:pt>
                <c:pt idx="1828">
                  <c:v>4.7793473048178617E-2</c:v>
                </c:pt>
                <c:pt idx="1829">
                  <c:v>4.779247228684827E-2</c:v>
                </c:pt>
                <c:pt idx="1830">
                  <c:v>4.7791479046240863E-2</c:v>
                </c:pt>
                <c:pt idx="1831">
                  <c:v>4.7787446011703025E-2</c:v>
                </c:pt>
                <c:pt idx="1832">
                  <c:v>4.7786467402723569E-2</c:v>
                </c:pt>
                <c:pt idx="1833">
                  <c:v>4.7785496313470288E-2</c:v>
                </c:pt>
                <c:pt idx="1834">
                  <c:v>4.778453274393954E-2</c:v>
                </c:pt>
                <c:pt idx="1835">
                  <c:v>4.7789674918016355E-2</c:v>
                </c:pt>
                <c:pt idx="1836">
                  <c:v>4.7800928973586558E-2</c:v>
                </c:pt>
                <c:pt idx="1837">
                  <c:v>4.7796939141440828E-2</c:v>
                </c:pt>
                <c:pt idx="1838">
                  <c:v>4.7796007730427949E-2</c:v>
                </c:pt>
                <c:pt idx="1839">
                  <c:v>4.7795083844015609E-2</c:v>
                </c:pt>
                <c:pt idx="1840">
                  <c:v>4.778449064712828E-2</c:v>
                </c:pt>
                <c:pt idx="1841">
                  <c:v>4.7783584850966898E-2</c:v>
                </c:pt>
                <c:pt idx="1842">
                  <c:v>4.7782686576444536E-2</c:v>
                </c:pt>
                <c:pt idx="1843">
                  <c:v>4.7781795823555857E-2</c:v>
                </c:pt>
                <c:pt idx="1844">
                  <c:v>4.7783966163459535E-2</c:v>
                </c:pt>
                <c:pt idx="1845">
                  <c:v>4.7783090877185436E-2</c:v>
                </c:pt>
                <c:pt idx="1846">
                  <c:v>4.7782223113512594E-2</c:v>
                </c:pt>
                <c:pt idx="1847">
                  <c:v>4.7781362872433973E-2</c:v>
                </c:pt>
                <c:pt idx="1848">
                  <c:v>4.7780510153944272E-2</c:v>
                </c:pt>
                <c:pt idx="1849">
                  <c:v>4.7779664958039987E-2</c:v>
                </c:pt>
                <c:pt idx="1850">
                  <c:v>4.7778827284715809E-2</c:v>
                </c:pt>
                <c:pt idx="1851">
                  <c:v>4.7777997133968235E-2</c:v>
                </c:pt>
                <c:pt idx="1852">
                  <c:v>4.7777174505791088E-2</c:v>
                </c:pt>
                <c:pt idx="1853">
                  <c:v>4.7776359400180844E-2</c:v>
                </c:pt>
                <c:pt idx="1854">
                  <c:v>4.7775551817131341E-2</c:v>
                </c:pt>
                <c:pt idx="1855">
                  <c:v>4.7774751756639935E-2</c:v>
                </c:pt>
                <c:pt idx="1856">
                  <c:v>4.7773959218699577E-2</c:v>
                </c:pt>
                <c:pt idx="1857">
                  <c:v>4.7773174203309385E-2</c:v>
                </c:pt>
                <c:pt idx="1858">
                  <c:v>4.7772396710461427E-2</c:v>
                </c:pt>
                <c:pt idx="1859">
                  <c:v>4.7771626740153075E-2</c:v>
                </c:pt>
                <c:pt idx="1860">
                  <c:v>4.7770864292380789E-2</c:v>
                </c:pt>
                <c:pt idx="1861">
                  <c:v>4.7767048465473187E-2</c:v>
                </c:pt>
                <c:pt idx="1862">
                  <c:v>4.7766300622732072E-2</c:v>
                </c:pt>
                <c:pt idx="1863">
                  <c:v>4.7765560301532901E-2</c:v>
                </c:pt>
                <c:pt idx="1864">
                  <c:v>4.7764827501872123E-2</c:v>
                </c:pt>
                <c:pt idx="1865">
                  <c:v>4.7767164891394834E-2</c:v>
                </c:pt>
                <c:pt idx="1866">
                  <c:v>4.7766447578743841E-2</c:v>
                </c:pt>
                <c:pt idx="1867">
                  <c:v>4.7765737788598966E-2</c:v>
                </c:pt>
                <c:pt idx="1868">
                  <c:v>4.7765035520955811E-2</c:v>
                </c:pt>
                <c:pt idx="1869">
                  <c:v>4.7764340775812611E-2</c:v>
                </c:pt>
                <c:pt idx="1870">
                  <c:v>4.7763653553160548E-2</c:v>
                </c:pt>
                <c:pt idx="1871">
                  <c:v>4.7762973853000518E-2</c:v>
                </c:pt>
                <c:pt idx="1872">
                  <c:v>4.7762301675327225E-2</c:v>
                </c:pt>
                <c:pt idx="1873">
                  <c:v>4.776163702013627E-2</c:v>
                </c:pt>
                <c:pt idx="1874">
                  <c:v>4.7754846800035985E-2</c:v>
                </c:pt>
                <c:pt idx="1875">
                  <c:v>4.77541962844081E-2</c:v>
                </c:pt>
                <c:pt idx="1876">
                  <c:v>4.7753553289292441E-2</c:v>
                </c:pt>
                <c:pt idx="1877">
                  <c:v>4.775291781468631E-2</c:v>
                </c:pt>
                <c:pt idx="1878">
                  <c:v>4.7755358065958126E-2</c:v>
                </c:pt>
                <c:pt idx="1879">
                  <c:v>4.7751669426990904E-2</c:v>
                </c:pt>
                <c:pt idx="1880">
                  <c:v>4.7751056513894434E-2</c:v>
                </c:pt>
                <c:pt idx="1881">
                  <c:v>4.7750451121293974E-2</c:v>
                </c:pt>
                <c:pt idx="1882">
                  <c:v>4.7749853249184127E-2</c:v>
                </c:pt>
                <c:pt idx="1883">
                  <c:v>4.77492628975658E-2</c:v>
                </c:pt>
                <c:pt idx="1884">
                  <c:v>4.7748680066432674E-2</c:v>
                </c:pt>
                <c:pt idx="1885">
                  <c:v>4.7748104755782061E-2</c:v>
                </c:pt>
                <c:pt idx="1886">
                  <c:v>4.7747536965611258E-2</c:v>
                </c:pt>
                <c:pt idx="1887">
                  <c:v>4.7753121706129463E-2</c:v>
                </c:pt>
                <c:pt idx="1888">
                  <c:v>4.7752569887754205E-2</c:v>
                </c:pt>
                <c:pt idx="1889">
                  <c:v>4.7752025591808425E-2</c:v>
                </c:pt>
                <c:pt idx="1890">
                  <c:v>4.775148881828508E-2</c:v>
                </c:pt>
                <c:pt idx="1891">
                  <c:v>4.7747885038690048E-2</c:v>
                </c:pt>
                <c:pt idx="1892">
                  <c:v>4.7747362840605163E-2</c:v>
                </c:pt>
                <c:pt idx="1893">
                  <c:v>4.7746848163959812E-2</c:v>
                </c:pt>
                <c:pt idx="1894">
                  <c:v>4.7746341008745967E-2</c:v>
                </c:pt>
                <c:pt idx="1895">
                  <c:v>4.7745841374964522E-2</c:v>
                </c:pt>
                <c:pt idx="1896">
                  <c:v>4.7748426147909459E-2</c:v>
                </c:pt>
                <c:pt idx="1897">
                  <c:v>4.7747942031278828E-2</c:v>
                </c:pt>
                <c:pt idx="1898">
                  <c:v>4.7747465437053882E-2</c:v>
                </c:pt>
                <c:pt idx="1899">
                  <c:v>4.7746996365223185E-2</c:v>
                </c:pt>
                <c:pt idx="1900">
                  <c:v>4.7746534815792892E-2</c:v>
                </c:pt>
                <c:pt idx="1901">
                  <c:v>4.774608078875419E-2</c:v>
                </c:pt>
                <c:pt idx="1902">
                  <c:v>4.7745634284108857E-2</c:v>
                </c:pt>
                <c:pt idx="1903">
                  <c:v>4.7745195301850715E-2</c:v>
                </c:pt>
                <c:pt idx="1904">
                  <c:v>4.7744763841980654E-2</c:v>
                </c:pt>
                <c:pt idx="1905">
                  <c:v>4.7744339904492492E-2</c:v>
                </c:pt>
                <c:pt idx="1906">
                  <c:v>4.7743923489388891E-2</c:v>
                </c:pt>
                <c:pt idx="1907">
                  <c:v>4.7743514596664545E-2</c:v>
                </c:pt>
                <c:pt idx="1908">
                  <c:v>4.7743113226315949E-2</c:v>
                </c:pt>
                <c:pt idx="1909">
                  <c:v>4.7742719378342208E-2</c:v>
                </c:pt>
                <c:pt idx="1910">
                  <c:v>4.7742333052741566E-2</c:v>
                </c:pt>
                <c:pt idx="1911">
                  <c:v>4.7741954249510506E-2</c:v>
                </c:pt>
                <c:pt idx="1912">
                  <c:v>4.7741582968649013E-2</c:v>
                </c:pt>
                <c:pt idx="1913">
                  <c:v>4.7738134128759629E-2</c:v>
                </c:pt>
                <c:pt idx="1914">
                  <c:v>4.7737777401698649E-2</c:v>
                </c:pt>
                <c:pt idx="1915">
                  <c:v>4.7737428196023758E-2</c:v>
                </c:pt>
                <c:pt idx="1916">
                  <c:v>4.7737086511730503E-2</c:v>
                </c:pt>
                <c:pt idx="1917">
                  <c:v>4.7736752348816219E-2</c:v>
                </c:pt>
                <c:pt idx="1918">
                  <c:v>4.7739513253097554E-2</c:v>
                </c:pt>
                <c:pt idx="1919">
                  <c:v>4.7739194628757017E-2</c:v>
                </c:pt>
                <c:pt idx="1920">
                  <c:v>4.7738883526771962E-2</c:v>
                </c:pt>
                <c:pt idx="1921">
                  <c:v>4.7738579947134464E-2</c:v>
                </c:pt>
                <c:pt idx="1922">
                  <c:v>4.7738283889849797E-2</c:v>
                </c:pt>
                <c:pt idx="1923">
                  <c:v>4.7737995354910918E-2</c:v>
                </c:pt>
                <c:pt idx="1924">
                  <c:v>4.7737714342317834E-2</c:v>
                </c:pt>
                <c:pt idx="1925">
                  <c:v>4.7737440852069657E-2</c:v>
                </c:pt>
                <c:pt idx="1926">
                  <c:v>4.7734083344412183E-2</c:v>
                </c:pt>
                <c:pt idx="1927">
                  <c:v>4.7733824395207396E-2</c:v>
                </c:pt>
                <c:pt idx="1928">
                  <c:v>4.7733572967361977E-2</c:v>
                </c:pt>
                <c:pt idx="1929">
                  <c:v>4.7733329060878606E-2</c:v>
                </c:pt>
                <c:pt idx="1930">
                  <c:v>4.7733092675753715E-2</c:v>
                </c:pt>
                <c:pt idx="1931">
                  <c:v>4.7732863811987297E-2</c:v>
                </c:pt>
                <c:pt idx="1932">
                  <c:v>4.7732642469575808E-2</c:v>
                </c:pt>
                <c:pt idx="1933">
                  <c:v>4.7732428648521903E-2</c:v>
                </c:pt>
                <c:pt idx="1934">
                  <c:v>4.7732193491424504E-2</c:v>
                </c:pt>
                <c:pt idx="1935">
                  <c:v>4.7728899924223876E-2</c:v>
                </c:pt>
                <c:pt idx="1936">
                  <c:v>4.772870922925912E-2</c:v>
                </c:pt>
                <c:pt idx="1937">
                  <c:v>4.7728526054669707E-2</c:v>
                </c:pt>
                <c:pt idx="1938">
                  <c:v>4.7728350400450245E-2</c:v>
                </c:pt>
                <c:pt idx="1939">
                  <c:v>4.7734378422683389E-2</c:v>
                </c:pt>
                <c:pt idx="1940">
                  <c:v>4.7734218842060534E-2</c:v>
                </c:pt>
                <c:pt idx="1941">
                  <c:v>4.7734066783761443E-2</c:v>
                </c:pt>
                <c:pt idx="1942">
                  <c:v>4.7733922247786997E-2</c:v>
                </c:pt>
                <c:pt idx="1943">
                  <c:v>4.7733785234137197E-2</c:v>
                </c:pt>
                <c:pt idx="1944">
                  <c:v>4.7730554913461024E-2</c:v>
                </c:pt>
                <c:pt idx="1945">
                  <c:v>4.7730432423069971E-2</c:v>
                </c:pt>
                <c:pt idx="1946">
                  <c:v>4.7730317454022252E-2</c:v>
                </c:pt>
                <c:pt idx="1947">
                  <c:v>4.7730210006316103E-2</c:v>
                </c:pt>
                <c:pt idx="1948">
                  <c:v>4.7733213000698896E-2</c:v>
                </c:pt>
                <c:pt idx="1949">
                  <c:v>4.7733121120973193E-2</c:v>
                </c:pt>
                <c:pt idx="1950">
                  <c:v>4.7733036763565093E-2</c:v>
                </c:pt>
                <c:pt idx="1951">
                  <c:v>4.7732959928476357E-2</c:v>
                </c:pt>
                <c:pt idx="1952">
                  <c:v>4.7732890615704335E-2</c:v>
                </c:pt>
                <c:pt idx="1953">
                  <c:v>4.7732828825247278E-2</c:v>
                </c:pt>
                <c:pt idx="1954">
                  <c:v>4.7732774557110454E-2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15040"/>
        <c:axId val="58761331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2.664999999999992E-2</c:v>
                </c:pt>
                <c:pt idx="1">
                  <c:v>2.6450000000000102E-2</c:v>
                </c:pt>
                <c:pt idx="2">
                  <c:v>2.6850000000000023E-2</c:v>
                </c:pt>
                <c:pt idx="3">
                  <c:v>2.7450000000000044E-2</c:v>
                </c:pt>
                <c:pt idx="4">
                  <c:v>2.835000000000008E-2</c:v>
                </c:pt>
                <c:pt idx="5">
                  <c:v>2.9449999999999931E-2</c:v>
                </c:pt>
                <c:pt idx="6">
                  <c:v>3.0500000000000114E-2</c:v>
                </c:pt>
                <c:pt idx="7">
                  <c:v>3.1500000000000056E-2</c:v>
                </c:pt>
                <c:pt idx="8">
                  <c:v>3.2450000000000048E-2</c:v>
                </c:pt>
                <c:pt idx="9">
                  <c:v>3.3299999999999982E-2</c:v>
                </c:pt>
                <c:pt idx="10">
                  <c:v>3.4300000000000067E-2</c:v>
                </c:pt>
                <c:pt idx="11">
                  <c:v>3.5300000000000012E-2</c:v>
                </c:pt>
                <c:pt idx="12">
                  <c:v>3.6149999999999946E-2</c:v>
                </c:pt>
                <c:pt idx="13">
                  <c:v>3.7000000000000026E-2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41927</c:v>
                </c:pt>
                <c:pt idx="1">
                  <c:v>41957</c:v>
                </c:pt>
                <c:pt idx="2">
                  <c:v>41988</c:v>
                </c:pt>
                <c:pt idx="3">
                  <c:v>42019</c:v>
                </c:pt>
                <c:pt idx="4">
                  <c:v>42048</c:v>
                </c:pt>
                <c:pt idx="5">
                  <c:v>42076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15040"/>
        <c:axId val="587613312"/>
      </c:scatterChart>
      <c:dateAx>
        <c:axId val="401815040"/>
        <c:scaling>
          <c:orientation val="minMax"/>
          <c:max val="4262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76133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7613312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181504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41897</c:v>
                </c:pt>
                <c:pt idx="1">
                  <c:v>41898</c:v>
                </c:pt>
                <c:pt idx="2">
                  <c:v>41899</c:v>
                </c:pt>
                <c:pt idx="3">
                  <c:v>41900</c:v>
                </c:pt>
                <c:pt idx="4">
                  <c:v>41901</c:v>
                </c:pt>
                <c:pt idx="5">
                  <c:v>41904</c:v>
                </c:pt>
                <c:pt idx="6">
                  <c:v>41905</c:v>
                </c:pt>
                <c:pt idx="7">
                  <c:v>41906</c:v>
                </c:pt>
                <c:pt idx="8">
                  <c:v>41907</c:v>
                </c:pt>
                <c:pt idx="9">
                  <c:v>41908</c:v>
                </c:pt>
                <c:pt idx="10">
                  <c:v>41911</c:v>
                </c:pt>
                <c:pt idx="11">
                  <c:v>41912</c:v>
                </c:pt>
                <c:pt idx="12">
                  <c:v>41913</c:v>
                </c:pt>
                <c:pt idx="13">
                  <c:v>41914</c:v>
                </c:pt>
                <c:pt idx="14">
                  <c:v>41915</c:v>
                </c:pt>
                <c:pt idx="15">
                  <c:v>41919</c:v>
                </c:pt>
                <c:pt idx="16">
                  <c:v>41920</c:v>
                </c:pt>
                <c:pt idx="17">
                  <c:v>41921</c:v>
                </c:pt>
                <c:pt idx="18">
                  <c:v>41922</c:v>
                </c:pt>
                <c:pt idx="19">
                  <c:v>41925</c:v>
                </c:pt>
                <c:pt idx="20">
                  <c:v>41926</c:v>
                </c:pt>
                <c:pt idx="21">
                  <c:v>41927</c:v>
                </c:pt>
                <c:pt idx="22">
                  <c:v>41928</c:v>
                </c:pt>
                <c:pt idx="23">
                  <c:v>41929</c:v>
                </c:pt>
                <c:pt idx="24">
                  <c:v>41932</c:v>
                </c:pt>
                <c:pt idx="25">
                  <c:v>41933</c:v>
                </c:pt>
                <c:pt idx="26">
                  <c:v>41934</c:v>
                </c:pt>
                <c:pt idx="27">
                  <c:v>41935</c:v>
                </c:pt>
                <c:pt idx="28">
                  <c:v>41936</c:v>
                </c:pt>
                <c:pt idx="29">
                  <c:v>41939</c:v>
                </c:pt>
                <c:pt idx="30">
                  <c:v>41940</c:v>
                </c:pt>
                <c:pt idx="31">
                  <c:v>41941</c:v>
                </c:pt>
                <c:pt idx="32">
                  <c:v>41942</c:v>
                </c:pt>
                <c:pt idx="33">
                  <c:v>41943</c:v>
                </c:pt>
                <c:pt idx="34">
                  <c:v>41946</c:v>
                </c:pt>
                <c:pt idx="35">
                  <c:v>41947</c:v>
                </c:pt>
                <c:pt idx="36">
                  <c:v>41948</c:v>
                </c:pt>
                <c:pt idx="37">
                  <c:v>41949</c:v>
                </c:pt>
                <c:pt idx="38">
                  <c:v>41950</c:v>
                </c:pt>
                <c:pt idx="39">
                  <c:v>41953</c:v>
                </c:pt>
                <c:pt idx="40">
                  <c:v>41954</c:v>
                </c:pt>
                <c:pt idx="41">
                  <c:v>41955</c:v>
                </c:pt>
                <c:pt idx="42">
                  <c:v>41956</c:v>
                </c:pt>
                <c:pt idx="43">
                  <c:v>41957</c:v>
                </c:pt>
                <c:pt idx="44">
                  <c:v>41960</c:v>
                </c:pt>
                <c:pt idx="45">
                  <c:v>41961</c:v>
                </c:pt>
                <c:pt idx="46">
                  <c:v>41962</c:v>
                </c:pt>
                <c:pt idx="47">
                  <c:v>41963</c:v>
                </c:pt>
                <c:pt idx="48">
                  <c:v>41964</c:v>
                </c:pt>
                <c:pt idx="49">
                  <c:v>41967</c:v>
                </c:pt>
                <c:pt idx="50">
                  <c:v>41968</c:v>
                </c:pt>
                <c:pt idx="51">
                  <c:v>41969</c:v>
                </c:pt>
                <c:pt idx="52">
                  <c:v>41970</c:v>
                </c:pt>
                <c:pt idx="53">
                  <c:v>41971</c:v>
                </c:pt>
                <c:pt idx="54">
                  <c:v>41974</c:v>
                </c:pt>
                <c:pt idx="55">
                  <c:v>41975</c:v>
                </c:pt>
                <c:pt idx="56">
                  <c:v>41976</c:v>
                </c:pt>
                <c:pt idx="57">
                  <c:v>41977</c:v>
                </c:pt>
                <c:pt idx="58">
                  <c:v>41978</c:v>
                </c:pt>
                <c:pt idx="59">
                  <c:v>41981</c:v>
                </c:pt>
                <c:pt idx="60">
                  <c:v>41982</c:v>
                </c:pt>
                <c:pt idx="61">
                  <c:v>41983</c:v>
                </c:pt>
                <c:pt idx="62">
                  <c:v>41984</c:v>
                </c:pt>
                <c:pt idx="63">
                  <c:v>41985</c:v>
                </c:pt>
                <c:pt idx="64">
                  <c:v>41988</c:v>
                </c:pt>
                <c:pt idx="65">
                  <c:v>41989</c:v>
                </c:pt>
                <c:pt idx="66">
                  <c:v>41990</c:v>
                </c:pt>
                <c:pt idx="67">
                  <c:v>41991</c:v>
                </c:pt>
                <c:pt idx="68">
                  <c:v>41992</c:v>
                </c:pt>
                <c:pt idx="69">
                  <c:v>41995</c:v>
                </c:pt>
                <c:pt idx="70">
                  <c:v>41996</c:v>
                </c:pt>
                <c:pt idx="71">
                  <c:v>41997</c:v>
                </c:pt>
                <c:pt idx="72">
                  <c:v>42002</c:v>
                </c:pt>
                <c:pt idx="73">
                  <c:v>42003</c:v>
                </c:pt>
                <c:pt idx="74">
                  <c:v>42004</c:v>
                </c:pt>
                <c:pt idx="75">
                  <c:v>42006</c:v>
                </c:pt>
                <c:pt idx="76">
                  <c:v>42009</c:v>
                </c:pt>
                <c:pt idx="77">
                  <c:v>42010</c:v>
                </c:pt>
                <c:pt idx="78">
                  <c:v>42011</c:v>
                </c:pt>
                <c:pt idx="79">
                  <c:v>42012</c:v>
                </c:pt>
                <c:pt idx="80">
                  <c:v>42013</c:v>
                </c:pt>
                <c:pt idx="81">
                  <c:v>42016</c:v>
                </c:pt>
                <c:pt idx="82">
                  <c:v>42017</c:v>
                </c:pt>
                <c:pt idx="83">
                  <c:v>42018</c:v>
                </c:pt>
                <c:pt idx="84">
                  <c:v>42019</c:v>
                </c:pt>
                <c:pt idx="85">
                  <c:v>42020</c:v>
                </c:pt>
                <c:pt idx="86">
                  <c:v>42023</c:v>
                </c:pt>
                <c:pt idx="87">
                  <c:v>42024</c:v>
                </c:pt>
                <c:pt idx="88">
                  <c:v>42025</c:v>
                </c:pt>
                <c:pt idx="89">
                  <c:v>42026</c:v>
                </c:pt>
                <c:pt idx="90">
                  <c:v>42027</c:v>
                </c:pt>
                <c:pt idx="91">
                  <c:v>42031</c:v>
                </c:pt>
                <c:pt idx="92">
                  <c:v>42032</c:v>
                </c:pt>
                <c:pt idx="93">
                  <c:v>42033</c:v>
                </c:pt>
                <c:pt idx="94">
                  <c:v>42034</c:v>
                </c:pt>
                <c:pt idx="95">
                  <c:v>42037</c:v>
                </c:pt>
                <c:pt idx="96">
                  <c:v>42038</c:v>
                </c:pt>
                <c:pt idx="97">
                  <c:v>42039</c:v>
                </c:pt>
                <c:pt idx="98">
                  <c:v>42040</c:v>
                </c:pt>
                <c:pt idx="99">
                  <c:v>42041</c:v>
                </c:pt>
                <c:pt idx="100">
                  <c:v>42044</c:v>
                </c:pt>
                <c:pt idx="101">
                  <c:v>42045</c:v>
                </c:pt>
                <c:pt idx="102">
                  <c:v>42046</c:v>
                </c:pt>
                <c:pt idx="103">
                  <c:v>42047</c:v>
                </c:pt>
                <c:pt idx="104">
                  <c:v>42048</c:v>
                </c:pt>
                <c:pt idx="105">
                  <c:v>42051</c:v>
                </c:pt>
                <c:pt idx="106">
                  <c:v>42052</c:v>
                </c:pt>
                <c:pt idx="107">
                  <c:v>42053</c:v>
                </c:pt>
                <c:pt idx="108">
                  <c:v>42054</c:v>
                </c:pt>
                <c:pt idx="109">
                  <c:v>42055</c:v>
                </c:pt>
                <c:pt idx="110">
                  <c:v>42058</c:v>
                </c:pt>
                <c:pt idx="111">
                  <c:v>42059</c:v>
                </c:pt>
                <c:pt idx="112">
                  <c:v>42060</c:v>
                </c:pt>
                <c:pt idx="113">
                  <c:v>42061</c:v>
                </c:pt>
                <c:pt idx="114">
                  <c:v>42062</c:v>
                </c:pt>
                <c:pt idx="115">
                  <c:v>42065</c:v>
                </c:pt>
                <c:pt idx="116">
                  <c:v>42066</c:v>
                </c:pt>
                <c:pt idx="117">
                  <c:v>42067</c:v>
                </c:pt>
                <c:pt idx="118">
                  <c:v>42068</c:v>
                </c:pt>
                <c:pt idx="119">
                  <c:v>42069</c:v>
                </c:pt>
                <c:pt idx="120">
                  <c:v>42072</c:v>
                </c:pt>
                <c:pt idx="121">
                  <c:v>42073</c:v>
                </c:pt>
                <c:pt idx="122">
                  <c:v>42074</c:v>
                </c:pt>
                <c:pt idx="123">
                  <c:v>42075</c:v>
                </c:pt>
                <c:pt idx="124">
                  <c:v>42076</c:v>
                </c:pt>
                <c:pt idx="125">
                  <c:v>42079</c:v>
                </c:pt>
                <c:pt idx="126">
                  <c:v>42080</c:v>
                </c:pt>
                <c:pt idx="127">
                  <c:v>42081</c:v>
                </c:pt>
                <c:pt idx="128">
                  <c:v>42082</c:v>
                </c:pt>
                <c:pt idx="129">
                  <c:v>42083</c:v>
                </c:pt>
                <c:pt idx="130">
                  <c:v>42086</c:v>
                </c:pt>
                <c:pt idx="131">
                  <c:v>42087</c:v>
                </c:pt>
                <c:pt idx="132">
                  <c:v>42088</c:v>
                </c:pt>
                <c:pt idx="133">
                  <c:v>42089</c:v>
                </c:pt>
                <c:pt idx="134">
                  <c:v>42090</c:v>
                </c:pt>
                <c:pt idx="135">
                  <c:v>42093</c:v>
                </c:pt>
                <c:pt idx="136">
                  <c:v>42094</c:v>
                </c:pt>
                <c:pt idx="137">
                  <c:v>42095</c:v>
                </c:pt>
                <c:pt idx="138">
                  <c:v>42096</c:v>
                </c:pt>
                <c:pt idx="139">
                  <c:v>42101</c:v>
                </c:pt>
                <c:pt idx="140">
                  <c:v>42102</c:v>
                </c:pt>
                <c:pt idx="141">
                  <c:v>42103</c:v>
                </c:pt>
                <c:pt idx="142">
                  <c:v>42104</c:v>
                </c:pt>
                <c:pt idx="143">
                  <c:v>42107</c:v>
                </c:pt>
                <c:pt idx="144">
                  <c:v>42108</c:v>
                </c:pt>
                <c:pt idx="145">
                  <c:v>42109</c:v>
                </c:pt>
                <c:pt idx="146">
                  <c:v>42110</c:v>
                </c:pt>
                <c:pt idx="147">
                  <c:v>42111</c:v>
                </c:pt>
                <c:pt idx="148">
                  <c:v>42114</c:v>
                </c:pt>
                <c:pt idx="149">
                  <c:v>42115</c:v>
                </c:pt>
                <c:pt idx="150">
                  <c:v>42116</c:v>
                </c:pt>
                <c:pt idx="151">
                  <c:v>42117</c:v>
                </c:pt>
                <c:pt idx="152">
                  <c:v>42118</c:v>
                </c:pt>
                <c:pt idx="153">
                  <c:v>42121</c:v>
                </c:pt>
                <c:pt idx="154">
                  <c:v>42122</c:v>
                </c:pt>
                <c:pt idx="155">
                  <c:v>42123</c:v>
                </c:pt>
                <c:pt idx="156">
                  <c:v>42124</c:v>
                </c:pt>
                <c:pt idx="157">
                  <c:v>42125</c:v>
                </c:pt>
                <c:pt idx="158">
                  <c:v>42128</c:v>
                </c:pt>
                <c:pt idx="159">
                  <c:v>42129</c:v>
                </c:pt>
                <c:pt idx="160">
                  <c:v>42130</c:v>
                </c:pt>
                <c:pt idx="161">
                  <c:v>42131</c:v>
                </c:pt>
                <c:pt idx="162">
                  <c:v>42132</c:v>
                </c:pt>
                <c:pt idx="163">
                  <c:v>42135</c:v>
                </c:pt>
                <c:pt idx="164">
                  <c:v>42136</c:v>
                </c:pt>
                <c:pt idx="165">
                  <c:v>42137</c:v>
                </c:pt>
                <c:pt idx="166">
                  <c:v>42138</c:v>
                </c:pt>
                <c:pt idx="167">
                  <c:v>42139</c:v>
                </c:pt>
                <c:pt idx="168">
                  <c:v>42142</c:v>
                </c:pt>
                <c:pt idx="169">
                  <c:v>42143</c:v>
                </c:pt>
                <c:pt idx="170">
                  <c:v>42144</c:v>
                </c:pt>
                <c:pt idx="171">
                  <c:v>42145</c:v>
                </c:pt>
                <c:pt idx="172">
                  <c:v>42146</c:v>
                </c:pt>
                <c:pt idx="173">
                  <c:v>42149</c:v>
                </c:pt>
                <c:pt idx="174">
                  <c:v>42150</c:v>
                </c:pt>
                <c:pt idx="175">
                  <c:v>42151</c:v>
                </c:pt>
                <c:pt idx="176">
                  <c:v>42152</c:v>
                </c:pt>
                <c:pt idx="177">
                  <c:v>42153</c:v>
                </c:pt>
                <c:pt idx="178">
                  <c:v>42156</c:v>
                </c:pt>
                <c:pt idx="179">
                  <c:v>42157</c:v>
                </c:pt>
                <c:pt idx="180">
                  <c:v>42158</c:v>
                </c:pt>
                <c:pt idx="181">
                  <c:v>42159</c:v>
                </c:pt>
                <c:pt idx="182">
                  <c:v>42160</c:v>
                </c:pt>
                <c:pt idx="183">
                  <c:v>42164</c:v>
                </c:pt>
                <c:pt idx="184">
                  <c:v>42165</c:v>
                </c:pt>
                <c:pt idx="185">
                  <c:v>42166</c:v>
                </c:pt>
                <c:pt idx="186">
                  <c:v>42167</c:v>
                </c:pt>
                <c:pt idx="187">
                  <c:v>42170</c:v>
                </c:pt>
                <c:pt idx="188">
                  <c:v>42171</c:v>
                </c:pt>
                <c:pt idx="189">
                  <c:v>42172</c:v>
                </c:pt>
                <c:pt idx="190">
                  <c:v>42173</c:v>
                </c:pt>
                <c:pt idx="191">
                  <c:v>42174</c:v>
                </c:pt>
                <c:pt idx="192">
                  <c:v>42177</c:v>
                </c:pt>
                <c:pt idx="193">
                  <c:v>42178</c:v>
                </c:pt>
                <c:pt idx="194">
                  <c:v>42179</c:v>
                </c:pt>
                <c:pt idx="195">
                  <c:v>42180</c:v>
                </c:pt>
                <c:pt idx="196">
                  <c:v>42181</c:v>
                </c:pt>
                <c:pt idx="197">
                  <c:v>42184</c:v>
                </c:pt>
                <c:pt idx="198">
                  <c:v>42185</c:v>
                </c:pt>
                <c:pt idx="199">
                  <c:v>42186</c:v>
                </c:pt>
                <c:pt idx="200">
                  <c:v>42187</c:v>
                </c:pt>
                <c:pt idx="201">
                  <c:v>42188</c:v>
                </c:pt>
                <c:pt idx="202">
                  <c:v>42191</c:v>
                </c:pt>
                <c:pt idx="203">
                  <c:v>42192</c:v>
                </c:pt>
                <c:pt idx="204">
                  <c:v>42193</c:v>
                </c:pt>
                <c:pt idx="205">
                  <c:v>42194</c:v>
                </c:pt>
                <c:pt idx="206">
                  <c:v>42195</c:v>
                </c:pt>
                <c:pt idx="207">
                  <c:v>42198</c:v>
                </c:pt>
                <c:pt idx="208">
                  <c:v>42199</c:v>
                </c:pt>
                <c:pt idx="209">
                  <c:v>42200</c:v>
                </c:pt>
                <c:pt idx="210">
                  <c:v>42201</c:v>
                </c:pt>
                <c:pt idx="211">
                  <c:v>42202</c:v>
                </c:pt>
                <c:pt idx="212">
                  <c:v>42205</c:v>
                </c:pt>
                <c:pt idx="213">
                  <c:v>42206</c:v>
                </c:pt>
                <c:pt idx="214">
                  <c:v>42207</c:v>
                </c:pt>
                <c:pt idx="215">
                  <c:v>42208</c:v>
                </c:pt>
                <c:pt idx="216">
                  <c:v>42209</c:v>
                </c:pt>
                <c:pt idx="217">
                  <c:v>42212</c:v>
                </c:pt>
                <c:pt idx="218">
                  <c:v>42213</c:v>
                </c:pt>
                <c:pt idx="219">
                  <c:v>42214</c:v>
                </c:pt>
                <c:pt idx="220">
                  <c:v>42215</c:v>
                </c:pt>
                <c:pt idx="221">
                  <c:v>42216</c:v>
                </c:pt>
                <c:pt idx="222">
                  <c:v>42220</c:v>
                </c:pt>
                <c:pt idx="223">
                  <c:v>42221</c:v>
                </c:pt>
                <c:pt idx="224">
                  <c:v>42222</c:v>
                </c:pt>
                <c:pt idx="225">
                  <c:v>42223</c:v>
                </c:pt>
                <c:pt idx="226">
                  <c:v>42226</c:v>
                </c:pt>
                <c:pt idx="227">
                  <c:v>42227</c:v>
                </c:pt>
                <c:pt idx="228">
                  <c:v>42228</c:v>
                </c:pt>
                <c:pt idx="229">
                  <c:v>42229</c:v>
                </c:pt>
                <c:pt idx="230">
                  <c:v>42230</c:v>
                </c:pt>
                <c:pt idx="231">
                  <c:v>42233</c:v>
                </c:pt>
                <c:pt idx="232">
                  <c:v>42234</c:v>
                </c:pt>
                <c:pt idx="233">
                  <c:v>42235</c:v>
                </c:pt>
                <c:pt idx="234">
                  <c:v>42236</c:v>
                </c:pt>
                <c:pt idx="235">
                  <c:v>42237</c:v>
                </c:pt>
                <c:pt idx="236">
                  <c:v>42240</c:v>
                </c:pt>
                <c:pt idx="237">
                  <c:v>42241</c:v>
                </c:pt>
                <c:pt idx="238">
                  <c:v>42242</c:v>
                </c:pt>
                <c:pt idx="239">
                  <c:v>42243</c:v>
                </c:pt>
                <c:pt idx="240">
                  <c:v>42244</c:v>
                </c:pt>
                <c:pt idx="241">
                  <c:v>42247</c:v>
                </c:pt>
                <c:pt idx="242">
                  <c:v>42248</c:v>
                </c:pt>
                <c:pt idx="243">
                  <c:v>42249</c:v>
                </c:pt>
                <c:pt idx="244">
                  <c:v>42250</c:v>
                </c:pt>
                <c:pt idx="245">
                  <c:v>42251</c:v>
                </c:pt>
                <c:pt idx="246">
                  <c:v>42254</c:v>
                </c:pt>
                <c:pt idx="247">
                  <c:v>42255</c:v>
                </c:pt>
                <c:pt idx="248">
                  <c:v>42256</c:v>
                </c:pt>
                <c:pt idx="249">
                  <c:v>42257</c:v>
                </c:pt>
                <c:pt idx="250">
                  <c:v>42258</c:v>
                </c:pt>
                <c:pt idx="251">
                  <c:v>42261</c:v>
                </c:pt>
                <c:pt idx="252">
                  <c:v>42262</c:v>
                </c:pt>
                <c:pt idx="253">
                  <c:v>42263</c:v>
                </c:pt>
                <c:pt idx="254">
                  <c:v>42264</c:v>
                </c:pt>
                <c:pt idx="255">
                  <c:v>42265</c:v>
                </c:pt>
                <c:pt idx="256">
                  <c:v>42268</c:v>
                </c:pt>
                <c:pt idx="257">
                  <c:v>42269</c:v>
                </c:pt>
                <c:pt idx="258">
                  <c:v>42270</c:v>
                </c:pt>
                <c:pt idx="259">
                  <c:v>42271</c:v>
                </c:pt>
                <c:pt idx="260">
                  <c:v>42272</c:v>
                </c:pt>
                <c:pt idx="261">
                  <c:v>42275</c:v>
                </c:pt>
                <c:pt idx="262">
                  <c:v>42276</c:v>
                </c:pt>
                <c:pt idx="263">
                  <c:v>42277</c:v>
                </c:pt>
                <c:pt idx="264">
                  <c:v>42278</c:v>
                </c:pt>
                <c:pt idx="265">
                  <c:v>42279</c:v>
                </c:pt>
                <c:pt idx="266">
                  <c:v>42283</c:v>
                </c:pt>
                <c:pt idx="267">
                  <c:v>42284</c:v>
                </c:pt>
                <c:pt idx="268">
                  <c:v>42285</c:v>
                </c:pt>
                <c:pt idx="269">
                  <c:v>42286</c:v>
                </c:pt>
                <c:pt idx="270">
                  <c:v>42289</c:v>
                </c:pt>
                <c:pt idx="271">
                  <c:v>42290</c:v>
                </c:pt>
                <c:pt idx="272">
                  <c:v>42291</c:v>
                </c:pt>
                <c:pt idx="273">
                  <c:v>42292</c:v>
                </c:pt>
                <c:pt idx="274">
                  <c:v>42293</c:v>
                </c:pt>
                <c:pt idx="275">
                  <c:v>42296</c:v>
                </c:pt>
                <c:pt idx="276">
                  <c:v>42297</c:v>
                </c:pt>
                <c:pt idx="277">
                  <c:v>42298</c:v>
                </c:pt>
                <c:pt idx="278">
                  <c:v>42299</c:v>
                </c:pt>
                <c:pt idx="279">
                  <c:v>42300</c:v>
                </c:pt>
                <c:pt idx="280">
                  <c:v>42303</c:v>
                </c:pt>
                <c:pt idx="281">
                  <c:v>42304</c:v>
                </c:pt>
                <c:pt idx="282">
                  <c:v>42305</c:v>
                </c:pt>
                <c:pt idx="283">
                  <c:v>42306</c:v>
                </c:pt>
                <c:pt idx="284">
                  <c:v>42307</c:v>
                </c:pt>
                <c:pt idx="285">
                  <c:v>42310</c:v>
                </c:pt>
                <c:pt idx="286">
                  <c:v>42311</c:v>
                </c:pt>
                <c:pt idx="287">
                  <c:v>42312</c:v>
                </c:pt>
                <c:pt idx="288">
                  <c:v>42313</c:v>
                </c:pt>
                <c:pt idx="289">
                  <c:v>42314</c:v>
                </c:pt>
                <c:pt idx="290">
                  <c:v>42317</c:v>
                </c:pt>
                <c:pt idx="291">
                  <c:v>42318</c:v>
                </c:pt>
                <c:pt idx="292">
                  <c:v>42319</c:v>
                </c:pt>
                <c:pt idx="293">
                  <c:v>42320</c:v>
                </c:pt>
                <c:pt idx="294">
                  <c:v>42321</c:v>
                </c:pt>
                <c:pt idx="295">
                  <c:v>42324</c:v>
                </c:pt>
                <c:pt idx="296">
                  <c:v>42325</c:v>
                </c:pt>
                <c:pt idx="297">
                  <c:v>42326</c:v>
                </c:pt>
                <c:pt idx="298">
                  <c:v>42327</c:v>
                </c:pt>
                <c:pt idx="299">
                  <c:v>42328</c:v>
                </c:pt>
                <c:pt idx="300">
                  <c:v>42331</c:v>
                </c:pt>
                <c:pt idx="301">
                  <c:v>42332</c:v>
                </c:pt>
                <c:pt idx="302">
                  <c:v>42333</c:v>
                </c:pt>
                <c:pt idx="303">
                  <c:v>42334</c:v>
                </c:pt>
                <c:pt idx="304">
                  <c:v>42335</c:v>
                </c:pt>
                <c:pt idx="305">
                  <c:v>42338</c:v>
                </c:pt>
                <c:pt idx="306">
                  <c:v>42339</c:v>
                </c:pt>
                <c:pt idx="307">
                  <c:v>42340</c:v>
                </c:pt>
                <c:pt idx="308">
                  <c:v>42341</c:v>
                </c:pt>
                <c:pt idx="309">
                  <c:v>42342</c:v>
                </c:pt>
                <c:pt idx="310">
                  <c:v>42345</c:v>
                </c:pt>
                <c:pt idx="311">
                  <c:v>42346</c:v>
                </c:pt>
                <c:pt idx="312">
                  <c:v>42347</c:v>
                </c:pt>
                <c:pt idx="313">
                  <c:v>42348</c:v>
                </c:pt>
                <c:pt idx="314">
                  <c:v>42349</c:v>
                </c:pt>
                <c:pt idx="315">
                  <c:v>42352</c:v>
                </c:pt>
                <c:pt idx="316">
                  <c:v>42353</c:v>
                </c:pt>
                <c:pt idx="317">
                  <c:v>42354</c:v>
                </c:pt>
                <c:pt idx="318">
                  <c:v>42355</c:v>
                </c:pt>
                <c:pt idx="319">
                  <c:v>42356</c:v>
                </c:pt>
                <c:pt idx="320">
                  <c:v>42359</c:v>
                </c:pt>
                <c:pt idx="321">
                  <c:v>42360</c:v>
                </c:pt>
                <c:pt idx="322">
                  <c:v>42361</c:v>
                </c:pt>
                <c:pt idx="323">
                  <c:v>42362</c:v>
                </c:pt>
                <c:pt idx="324">
                  <c:v>42367</c:v>
                </c:pt>
                <c:pt idx="325">
                  <c:v>42368</c:v>
                </c:pt>
                <c:pt idx="326">
                  <c:v>42369</c:v>
                </c:pt>
                <c:pt idx="327">
                  <c:v>42373</c:v>
                </c:pt>
                <c:pt idx="328">
                  <c:v>42374</c:v>
                </c:pt>
                <c:pt idx="329">
                  <c:v>42375</c:v>
                </c:pt>
                <c:pt idx="330">
                  <c:v>42376</c:v>
                </c:pt>
                <c:pt idx="331">
                  <c:v>42377</c:v>
                </c:pt>
                <c:pt idx="332">
                  <c:v>42380</c:v>
                </c:pt>
                <c:pt idx="333">
                  <c:v>42381</c:v>
                </c:pt>
                <c:pt idx="334">
                  <c:v>42382</c:v>
                </c:pt>
                <c:pt idx="335">
                  <c:v>42383</c:v>
                </c:pt>
                <c:pt idx="336">
                  <c:v>42384</c:v>
                </c:pt>
                <c:pt idx="337">
                  <c:v>42387</c:v>
                </c:pt>
                <c:pt idx="338">
                  <c:v>42388</c:v>
                </c:pt>
                <c:pt idx="339">
                  <c:v>42389</c:v>
                </c:pt>
                <c:pt idx="340">
                  <c:v>42390</c:v>
                </c:pt>
                <c:pt idx="341">
                  <c:v>42391</c:v>
                </c:pt>
                <c:pt idx="342">
                  <c:v>42394</c:v>
                </c:pt>
                <c:pt idx="343">
                  <c:v>42396</c:v>
                </c:pt>
                <c:pt idx="344">
                  <c:v>42397</c:v>
                </c:pt>
                <c:pt idx="345">
                  <c:v>42398</c:v>
                </c:pt>
                <c:pt idx="346">
                  <c:v>42401</c:v>
                </c:pt>
                <c:pt idx="347">
                  <c:v>42402</c:v>
                </c:pt>
                <c:pt idx="348">
                  <c:v>42403</c:v>
                </c:pt>
                <c:pt idx="349">
                  <c:v>42404</c:v>
                </c:pt>
                <c:pt idx="350">
                  <c:v>42405</c:v>
                </c:pt>
                <c:pt idx="351">
                  <c:v>42408</c:v>
                </c:pt>
                <c:pt idx="352">
                  <c:v>42409</c:v>
                </c:pt>
                <c:pt idx="353">
                  <c:v>42410</c:v>
                </c:pt>
                <c:pt idx="354">
                  <c:v>42411</c:v>
                </c:pt>
                <c:pt idx="355">
                  <c:v>42412</c:v>
                </c:pt>
                <c:pt idx="356">
                  <c:v>42415</c:v>
                </c:pt>
                <c:pt idx="357">
                  <c:v>42416</c:v>
                </c:pt>
                <c:pt idx="358">
                  <c:v>42417</c:v>
                </c:pt>
                <c:pt idx="359">
                  <c:v>42418</c:v>
                </c:pt>
                <c:pt idx="360">
                  <c:v>42419</c:v>
                </c:pt>
                <c:pt idx="361">
                  <c:v>42422</c:v>
                </c:pt>
                <c:pt idx="362">
                  <c:v>42423</c:v>
                </c:pt>
                <c:pt idx="363">
                  <c:v>42424</c:v>
                </c:pt>
                <c:pt idx="364">
                  <c:v>42425</c:v>
                </c:pt>
                <c:pt idx="365">
                  <c:v>42426</c:v>
                </c:pt>
                <c:pt idx="366">
                  <c:v>42429</c:v>
                </c:pt>
                <c:pt idx="367">
                  <c:v>42430</c:v>
                </c:pt>
                <c:pt idx="368">
                  <c:v>42431</c:v>
                </c:pt>
                <c:pt idx="369">
                  <c:v>42432</c:v>
                </c:pt>
                <c:pt idx="370">
                  <c:v>42433</c:v>
                </c:pt>
                <c:pt idx="371">
                  <c:v>42436</c:v>
                </c:pt>
                <c:pt idx="372">
                  <c:v>42437</c:v>
                </c:pt>
                <c:pt idx="373">
                  <c:v>42438</c:v>
                </c:pt>
                <c:pt idx="374">
                  <c:v>42439</c:v>
                </c:pt>
                <c:pt idx="375">
                  <c:v>42440</c:v>
                </c:pt>
                <c:pt idx="376">
                  <c:v>42443</c:v>
                </c:pt>
                <c:pt idx="377">
                  <c:v>42444</c:v>
                </c:pt>
                <c:pt idx="378">
                  <c:v>42445</c:v>
                </c:pt>
                <c:pt idx="379">
                  <c:v>42446</c:v>
                </c:pt>
                <c:pt idx="380">
                  <c:v>42447</c:v>
                </c:pt>
                <c:pt idx="381">
                  <c:v>42450</c:v>
                </c:pt>
                <c:pt idx="382">
                  <c:v>42451</c:v>
                </c:pt>
                <c:pt idx="383">
                  <c:v>42452</c:v>
                </c:pt>
                <c:pt idx="384">
                  <c:v>42453</c:v>
                </c:pt>
                <c:pt idx="385">
                  <c:v>42458</c:v>
                </c:pt>
                <c:pt idx="386">
                  <c:v>42459</c:v>
                </c:pt>
                <c:pt idx="387">
                  <c:v>42460</c:v>
                </c:pt>
                <c:pt idx="388">
                  <c:v>42461</c:v>
                </c:pt>
                <c:pt idx="389">
                  <c:v>42464</c:v>
                </c:pt>
                <c:pt idx="390">
                  <c:v>42465</c:v>
                </c:pt>
                <c:pt idx="391">
                  <c:v>42466</c:v>
                </c:pt>
                <c:pt idx="392">
                  <c:v>42467</c:v>
                </c:pt>
                <c:pt idx="393">
                  <c:v>42468</c:v>
                </c:pt>
                <c:pt idx="394">
                  <c:v>42471</c:v>
                </c:pt>
                <c:pt idx="395">
                  <c:v>42472</c:v>
                </c:pt>
                <c:pt idx="396">
                  <c:v>42473</c:v>
                </c:pt>
                <c:pt idx="397">
                  <c:v>42474</c:v>
                </c:pt>
                <c:pt idx="398">
                  <c:v>42475</c:v>
                </c:pt>
                <c:pt idx="399">
                  <c:v>42478</c:v>
                </c:pt>
                <c:pt idx="400">
                  <c:v>42479</c:v>
                </c:pt>
                <c:pt idx="401">
                  <c:v>42480</c:v>
                </c:pt>
                <c:pt idx="402">
                  <c:v>42481</c:v>
                </c:pt>
                <c:pt idx="403">
                  <c:v>42482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43216</c:v>
                </c:pt>
                <c:pt idx="599">
                  <c:v>43223</c:v>
                </c:pt>
                <c:pt idx="600">
                  <c:v>43230</c:v>
                </c:pt>
                <c:pt idx="601">
                  <c:v>43237</c:v>
                </c:pt>
                <c:pt idx="602">
                  <c:v>43244</c:v>
                </c:pt>
                <c:pt idx="603">
                  <c:v>43251</c:v>
                </c:pt>
                <c:pt idx="604">
                  <c:v>43258</c:v>
                </c:pt>
                <c:pt idx="605">
                  <c:v>43265</c:v>
                </c:pt>
                <c:pt idx="606">
                  <c:v>43272</c:v>
                </c:pt>
                <c:pt idx="607">
                  <c:v>43279</c:v>
                </c:pt>
                <c:pt idx="608">
                  <c:v>43286</c:v>
                </c:pt>
                <c:pt idx="609">
                  <c:v>43293</c:v>
                </c:pt>
                <c:pt idx="610">
                  <c:v>43300</c:v>
                </c:pt>
                <c:pt idx="611">
                  <c:v>43307</c:v>
                </c:pt>
                <c:pt idx="612">
                  <c:v>43314</c:v>
                </c:pt>
                <c:pt idx="613">
                  <c:v>43321</c:v>
                </c:pt>
                <c:pt idx="614">
                  <c:v>43328</c:v>
                </c:pt>
                <c:pt idx="615">
                  <c:v>43335</c:v>
                </c:pt>
                <c:pt idx="616">
                  <c:v>43342</c:v>
                </c:pt>
                <c:pt idx="617">
                  <c:v>43349</c:v>
                </c:pt>
                <c:pt idx="618">
                  <c:v>43356</c:v>
                </c:pt>
                <c:pt idx="619">
                  <c:v>43363</c:v>
                </c:pt>
                <c:pt idx="620">
                  <c:v>43370</c:v>
                </c:pt>
                <c:pt idx="621">
                  <c:v>43377</c:v>
                </c:pt>
                <c:pt idx="622">
                  <c:v>43384</c:v>
                </c:pt>
                <c:pt idx="623">
                  <c:v>43391</c:v>
                </c:pt>
                <c:pt idx="624">
                  <c:v>43398</c:v>
                </c:pt>
                <c:pt idx="625">
                  <c:v>43405</c:v>
                </c:pt>
                <c:pt idx="626">
                  <c:v>43412</c:v>
                </c:pt>
                <c:pt idx="627">
                  <c:v>43419</c:v>
                </c:pt>
                <c:pt idx="628">
                  <c:v>43426</c:v>
                </c:pt>
                <c:pt idx="629">
                  <c:v>43433</c:v>
                </c:pt>
                <c:pt idx="630">
                  <c:v>43440</c:v>
                </c:pt>
                <c:pt idx="631">
                  <c:v>43447</c:v>
                </c:pt>
                <c:pt idx="632">
                  <c:v>43454</c:v>
                </c:pt>
                <c:pt idx="633">
                  <c:v>43461</c:v>
                </c:pt>
                <c:pt idx="634">
                  <c:v>43468</c:v>
                </c:pt>
                <c:pt idx="635">
                  <c:v>43475</c:v>
                </c:pt>
                <c:pt idx="636">
                  <c:v>43482</c:v>
                </c:pt>
                <c:pt idx="637">
                  <c:v>43489</c:v>
                </c:pt>
                <c:pt idx="638">
                  <c:v>43496</c:v>
                </c:pt>
                <c:pt idx="639">
                  <c:v>43503</c:v>
                </c:pt>
                <c:pt idx="640">
                  <c:v>43510</c:v>
                </c:pt>
                <c:pt idx="641">
                  <c:v>43517</c:v>
                </c:pt>
                <c:pt idx="642">
                  <c:v>43524</c:v>
                </c:pt>
                <c:pt idx="643">
                  <c:v>43531</c:v>
                </c:pt>
                <c:pt idx="644">
                  <c:v>43538</c:v>
                </c:pt>
                <c:pt idx="645">
                  <c:v>43545</c:v>
                </c:pt>
                <c:pt idx="646">
                  <c:v>43552</c:v>
                </c:pt>
                <c:pt idx="647">
                  <c:v>43559</c:v>
                </c:pt>
                <c:pt idx="648">
                  <c:v>43566</c:v>
                </c:pt>
                <c:pt idx="649">
                  <c:v>43573</c:v>
                </c:pt>
                <c:pt idx="650">
                  <c:v>43581</c:v>
                </c:pt>
                <c:pt idx="651">
                  <c:v>43588</c:v>
                </c:pt>
                <c:pt idx="652">
                  <c:v>43595</c:v>
                </c:pt>
                <c:pt idx="653">
                  <c:v>43602</c:v>
                </c:pt>
                <c:pt idx="654">
                  <c:v>43609</c:v>
                </c:pt>
                <c:pt idx="655">
                  <c:v>43616</c:v>
                </c:pt>
                <c:pt idx="656">
                  <c:v>43623</c:v>
                </c:pt>
                <c:pt idx="657">
                  <c:v>43630</c:v>
                </c:pt>
                <c:pt idx="658">
                  <c:v>43637</c:v>
                </c:pt>
                <c:pt idx="659">
                  <c:v>43644</c:v>
                </c:pt>
                <c:pt idx="660">
                  <c:v>43651</c:v>
                </c:pt>
                <c:pt idx="661">
                  <c:v>43658</c:v>
                </c:pt>
                <c:pt idx="662">
                  <c:v>43665</c:v>
                </c:pt>
                <c:pt idx="663">
                  <c:v>43672</c:v>
                </c:pt>
                <c:pt idx="664">
                  <c:v>43679</c:v>
                </c:pt>
                <c:pt idx="665">
                  <c:v>43686</c:v>
                </c:pt>
                <c:pt idx="666">
                  <c:v>43693</c:v>
                </c:pt>
                <c:pt idx="667">
                  <c:v>43700</c:v>
                </c:pt>
                <c:pt idx="668">
                  <c:v>43707</c:v>
                </c:pt>
                <c:pt idx="669">
                  <c:v>43714</c:v>
                </c:pt>
                <c:pt idx="670">
                  <c:v>43721</c:v>
                </c:pt>
                <c:pt idx="671">
                  <c:v>43728</c:v>
                </c:pt>
                <c:pt idx="672">
                  <c:v>43735</c:v>
                </c:pt>
                <c:pt idx="673">
                  <c:v>43742</c:v>
                </c:pt>
                <c:pt idx="674">
                  <c:v>43749</c:v>
                </c:pt>
                <c:pt idx="675">
                  <c:v>43756</c:v>
                </c:pt>
                <c:pt idx="676">
                  <c:v>43763</c:v>
                </c:pt>
                <c:pt idx="677">
                  <c:v>43770</c:v>
                </c:pt>
                <c:pt idx="678">
                  <c:v>43777</c:v>
                </c:pt>
                <c:pt idx="679">
                  <c:v>43784</c:v>
                </c:pt>
                <c:pt idx="680">
                  <c:v>43791</c:v>
                </c:pt>
                <c:pt idx="681">
                  <c:v>43798</c:v>
                </c:pt>
                <c:pt idx="682">
                  <c:v>43805</c:v>
                </c:pt>
                <c:pt idx="683">
                  <c:v>43812</c:v>
                </c:pt>
                <c:pt idx="684">
                  <c:v>43819</c:v>
                </c:pt>
                <c:pt idx="685">
                  <c:v>43826</c:v>
                </c:pt>
                <c:pt idx="686">
                  <c:v>43833</c:v>
                </c:pt>
                <c:pt idx="687">
                  <c:v>43840</c:v>
                </c:pt>
                <c:pt idx="688">
                  <c:v>43847</c:v>
                </c:pt>
                <c:pt idx="689">
                  <c:v>43854</c:v>
                </c:pt>
                <c:pt idx="690">
                  <c:v>43861</c:v>
                </c:pt>
                <c:pt idx="691">
                  <c:v>43868</c:v>
                </c:pt>
                <c:pt idx="692">
                  <c:v>43875</c:v>
                </c:pt>
                <c:pt idx="693">
                  <c:v>43882</c:v>
                </c:pt>
                <c:pt idx="694">
                  <c:v>43889</c:v>
                </c:pt>
                <c:pt idx="695">
                  <c:v>43896</c:v>
                </c:pt>
                <c:pt idx="696">
                  <c:v>43903</c:v>
                </c:pt>
                <c:pt idx="697">
                  <c:v>43910</c:v>
                </c:pt>
                <c:pt idx="698">
                  <c:v>43917</c:v>
                </c:pt>
                <c:pt idx="699">
                  <c:v>43924</c:v>
                </c:pt>
                <c:pt idx="700">
                  <c:v>43935</c:v>
                </c:pt>
                <c:pt idx="701">
                  <c:v>43942</c:v>
                </c:pt>
                <c:pt idx="702">
                  <c:v>43949</c:v>
                </c:pt>
                <c:pt idx="703">
                  <c:v>43956</c:v>
                </c:pt>
                <c:pt idx="704">
                  <c:v>43963</c:v>
                </c:pt>
                <c:pt idx="705">
                  <c:v>43970</c:v>
                </c:pt>
                <c:pt idx="706">
                  <c:v>43977</c:v>
                </c:pt>
                <c:pt idx="707">
                  <c:v>43984</c:v>
                </c:pt>
                <c:pt idx="708">
                  <c:v>43991</c:v>
                </c:pt>
                <c:pt idx="709">
                  <c:v>43998</c:v>
                </c:pt>
                <c:pt idx="710">
                  <c:v>44005</c:v>
                </c:pt>
                <c:pt idx="711">
                  <c:v>44012</c:v>
                </c:pt>
                <c:pt idx="712">
                  <c:v>44019</c:v>
                </c:pt>
                <c:pt idx="713">
                  <c:v>44026</c:v>
                </c:pt>
                <c:pt idx="714">
                  <c:v>44033</c:v>
                </c:pt>
                <c:pt idx="715">
                  <c:v>44040</c:v>
                </c:pt>
                <c:pt idx="716">
                  <c:v>44047</c:v>
                </c:pt>
                <c:pt idx="717">
                  <c:v>44054</c:v>
                </c:pt>
                <c:pt idx="718">
                  <c:v>44061</c:v>
                </c:pt>
                <c:pt idx="719">
                  <c:v>44068</c:v>
                </c:pt>
                <c:pt idx="720">
                  <c:v>44075</c:v>
                </c:pt>
                <c:pt idx="721">
                  <c:v>44082</c:v>
                </c:pt>
                <c:pt idx="722">
                  <c:v>44089</c:v>
                </c:pt>
                <c:pt idx="723">
                  <c:v>44096</c:v>
                </c:pt>
                <c:pt idx="724">
                  <c:v>44103</c:v>
                </c:pt>
                <c:pt idx="725">
                  <c:v>44110</c:v>
                </c:pt>
                <c:pt idx="726">
                  <c:v>44117</c:v>
                </c:pt>
                <c:pt idx="727">
                  <c:v>44124</c:v>
                </c:pt>
                <c:pt idx="728">
                  <c:v>44131</c:v>
                </c:pt>
                <c:pt idx="729">
                  <c:v>44138</c:v>
                </c:pt>
                <c:pt idx="730">
                  <c:v>44145</c:v>
                </c:pt>
                <c:pt idx="731">
                  <c:v>44152</c:v>
                </c:pt>
                <c:pt idx="732">
                  <c:v>44159</c:v>
                </c:pt>
                <c:pt idx="733">
                  <c:v>44166</c:v>
                </c:pt>
                <c:pt idx="734">
                  <c:v>44173</c:v>
                </c:pt>
                <c:pt idx="735">
                  <c:v>44180</c:v>
                </c:pt>
                <c:pt idx="736">
                  <c:v>44187</c:v>
                </c:pt>
                <c:pt idx="737">
                  <c:v>44194</c:v>
                </c:pt>
                <c:pt idx="738">
                  <c:v>44201</c:v>
                </c:pt>
                <c:pt idx="739">
                  <c:v>44208</c:v>
                </c:pt>
                <c:pt idx="740">
                  <c:v>44215</c:v>
                </c:pt>
                <c:pt idx="741">
                  <c:v>44223</c:v>
                </c:pt>
                <c:pt idx="742">
                  <c:v>44230</c:v>
                </c:pt>
                <c:pt idx="743">
                  <c:v>44237</c:v>
                </c:pt>
                <c:pt idx="744">
                  <c:v>44244</c:v>
                </c:pt>
                <c:pt idx="745">
                  <c:v>44251</c:v>
                </c:pt>
                <c:pt idx="746">
                  <c:v>44258</c:v>
                </c:pt>
                <c:pt idx="747">
                  <c:v>44265</c:v>
                </c:pt>
                <c:pt idx="748">
                  <c:v>44272</c:v>
                </c:pt>
                <c:pt idx="749">
                  <c:v>44279</c:v>
                </c:pt>
                <c:pt idx="750">
                  <c:v>44286</c:v>
                </c:pt>
                <c:pt idx="751">
                  <c:v>44293</c:v>
                </c:pt>
                <c:pt idx="752">
                  <c:v>44300</c:v>
                </c:pt>
                <c:pt idx="753">
                  <c:v>44307</c:v>
                </c:pt>
                <c:pt idx="754">
                  <c:v>44314</c:v>
                </c:pt>
                <c:pt idx="755">
                  <c:v>44321</c:v>
                </c:pt>
                <c:pt idx="756">
                  <c:v>44328</c:v>
                </c:pt>
                <c:pt idx="757">
                  <c:v>44335</c:v>
                </c:pt>
                <c:pt idx="758">
                  <c:v>44342</c:v>
                </c:pt>
                <c:pt idx="759">
                  <c:v>44349</c:v>
                </c:pt>
                <c:pt idx="760">
                  <c:v>44356</c:v>
                </c:pt>
                <c:pt idx="761">
                  <c:v>44363</c:v>
                </c:pt>
                <c:pt idx="762">
                  <c:v>44370</c:v>
                </c:pt>
                <c:pt idx="763">
                  <c:v>44377</c:v>
                </c:pt>
                <c:pt idx="764">
                  <c:v>44384</c:v>
                </c:pt>
                <c:pt idx="765">
                  <c:v>44391</c:v>
                </c:pt>
                <c:pt idx="766">
                  <c:v>44398</c:v>
                </c:pt>
                <c:pt idx="767">
                  <c:v>44405</c:v>
                </c:pt>
                <c:pt idx="768">
                  <c:v>44412</c:v>
                </c:pt>
                <c:pt idx="769">
                  <c:v>44419</c:v>
                </c:pt>
                <c:pt idx="770">
                  <c:v>44426</c:v>
                </c:pt>
                <c:pt idx="771">
                  <c:v>44433</c:v>
                </c:pt>
                <c:pt idx="772">
                  <c:v>44440</c:v>
                </c:pt>
                <c:pt idx="773">
                  <c:v>44447</c:v>
                </c:pt>
                <c:pt idx="774">
                  <c:v>44454</c:v>
                </c:pt>
                <c:pt idx="775">
                  <c:v>44461</c:v>
                </c:pt>
                <c:pt idx="776">
                  <c:v>44468</c:v>
                </c:pt>
                <c:pt idx="777">
                  <c:v>44475</c:v>
                </c:pt>
                <c:pt idx="778">
                  <c:v>44482</c:v>
                </c:pt>
                <c:pt idx="779">
                  <c:v>44489</c:v>
                </c:pt>
                <c:pt idx="780">
                  <c:v>44496</c:v>
                </c:pt>
                <c:pt idx="781">
                  <c:v>44503</c:v>
                </c:pt>
                <c:pt idx="782">
                  <c:v>44510</c:v>
                </c:pt>
                <c:pt idx="783">
                  <c:v>44517</c:v>
                </c:pt>
                <c:pt idx="784">
                  <c:v>44524</c:v>
                </c:pt>
                <c:pt idx="785">
                  <c:v>44531</c:v>
                </c:pt>
                <c:pt idx="786">
                  <c:v>44538</c:v>
                </c:pt>
                <c:pt idx="787">
                  <c:v>44545</c:v>
                </c:pt>
                <c:pt idx="788">
                  <c:v>44552</c:v>
                </c:pt>
                <c:pt idx="789">
                  <c:v>44559</c:v>
                </c:pt>
                <c:pt idx="790">
                  <c:v>44566</c:v>
                </c:pt>
                <c:pt idx="791">
                  <c:v>44573</c:v>
                </c:pt>
                <c:pt idx="792">
                  <c:v>44580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44953</c:v>
                </c:pt>
                <c:pt idx="846">
                  <c:v>44960</c:v>
                </c:pt>
                <c:pt idx="847">
                  <c:v>44967</c:v>
                </c:pt>
                <c:pt idx="848">
                  <c:v>44974</c:v>
                </c:pt>
                <c:pt idx="849">
                  <c:v>44981</c:v>
                </c:pt>
                <c:pt idx="850">
                  <c:v>44988</c:v>
                </c:pt>
                <c:pt idx="851">
                  <c:v>44995</c:v>
                </c:pt>
                <c:pt idx="852">
                  <c:v>45002</c:v>
                </c:pt>
                <c:pt idx="853">
                  <c:v>45009</c:v>
                </c:pt>
                <c:pt idx="854">
                  <c:v>45016</c:v>
                </c:pt>
                <c:pt idx="855">
                  <c:v>45027</c:v>
                </c:pt>
                <c:pt idx="856">
                  <c:v>45034</c:v>
                </c:pt>
                <c:pt idx="857">
                  <c:v>45042</c:v>
                </c:pt>
                <c:pt idx="858">
                  <c:v>45049</c:v>
                </c:pt>
                <c:pt idx="859">
                  <c:v>45056</c:v>
                </c:pt>
                <c:pt idx="860">
                  <c:v>45063</c:v>
                </c:pt>
                <c:pt idx="861">
                  <c:v>45070</c:v>
                </c:pt>
                <c:pt idx="862">
                  <c:v>45077</c:v>
                </c:pt>
                <c:pt idx="863">
                  <c:v>45084</c:v>
                </c:pt>
                <c:pt idx="864">
                  <c:v>45091</c:v>
                </c:pt>
                <c:pt idx="865">
                  <c:v>45098</c:v>
                </c:pt>
                <c:pt idx="866">
                  <c:v>45105</c:v>
                </c:pt>
                <c:pt idx="867">
                  <c:v>45112</c:v>
                </c:pt>
                <c:pt idx="868">
                  <c:v>45119</c:v>
                </c:pt>
                <c:pt idx="869">
                  <c:v>45126</c:v>
                </c:pt>
                <c:pt idx="870">
                  <c:v>45133</c:v>
                </c:pt>
                <c:pt idx="871">
                  <c:v>45140</c:v>
                </c:pt>
                <c:pt idx="872">
                  <c:v>45147</c:v>
                </c:pt>
                <c:pt idx="873">
                  <c:v>45154</c:v>
                </c:pt>
                <c:pt idx="874">
                  <c:v>45161</c:v>
                </c:pt>
                <c:pt idx="875">
                  <c:v>45168</c:v>
                </c:pt>
                <c:pt idx="876">
                  <c:v>45175</c:v>
                </c:pt>
                <c:pt idx="877">
                  <c:v>45182</c:v>
                </c:pt>
                <c:pt idx="878">
                  <c:v>45189</c:v>
                </c:pt>
                <c:pt idx="879">
                  <c:v>45196</c:v>
                </c:pt>
                <c:pt idx="880">
                  <c:v>45203</c:v>
                </c:pt>
                <c:pt idx="881">
                  <c:v>45210</c:v>
                </c:pt>
                <c:pt idx="882">
                  <c:v>45217</c:v>
                </c:pt>
                <c:pt idx="883">
                  <c:v>45224</c:v>
                </c:pt>
                <c:pt idx="884">
                  <c:v>45231</c:v>
                </c:pt>
                <c:pt idx="885">
                  <c:v>45238</c:v>
                </c:pt>
                <c:pt idx="886">
                  <c:v>45245</c:v>
                </c:pt>
                <c:pt idx="887">
                  <c:v>45252</c:v>
                </c:pt>
                <c:pt idx="888">
                  <c:v>45259</c:v>
                </c:pt>
                <c:pt idx="889">
                  <c:v>45266</c:v>
                </c:pt>
                <c:pt idx="890">
                  <c:v>45273</c:v>
                </c:pt>
                <c:pt idx="891">
                  <c:v>45280</c:v>
                </c:pt>
                <c:pt idx="892">
                  <c:v>45287</c:v>
                </c:pt>
                <c:pt idx="893">
                  <c:v>45294</c:v>
                </c:pt>
                <c:pt idx="894">
                  <c:v>45301</c:v>
                </c:pt>
                <c:pt idx="895">
                  <c:v>45308</c:v>
                </c:pt>
                <c:pt idx="896">
                  <c:v>45315</c:v>
                </c:pt>
                <c:pt idx="897">
                  <c:v>45322</c:v>
                </c:pt>
                <c:pt idx="898">
                  <c:v>45329</c:v>
                </c:pt>
                <c:pt idx="899">
                  <c:v>45336</c:v>
                </c:pt>
                <c:pt idx="900">
                  <c:v>45343</c:v>
                </c:pt>
                <c:pt idx="901">
                  <c:v>45350</c:v>
                </c:pt>
                <c:pt idx="902">
                  <c:v>45357</c:v>
                </c:pt>
                <c:pt idx="903">
                  <c:v>45364</c:v>
                </c:pt>
                <c:pt idx="904">
                  <c:v>45371</c:v>
                </c:pt>
                <c:pt idx="905">
                  <c:v>45378</c:v>
                </c:pt>
                <c:pt idx="906">
                  <c:v>45385</c:v>
                </c:pt>
                <c:pt idx="907">
                  <c:v>45392</c:v>
                </c:pt>
                <c:pt idx="908">
                  <c:v>45399</c:v>
                </c:pt>
                <c:pt idx="909">
                  <c:v>45406</c:v>
                </c:pt>
                <c:pt idx="910">
                  <c:v>45413</c:v>
                </c:pt>
                <c:pt idx="911">
                  <c:v>45420</c:v>
                </c:pt>
                <c:pt idx="912">
                  <c:v>45427</c:v>
                </c:pt>
                <c:pt idx="913">
                  <c:v>45434</c:v>
                </c:pt>
                <c:pt idx="914">
                  <c:v>45441</c:v>
                </c:pt>
                <c:pt idx="915">
                  <c:v>45448</c:v>
                </c:pt>
                <c:pt idx="916">
                  <c:v>45455</c:v>
                </c:pt>
                <c:pt idx="917">
                  <c:v>45462</c:v>
                </c:pt>
                <c:pt idx="918">
                  <c:v>45469</c:v>
                </c:pt>
                <c:pt idx="919">
                  <c:v>45476</c:v>
                </c:pt>
                <c:pt idx="920">
                  <c:v>45483</c:v>
                </c:pt>
                <c:pt idx="921">
                  <c:v>45490</c:v>
                </c:pt>
                <c:pt idx="922">
                  <c:v>45497</c:v>
                </c:pt>
                <c:pt idx="923">
                  <c:v>45504</c:v>
                </c:pt>
                <c:pt idx="924">
                  <c:v>45511</c:v>
                </c:pt>
                <c:pt idx="925">
                  <c:v>45518</c:v>
                </c:pt>
                <c:pt idx="926">
                  <c:v>45525</c:v>
                </c:pt>
                <c:pt idx="927">
                  <c:v>45532</c:v>
                </c:pt>
                <c:pt idx="928">
                  <c:v>45539</c:v>
                </c:pt>
                <c:pt idx="929">
                  <c:v>45546</c:v>
                </c:pt>
                <c:pt idx="930">
                  <c:v>45553</c:v>
                </c:pt>
                <c:pt idx="931">
                  <c:v>45560</c:v>
                </c:pt>
                <c:pt idx="932">
                  <c:v>45567</c:v>
                </c:pt>
                <c:pt idx="933">
                  <c:v>45574</c:v>
                </c:pt>
                <c:pt idx="934">
                  <c:v>45581</c:v>
                </c:pt>
                <c:pt idx="935">
                  <c:v>45588</c:v>
                </c:pt>
                <c:pt idx="936">
                  <c:v>45595</c:v>
                </c:pt>
                <c:pt idx="937">
                  <c:v>45602</c:v>
                </c:pt>
                <c:pt idx="938">
                  <c:v>45609</c:v>
                </c:pt>
                <c:pt idx="939">
                  <c:v>45616</c:v>
                </c:pt>
                <c:pt idx="940">
                  <c:v>45623</c:v>
                </c:pt>
                <c:pt idx="941">
                  <c:v>45630</c:v>
                </c:pt>
                <c:pt idx="942">
                  <c:v>45637</c:v>
                </c:pt>
                <c:pt idx="943">
                  <c:v>45644</c:v>
                </c:pt>
                <c:pt idx="944">
                  <c:v>45653</c:v>
                </c:pt>
                <c:pt idx="945">
                  <c:v>45660</c:v>
                </c:pt>
                <c:pt idx="946">
                  <c:v>45667</c:v>
                </c:pt>
                <c:pt idx="947">
                  <c:v>45674</c:v>
                </c:pt>
                <c:pt idx="948">
                  <c:v>45681</c:v>
                </c:pt>
                <c:pt idx="949">
                  <c:v>45688</c:v>
                </c:pt>
                <c:pt idx="950">
                  <c:v>45695</c:v>
                </c:pt>
                <c:pt idx="951">
                  <c:v>45702</c:v>
                </c:pt>
                <c:pt idx="952">
                  <c:v>45709</c:v>
                </c:pt>
                <c:pt idx="953">
                  <c:v>45716</c:v>
                </c:pt>
                <c:pt idx="954">
                  <c:v>45723</c:v>
                </c:pt>
                <c:pt idx="955">
                  <c:v>45730</c:v>
                </c:pt>
                <c:pt idx="956">
                  <c:v>45737</c:v>
                </c:pt>
                <c:pt idx="957">
                  <c:v>45744</c:v>
                </c:pt>
                <c:pt idx="958">
                  <c:v>45751</c:v>
                </c:pt>
                <c:pt idx="959">
                  <c:v>45758</c:v>
                </c:pt>
                <c:pt idx="960">
                  <c:v>45769</c:v>
                </c:pt>
                <c:pt idx="961">
                  <c:v>45776</c:v>
                </c:pt>
                <c:pt idx="962">
                  <c:v>45783</c:v>
                </c:pt>
                <c:pt idx="963">
                  <c:v>45790</c:v>
                </c:pt>
                <c:pt idx="964">
                  <c:v>45797</c:v>
                </c:pt>
                <c:pt idx="965">
                  <c:v>45804</c:v>
                </c:pt>
                <c:pt idx="966">
                  <c:v>45811</c:v>
                </c:pt>
                <c:pt idx="967">
                  <c:v>45818</c:v>
                </c:pt>
                <c:pt idx="968">
                  <c:v>45825</c:v>
                </c:pt>
                <c:pt idx="969">
                  <c:v>45832</c:v>
                </c:pt>
                <c:pt idx="970">
                  <c:v>45839</c:v>
                </c:pt>
                <c:pt idx="971">
                  <c:v>45846</c:v>
                </c:pt>
                <c:pt idx="972">
                  <c:v>45853</c:v>
                </c:pt>
                <c:pt idx="973">
                  <c:v>45860</c:v>
                </c:pt>
                <c:pt idx="974">
                  <c:v>45867</c:v>
                </c:pt>
                <c:pt idx="975">
                  <c:v>45874</c:v>
                </c:pt>
                <c:pt idx="976">
                  <c:v>45881</c:v>
                </c:pt>
                <c:pt idx="977">
                  <c:v>45888</c:v>
                </c:pt>
                <c:pt idx="978">
                  <c:v>45895</c:v>
                </c:pt>
                <c:pt idx="979">
                  <c:v>45902</c:v>
                </c:pt>
                <c:pt idx="980">
                  <c:v>45909</c:v>
                </c:pt>
                <c:pt idx="981">
                  <c:v>45916</c:v>
                </c:pt>
                <c:pt idx="982">
                  <c:v>45923</c:v>
                </c:pt>
                <c:pt idx="983">
                  <c:v>45930</c:v>
                </c:pt>
                <c:pt idx="984">
                  <c:v>45937</c:v>
                </c:pt>
                <c:pt idx="985">
                  <c:v>45944</c:v>
                </c:pt>
                <c:pt idx="986">
                  <c:v>45951</c:v>
                </c:pt>
                <c:pt idx="987">
                  <c:v>45958</c:v>
                </c:pt>
                <c:pt idx="988">
                  <c:v>45965</c:v>
                </c:pt>
                <c:pt idx="989">
                  <c:v>45972</c:v>
                </c:pt>
                <c:pt idx="990">
                  <c:v>45979</c:v>
                </c:pt>
                <c:pt idx="991">
                  <c:v>45986</c:v>
                </c:pt>
                <c:pt idx="992">
                  <c:v>45993</c:v>
                </c:pt>
                <c:pt idx="993">
                  <c:v>46000</c:v>
                </c:pt>
                <c:pt idx="994">
                  <c:v>46007</c:v>
                </c:pt>
                <c:pt idx="995">
                  <c:v>46014</c:v>
                </c:pt>
                <c:pt idx="996">
                  <c:v>46021</c:v>
                </c:pt>
                <c:pt idx="997">
                  <c:v>46028</c:v>
                </c:pt>
                <c:pt idx="998">
                  <c:v>46035</c:v>
                </c:pt>
                <c:pt idx="999">
                  <c:v>46042</c:v>
                </c:pt>
                <c:pt idx="1000">
                  <c:v>46049</c:v>
                </c:pt>
                <c:pt idx="1001">
                  <c:v>46056</c:v>
                </c:pt>
                <c:pt idx="1002">
                  <c:v>46063</c:v>
                </c:pt>
                <c:pt idx="1003">
                  <c:v>46070</c:v>
                </c:pt>
                <c:pt idx="1004">
                  <c:v>46077</c:v>
                </c:pt>
                <c:pt idx="1005">
                  <c:v>46084</c:v>
                </c:pt>
                <c:pt idx="1006">
                  <c:v>46091</c:v>
                </c:pt>
                <c:pt idx="1007">
                  <c:v>46098</c:v>
                </c:pt>
                <c:pt idx="1008">
                  <c:v>46105</c:v>
                </c:pt>
                <c:pt idx="1009">
                  <c:v>46112</c:v>
                </c:pt>
                <c:pt idx="1010">
                  <c:v>46119</c:v>
                </c:pt>
                <c:pt idx="1011">
                  <c:v>46126</c:v>
                </c:pt>
                <c:pt idx="1012">
                  <c:v>46133</c:v>
                </c:pt>
                <c:pt idx="1013">
                  <c:v>46140</c:v>
                </c:pt>
                <c:pt idx="1014">
                  <c:v>46147</c:v>
                </c:pt>
                <c:pt idx="1015">
                  <c:v>46154</c:v>
                </c:pt>
                <c:pt idx="1016">
                  <c:v>46161</c:v>
                </c:pt>
                <c:pt idx="1017">
                  <c:v>46168</c:v>
                </c:pt>
                <c:pt idx="1018">
                  <c:v>46175</c:v>
                </c:pt>
                <c:pt idx="1019">
                  <c:v>46182</c:v>
                </c:pt>
                <c:pt idx="1020">
                  <c:v>46189</c:v>
                </c:pt>
                <c:pt idx="1021">
                  <c:v>46196</c:v>
                </c:pt>
                <c:pt idx="1022">
                  <c:v>46203</c:v>
                </c:pt>
                <c:pt idx="1023">
                  <c:v>46210</c:v>
                </c:pt>
                <c:pt idx="1024">
                  <c:v>46217</c:v>
                </c:pt>
                <c:pt idx="1025">
                  <c:v>46224</c:v>
                </c:pt>
                <c:pt idx="1026">
                  <c:v>46231</c:v>
                </c:pt>
                <c:pt idx="1027">
                  <c:v>46238</c:v>
                </c:pt>
                <c:pt idx="1028">
                  <c:v>46245</c:v>
                </c:pt>
                <c:pt idx="1029">
                  <c:v>46252</c:v>
                </c:pt>
                <c:pt idx="1030">
                  <c:v>46259</c:v>
                </c:pt>
                <c:pt idx="1031">
                  <c:v>46266</c:v>
                </c:pt>
                <c:pt idx="1032">
                  <c:v>46273</c:v>
                </c:pt>
                <c:pt idx="1033">
                  <c:v>46280</c:v>
                </c:pt>
                <c:pt idx="1034">
                  <c:v>46287</c:v>
                </c:pt>
                <c:pt idx="1035">
                  <c:v>46294</c:v>
                </c:pt>
                <c:pt idx="1036">
                  <c:v>46301</c:v>
                </c:pt>
                <c:pt idx="1037">
                  <c:v>46308</c:v>
                </c:pt>
                <c:pt idx="1038">
                  <c:v>46315</c:v>
                </c:pt>
                <c:pt idx="1039">
                  <c:v>46322</c:v>
                </c:pt>
                <c:pt idx="1040">
                  <c:v>46329</c:v>
                </c:pt>
                <c:pt idx="1041">
                  <c:v>46336</c:v>
                </c:pt>
                <c:pt idx="1042">
                  <c:v>46343</c:v>
                </c:pt>
                <c:pt idx="1043">
                  <c:v>46350</c:v>
                </c:pt>
                <c:pt idx="1044">
                  <c:v>46357</c:v>
                </c:pt>
                <c:pt idx="1045">
                  <c:v>46364</c:v>
                </c:pt>
                <c:pt idx="1046">
                  <c:v>46371</c:v>
                </c:pt>
                <c:pt idx="1047">
                  <c:v>46378</c:v>
                </c:pt>
                <c:pt idx="1048">
                  <c:v>46385</c:v>
                </c:pt>
                <c:pt idx="1049">
                  <c:v>46392</c:v>
                </c:pt>
                <c:pt idx="1050">
                  <c:v>46399</c:v>
                </c:pt>
                <c:pt idx="1051">
                  <c:v>46406</c:v>
                </c:pt>
                <c:pt idx="1052">
                  <c:v>46414</c:v>
                </c:pt>
                <c:pt idx="1053">
                  <c:v>46421</c:v>
                </c:pt>
                <c:pt idx="1054">
                  <c:v>46428</c:v>
                </c:pt>
                <c:pt idx="1055">
                  <c:v>46435</c:v>
                </c:pt>
                <c:pt idx="1056">
                  <c:v>46442</c:v>
                </c:pt>
                <c:pt idx="1057">
                  <c:v>46449</c:v>
                </c:pt>
                <c:pt idx="1058">
                  <c:v>46456</c:v>
                </c:pt>
                <c:pt idx="1059">
                  <c:v>46463</c:v>
                </c:pt>
                <c:pt idx="1060">
                  <c:v>46470</c:v>
                </c:pt>
                <c:pt idx="1061">
                  <c:v>46477</c:v>
                </c:pt>
                <c:pt idx="1062">
                  <c:v>46484</c:v>
                </c:pt>
                <c:pt idx="1063">
                  <c:v>46491</c:v>
                </c:pt>
                <c:pt idx="1064">
                  <c:v>46498</c:v>
                </c:pt>
                <c:pt idx="1065">
                  <c:v>46505</c:v>
                </c:pt>
                <c:pt idx="1066">
                  <c:v>46512</c:v>
                </c:pt>
                <c:pt idx="1067">
                  <c:v>46519</c:v>
                </c:pt>
                <c:pt idx="1068">
                  <c:v>46526</c:v>
                </c:pt>
                <c:pt idx="1069">
                  <c:v>46533</c:v>
                </c:pt>
                <c:pt idx="1070">
                  <c:v>46540</c:v>
                </c:pt>
                <c:pt idx="1071">
                  <c:v>46547</c:v>
                </c:pt>
                <c:pt idx="1072">
                  <c:v>46554</c:v>
                </c:pt>
                <c:pt idx="1073">
                  <c:v>46561</c:v>
                </c:pt>
                <c:pt idx="1074">
                  <c:v>46568</c:v>
                </c:pt>
                <c:pt idx="1075">
                  <c:v>46575</c:v>
                </c:pt>
                <c:pt idx="1076">
                  <c:v>46582</c:v>
                </c:pt>
                <c:pt idx="1077">
                  <c:v>46589</c:v>
                </c:pt>
                <c:pt idx="1078">
                  <c:v>46596</c:v>
                </c:pt>
                <c:pt idx="1079">
                  <c:v>46603</c:v>
                </c:pt>
                <c:pt idx="1080">
                  <c:v>46610</c:v>
                </c:pt>
                <c:pt idx="1081">
                  <c:v>46617</c:v>
                </c:pt>
                <c:pt idx="1082">
                  <c:v>46624</c:v>
                </c:pt>
                <c:pt idx="1083">
                  <c:v>46631</c:v>
                </c:pt>
                <c:pt idx="1084">
                  <c:v>46638</c:v>
                </c:pt>
                <c:pt idx="1085">
                  <c:v>46645</c:v>
                </c:pt>
                <c:pt idx="1086">
                  <c:v>46652</c:v>
                </c:pt>
                <c:pt idx="1087">
                  <c:v>46659</c:v>
                </c:pt>
                <c:pt idx="1088">
                  <c:v>46666</c:v>
                </c:pt>
                <c:pt idx="1089">
                  <c:v>46673</c:v>
                </c:pt>
                <c:pt idx="1090">
                  <c:v>46680</c:v>
                </c:pt>
                <c:pt idx="1091">
                  <c:v>46687</c:v>
                </c:pt>
                <c:pt idx="1092">
                  <c:v>46694</c:v>
                </c:pt>
                <c:pt idx="1093">
                  <c:v>46701</c:v>
                </c:pt>
                <c:pt idx="1094">
                  <c:v>46708</c:v>
                </c:pt>
                <c:pt idx="1095">
                  <c:v>46715</c:v>
                </c:pt>
                <c:pt idx="1096">
                  <c:v>46722</c:v>
                </c:pt>
                <c:pt idx="1097">
                  <c:v>46729</c:v>
                </c:pt>
                <c:pt idx="1098">
                  <c:v>46736</c:v>
                </c:pt>
                <c:pt idx="1099">
                  <c:v>46743</c:v>
                </c:pt>
                <c:pt idx="1100">
                  <c:v>46750</c:v>
                </c:pt>
                <c:pt idx="1101">
                  <c:v>46757</c:v>
                </c:pt>
                <c:pt idx="1102">
                  <c:v>46764</c:v>
                </c:pt>
                <c:pt idx="1103">
                  <c:v>46771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47115</c:v>
                </c:pt>
                <c:pt idx="1153">
                  <c:v>47122</c:v>
                </c:pt>
                <c:pt idx="1154">
                  <c:v>47129</c:v>
                </c:pt>
                <c:pt idx="1155">
                  <c:v>47136</c:v>
                </c:pt>
                <c:pt idx="1156">
                  <c:v>47143</c:v>
                </c:pt>
                <c:pt idx="1157">
                  <c:v>47150</c:v>
                </c:pt>
                <c:pt idx="1158">
                  <c:v>47157</c:v>
                </c:pt>
                <c:pt idx="1159">
                  <c:v>47164</c:v>
                </c:pt>
                <c:pt idx="1160">
                  <c:v>47171</c:v>
                </c:pt>
                <c:pt idx="1161">
                  <c:v>47178</c:v>
                </c:pt>
                <c:pt idx="1162">
                  <c:v>47185</c:v>
                </c:pt>
                <c:pt idx="1163">
                  <c:v>47192</c:v>
                </c:pt>
                <c:pt idx="1164">
                  <c:v>47199</c:v>
                </c:pt>
                <c:pt idx="1165">
                  <c:v>47206</c:v>
                </c:pt>
                <c:pt idx="1166">
                  <c:v>47213</c:v>
                </c:pt>
                <c:pt idx="1167">
                  <c:v>47220</c:v>
                </c:pt>
                <c:pt idx="1168">
                  <c:v>47227</c:v>
                </c:pt>
                <c:pt idx="1169">
                  <c:v>47234</c:v>
                </c:pt>
                <c:pt idx="1170">
                  <c:v>47241</c:v>
                </c:pt>
                <c:pt idx="1171">
                  <c:v>47248</c:v>
                </c:pt>
                <c:pt idx="1172">
                  <c:v>47255</c:v>
                </c:pt>
                <c:pt idx="1173">
                  <c:v>47262</c:v>
                </c:pt>
                <c:pt idx="1174">
                  <c:v>47269</c:v>
                </c:pt>
                <c:pt idx="1175">
                  <c:v>47276</c:v>
                </c:pt>
                <c:pt idx="1176">
                  <c:v>47283</c:v>
                </c:pt>
                <c:pt idx="1177">
                  <c:v>47290</c:v>
                </c:pt>
                <c:pt idx="1178">
                  <c:v>47297</c:v>
                </c:pt>
                <c:pt idx="1179">
                  <c:v>47304</c:v>
                </c:pt>
                <c:pt idx="1180">
                  <c:v>47311</c:v>
                </c:pt>
                <c:pt idx="1181">
                  <c:v>47318</c:v>
                </c:pt>
                <c:pt idx="1182">
                  <c:v>47325</c:v>
                </c:pt>
                <c:pt idx="1183">
                  <c:v>47332</c:v>
                </c:pt>
                <c:pt idx="1184">
                  <c:v>47339</c:v>
                </c:pt>
                <c:pt idx="1185">
                  <c:v>47346</c:v>
                </c:pt>
                <c:pt idx="1186">
                  <c:v>47353</c:v>
                </c:pt>
                <c:pt idx="1187">
                  <c:v>47360</c:v>
                </c:pt>
                <c:pt idx="1188">
                  <c:v>47367</c:v>
                </c:pt>
                <c:pt idx="1189">
                  <c:v>47374</c:v>
                </c:pt>
                <c:pt idx="1190">
                  <c:v>47381</c:v>
                </c:pt>
                <c:pt idx="1191">
                  <c:v>47388</c:v>
                </c:pt>
                <c:pt idx="1192">
                  <c:v>47395</c:v>
                </c:pt>
                <c:pt idx="1193">
                  <c:v>47402</c:v>
                </c:pt>
                <c:pt idx="1194">
                  <c:v>47409</c:v>
                </c:pt>
                <c:pt idx="1195">
                  <c:v>47416</c:v>
                </c:pt>
                <c:pt idx="1196">
                  <c:v>47423</c:v>
                </c:pt>
                <c:pt idx="1197">
                  <c:v>47430</c:v>
                </c:pt>
                <c:pt idx="1198">
                  <c:v>47437</c:v>
                </c:pt>
                <c:pt idx="1199">
                  <c:v>47444</c:v>
                </c:pt>
                <c:pt idx="1200">
                  <c:v>47451</c:v>
                </c:pt>
                <c:pt idx="1201">
                  <c:v>47458</c:v>
                </c:pt>
                <c:pt idx="1202">
                  <c:v>47465</c:v>
                </c:pt>
                <c:pt idx="1203">
                  <c:v>47472</c:v>
                </c:pt>
                <c:pt idx="1204">
                  <c:v>47479</c:v>
                </c:pt>
                <c:pt idx="1205">
                  <c:v>47486</c:v>
                </c:pt>
                <c:pt idx="1206">
                  <c:v>47493</c:v>
                </c:pt>
                <c:pt idx="1207">
                  <c:v>47500</c:v>
                </c:pt>
                <c:pt idx="1208">
                  <c:v>47507</c:v>
                </c:pt>
                <c:pt idx="1209">
                  <c:v>47514</c:v>
                </c:pt>
                <c:pt idx="1210">
                  <c:v>47521</c:v>
                </c:pt>
                <c:pt idx="1211">
                  <c:v>47528</c:v>
                </c:pt>
                <c:pt idx="1212">
                  <c:v>47535</c:v>
                </c:pt>
                <c:pt idx="1213">
                  <c:v>47542</c:v>
                </c:pt>
                <c:pt idx="1214">
                  <c:v>47549</c:v>
                </c:pt>
                <c:pt idx="1215">
                  <c:v>47556</c:v>
                </c:pt>
                <c:pt idx="1216">
                  <c:v>47563</c:v>
                </c:pt>
                <c:pt idx="1217">
                  <c:v>47570</c:v>
                </c:pt>
                <c:pt idx="1218">
                  <c:v>47577</c:v>
                </c:pt>
                <c:pt idx="1219">
                  <c:v>47584</c:v>
                </c:pt>
                <c:pt idx="1220">
                  <c:v>47591</c:v>
                </c:pt>
                <c:pt idx="1221">
                  <c:v>47599</c:v>
                </c:pt>
                <c:pt idx="1222">
                  <c:v>47606</c:v>
                </c:pt>
                <c:pt idx="1223">
                  <c:v>47613</c:v>
                </c:pt>
                <c:pt idx="1224">
                  <c:v>47620</c:v>
                </c:pt>
                <c:pt idx="1225">
                  <c:v>47627</c:v>
                </c:pt>
                <c:pt idx="1226">
                  <c:v>47634</c:v>
                </c:pt>
                <c:pt idx="1227">
                  <c:v>47641</c:v>
                </c:pt>
                <c:pt idx="1228">
                  <c:v>47648</c:v>
                </c:pt>
                <c:pt idx="1229">
                  <c:v>47655</c:v>
                </c:pt>
                <c:pt idx="1230">
                  <c:v>47662</c:v>
                </c:pt>
                <c:pt idx="1231">
                  <c:v>47669</c:v>
                </c:pt>
                <c:pt idx="1232">
                  <c:v>47676</c:v>
                </c:pt>
                <c:pt idx="1233">
                  <c:v>47683</c:v>
                </c:pt>
                <c:pt idx="1234">
                  <c:v>47690</c:v>
                </c:pt>
                <c:pt idx="1235">
                  <c:v>47697</c:v>
                </c:pt>
                <c:pt idx="1236">
                  <c:v>47704</c:v>
                </c:pt>
                <c:pt idx="1237">
                  <c:v>47711</c:v>
                </c:pt>
                <c:pt idx="1238">
                  <c:v>47718</c:v>
                </c:pt>
                <c:pt idx="1239">
                  <c:v>47725</c:v>
                </c:pt>
                <c:pt idx="1240">
                  <c:v>47732</c:v>
                </c:pt>
                <c:pt idx="1241">
                  <c:v>47739</c:v>
                </c:pt>
                <c:pt idx="1242">
                  <c:v>47746</c:v>
                </c:pt>
                <c:pt idx="1243">
                  <c:v>47753</c:v>
                </c:pt>
                <c:pt idx="1244">
                  <c:v>47760</c:v>
                </c:pt>
                <c:pt idx="1245">
                  <c:v>47767</c:v>
                </c:pt>
                <c:pt idx="1246">
                  <c:v>47774</c:v>
                </c:pt>
                <c:pt idx="1247">
                  <c:v>47781</c:v>
                </c:pt>
                <c:pt idx="1248">
                  <c:v>47788</c:v>
                </c:pt>
                <c:pt idx="1249">
                  <c:v>47795</c:v>
                </c:pt>
                <c:pt idx="1250">
                  <c:v>47802</c:v>
                </c:pt>
                <c:pt idx="1251">
                  <c:v>47809</c:v>
                </c:pt>
                <c:pt idx="1252">
                  <c:v>47816</c:v>
                </c:pt>
                <c:pt idx="1253">
                  <c:v>47823</c:v>
                </c:pt>
                <c:pt idx="1254">
                  <c:v>47830</c:v>
                </c:pt>
                <c:pt idx="1255">
                  <c:v>47837</c:v>
                </c:pt>
                <c:pt idx="1256">
                  <c:v>47844</c:v>
                </c:pt>
                <c:pt idx="1257">
                  <c:v>47851</c:v>
                </c:pt>
                <c:pt idx="1258">
                  <c:v>47858</c:v>
                </c:pt>
                <c:pt idx="1259">
                  <c:v>47865</c:v>
                </c:pt>
                <c:pt idx="1260">
                  <c:v>47872</c:v>
                </c:pt>
                <c:pt idx="1261">
                  <c:v>47879</c:v>
                </c:pt>
                <c:pt idx="1262">
                  <c:v>47886</c:v>
                </c:pt>
                <c:pt idx="1263">
                  <c:v>47893</c:v>
                </c:pt>
                <c:pt idx="1264">
                  <c:v>47900</c:v>
                </c:pt>
                <c:pt idx="1265">
                  <c:v>47907</c:v>
                </c:pt>
                <c:pt idx="1266">
                  <c:v>47914</c:v>
                </c:pt>
                <c:pt idx="1267">
                  <c:v>47921</c:v>
                </c:pt>
                <c:pt idx="1268">
                  <c:v>47928</c:v>
                </c:pt>
                <c:pt idx="1269">
                  <c:v>47935</c:v>
                </c:pt>
                <c:pt idx="1270">
                  <c:v>47942</c:v>
                </c:pt>
                <c:pt idx="1271">
                  <c:v>47953</c:v>
                </c:pt>
                <c:pt idx="1272">
                  <c:v>47960</c:v>
                </c:pt>
                <c:pt idx="1273">
                  <c:v>47967</c:v>
                </c:pt>
                <c:pt idx="1274">
                  <c:v>47974</c:v>
                </c:pt>
                <c:pt idx="1275">
                  <c:v>47981</c:v>
                </c:pt>
                <c:pt idx="1276">
                  <c:v>47988</c:v>
                </c:pt>
                <c:pt idx="1277">
                  <c:v>47995</c:v>
                </c:pt>
                <c:pt idx="1278">
                  <c:v>48002</c:v>
                </c:pt>
                <c:pt idx="1279">
                  <c:v>48009</c:v>
                </c:pt>
                <c:pt idx="1280">
                  <c:v>48016</c:v>
                </c:pt>
                <c:pt idx="1281">
                  <c:v>48023</c:v>
                </c:pt>
                <c:pt idx="1282">
                  <c:v>48030</c:v>
                </c:pt>
                <c:pt idx="1283">
                  <c:v>48037</c:v>
                </c:pt>
                <c:pt idx="1284">
                  <c:v>48044</c:v>
                </c:pt>
                <c:pt idx="1285">
                  <c:v>48051</c:v>
                </c:pt>
                <c:pt idx="1286">
                  <c:v>48058</c:v>
                </c:pt>
                <c:pt idx="1287">
                  <c:v>48065</c:v>
                </c:pt>
                <c:pt idx="1288">
                  <c:v>48072</c:v>
                </c:pt>
                <c:pt idx="1289">
                  <c:v>48079</c:v>
                </c:pt>
                <c:pt idx="1290">
                  <c:v>48086</c:v>
                </c:pt>
                <c:pt idx="1291">
                  <c:v>48093</c:v>
                </c:pt>
                <c:pt idx="1292">
                  <c:v>48100</c:v>
                </c:pt>
                <c:pt idx="1293">
                  <c:v>48107</c:v>
                </c:pt>
                <c:pt idx="1294">
                  <c:v>48114</c:v>
                </c:pt>
                <c:pt idx="1295">
                  <c:v>48121</c:v>
                </c:pt>
                <c:pt idx="1296">
                  <c:v>48128</c:v>
                </c:pt>
                <c:pt idx="1297">
                  <c:v>48135</c:v>
                </c:pt>
                <c:pt idx="1298">
                  <c:v>48142</c:v>
                </c:pt>
                <c:pt idx="1299">
                  <c:v>48149</c:v>
                </c:pt>
                <c:pt idx="1300">
                  <c:v>48156</c:v>
                </c:pt>
                <c:pt idx="1301">
                  <c:v>48163</c:v>
                </c:pt>
                <c:pt idx="1302">
                  <c:v>48170</c:v>
                </c:pt>
                <c:pt idx="1303">
                  <c:v>48177</c:v>
                </c:pt>
                <c:pt idx="1304">
                  <c:v>48184</c:v>
                </c:pt>
                <c:pt idx="1305">
                  <c:v>48191</c:v>
                </c:pt>
                <c:pt idx="1306">
                  <c:v>48198</c:v>
                </c:pt>
                <c:pt idx="1307">
                  <c:v>48205</c:v>
                </c:pt>
                <c:pt idx="1308">
                  <c:v>48212</c:v>
                </c:pt>
                <c:pt idx="1309">
                  <c:v>48219</c:v>
                </c:pt>
                <c:pt idx="1310">
                  <c:v>48226</c:v>
                </c:pt>
                <c:pt idx="1311">
                  <c:v>48233</c:v>
                </c:pt>
                <c:pt idx="1312">
                  <c:v>48240</c:v>
                </c:pt>
                <c:pt idx="1313">
                  <c:v>48247</c:v>
                </c:pt>
                <c:pt idx="1314">
                  <c:v>48254</c:v>
                </c:pt>
                <c:pt idx="1315">
                  <c:v>48261</c:v>
                </c:pt>
                <c:pt idx="1316">
                  <c:v>48268</c:v>
                </c:pt>
                <c:pt idx="1317">
                  <c:v>48275</c:v>
                </c:pt>
                <c:pt idx="1318">
                  <c:v>48282</c:v>
                </c:pt>
                <c:pt idx="1319">
                  <c:v>48289</c:v>
                </c:pt>
                <c:pt idx="1320">
                  <c:v>48296</c:v>
                </c:pt>
                <c:pt idx="1321">
                  <c:v>48303</c:v>
                </c:pt>
                <c:pt idx="1322">
                  <c:v>48310</c:v>
                </c:pt>
                <c:pt idx="1323">
                  <c:v>48317</c:v>
                </c:pt>
                <c:pt idx="1324">
                  <c:v>48324</c:v>
                </c:pt>
                <c:pt idx="1325">
                  <c:v>48331</c:v>
                </c:pt>
                <c:pt idx="1326">
                  <c:v>48338</c:v>
                </c:pt>
                <c:pt idx="1327">
                  <c:v>48345</c:v>
                </c:pt>
                <c:pt idx="1328">
                  <c:v>48352</c:v>
                </c:pt>
                <c:pt idx="1329">
                  <c:v>48359</c:v>
                </c:pt>
                <c:pt idx="1330">
                  <c:v>48366</c:v>
                </c:pt>
                <c:pt idx="1331">
                  <c:v>48373</c:v>
                </c:pt>
                <c:pt idx="1332">
                  <c:v>48380</c:v>
                </c:pt>
                <c:pt idx="1333">
                  <c:v>48387</c:v>
                </c:pt>
                <c:pt idx="1334">
                  <c:v>48394</c:v>
                </c:pt>
                <c:pt idx="1335">
                  <c:v>48401</c:v>
                </c:pt>
                <c:pt idx="1336">
                  <c:v>48408</c:v>
                </c:pt>
                <c:pt idx="1337">
                  <c:v>48415</c:v>
                </c:pt>
                <c:pt idx="1338">
                  <c:v>48422</c:v>
                </c:pt>
                <c:pt idx="1339">
                  <c:v>48429</c:v>
                </c:pt>
                <c:pt idx="1340">
                  <c:v>48436</c:v>
                </c:pt>
                <c:pt idx="1341">
                  <c:v>48443</c:v>
                </c:pt>
                <c:pt idx="1342">
                  <c:v>48450</c:v>
                </c:pt>
                <c:pt idx="1343">
                  <c:v>48457</c:v>
                </c:pt>
                <c:pt idx="1344">
                  <c:v>48464</c:v>
                </c:pt>
                <c:pt idx="1345">
                  <c:v>48471</c:v>
                </c:pt>
                <c:pt idx="1346">
                  <c:v>48478</c:v>
                </c:pt>
                <c:pt idx="1347">
                  <c:v>48485</c:v>
                </c:pt>
                <c:pt idx="1348">
                  <c:v>48492</c:v>
                </c:pt>
                <c:pt idx="1349">
                  <c:v>48499</c:v>
                </c:pt>
                <c:pt idx="1350">
                  <c:v>48506</c:v>
                </c:pt>
                <c:pt idx="1351">
                  <c:v>48513</c:v>
                </c:pt>
                <c:pt idx="1352">
                  <c:v>48520</c:v>
                </c:pt>
                <c:pt idx="1353">
                  <c:v>48527</c:v>
                </c:pt>
                <c:pt idx="1354">
                  <c:v>48534</c:v>
                </c:pt>
                <c:pt idx="1355">
                  <c:v>48541</c:v>
                </c:pt>
                <c:pt idx="1356">
                  <c:v>48548</c:v>
                </c:pt>
                <c:pt idx="1357">
                  <c:v>48555</c:v>
                </c:pt>
                <c:pt idx="1358">
                  <c:v>48562</c:v>
                </c:pt>
                <c:pt idx="1359">
                  <c:v>48569</c:v>
                </c:pt>
                <c:pt idx="1360">
                  <c:v>48577</c:v>
                </c:pt>
                <c:pt idx="1361">
                  <c:v>48584</c:v>
                </c:pt>
                <c:pt idx="1362">
                  <c:v>48591</c:v>
                </c:pt>
                <c:pt idx="1363">
                  <c:v>48598</c:v>
                </c:pt>
                <c:pt idx="1364">
                  <c:v>48606</c:v>
                </c:pt>
                <c:pt idx="1365">
                  <c:v>48613</c:v>
                </c:pt>
                <c:pt idx="1366">
                  <c:v>48620</c:v>
                </c:pt>
                <c:pt idx="1367">
                  <c:v>48627</c:v>
                </c:pt>
                <c:pt idx="1368">
                  <c:v>48634</c:v>
                </c:pt>
                <c:pt idx="1369">
                  <c:v>48641</c:v>
                </c:pt>
                <c:pt idx="1370">
                  <c:v>48648</c:v>
                </c:pt>
                <c:pt idx="1371">
                  <c:v>48655</c:v>
                </c:pt>
                <c:pt idx="1372">
                  <c:v>48662</c:v>
                </c:pt>
                <c:pt idx="1373">
                  <c:v>48669</c:v>
                </c:pt>
                <c:pt idx="1374">
                  <c:v>48676</c:v>
                </c:pt>
                <c:pt idx="1375">
                  <c:v>48683</c:v>
                </c:pt>
                <c:pt idx="1376">
                  <c:v>48690</c:v>
                </c:pt>
                <c:pt idx="1377">
                  <c:v>48697</c:v>
                </c:pt>
                <c:pt idx="1378">
                  <c:v>48704</c:v>
                </c:pt>
                <c:pt idx="1379">
                  <c:v>48711</c:v>
                </c:pt>
                <c:pt idx="1380">
                  <c:v>48718</c:v>
                </c:pt>
                <c:pt idx="1381">
                  <c:v>48725</c:v>
                </c:pt>
                <c:pt idx="1382">
                  <c:v>48732</c:v>
                </c:pt>
                <c:pt idx="1383">
                  <c:v>48739</c:v>
                </c:pt>
                <c:pt idx="1384">
                  <c:v>48746</c:v>
                </c:pt>
                <c:pt idx="1385">
                  <c:v>48753</c:v>
                </c:pt>
                <c:pt idx="1386">
                  <c:v>48760</c:v>
                </c:pt>
                <c:pt idx="1387">
                  <c:v>48767</c:v>
                </c:pt>
                <c:pt idx="1388">
                  <c:v>48774</c:v>
                </c:pt>
                <c:pt idx="1389">
                  <c:v>48781</c:v>
                </c:pt>
                <c:pt idx="1390">
                  <c:v>48788</c:v>
                </c:pt>
                <c:pt idx="1391">
                  <c:v>48795</c:v>
                </c:pt>
                <c:pt idx="1392">
                  <c:v>48802</c:v>
                </c:pt>
                <c:pt idx="1393">
                  <c:v>48809</c:v>
                </c:pt>
                <c:pt idx="1394">
                  <c:v>48816</c:v>
                </c:pt>
                <c:pt idx="1395">
                  <c:v>48823</c:v>
                </c:pt>
                <c:pt idx="1396">
                  <c:v>48830</c:v>
                </c:pt>
                <c:pt idx="1397">
                  <c:v>48837</c:v>
                </c:pt>
                <c:pt idx="1398">
                  <c:v>48844</c:v>
                </c:pt>
                <c:pt idx="1399">
                  <c:v>48851</c:v>
                </c:pt>
                <c:pt idx="1400">
                  <c:v>48858</c:v>
                </c:pt>
                <c:pt idx="1401">
                  <c:v>48865</c:v>
                </c:pt>
                <c:pt idx="1402">
                  <c:v>48872</c:v>
                </c:pt>
                <c:pt idx="1403">
                  <c:v>48879</c:v>
                </c:pt>
                <c:pt idx="1404">
                  <c:v>48886</c:v>
                </c:pt>
                <c:pt idx="1405">
                  <c:v>48893</c:v>
                </c:pt>
                <c:pt idx="1406">
                  <c:v>48900</c:v>
                </c:pt>
                <c:pt idx="1407">
                  <c:v>48907</c:v>
                </c:pt>
                <c:pt idx="1408">
                  <c:v>48914</c:v>
                </c:pt>
                <c:pt idx="1409">
                  <c:v>48921</c:v>
                </c:pt>
                <c:pt idx="1410">
                  <c:v>48928</c:v>
                </c:pt>
                <c:pt idx="1411">
                  <c:v>48935</c:v>
                </c:pt>
                <c:pt idx="1412">
                  <c:v>48942</c:v>
                </c:pt>
                <c:pt idx="1413">
                  <c:v>48949</c:v>
                </c:pt>
                <c:pt idx="1414">
                  <c:v>48956</c:v>
                </c:pt>
                <c:pt idx="1415">
                  <c:v>48963</c:v>
                </c:pt>
                <c:pt idx="1416">
                  <c:v>48971</c:v>
                </c:pt>
                <c:pt idx="1417">
                  <c:v>48978</c:v>
                </c:pt>
                <c:pt idx="1418">
                  <c:v>48985</c:v>
                </c:pt>
                <c:pt idx="1419">
                  <c:v>48992</c:v>
                </c:pt>
                <c:pt idx="1420">
                  <c:v>48999</c:v>
                </c:pt>
                <c:pt idx="1421">
                  <c:v>49006</c:v>
                </c:pt>
                <c:pt idx="1422">
                  <c:v>49013</c:v>
                </c:pt>
                <c:pt idx="1423">
                  <c:v>49020</c:v>
                </c:pt>
                <c:pt idx="1424">
                  <c:v>49027</c:v>
                </c:pt>
                <c:pt idx="1425">
                  <c:v>49034</c:v>
                </c:pt>
                <c:pt idx="1426">
                  <c:v>49045</c:v>
                </c:pt>
                <c:pt idx="1427">
                  <c:v>49052</c:v>
                </c:pt>
                <c:pt idx="1428">
                  <c:v>49060</c:v>
                </c:pt>
                <c:pt idx="1429">
                  <c:v>49067</c:v>
                </c:pt>
                <c:pt idx="1430">
                  <c:v>49074</c:v>
                </c:pt>
                <c:pt idx="1431">
                  <c:v>49081</c:v>
                </c:pt>
                <c:pt idx="1432">
                  <c:v>49088</c:v>
                </c:pt>
                <c:pt idx="1433">
                  <c:v>49095</c:v>
                </c:pt>
                <c:pt idx="1434">
                  <c:v>49102</c:v>
                </c:pt>
                <c:pt idx="1435">
                  <c:v>49109</c:v>
                </c:pt>
                <c:pt idx="1436">
                  <c:v>49116</c:v>
                </c:pt>
                <c:pt idx="1437">
                  <c:v>49123</c:v>
                </c:pt>
                <c:pt idx="1438">
                  <c:v>49130</c:v>
                </c:pt>
                <c:pt idx="1439">
                  <c:v>49137</c:v>
                </c:pt>
                <c:pt idx="1440">
                  <c:v>49144</c:v>
                </c:pt>
                <c:pt idx="1441">
                  <c:v>49151</c:v>
                </c:pt>
                <c:pt idx="1442">
                  <c:v>49158</c:v>
                </c:pt>
                <c:pt idx="1443">
                  <c:v>49165</c:v>
                </c:pt>
                <c:pt idx="1444">
                  <c:v>49172</c:v>
                </c:pt>
                <c:pt idx="1445">
                  <c:v>49179</c:v>
                </c:pt>
                <c:pt idx="1446">
                  <c:v>49186</c:v>
                </c:pt>
                <c:pt idx="1447">
                  <c:v>49193</c:v>
                </c:pt>
                <c:pt idx="1448">
                  <c:v>49200</c:v>
                </c:pt>
                <c:pt idx="1449">
                  <c:v>49207</c:v>
                </c:pt>
                <c:pt idx="1450">
                  <c:v>49214</c:v>
                </c:pt>
                <c:pt idx="1451">
                  <c:v>49221</c:v>
                </c:pt>
                <c:pt idx="1452">
                  <c:v>49228</c:v>
                </c:pt>
                <c:pt idx="1453">
                  <c:v>49235</c:v>
                </c:pt>
                <c:pt idx="1454">
                  <c:v>49242</c:v>
                </c:pt>
                <c:pt idx="1455">
                  <c:v>49249</c:v>
                </c:pt>
                <c:pt idx="1456">
                  <c:v>49256</c:v>
                </c:pt>
                <c:pt idx="1457">
                  <c:v>49263</c:v>
                </c:pt>
                <c:pt idx="1458">
                  <c:v>49270</c:v>
                </c:pt>
                <c:pt idx="1459">
                  <c:v>49277</c:v>
                </c:pt>
                <c:pt idx="1460">
                  <c:v>49284</c:v>
                </c:pt>
                <c:pt idx="1461">
                  <c:v>49291</c:v>
                </c:pt>
                <c:pt idx="1462">
                  <c:v>49298</c:v>
                </c:pt>
                <c:pt idx="1463">
                  <c:v>49305</c:v>
                </c:pt>
                <c:pt idx="1464">
                  <c:v>49312</c:v>
                </c:pt>
                <c:pt idx="1465">
                  <c:v>49319</c:v>
                </c:pt>
                <c:pt idx="1466">
                  <c:v>49326</c:v>
                </c:pt>
                <c:pt idx="1467">
                  <c:v>49333</c:v>
                </c:pt>
                <c:pt idx="1468">
                  <c:v>49340</c:v>
                </c:pt>
                <c:pt idx="1469">
                  <c:v>49347</c:v>
                </c:pt>
                <c:pt idx="1470">
                  <c:v>49354</c:v>
                </c:pt>
                <c:pt idx="1471">
                  <c:v>49361</c:v>
                </c:pt>
                <c:pt idx="1472">
                  <c:v>49368</c:v>
                </c:pt>
                <c:pt idx="1473">
                  <c:v>49375</c:v>
                </c:pt>
                <c:pt idx="1474">
                  <c:v>49382</c:v>
                </c:pt>
                <c:pt idx="1475">
                  <c:v>49389</c:v>
                </c:pt>
                <c:pt idx="1476">
                  <c:v>49396</c:v>
                </c:pt>
                <c:pt idx="1477">
                  <c:v>49403</c:v>
                </c:pt>
                <c:pt idx="1478">
                  <c:v>49410</c:v>
                </c:pt>
                <c:pt idx="1479">
                  <c:v>49417</c:v>
                </c:pt>
                <c:pt idx="1480">
                  <c:v>49425</c:v>
                </c:pt>
                <c:pt idx="1481">
                  <c:v>49432</c:v>
                </c:pt>
                <c:pt idx="1482">
                  <c:v>49439</c:v>
                </c:pt>
                <c:pt idx="1483">
                  <c:v>49446</c:v>
                </c:pt>
                <c:pt idx="1484">
                  <c:v>49453</c:v>
                </c:pt>
                <c:pt idx="1485">
                  <c:v>49460</c:v>
                </c:pt>
                <c:pt idx="1486">
                  <c:v>49467</c:v>
                </c:pt>
                <c:pt idx="1487">
                  <c:v>49474</c:v>
                </c:pt>
                <c:pt idx="1488">
                  <c:v>49481</c:v>
                </c:pt>
                <c:pt idx="1489">
                  <c:v>49488</c:v>
                </c:pt>
                <c:pt idx="1490">
                  <c:v>49495</c:v>
                </c:pt>
                <c:pt idx="1491">
                  <c:v>49502</c:v>
                </c:pt>
                <c:pt idx="1492">
                  <c:v>49509</c:v>
                </c:pt>
                <c:pt idx="1493">
                  <c:v>49516</c:v>
                </c:pt>
                <c:pt idx="1494">
                  <c:v>49523</c:v>
                </c:pt>
                <c:pt idx="1495">
                  <c:v>49530</c:v>
                </c:pt>
                <c:pt idx="1496">
                  <c:v>49537</c:v>
                </c:pt>
                <c:pt idx="1497">
                  <c:v>49544</c:v>
                </c:pt>
                <c:pt idx="1498">
                  <c:v>49551</c:v>
                </c:pt>
                <c:pt idx="1499">
                  <c:v>49558</c:v>
                </c:pt>
                <c:pt idx="1500">
                  <c:v>49565</c:v>
                </c:pt>
                <c:pt idx="1501">
                  <c:v>49572</c:v>
                </c:pt>
                <c:pt idx="1502">
                  <c:v>49579</c:v>
                </c:pt>
                <c:pt idx="1503">
                  <c:v>49586</c:v>
                </c:pt>
                <c:pt idx="1504">
                  <c:v>49593</c:v>
                </c:pt>
                <c:pt idx="1505">
                  <c:v>49600</c:v>
                </c:pt>
                <c:pt idx="1506">
                  <c:v>49607</c:v>
                </c:pt>
                <c:pt idx="1507">
                  <c:v>49614</c:v>
                </c:pt>
                <c:pt idx="1508">
                  <c:v>49621</c:v>
                </c:pt>
                <c:pt idx="1509">
                  <c:v>49628</c:v>
                </c:pt>
                <c:pt idx="1510">
                  <c:v>49635</c:v>
                </c:pt>
                <c:pt idx="1511">
                  <c:v>49642</c:v>
                </c:pt>
                <c:pt idx="1512">
                  <c:v>49649</c:v>
                </c:pt>
                <c:pt idx="1513">
                  <c:v>49656</c:v>
                </c:pt>
                <c:pt idx="1514">
                  <c:v>49663</c:v>
                </c:pt>
                <c:pt idx="1515">
                  <c:v>49670</c:v>
                </c:pt>
                <c:pt idx="1516">
                  <c:v>49677</c:v>
                </c:pt>
                <c:pt idx="1517">
                  <c:v>49684</c:v>
                </c:pt>
                <c:pt idx="1518">
                  <c:v>49691</c:v>
                </c:pt>
                <c:pt idx="1519">
                  <c:v>49698</c:v>
                </c:pt>
                <c:pt idx="1520">
                  <c:v>49705</c:v>
                </c:pt>
                <c:pt idx="1521">
                  <c:v>49712</c:v>
                </c:pt>
                <c:pt idx="1522">
                  <c:v>49719</c:v>
                </c:pt>
                <c:pt idx="1523">
                  <c:v>49726</c:v>
                </c:pt>
                <c:pt idx="1524">
                  <c:v>49733</c:v>
                </c:pt>
                <c:pt idx="1525">
                  <c:v>49740</c:v>
                </c:pt>
                <c:pt idx="1526">
                  <c:v>49747</c:v>
                </c:pt>
                <c:pt idx="1527">
                  <c:v>49754</c:v>
                </c:pt>
                <c:pt idx="1528">
                  <c:v>49761</c:v>
                </c:pt>
                <c:pt idx="1529">
                  <c:v>49768</c:v>
                </c:pt>
                <c:pt idx="1530">
                  <c:v>49775</c:v>
                </c:pt>
                <c:pt idx="1531">
                  <c:v>49782</c:v>
                </c:pt>
                <c:pt idx="1532">
                  <c:v>49789</c:v>
                </c:pt>
                <c:pt idx="1533">
                  <c:v>49796</c:v>
                </c:pt>
                <c:pt idx="1534">
                  <c:v>49803</c:v>
                </c:pt>
                <c:pt idx="1535">
                  <c:v>49810</c:v>
                </c:pt>
                <c:pt idx="1536">
                  <c:v>49817</c:v>
                </c:pt>
                <c:pt idx="1537">
                  <c:v>49824</c:v>
                </c:pt>
                <c:pt idx="1538">
                  <c:v>49831</c:v>
                </c:pt>
                <c:pt idx="1539">
                  <c:v>49838</c:v>
                </c:pt>
                <c:pt idx="1540">
                  <c:v>49845</c:v>
                </c:pt>
                <c:pt idx="1541">
                  <c:v>49852</c:v>
                </c:pt>
                <c:pt idx="1542">
                  <c:v>49859</c:v>
                </c:pt>
                <c:pt idx="1543">
                  <c:v>49866</c:v>
                </c:pt>
                <c:pt idx="1544">
                  <c:v>49873</c:v>
                </c:pt>
                <c:pt idx="1545">
                  <c:v>49880</c:v>
                </c:pt>
                <c:pt idx="1546">
                  <c:v>49887</c:v>
                </c:pt>
                <c:pt idx="1547">
                  <c:v>49894</c:v>
                </c:pt>
                <c:pt idx="1548">
                  <c:v>49901</c:v>
                </c:pt>
                <c:pt idx="1549">
                  <c:v>49908</c:v>
                </c:pt>
                <c:pt idx="1550">
                  <c:v>49915</c:v>
                </c:pt>
                <c:pt idx="1551">
                  <c:v>49922</c:v>
                </c:pt>
                <c:pt idx="1552">
                  <c:v>49929</c:v>
                </c:pt>
                <c:pt idx="1553">
                  <c:v>49936</c:v>
                </c:pt>
                <c:pt idx="1554">
                  <c:v>49943</c:v>
                </c:pt>
                <c:pt idx="1555">
                  <c:v>49950</c:v>
                </c:pt>
                <c:pt idx="1556">
                  <c:v>49957</c:v>
                </c:pt>
                <c:pt idx="1557">
                  <c:v>49964</c:v>
                </c:pt>
                <c:pt idx="1558">
                  <c:v>49971</c:v>
                </c:pt>
                <c:pt idx="1559">
                  <c:v>49978</c:v>
                </c:pt>
                <c:pt idx="1560">
                  <c:v>49985</c:v>
                </c:pt>
                <c:pt idx="1561">
                  <c:v>49992</c:v>
                </c:pt>
                <c:pt idx="1562">
                  <c:v>49999</c:v>
                </c:pt>
                <c:pt idx="1563">
                  <c:v>50006</c:v>
                </c:pt>
                <c:pt idx="1564">
                  <c:v>50013</c:v>
                </c:pt>
                <c:pt idx="1565">
                  <c:v>50020</c:v>
                </c:pt>
                <c:pt idx="1566">
                  <c:v>50027</c:v>
                </c:pt>
                <c:pt idx="1567">
                  <c:v>50038</c:v>
                </c:pt>
                <c:pt idx="1568">
                  <c:v>50045</c:v>
                </c:pt>
                <c:pt idx="1569">
                  <c:v>50052</c:v>
                </c:pt>
                <c:pt idx="1570">
                  <c:v>50059</c:v>
                </c:pt>
                <c:pt idx="1571">
                  <c:v>50067</c:v>
                </c:pt>
                <c:pt idx="1572">
                  <c:v>50074</c:v>
                </c:pt>
                <c:pt idx="1573">
                  <c:v>50081</c:v>
                </c:pt>
                <c:pt idx="1574">
                  <c:v>50088</c:v>
                </c:pt>
                <c:pt idx="1575">
                  <c:v>50095</c:v>
                </c:pt>
                <c:pt idx="1576">
                  <c:v>50102</c:v>
                </c:pt>
                <c:pt idx="1577">
                  <c:v>50109</c:v>
                </c:pt>
                <c:pt idx="1578">
                  <c:v>50116</c:v>
                </c:pt>
                <c:pt idx="1579">
                  <c:v>50123</c:v>
                </c:pt>
                <c:pt idx="1580">
                  <c:v>50130</c:v>
                </c:pt>
                <c:pt idx="1581">
                  <c:v>50137</c:v>
                </c:pt>
                <c:pt idx="1582">
                  <c:v>50144</c:v>
                </c:pt>
                <c:pt idx="1583">
                  <c:v>50151</c:v>
                </c:pt>
                <c:pt idx="1584">
                  <c:v>50158</c:v>
                </c:pt>
                <c:pt idx="1585">
                  <c:v>50165</c:v>
                </c:pt>
                <c:pt idx="1586">
                  <c:v>50172</c:v>
                </c:pt>
                <c:pt idx="1587">
                  <c:v>50179</c:v>
                </c:pt>
                <c:pt idx="1588">
                  <c:v>50186</c:v>
                </c:pt>
                <c:pt idx="1589">
                  <c:v>50193</c:v>
                </c:pt>
                <c:pt idx="1590">
                  <c:v>50200</c:v>
                </c:pt>
                <c:pt idx="1591">
                  <c:v>50207</c:v>
                </c:pt>
                <c:pt idx="1592">
                  <c:v>50214</c:v>
                </c:pt>
                <c:pt idx="1593">
                  <c:v>50221</c:v>
                </c:pt>
                <c:pt idx="1594">
                  <c:v>50228</c:v>
                </c:pt>
                <c:pt idx="1595">
                  <c:v>50235</c:v>
                </c:pt>
                <c:pt idx="1596">
                  <c:v>50242</c:v>
                </c:pt>
                <c:pt idx="1597">
                  <c:v>50249</c:v>
                </c:pt>
                <c:pt idx="1598">
                  <c:v>50256</c:v>
                </c:pt>
                <c:pt idx="1599">
                  <c:v>50263</c:v>
                </c:pt>
                <c:pt idx="1600">
                  <c:v>50270</c:v>
                </c:pt>
                <c:pt idx="1601">
                  <c:v>50277</c:v>
                </c:pt>
                <c:pt idx="1602">
                  <c:v>50284</c:v>
                </c:pt>
                <c:pt idx="1603">
                  <c:v>50291</c:v>
                </c:pt>
                <c:pt idx="1604">
                  <c:v>50298</c:v>
                </c:pt>
                <c:pt idx="1605">
                  <c:v>50305</c:v>
                </c:pt>
                <c:pt idx="1606">
                  <c:v>50312</c:v>
                </c:pt>
                <c:pt idx="1607">
                  <c:v>50319</c:v>
                </c:pt>
                <c:pt idx="1608">
                  <c:v>50326</c:v>
                </c:pt>
                <c:pt idx="1609">
                  <c:v>50333</c:v>
                </c:pt>
                <c:pt idx="1610">
                  <c:v>50340</c:v>
                </c:pt>
                <c:pt idx="1611">
                  <c:v>50347</c:v>
                </c:pt>
                <c:pt idx="1612">
                  <c:v>50354</c:v>
                </c:pt>
                <c:pt idx="1613">
                  <c:v>50361</c:v>
                </c:pt>
                <c:pt idx="1614">
                  <c:v>50368</c:v>
                </c:pt>
                <c:pt idx="1615">
                  <c:v>50375</c:v>
                </c:pt>
                <c:pt idx="1616">
                  <c:v>50382</c:v>
                </c:pt>
                <c:pt idx="1617">
                  <c:v>50389</c:v>
                </c:pt>
                <c:pt idx="1618">
                  <c:v>50396</c:v>
                </c:pt>
                <c:pt idx="1619">
                  <c:v>50403</c:v>
                </c:pt>
                <c:pt idx="1620">
                  <c:v>50410</c:v>
                </c:pt>
                <c:pt idx="1621">
                  <c:v>50417</c:v>
                </c:pt>
                <c:pt idx="1622">
                  <c:v>50424</c:v>
                </c:pt>
                <c:pt idx="1623">
                  <c:v>50432</c:v>
                </c:pt>
                <c:pt idx="1624">
                  <c:v>50439</c:v>
                </c:pt>
                <c:pt idx="1625">
                  <c:v>50446</c:v>
                </c:pt>
                <c:pt idx="1626">
                  <c:v>50453</c:v>
                </c:pt>
                <c:pt idx="1627">
                  <c:v>50460</c:v>
                </c:pt>
                <c:pt idx="1628">
                  <c:v>50467</c:v>
                </c:pt>
                <c:pt idx="1629">
                  <c:v>50474</c:v>
                </c:pt>
                <c:pt idx="1630">
                  <c:v>50481</c:v>
                </c:pt>
                <c:pt idx="1631">
                  <c:v>50488</c:v>
                </c:pt>
                <c:pt idx="1632">
                  <c:v>50495</c:v>
                </c:pt>
                <c:pt idx="1633">
                  <c:v>50502</c:v>
                </c:pt>
                <c:pt idx="1634">
                  <c:v>50509</c:v>
                </c:pt>
                <c:pt idx="1635">
                  <c:v>50516</c:v>
                </c:pt>
                <c:pt idx="1636">
                  <c:v>50523</c:v>
                </c:pt>
                <c:pt idx="1637">
                  <c:v>50530</c:v>
                </c:pt>
                <c:pt idx="1638">
                  <c:v>50537</c:v>
                </c:pt>
                <c:pt idx="1639">
                  <c:v>50544</c:v>
                </c:pt>
                <c:pt idx="1640">
                  <c:v>50551</c:v>
                </c:pt>
                <c:pt idx="1641">
                  <c:v>50558</c:v>
                </c:pt>
                <c:pt idx="1642">
                  <c:v>50565</c:v>
                </c:pt>
                <c:pt idx="1643">
                  <c:v>50572</c:v>
                </c:pt>
                <c:pt idx="1644">
                  <c:v>50579</c:v>
                </c:pt>
                <c:pt idx="1645">
                  <c:v>50586</c:v>
                </c:pt>
                <c:pt idx="1646">
                  <c:v>50593</c:v>
                </c:pt>
                <c:pt idx="1647">
                  <c:v>50600</c:v>
                </c:pt>
                <c:pt idx="1648">
                  <c:v>50607</c:v>
                </c:pt>
                <c:pt idx="1649">
                  <c:v>50614</c:v>
                </c:pt>
                <c:pt idx="1650">
                  <c:v>50621</c:v>
                </c:pt>
                <c:pt idx="1651">
                  <c:v>50628</c:v>
                </c:pt>
                <c:pt idx="1652">
                  <c:v>50635</c:v>
                </c:pt>
                <c:pt idx="1653">
                  <c:v>50642</c:v>
                </c:pt>
                <c:pt idx="1654">
                  <c:v>50649</c:v>
                </c:pt>
                <c:pt idx="1655">
                  <c:v>50656</c:v>
                </c:pt>
                <c:pt idx="1656">
                  <c:v>50663</c:v>
                </c:pt>
                <c:pt idx="1657">
                  <c:v>50670</c:v>
                </c:pt>
                <c:pt idx="1658">
                  <c:v>50677</c:v>
                </c:pt>
                <c:pt idx="1659">
                  <c:v>50684</c:v>
                </c:pt>
                <c:pt idx="1660">
                  <c:v>50691</c:v>
                </c:pt>
                <c:pt idx="1661">
                  <c:v>50698</c:v>
                </c:pt>
                <c:pt idx="1662">
                  <c:v>50705</c:v>
                </c:pt>
                <c:pt idx="1663">
                  <c:v>50712</c:v>
                </c:pt>
                <c:pt idx="1664">
                  <c:v>50719</c:v>
                </c:pt>
                <c:pt idx="1665">
                  <c:v>50726</c:v>
                </c:pt>
                <c:pt idx="1666">
                  <c:v>50733</c:v>
                </c:pt>
                <c:pt idx="1667">
                  <c:v>50740</c:v>
                </c:pt>
                <c:pt idx="1668">
                  <c:v>50747</c:v>
                </c:pt>
                <c:pt idx="1669">
                  <c:v>50754</c:v>
                </c:pt>
                <c:pt idx="1670">
                  <c:v>50761</c:v>
                </c:pt>
                <c:pt idx="1671">
                  <c:v>50768</c:v>
                </c:pt>
                <c:pt idx="1672">
                  <c:v>50775</c:v>
                </c:pt>
                <c:pt idx="1673">
                  <c:v>50782</c:v>
                </c:pt>
                <c:pt idx="1674">
                  <c:v>50789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51162</c:v>
                </c:pt>
                <c:pt idx="1728">
                  <c:v>51169</c:v>
                </c:pt>
                <c:pt idx="1729">
                  <c:v>51176</c:v>
                </c:pt>
                <c:pt idx="1730">
                  <c:v>51183</c:v>
                </c:pt>
                <c:pt idx="1731">
                  <c:v>51190</c:v>
                </c:pt>
                <c:pt idx="1732">
                  <c:v>51197</c:v>
                </c:pt>
                <c:pt idx="1733">
                  <c:v>51204</c:v>
                </c:pt>
                <c:pt idx="1734">
                  <c:v>51211</c:v>
                </c:pt>
                <c:pt idx="1735">
                  <c:v>51218</c:v>
                </c:pt>
                <c:pt idx="1736">
                  <c:v>51229</c:v>
                </c:pt>
                <c:pt idx="1737">
                  <c:v>51236</c:v>
                </c:pt>
                <c:pt idx="1738">
                  <c:v>51243</c:v>
                </c:pt>
                <c:pt idx="1739">
                  <c:v>51250</c:v>
                </c:pt>
                <c:pt idx="1740">
                  <c:v>51257</c:v>
                </c:pt>
                <c:pt idx="1741">
                  <c:v>51264</c:v>
                </c:pt>
                <c:pt idx="1742">
                  <c:v>51271</c:v>
                </c:pt>
                <c:pt idx="1743">
                  <c:v>51278</c:v>
                </c:pt>
                <c:pt idx="1744">
                  <c:v>51285</c:v>
                </c:pt>
                <c:pt idx="1745">
                  <c:v>51292</c:v>
                </c:pt>
                <c:pt idx="1746">
                  <c:v>51299</c:v>
                </c:pt>
                <c:pt idx="1747">
                  <c:v>51306</c:v>
                </c:pt>
                <c:pt idx="1748">
                  <c:v>51313</c:v>
                </c:pt>
                <c:pt idx="1749">
                  <c:v>51320</c:v>
                </c:pt>
                <c:pt idx="1750">
                  <c:v>51327</c:v>
                </c:pt>
                <c:pt idx="1751">
                  <c:v>51334</c:v>
                </c:pt>
                <c:pt idx="1752">
                  <c:v>51341</c:v>
                </c:pt>
                <c:pt idx="1753">
                  <c:v>51348</c:v>
                </c:pt>
                <c:pt idx="1754">
                  <c:v>51355</c:v>
                </c:pt>
                <c:pt idx="1755">
                  <c:v>51362</c:v>
                </c:pt>
                <c:pt idx="1756">
                  <c:v>51369</c:v>
                </c:pt>
                <c:pt idx="1757">
                  <c:v>51376</c:v>
                </c:pt>
                <c:pt idx="1758">
                  <c:v>51383</c:v>
                </c:pt>
                <c:pt idx="1759">
                  <c:v>51390</c:v>
                </c:pt>
                <c:pt idx="1760">
                  <c:v>51397</c:v>
                </c:pt>
                <c:pt idx="1761">
                  <c:v>51404</c:v>
                </c:pt>
                <c:pt idx="1762">
                  <c:v>51411</c:v>
                </c:pt>
                <c:pt idx="1763">
                  <c:v>51418</c:v>
                </c:pt>
                <c:pt idx="1764">
                  <c:v>51425</c:v>
                </c:pt>
                <c:pt idx="1765">
                  <c:v>51432</c:v>
                </c:pt>
                <c:pt idx="1766">
                  <c:v>51439</c:v>
                </c:pt>
                <c:pt idx="1767">
                  <c:v>51446</c:v>
                </c:pt>
                <c:pt idx="1768">
                  <c:v>51453</c:v>
                </c:pt>
                <c:pt idx="1769">
                  <c:v>51460</c:v>
                </c:pt>
                <c:pt idx="1770">
                  <c:v>51467</c:v>
                </c:pt>
                <c:pt idx="1771">
                  <c:v>51474</c:v>
                </c:pt>
                <c:pt idx="1772">
                  <c:v>51481</c:v>
                </c:pt>
                <c:pt idx="1773">
                  <c:v>51488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51617</c:v>
                </c:pt>
                <c:pt idx="1792">
                  <c:v>51624</c:v>
                </c:pt>
                <c:pt idx="1793">
                  <c:v>51631</c:v>
                </c:pt>
                <c:pt idx="1794">
                  <c:v>51638</c:v>
                </c:pt>
                <c:pt idx="1795">
                  <c:v>51645</c:v>
                </c:pt>
                <c:pt idx="1796">
                  <c:v>51652</c:v>
                </c:pt>
                <c:pt idx="1797">
                  <c:v>51659</c:v>
                </c:pt>
                <c:pt idx="1798">
                  <c:v>51666</c:v>
                </c:pt>
                <c:pt idx="1799">
                  <c:v>51673</c:v>
                </c:pt>
                <c:pt idx="1800">
                  <c:v>51680</c:v>
                </c:pt>
                <c:pt idx="1801">
                  <c:v>51687</c:v>
                </c:pt>
                <c:pt idx="1802">
                  <c:v>51694</c:v>
                </c:pt>
                <c:pt idx="1803">
                  <c:v>51701</c:v>
                </c:pt>
                <c:pt idx="1804">
                  <c:v>51708</c:v>
                </c:pt>
                <c:pt idx="1805">
                  <c:v>51715</c:v>
                </c:pt>
                <c:pt idx="1806">
                  <c:v>51722</c:v>
                </c:pt>
                <c:pt idx="1807">
                  <c:v>51729</c:v>
                </c:pt>
                <c:pt idx="1808">
                  <c:v>51736</c:v>
                </c:pt>
                <c:pt idx="1809">
                  <c:v>51743</c:v>
                </c:pt>
                <c:pt idx="1810">
                  <c:v>51750</c:v>
                </c:pt>
                <c:pt idx="1811">
                  <c:v>51757</c:v>
                </c:pt>
                <c:pt idx="1812">
                  <c:v>51764</c:v>
                </c:pt>
                <c:pt idx="1813">
                  <c:v>51771</c:v>
                </c:pt>
                <c:pt idx="1814">
                  <c:v>51778</c:v>
                </c:pt>
                <c:pt idx="1815">
                  <c:v>51785</c:v>
                </c:pt>
                <c:pt idx="1816">
                  <c:v>51792</c:v>
                </c:pt>
                <c:pt idx="1817">
                  <c:v>51799</c:v>
                </c:pt>
                <c:pt idx="1818">
                  <c:v>51806</c:v>
                </c:pt>
                <c:pt idx="1819">
                  <c:v>51813</c:v>
                </c:pt>
                <c:pt idx="1820">
                  <c:v>51820</c:v>
                </c:pt>
                <c:pt idx="1821">
                  <c:v>51827</c:v>
                </c:pt>
                <c:pt idx="1822">
                  <c:v>51834</c:v>
                </c:pt>
                <c:pt idx="1823">
                  <c:v>51841</c:v>
                </c:pt>
                <c:pt idx="1824">
                  <c:v>51848</c:v>
                </c:pt>
                <c:pt idx="1825">
                  <c:v>51855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52623</c:v>
                </c:pt>
                <c:pt idx="1935">
                  <c:v>52630</c:v>
                </c:pt>
                <c:pt idx="1936">
                  <c:v>52637</c:v>
                </c:pt>
                <c:pt idx="1937">
                  <c:v>52644</c:v>
                </c:pt>
                <c:pt idx="1938">
                  <c:v>52651</c:v>
                </c:pt>
                <c:pt idx="1939">
                  <c:v>52658</c:v>
                </c:pt>
                <c:pt idx="1940">
                  <c:v>52665</c:v>
                </c:pt>
                <c:pt idx="1941">
                  <c:v>52672</c:v>
                </c:pt>
                <c:pt idx="1942">
                  <c:v>52679</c:v>
                </c:pt>
                <c:pt idx="1943">
                  <c:v>52686</c:v>
                </c:pt>
                <c:pt idx="1944">
                  <c:v>52693</c:v>
                </c:pt>
                <c:pt idx="1945">
                  <c:v>52700</c:v>
                </c:pt>
                <c:pt idx="1946">
                  <c:v>52707</c:v>
                </c:pt>
                <c:pt idx="1947">
                  <c:v>52714</c:v>
                </c:pt>
                <c:pt idx="1948">
                  <c:v>52721</c:v>
                </c:pt>
                <c:pt idx="1949">
                  <c:v>52728</c:v>
                </c:pt>
                <c:pt idx="1950">
                  <c:v>52735</c:v>
                </c:pt>
                <c:pt idx="1951">
                  <c:v>52742</c:v>
                </c:pt>
                <c:pt idx="1952">
                  <c:v>52749</c:v>
                </c:pt>
                <c:pt idx="1953">
                  <c:v>52756</c:v>
                </c:pt>
                <c:pt idx="1954">
                  <c:v>52763</c:v>
                </c:pt>
                <c:pt idx="1955">
                  <c:v>52770</c:v>
                </c:pt>
                <c:pt idx="1956">
                  <c:v>52777</c:v>
                </c:pt>
                <c:pt idx="1957">
                  <c:v>52784</c:v>
                </c:pt>
                <c:pt idx="1958">
                  <c:v>52791</c:v>
                </c:pt>
                <c:pt idx="1959">
                  <c:v>52798</c:v>
                </c:pt>
                <c:pt idx="1960">
                  <c:v>52805</c:v>
                </c:pt>
                <c:pt idx="1961">
                  <c:v>52812</c:v>
                </c:pt>
                <c:pt idx="1962">
                  <c:v>52819</c:v>
                </c:pt>
                <c:pt idx="1963">
                  <c:v>52826</c:v>
                </c:pt>
                <c:pt idx="1964">
                  <c:v>52833</c:v>
                </c:pt>
                <c:pt idx="1965">
                  <c:v>52840</c:v>
                </c:pt>
                <c:pt idx="1966">
                  <c:v>52847</c:v>
                </c:pt>
                <c:pt idx="1967">
                  <c:v>52854</c:v>
                </c:pt>
                <c:pt idx="1968">
                  <c:v>52861</c:v>
                </c:pt>
                <c:pt idx="1969">
                  <c:v>52868</c:v>
                </c:pt>
                <c:pt idx="1970">
                  <c:v>52875</c:v>
                </c:pt>
                <c:pt idx="1971">
                  <c:v>52882</c:v>
                </c:pt>
                <c:pt idx="1972">
                  <c:v>52889</c:v>
                </c:pt>
                <c:pt idx="1973">
                  <c:v>52896</c:v>
                </c:pt>
                <c:pt idx="1974">
                  <c:v>52903</c:v>
                </c:pt>
                <c:pt idx="1975">
                  <c:v>52910</c:v>
                </c:pt>
                <c:pt idx="1976">
                  <c:v>52917</c:v>
                </c:pt>
                <c:pt idx="1977">
                  <c:v>52924</c:v>
                </c:pt>
                <c:pt idx="1978">
                  <c:v>52931</c:v>
                </c:pt>
                <c:pt idx="1979">
                  <c:v>52938</c:v>
                </c:pt>
                <c:pt idx="1980">
                  <c:v>52945</c:v>
                </c:pt>
                <c:pt idx="1981">
                  <c:v>52952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53443</c:v>
                </c:pt>
                <c:pt idx="2052">
                  <c:v>53450</c:v>
                </c:pt>
                <c:pt idx="2053">
                  <c:v>53457</c:v>
                </c:pt>
                <c:pt idx="2054">
                  <c:v>53464</c:v>
                </c:pt>
                <c:pt idx="2055">
                  <c:v>53471</c:v>
                </c:pt>
                <c:pt idx="2056">
                  <c:v>53478</c:v>
                </c:pt>
                <c:pt idx="2057">
                  <c:v>53485</c:v>
                </c:pt>
                <c:pt idx="2058">
                  <c:v>53492</c:v>
                </c:pt>
                <c:pt idx="2059">
                  <c:v>53499</c:v>
                </c:pt>
                <c:pt idx="2060">
                  <c:v>53506</c:v>
                </c:pt>
                <c:pt idx="2061">
                  <c:v>53513</c:v>
                </c:pt>
                <c:pt idx="2062">
                  <c:v>53520</c:v>
                </c:pt>
                <c:pt idx="2063">
                  <c:v>53527</c:v>
                </c:pt>
                <c:pt idx="2064">
                  <c:v>53534</c:v>
                </c:pt>
                <c:pt idx="2065">
                  <c:v>53541</c:v>
                </c:pt>
                <c:pt idx="2066">
                  <c:v>53548</c:v>
                </c:pt>
                <c:pt idx="2067">
                  <c:v>53555</c:v>
                </c:pt>
                <c:pt idx="2068">
                  <c:v>53562</c:v>
                </c:pt>
                <c:pt idx="2069">
                  <c:v>53569</c:v>
                </c:pt>
                <c:pt idx="2070">
                  <c:v>53576</c:v>
                </c:pt>
                <c:pt idx="2071">
                  <c:v>53583</c:v>
                </c:pt>
                <c:pt idx="2072">
                  <c:v>53590</c:v>
                </c:pt>
                <c:pt idx="2073">
                  <c:v>53597</c:v>
                </c:pt>
                <c:pt idx="2074">
                  <c:v>53604</c:v>
                </c:pt>
                <c:pt idx="2075">
                  <c:v>53611</c:v>
                </c:pt>
                <c:pt idx="2076">
                  <c:v>53618</c:v>
                </c:pt>
                <c:pt idx="2077">
                  <c:v>53625</c:v>
                </c:pt>
                <c:pt idx="2078">
                  <c:v>53632</c:v>
                </c:pt>
                <c:pt idx="2079">
                  <c:v>53639</c:v>
                </c:pt>
                <c:pt idx="2080">
                  <c:v>53646</c:v>
                </c:pt>
                <c:pt idx="2081">
                  <c:v>53653</c:v>
                </c:pt>
                <c:pt idx="2082">
                  <c:v>53660</c:v>
                </c:pt>
                <c:pt idx="2083">
                  <c:v>53667</c:v>
                </c:pt>
                <c:pt idx="2084">
                  <c:v>53674</c:v>
                </c:pt>
                <c:pt idx="2085">
                  <c:v>53681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53808</c:v>
                </c:pt>
                <c:pt idx="2104">
                  <c:v>53815</c:v>
                </c:pt>
                <c:pt idx="2105">
                  <c:v>53822</c:v>
                </c:pt>
                <c:pt idx="2106">
                  <c:v>53829</c:v>
                </c:pt>
                <c:pt idx="2107">
                  <c:v>53836</c:v>
                </c:pt>
                <c:pt idx="2108">
                  <c:v>53843</c:v>
                </c:pt>
                <c:pt idx="2109">
                  <c:v>53850</c:v>
                </c:pt>
                <c:pt idx="2110">
                  <c:v>53857</c:v>
                </c:pt>
                <c:pt idx="2111">
                  <c:v>53864</c:v>
                </c:pt>
                <c:pt idx="2112">
                  <c:v>53871</c:v>
                </c:pt>
                <c:pt idx="2113">
                  <c:v>53878</c:v>
                </c:pt>
                <c:pt idx="2114">
                  <c:v>53885</c:v>
                </c:pt>
                <c:pt idx="2115">
                  <c:v>53892</c:v>
                </c:pt>
                <c:pt idx="2116">
                  <c:v>53899</c:v>
                </c:pt>
                <c:pt idx="2117">
                  <c:v>53906</c:v>
                </c:pt>
                <c:pt idx="2118">
                  <c:v>53913</c:v>
                </c:pt>
                <c:pt idx="2119">
                  <c:v>53920</c:v>
                </c:pt>
                <c:pt idx="2120">
                  <c:v>53927</c:v>
                </c:pt>
                <c:pt idx="2121">
                  <c:v>53934</c:v>
                </c:pt>
                <c:pt idx="2122">
                  <c:v>53941</c:v>
                </c:pt>
                <c:pt idx="2123">
                  <c:v>53948</c:v>
                </c:pt>
                <c:pt idx="2124">
                  <c:v>53955</c:v>
                </c:pt>
                <c:pt idx="2125">
                  <c:v>53962</c:v>
                </c:pt>
                <c:pt idx="2126">
                  <c:v>53969</c:v>
                </c:pt>
                <c:pt idx="2127">
                  <c:v>53976</c:v>
                </c:pt>
                <c:pt idx="2128">
                  <c:v>53983</c:v>
                </c:pt>
                <c:pt idx="2129">
                  <c:v>53990</c:v>
                </c:pt>
                <c:pt idx="2130">
                  <c:v>53997</c:v>
                </c:pt>
                <c:pt idx="2131">
                  <c:v>54004</c:v>
                </c:pt>
                <c:pt idx="2132">
                  <c:v>54011</c:v>
                </c:pt>
                <c:pt idx="2133">
                  <c:v>54018</c:v>
                </c:pt>
                <c:pt idx="2134">
                  <c:v>54025</c:v>
                </c:pt>
                <c:pt idx="2135">
                  <c:v>54032</c:v>
                </c:pt>
                <c:pt idx="2136">
                  <c:v>54039</c:v>
                </c:pt>
                <c:pt idx="2137">
                  <c:v>54046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54450</c:v>
                </c:pt>
                <c:pt idx="2195">
                  <c:v>54457</c:v>
                </c:pt>
                <c:pt idx="2196">
                  <c:v>54464</c:v>
                </c:pt>
                <c:pt idx="2197">
                  <c:v>54471</c:v>
                </c:pt>
                <c:pt idx="2198">
                  <c:v>54478</c:v>
                </c:pt>
                <c:pt idx="2199">
                  <c:v>54485</c:v>
                </c:pt>
                <c:pt idx="2200">
                  <c:v>54492</c:v>
                </c:pt>
                <c:pt idx="2201">
                  <c:v>54499</c:v>
                </c:pt>
                <c:pt idx="2202">
                  <c:v>54506</c:v>
                </c:pt>
                <c:pt idx="2203">
                  <c:v>54513</c:v>
                </c:pt>
                <c:pt idx="2204">
                  <c:v>54520</c:v>
                </c:pt>
                <c:pt idx="2205">
                  <c:v>54527</c:v>
                </c:pt>
                <c:pt idx="2206">
                  <c:v>54534</c:v>
                </c:pt>
                <c:pt idx="2207">
                  <c:v>54541</c:v>
                </c:pt>
                <c:pt idx="2208">
                  <c:v>54548</c:v>
                </c:pt>
                <c:pt idx="2209">
                  <c:v>54555</c:v>
                </c:pt>
                <c:pt idx="2210">
                  <c:v>54562</c:v>
                </c:pt>
                <c:pt idx="2211">
                  <c:v>54569</c:v>
                </c:pt>
                <c:pt idx="2212">
                  <c:v>54576</c:v>
                </c:pt>
                <c:pt idx="2213">
                  <c:v>54583</c:v>
                </c:pt>
                <c:pt idx="2214">
                  <c:v>54590</c:v>
                </c:pt>
                <c:pt idx="2215">
                  <c:v>54597</c:v>
                </c:pt>
                <c:pt idx="2216">
                  <c:v>54604</c:v>
                </c:pt>
                <c:pt idx="2217">
                  <c:v>54611</c:v>
                </c:pt>
                <c:pt idx="2218">
                  <c:v>54618</c:v>
                </c:pt>
                <c:pt idx="2219">
                  <c:v>54625</c:v>
                </c:pt>
                <c:pt idx="2220">
                  <c:v>54632</c:v>
                </c:pt>
                <c:pt idx="2221">
                  <c:v>54639</c:v>
                </c:pt>
                <c:pt idx="2222">
                  <c:v>54646</c:v>
                </c:pt>
                <c:pt idx="2223">
                  <c:v>54653</c:v>
                </c:pt>
                <c:pt idx="2224">
                  <c:v>54660</c:v>
                </c:pt>
                <c:pt idx="2225">
                  <c:v>54667</c:v>
                </c:pt>
                <c:pt idx="2226">
                  <c:v>54674</c:v>
                </c:pt>
                <c:pt idx="2227">
                  <c:v>54681</c:v>
                </c:pt>
                <c:pt idx="2228">
                  <c:v>54688</c:v>
                </c:pt>
                <c:pt idx="2229">
                  <c:v>54695</c:v>
                </c:pt>
                <c:pt idx="2230">
                  <c:v>54702</c:v>
                </c:pt>
                <c:pt idx="2231">
                  <c:v>54709</c:v>
                </c:pt>
                <c:pt idx="2232">
                  <c:v>54716</c:v>
                </c:pt>
                <c:pt idx="2233">
                  <c:v>54723</c:v>
                </c:pt>
                <c:pt idx="2234">
                  <c:v>54730</c:v>
                </c:pt>
                <c:pt idx="2235">
                  <c:v>54737</c:v>
                </c:pt>
                <c:pt idx="2236">
                  <c:v>54744</c:v>
                </c:pt>
                <c:pt idx="2237">
                  <c:v>54751</c:v>
                </c:pt>
                <c:pt idx="2238">
                  <c:v>54758</c:v>
                </c:pt>
                <c:pt idx="2239">
                  <c:v>54765</c:v>
                </c:pt>
                <c:pt idx="2240">
                  <c:v>54772</c:v>
                </c:pt>
                <c:pt idx="2241">
                  <c:v>54779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55254</c:v>
                </c:pt>
                <c:pt idx="2309">
                  <c:v>55261</c:v>
                </c:pt>
                <c:pt idx="2310">
                  <c:v>55269</c:v>
                </c:pt>
                <c:pt idx="2311">
                  <c:v>55276</c:v>
                </c:pt>
                <c:pt idx="2312">
                  <c:v>55283</c:v>
                </c:pt>
                <c:pt idx="2313">
                  <c:v>55290</c:v>
                </c:pt>
                <c:pt idx="2314">
                  <c:v>55297</c:v>
                </c:pt>
                <c:pt idx="2315">
                  <c:v>55304</c:v>
                </c:pt>
                <c:pt idx="2316">
                  <c:v>55311</c:v>
                </c:pt>
                <c:pt idx="2317">
                  <c:v>55318</c:v>
                </c:pt>
                <c:pt idx="2318">
                  <c:v>55325</c:v>
                </c:pt>
                <c:pt idx="2319">
                  <c:v>55332</c:v>
                </c:pt>
                <c:pt idx="2320">
                  <c:v>55339</c:v>
                </c:pt>
                <c:pt idx="2321">
                  <c:v>55346</c:v>
                </c:pt>
                <c:pt idx="2322">
                  <c:v>55353</c:v>
                </c:pt>
                <c:pt idx="2323">
                  <c:v>55360</c:v>
                </c:pt>
                <c:pt idx="2324">
                  <c:v>55367</c:v>
                </c:pt>
                <c:pt idx="2325">
                  <c:v>55374</c:v>
                </c:pt>
                <c:pt idx="2326">
                  <c:v>55381</c:v>
                </c:pt>
                <c:pt idx="2327">
                  <c:v>55388</c:v>
                </c:pt>
                <c:pt idx="2328">
                  <c:v>55395</c:v>
                </c:pt>
                <c:pt idx="2329">
                  <c:v>55402</c:v>
                </c:pt>
                <c:pt idx="2330">
                  <c:v>55409</c:v>
                </c:pt>
                <c:pt idx="2331">
                  <c:v>55416</c:v>
                </c:pt>
                <c:pt idx="2332">
                  <c:v>55423</c:v>
                </c:pt>
                <c:pt idx="2333">
                  <c:v>55430</c:v>
                </c:pt>
                <c:pt idx="2334">
                  <c:v>55437</c:v>
                </c:pt>
                <c:pt idx="2335">
                  <c:v>55444</c:v>
                </c:pt>
                <c:pt idx="2336">
                  <c:v>55451</c:v>
                </c:pt>
                <c:pt idx="2337">
                  <c:v>55458</c:v>
                </c:pt>
                <c:pt idx="2338">
                  <c:v>55465</c:v>
                </c:pt>
                <c:pt idx="2339">
                  <c:v>55472</c:v>
                </c:pt>
                <c:pt idx="2340">
                  <c:v>55479</c:v>
                </c:pt>
                <c:pt idx="2341">
                  <c:v>55486</c:v>
                </c:pt>
                <c:pt idx="2342">
                  <c:v>55493</c:v>
                </c:pt>
                <c:pt idx="2343">
                  <c:v>55500</c:v>
                </c:pt>
                <c:pt idx="2344">
                  <c:v>55507</c:v>
                </c:pt>
                <c:pt idx="2345">
                  <c:v>55514</c:v>
                </c:pt>
                <c:pt idx="2346">
                  <c:v>55521</c:v>
                </c:pt>
                <c:pt idx="2347">
                  <c:v>55528</c:v>
                </c:pt>
                <c:pt idx="2348">
                  <c:v>55535</c:v>
                </c:pt>
                <c:pt idx="2349">
                  <c:v>55542</c:v>
                </c:pt>
                <c:pt idx="2350">
                  <c:v>55549</c:v>
                </c:pt>
                <c:pt idx="2351">
                  <c:v>55556</c:v>
                </c:pt>
                <c:pt idx="2352">
                  <c:v>55563</c:v>
                </c:pt>
                <c:pt idx="2353">
                  <c:v>55570</c:v>
                </c:pt>
                <c:pt idx="2354">
                  <c:v>55577</c:v>
                </c:pt>
                <c:pt idx="2355">
                  <c:v>55584</c:v>
                </c:pt>
                <c:pt idx="2356">
                  <c:v>55591</c:v>
                </c:pt>
                <c:pt idx="2357">
                  <c:v>55598</c:v>
                </c:pt>
                <c:pt idx="2358">
                  <c:v>55605</c:v>
                </c:pt>
                <c:pt idx="2359">
                  <c:v>55612</c:v>
                </c:pt>
                <c:pt idx="2360">
                  <c:v>55619</c:v>
                </c:pt>
                <c:pt idx="2361">
                  <c:v>55626</c:v>
                </c:pt>
                <c:pt idx="2362">
                  <c:v>55633</c:v>
                </c:pt>
                <c:pt idx="2363">
                  <c:v>55640</c:v>
                </c:pt>
                <c:pt idx="2364">
                  <c:v>55647</c:v>
                </c:pt>
                <c:pt idx="2365">
                  <c:v>55654</c:v>
                </c:pt>
                <c:pt idx="2366">
                  <c:v>55661</c:v>
                </c:pt>
                <c:pt idx="2367">
                  <c:v>55668</c:v>
                </c:pt>
                <c:pt idx="2368">
                  <c:v>55675</c:v>
                </c:pt>
                <c:pt idx="2369">
                  <c:v>55682</c:v>
                </c:pt>
                <c:pt idx="2370">
                  <c:v>55689</c:v>
                </c:pt>
                <c:pt idx="2371">
                  <c:v>55696</c:v>
                </c:pt>
                <c:pt idx="2372">
                  <c:v>55703</c:v>
                </c:pt>
                <c:pt idx="2373">
                  <c:v>55710</c:v>
                </c:pt>
                <c:pt idx="2374">
                  <c:v>55717</c:v>
                </c:pt>
                <c:pt idx="2375">
                  <c:v>55724</c:v>
                </c:pt>
                <c:pt idx="2376">
                  <c:v>55731</c:v>
                </c:pt>
                <c:pt idx="2377">
                  <c:v>55738</c:v>
                </c:pt>
                <c:pt idx="2378">
                  <c:v>55745</c:v>
                </c:pt>
                <c:pt idx="2379">
                  <c:v>55752</c:v>
                </c:pt>
                <c:pt idx="2380">
                  <c:v>55759</c:v>
                </c:pt>
                <c:pt idx="2381">
                  <c:v>55766</c:v>
                </c:pt>
                <c:pt idx="2382">
                  <c:v>55773</c:v>
                </c:pt>
                <c:pt idx="2383">
                  <c:v>55780</c:v>
                </c:pt>
                <c:pt idx="2384">
                  <c:v>55787</c:v>
                </c:pt>
                <c:pt idx="2385">
                  <c:v>55794</c:v>
                </c:pt>
                <c:pt idx="2386">
                  <c:v>55801</c:v>
                </c:pt>
                <c:pt idx="2387">
                  <c:v>55808</c:v>
                </c:pt>
                <c:pt idx="2388">
                  <c:v>55815</c:v>
                </c:pt>
                <c:pt idx="2389">
                  <c:v>55822</c:v>
                </c:pt>
                <c:pt idx="2390">
                  <c:v>55829</c:v>
                </c:pt>
                <c:pt idx="2391">
                  <c:v>55836</c:v>
                </c:pt>
                <c:pt idx="2392">
                  <c:v>55843</c:v>
                </c:pt>
                <c:pt idx="2393">
                  <c:v>55850</c:v>
                </c:pt>
                <c:pt idx="2394">
                  <c:v>55857</c:v>
                </c:pt>
                <c:pt idx="2395">
                  <c:v>55864</c:v>
                </c:pt>
                <c:pt idx="2396">
                  <c:v>55871</c:v>
                </c:pt>
                <c:pt idx="2397">
                  <c:v>55880</c:v>
                </c:pt>
                <c:pt idx="2398">
                  <c:v>55887</c:v>
                </c:pt>
                <c:pt idx="2399">
                  <c:v>55894</c:v>
                </c:pt>
                <c:pt idx="2400">
                  <c:v>55901</c:v>
                </c:pt>
                <c:pt idx="2401">
                  <c:v>55908</c:v>
                </c:pt>
                <c:pt idx="2402">
                  <c:v>55915</c:v>
                </c:pt>
                <c:pt idx="2403">
                  <c:v>55922</c:v>
                </c:pt>
                <c:pt idx="2404">
                  <c:v>55929</c:v>
                </c:pt>
                <c:pt idx="2405">
                  <c:v>55936</c:v>
                </c:pt>
                <c:pt idx="2406">
                  <c:v>55943</c:v>
                </c:pt>
                <c:pt idx="2407">
                  <c:v>55950</c:v>
                </c:pt>
                <c:pt idx="2408">
                  <c:v>55957</c:v>
                </c:pt>
                <c:pt idx="2409">
                  <c:v>55964</c:v>
                </c:pt>
                <c:pt idx="2410">
                  <c:v>55971</c:v>
                </c:pt>
                <c:pt idx="2411">
                  <c:v>55982</c:v>
                </c:pt>
                <c:pt idx="2412">
                  <c:v>55989</c:v>
                </c:pt>
                <c:pt idx="2413">
                  <c:v>55996</c:v>
                </c:pt>
                <c:pt idx="2414">
                  <c:v>56003</c:v>
                </c:pt>
                <c:pt idx="2415">
                  <c:v>56010</c:v>
                </c:pt>
                <c:pt idx="2416">
                  <c:v>56017</c:v>
                </c:pt>
                <c:pt idx="2417">
                  <c:v>56024</c:v>
                </c:pt>
                <c:pt idx="2418">
                  <c:v>56031</c:v>
                </c:pt>
                <c:pt idx="2419">
                  <c:v>56038</c:v>
                </c:pt>
                <c:pt idx="2420">
                  <c:v>56045</c:v>
                </c:pt>
                <c:pt idx="2421">
                  <c:v>56052</c:v>
                </c:pt>
                <c:pt idx="2422">
                  <c:v>56059</c:v>
                </c:pt>
                <c:pt idx="2423">
                  <c:v>56066</c:v>
                </c:pt>
                <c:pt idx="2424">
                  <c:v>56073</c:v>
                </c:pt>
                <c:pt idx="2425">
                  <c:v>56080</c:v>
                </c:pt>
                <c:pt idx="2426">
                  <c:v>56087</c:v>
                </c:pt>
                <c:pt idx="2427">
                  <c:v>56094</c:v>
                </c:pt>
                <c:pt idx="2428">
                  <c:v>56101</c:v>
                </c:pt>
                <c:pt idx="2429">
                  <c:v>56108</c:v>
                </c:pt>
                <c:pt idx="2430">
                  <c:v>56115</c:v>
                </c:pt>
                <c:pt idx="2431">
                  <c:v>56122</c:v>
                </c:pt>
                <c:pt idx="2432">
                  <c:v>56129</c:v>
                </c:pt>
                <c:pt idx="2433">
                  <c:v>56136</c:v>
                </c:pt>
                <c:pt idx="2434">
                  <c:v>56143</c:v>
                </c:pt>
                <c:pt idx="2435">
                  <c:v>56150</c:v>
                </c:pt>
                <c:pt idx="2436">
                  <c:v>56157</c:v>
                </c:pt>
                <c:pt idx="2437">
                  <c:v>56164</c:v>
                </c:pt>
                <c:pt idx="2438">
                  <c:v>56171</c:v>
                </c:pt>
                <c:pt idx="2439">
                  <c:v>56178</c:v>
                </c:pt>
                <c:pt idx="2440">
                  <c:v>56185</c:v>
                </c:pt>
                <c:pt idx="2441">
                  <c:v>56192</c:v>
                </c:pt>
                <c:pt idx="2442">
                  <c:v>56199</c:v>
                </c:pt>
                <c:pt idx="2443">
                  <c:v>56206</c:v>
                </c:pt>
                <c:pt idx="2444">
                  <c:v>56213</c:v>
                </c:pt>
                <c:pt idx="2445">
                  <c:v>56220</c:v>
                </c:pt>
                <c:pt idx="2446">
                  <c:v>56227</c:v>
                </c:pt>
                <c:pt idx="2447">
                  <c:v>56234</c:v>
                </c:pt>
                <c:pt idx="2448">
                  <c:v>56241</c:v>
                </c:pt>
                <c:pt idx="2449">
                  <c:v>56248</c:v>
                </c:pt>
                <c:pt idx="2450">
                  <c:v>56255</c:v>
                </c:pt>
                <c:pt idx="2451">
                  <c:v>56262</c:v>
                </c:pt>
                <c:pt idx="2452">
                  <c:v>56269</c:v>
                </c:pt>
                <c:pt idx="2453">
                  <c:v>56276</c:v>
                </c:pt>
                <c:pt idx="2454">
                  <c:v>56283</c:v>
                </c:pt>
                <c:pt idx="2455">
                  <c:v>56290</c:v>
                </c:pt>
                <c:pt idx="2456">
                  <c:v>56297</c:v>
                </c:pt>
                <c:pt idx="2457">
                  <c:v>56304</c:v>
                </c:pt>
                <c:pt idx="2458">
                  <c:v>56311</c:v>
                </c:pt>
                <c:pt idx="2459">
                  <c:v>56318</c:v>
                </c:pt>
                <c:pt idx="2460">
                  <c:v>56325</c:v>
                </c:pt>
                <c:pt idx="2461">
                  <c:v>56332</c:v>
                </c:pt>
                <c:pt idx="2462">
                  <c:v>56339</c:v>
                </c:pt>
                <c:pt idx="2463">
                  <c:v>56346</c:v>
                </c:pt>
                <c:pt idx="2464">
                  <c:v>56353</c:v>
                </c:pt>
                <c:pt idx="2465">
                  <c:v>56360</c:v>
                </c:pt>
                <c:pt idx="2466">
                  <c:v>56367</c:v>
                </c:pt>
                <c:pt idx="2467">
                  <c:v>56374</c:v>
                </c:pt>
                <c:pt idx="2468">
                  <c:v>56381</c:v>
                </c:pt>
                <c:pt idx="2469">
                  <c:v>56388</c:v>
                </c:pt>
                <c:pt idx="2470">
                  <c:v>56395</c:v>
                </c:pt>
                <c:pt idx="2471">
                  <c:v>56402</c:v>
                </c:pt>
                <c:pt idx="2472">
                  <c:v>56409</c:v>
                </c:pt>
                <c:pt idx="2473">
                  <c:v>56416</c:v>
                </c:pt>
                <c:pt idx="2474">
                  <c:v>56423</c:v>
                </c:pt>
                <c:pt idx="2475">
                  <c:v>56430</c:v>
                </c:pt>
                <c:pt idx="2476">
                  <c:v>56437</c:v>
                </c:pt>
                <c:pt idx="2477">
                  <c:v>56444</c:v>
                </c:pt>
                <c:pt idx="2478">
                  <c:v>56451</c:v>
                </c:pt>
                <c:pt idx="2479">
                  <c:v>56458</c:v>
                </c:pt>
                <c:pt idx="2480">
                  <c:v>56465</c:v>
                </c:pt>
                <c:pt idx="2481">
                  <c:v>56472</c:v>
                </c:pt>
                <c:pt idx="2482">
                  <c:v>56479</c:v>
                </c:pt>
                <c:pt idx="2483">
                  <c:v>56486</c:v>
                </c:pt>
                <c:pt idx="2484">
                  <c:v>56493</c:v>
                </c:pt>
                <c:pt idx="2485">
                  <c:v>56500</c:v>
                </c:pt>
                <c:pt idx="2486">
                  <c:v>56507</c:v>
                </c:pt>
                <c:pt idx="2487">
                  <c:v>56514</c:v>
                </c:pt>
                <c:pt idx="2488">
                  <c:v>56521</c:v>
                </c:pt>
                <c:pt idx="2489">
                  <c:v>56528</c:v>
                </c:pt>
                <c:pt idx="2490">
                  <c:v>56535</c:v>
                </c:pt>
                <c:pt idx="2491">
                  <c:v>56542</c:v>
                </c:pt>
                <c:pt idx="2492">
                  <c:v>56549</c:v>
                </c:pt>
                <c:pt idx="2493">
                  <c:v>56556</c:v>
                </c:pt>
                <c:pt idx="2494">
                  <c:v>56563</c:v>
                </c:pt>
                <c:pt idx="2495">
                  <c:v>56570</c:v>
                </c:pt>
                <c:pt idx="2496">
                  <c:v>56577</c:v>
                </c:pt>
                <c:pt idx="2497">
                  <c:v>56584</c:v>
                </c:pt>
                <c:pt idx="2498">
                  <c:v>56591</c:v>
                </c:pt>
                <c:pt idx="2499">
                  <c:v>56598</c:v>
                </c:pt>
                <c:pt idx="2500">
                  <c:v>56605</c:v>
                </c:pt>
                <c:pt idx="2501">
                  <c:v>56612</c:v>
                </c:pt>
                <c:pt idx="2502">
                  <c:v>56619</c:v>
                </c:pt>
                <c:pt idx="2503">
                  <c:v>56626</c:v>
                </c:pt>
                <c:pt idx="2504">
                  <c:v>56633</c:v>
                </c:pt>
                <c:pt idx="2505">
                  <c:v>56641</c:v>
                </c:pt>
                <c:pt idx="2506">
                  <c:v>56648</c:v>
                </c:pt>
                <c:pt idx="2507">
                  <c:v>56655</c:v>
                </c:pt>
                <c:pt idx="2508">
                  <c:v>56662</c:v>
                </c:pt>
                <c:pt idx="2509">
                  <c:v>56669</c:v>
                </c:pt>
                <c:pt idx="2510">
                  <c:v>56676</c:v>
                </c:pt>
                <c:pt idx="2511">
                  <c:v>56683</c:v>
                </c:pt>
                <c:pt idx="2512">
                  <c:v>56690</c:v>
                </c:pt>
                <c:pt idx="2513">
                  <c:v>56697</c:v>
                </c:pt>
                <c:pt idx="2514">
                  <c:v>56704</c:v>
                </c:pt>
                <c:pt idx="2515">
                  <c:v>56711</c:v>
                </c:pt>
                <c:pt idx="2516">
                  <c:v>56718</c:v>
                </c:pt>
                <c:pt idx="2517">
                  <c:v>56725</c:v>
                </c:pt>
                <c:pt idx="2518">
                  <c:v>56732</c:v>
                </c:pt>
                <c:pt idx="2519">
                  <c:v>56739</c:v>
                </c:pt>
                <c:pt idx="2520">
                  <c:v>56746</c:v>
                </c:pt>
                <c:pt idx="2521">
                  <c:v>56753</c:v>
                </c:pt>
                <c:pt idx="2522">
                  <c:v>56760</c:v>
                </c:pt>
                <c:pt idx="2523">
                  <c:v>56767</c:v>
                </c:pt>
                <c:pt idx="2524">
                  <c:v>56774</c:v>
                </c:pt>
                <c:pt idx="2525">
                  <c:v>56781</c:v>
                </c:pt>
                <c:pt idx="2526">
                  <c:v>56788</c:v>
                </c:pt>
                <c:pt idx="2527">
                  <c:v>56795</c:v>
                </c:pt>
                <c:pt idx="2528">
                  <c:v>56802</c:v>
                </c:pt>
                <c:pt idx="2529">
                  <c:v>56809</c:v>
                </c:pt>
                <c:pt idx="2530">
                  <c:v>56816</c:v>
                </c:pt>
                <c:pt idx="2531">
                  <c:v>56823</c:v>
                </c:pt>
                <c:pt idx="2532">
                  <c:v>56830</c:v>
                </c:pt>
                <c:pt idx="2533">
                  <c:v>56837</c:v>
                </c:pt>
                <c:pt idx="2534">
                  <c:v>56844</c:v>
                </c:pt>
                <c:pt idx="2535">
                  <c:v>56851</c:v>
                </c:pt>
                <c:pt idx="2536">
                  <c:v>56858</c:v>
                </c:pt>
                <c:pt idx="2537">
                  <c:v>56865</c:v>
                </c:pt>
                <c:pt idx="2538">
                  <c:v>56872</c:v>
                </c:pt>
                <c:pt idx="2539">
                  <c:v>56879</c:v>
                </c:pt>
                <c:pt idx="2540">
                  <c:v>56886</c:v>
                </c:pt>
                <c:pt idx="2541">
                  <c:v>56893</c:v>
                </c:pt>
                <c:pt idx="2542">
                  <c:v>56900</c:v>
                </c:pt>
                <c:pt idx="2543">
                  <c:v>56907</c:v>
                </c:pt>
                <c:pt idx="2544">
                  <c:v>56914</c:v>
                </c:pt>
                <c:pt idx="2545">
                  <c:v>56921</c:v>
                </c:pt>
                <c:pt idx="2546">
                  <c:v>56928</c:v>
                </c:pt>
                <c:pt idx="2547">
                  <c:v>56935</c:v>
                </c:pt>
                <c:pt idx="2548">
                  <c:v>56942</c:v>
                </c:pt>
                <c:pt idx="2549">
                  <c:v>56949</c:v>
                </c:pt>
                <c:pt idx="2550">
                  <c:v>56956</c:v>
                </c:pt>
                <c:pt idx="2551">
                  <c:v>56963</c:v>
                </c:pt>
                <c:pt idx="2552">
                  <c:v>56970</c:v>
                </c:pt>
                <c:pt idx="2553">
                  <c:v>56977</c:v>
                </c:pt>
                <c:pt idx="2554">
                  <c:v>56984</c:v>
                </c:pt>
                <c:pt idx="2555">
                  <c:v>56991</c:v>
                </c:pt>
                <c:pt idx="2556">
                  <c:v>56998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57342</c:v>
                </c:pt>
                <c:pt idx="2606">
                  <c:v>57349</c:v>
                </c:pt>
                <c:pt idx="2607">
                  <c:v>57356</c:v>
                </c:pt>
                <c:pt idx="2608">
                  <c:v>57363</c:v>
                </c:pt>
                <c:pt idx="2609">
                  <c:v>57370</c:v>
                </c:pt>
                <c:pt idx="2610">
                  <c:v>57377</c:v>
                </c:pt>
                <c:pt idx="2611">
                  <c:v>57384</c:v>
                </c:pt>
                <c:pt idx="2612">
                  <c:v>57391</c:v>
                </c:pt>
                <c:pt idx="2613">
                  <c:v>57398</c:v>
                </c:pt>
                <c:pt idx="2614">
                  <c:v>57405</c:v>
                </c:pt>
                <c:pt idx="2615">
                  <c:v>57412</c:v>
                </c:pt>
                <c:pt idx="2616">
                  <c:v>57419</c:v>
                </c:pt>
                <c:pt idx="2617">
                  <c:v>57426</c:v>
                </c:pt>
                <c:pt idx="2618">
                  <c:v>57433</c:v>
                </c:pt>
                <c:pt idx="2619">
                  <c:v>57440</c:v>
                </c:pt>
                <c:pt idx="2620">
                  <c:v>57447</c:v>
                </c:pt>
                <c:pt idx="2621">
                  <c:v>57454</c:v>
                </c:pt>
                <c:pt idx="2622">
                  <c:v>57461</c:v>
                </c:pt>
                <c:pt idx="2623">
                  <c:v>57468</c:v>
                </c:pt>
                <c:pt idx="2624">
                  <c:v>57475</c:v>
                </c:pt>
                <c:pt idx="2625">
                  <c:v>57482</c:v>
                </c:pt>
                <c:pt idx="2626">
                  <c:v>57489</c:v>
                </c:pt>
                <c:pt idx="2627">
                  <c:v>57496</c:v>
                </c:pt>
                <c:pt idx="2628">
                  <c:v>57503</c:v>
                </c:pt>
                <c:pt idx="2629">
                  <c:v>57510</c:v>
                </c:pt>
                <c:pt idx="2630">
                  <c:v>57517</c:v>
                </c:pt>
                <c:pt idx="2631">
                  <c:v>57524</c:v>
                </c:pt>
                <c:pt idx="2632">
                  <c:v>57531</c:v>
                </c:pt>
                <c:pt idx="2633">
                  <c:v>57538</c:v>
                </c:pt>
                <c:pt idx="2634">
                  <c:v>57545</c:v>
                </c:pt>
                <c:pt idx="2635">
                  <c:v>57552</c:v>
                </c:pt>
                <c:pt idx="2636">
                  <c:v>57559</c:v>
                </c:pt>
                <c:pt idx="2637">
                  <c:v>57566</c:v>
                </c:pt>
                <c:pt idx="2638">
                  <c:v>57573</c:v>
                </c:pt>
                <c:pt idx="2639">
                  <c:v>57580</c:v>
                </c:pt>
                <c:pt idx="2640">
                  <c:v>57587</c:v>
                </c:pt>
                <c:pt idx="2641">
                  <c:v>57594</c:v>
                </c:pt>
                <c:pt idx="2642">
                  <c:v>57601</c:v>
                </c:pt>
                <c:pt idx="2643">
                  <c:v>57608</c:v>
                </c:pt>
                <c:pt idx="2644">
                  <c:v>57615</c:v>
                </c:pt>
                <c:pt idx="2645">
                  <c:v>57622</c:v>
                </c:pt>
                <c:pt idx="2646">
                  <c:v>57629</c:v>
                </c:pt>
                <c:pt idx="2647">
                  <c:v>57636</c:v>
                </c:pt>
                <c:pt idx="2648">
                  <c:v>57643</c:v>
                </c:pt>
                <c:pt idx="2649">
                  <c:v>57650</c:v>
                </c:pt>
                <c:pt idx="2650">
                  <c:v>57657</c:v>
                </c:pt>
                <c:pt idx="2651">
                  <c:v>57664</c:v>
                </c:pt>
                <c:pt idx="2652">
                  <c:v>57671</c:v>
                </c:pt>
                <c:pt idx="2653">
                  <c:v>57678</c:v>
                </c:pt>
                <c:pt idx="2654">
                  <c:v>57685</c:v>
                </c:pt>
                <c:pt idx="2655">
                  <c:v>57692</c:v>
                </c:pt>
                <c:pt idx="2656">
                  <c:v>57699</c:v>
                </c:pt>
                <c:pt idx="2657">
                  <c:v>57706</c:v>
                </c:pt>
                <c:pt idx="2658">
                  <c:v>57713</c:v>
                </c:pt>
                <c:pt idx="2659">
                  <c:v>57720</c:v>
                </c:pt>
                <c:pt idx="2660">
                  <c:v>57727</c:v>
                </c:pt>
                <c:pt idx="2661">
                  <c:v>57734</c:v>
                </c:pt>
                <c:pt idx="2662">
                  <c:v>57741</c:v>
                </c:pt>
                <c:pt idx="2663">
                  <c:v>57748</c:v>
                </c:pt>
                <c:pt idx="2664">
                  <c:v>57755</c:v>
                </c:pt>
                <c:pt idx="2665">
                  <c:v>57762</c:v>
                </c:pt>
                <c:pt idx="2666">
                  <c:v>57769</c:v>
                </c:pt>
                <c:pt idx="2667">
                  <c:v>57776</c:v>
                </c:pt>
                <c:pt idx="2668">
                  <c:v>57783</c:v>
                </c:pt>
                <c:pt idx="2669">
                  <c:v>57790</c:v>
                </c:pt>
                <c:pt idx="2670">
                  <c:v>57797</c:v>
                </c:pt>
                <c:pt idx="2671">
                  <c:v>57804</c:v>
                </c:pt>
                <c:pt idx="2672">
                  <c:v>57811</c:v>
                </c:pt>
                <c:pt idx="2673">
                  <c:v>57818</c:v>
                </c:pt>
                <c:pt idx="2674">
                  <c:v>57826</c:v>
                </c:pt>
                <c:pt idx="2675">
                  <c:v>57833</c:v>
                </c:pt>
                <c:pt idx="2676">
                  <c:v>57840</c:v>
                </c:pt>
                <c:pt idx="2677">
                  <c:v>57847</c:v>
                </c:pt>
                <c:pt idx="2678">
                  <c:v>57854</c:v>
                </c:pt>
                <c:pt idx="2679">
                  <c:v>57861</c:v>
                </c:pt>
                <c:pt idx="2680">
                  <c:v>57868</c:v>
                </c:pt>
                <c:pt idx="2681">
                  <c:v>57875</c:v>
                </c:pt>
                <c:pt idx="2682">
                  <c:v>57882</c:v>
                </c:pt>
                <c:pt idx="2683">
                  <c:v>57889</c:v>
                </c:pt>
                <c:pt idx="2684">
                  <c:v>57896</c:v>
                </c:pt>
                <c:pt idx="2685">
                  <c:v>57903</c:v>
                </c:pt>
                <c:pt idx="2686">
                  <c:v>57910</c:v>
                </c:pt>
                <c:pt idx="2687">
                  <c:v>57917</c:v>
                </c:pt>
                <c:pt idx="2688">
                  <c:v>57924</c:v>
                </c:pt>
                <c:pt idx="2689">
                  <c:v>57931</c:v>
                </c:pt>
                <c:pt idx="2690">
                  <c:v>57938</c:v>
                </c:pt>
                <c:pt idx="2691">
                  <c:v>57945</c:v>
                </c:pt>
                <c:pt idx="2692">
                  <c:v>57952</c:v>
                </c:pt>
                <c:pt idx="2693">
                  <c:v>57959</c:v>
                </c:pt>
                <c:pt idx="2694">
                  <c:v>57966</c:v>
                </c:pt>
                <c:pt idx="2695">
                  <c:v>57973</c:v>
                </c:pt>
                <c:pt idx="2696">
                  <c:v>57980</c:v>
                </c:pt>
                <c:pt idx="2697">
                  <c:v>57987</c:v>
                </c:pt>
                <c:pt idx="2698">
                  <c:v>57994</c:v>
                </c:pt>
                <c:pt idx="2699">
                  <c:v>58001</c:v>
                </c:pt>
                <c:pt idx="2700">
                  <c:v>58008</c:v>
                </c:pt>
                <c:pt idx="2701">
                  <c:v>58015</c:v>
                </c:pt>
                <c:pt idx="2702">
                  <c:v>58022</c:v>
                </c:pt>
                <c:pt idx="2703">
                  <c:v>58029</c:v>
                </c:pt>
                <c:pt idx="2704">
                  <c:v>58036</c:v>
                </c:pt>
                <c:pt idx="2705">
                  <c:v>58043</c:v>
                </c:pt>
                <c:pt idx="2706">
                  <c:v>58050</c:v>
                </c:pt>
                <c:pt idx="2707">
                  <c:v>58057</c:v>
                </c:pt>
                <c:pt idx="2708">
                  <c:v>58064</c:v>
                </c:pt>
                <c:pt idx="2709">
                  <c:v>58071</c:v>
                </c:pt>
                <c:pt idx="2710">
                  <c:v>58078</c:v>
                </c:pt>
                <c:pt idx="2711">
                  <c:v>58085</c:v>
                </c:pt>
                <c:pt idx="2712">
                  <c:v>58092</c:v>
                </c:pt>
                <c:pt idx="2713">
                  <c:v>58099</c:v>
                </c:pt>
                <c:pt idx="2714">
                  <c:v>58106</c:v>
                </c:pt>
                <c:pt idx="2715">
                  <c:v>58113</c:v>
                </c:pt>
                <c:pt idx="2716">
                  <c:v>58120</c:v>
                </c:pt>
                <c:pt idx="2717">
                  <c:v>58127</c:v>
                </c:pt>
                <c:pt idx="2718">
                  <c:v>58134</c:v>
                </c:pt>
                <c:pt idx="2719">
                  <c:v>58141</c:v>
                </c:pt>
                <c:pt idx="2720">
                  <c:v>58148</c:v>
                </c:pt>
                <c:pt idx="2721">
                  <c:v>58155</c:v>
                </c:pt>
                <c:pt idx="2722">
                  <c:v>58166</c:v>
                </c:pt>
                <c:pt idx="2723">
                  <c:v>58173</c:v>
                </c:pt>
                <c:pt idx="2724">
                  <c:v>58180</c:v>
                </c:pt>
                <c:pt idx="2725">
                  <c:v>58187</c:v>
                </c:pt>
                <c:pt idx="2726">
                  <c:v>58194</c:v>
                </c:pt>
                <c:pt idx="2727">
                  <c:v>58201</c:v>
                </c:pt>
                <c:pt idx="2728">
                  <c:v>58208</c:v>
                </c:pt>
                <c:pt idx="2729">
                  <c:v>58215</c:v>
                </c:pt>
                <c:pt idx="2730">
                  <c:v>58222</c:v>
                </c:pt>
                <c:pt idx="2731">
                  <c:v>58229</c:v>
                </c:pt>
                <c:pt idx="2732">
                  <c:v>58236</c:v>
                </c:pt>
                <c:pt idx="2733">
                  <c:v>58243</c:v>
                </c:pt>
                <c:pt idx="2734">
                  <c:v>58250</c:v>
                </c:pt>
                <c:pt idx="2735">
                  <c:v>58257</c:v>
                </c:pt>
                <c:pt idx="2736">
                  <c:v>58264</c:v>
                </c:pt>
                <c:pt idx="2737">
                  <c:v>58271</c:v>
                </c:pt>
                <c:pt idx="2738">
                  <c:v>58278</c:v>
                </c:pt>
                <c:pt idx="2739">
                  <c:v>58285</c:v>
                </c:pt>
                <c:pt idx="2740">
                  <c:v>58292</c:v>
                </c:pt>
                <c:pt idx="2741">
                  <c:v>58299</c:v>
                </c:pt>
                <c:pt idx="2742">
                  <c:v>58306</c:v>
                </c:pt>
                <c:pt idx="2743">
                  <c:v>58313</c:v>
                </c:pt>
                <c:pt idx="2744">
                  <c:v>58320</c:v>
                </c:pt>
                <c:pt idx="2745">
                  <c:v>58327</c:v>
                </c:pt>
                <c:pt idx="2746">
                  <c:v>58334</c:v>
                </c:pt>
                <c:pt idx="2747">
                  <c:v>58341</c:v>
                </c:pt>
                <c:pt idx="2748">
                  <c:v>58348</c:v>
                </c:pt>
                <c:pt idx="2749">
                  <c:v>58355</c:v>
                </c:pt>
                <c:pt idx="2750">
                  <c:v>58362</c:v>
                </c:pt>
                <c:pt idx="2751">
                  <c:v>58369</c:v>
                </c:pt>
                <c:pt idx="2752">
                  <c:v>58376</c:v>
                </c:pt>
                <c:pt idx="2753">
                  <c:v>58383</c:v>
                </c:pt>
                <c:pt idx="2754">
                  <c:v>58390</c:v>
                </c:pt>
                <c:pt idx="2755">
                  <c:v>58397</c:v>
                </c:pt>
                <c:pt idx="2756">
                  <c:v>58404</c:v>
                </c:pt>
                <c:pt idx="2757">
                  <c:v>58411</c:v>
                </c:pt>
                <c:pt idx="2758">
                  <c:v>58418</c:v>
                </c:pt>
                <c:pt idx="2759">
                  <c:v>58425</c:v>
                </c:pt>
                <c:pt idx="2760">
                  <c:v>58432</c:v>
                </c:pt>
                <c:pt idx="2761">
                  <c:v>58439</c:v>
                </c:pt>
                <c:pt idx="2762">
                  <c:v>58446</c:v>
                </c:pt>
                <c:pt idx="2763">
                  <c:v>58453</c:v>
                </c:pt>
                <c:pt idx="2764">
                  <c:v>58460</c:v>
                </c:pt>
                <c:pt idx="2765">
                  <c:v>58467</c:v>
                </c:pt>
                <c:pt idx="2766">
                  <c:v>58474</c:v>
                </c:pt>
                <c:pt idx="2767">
                  <c:v>58481</c:v>
                </c:pt>
                <c:pt idx="2768">
                  <c:v>58488</c:v>
                </c:pt>
                <c:pt idx="2769">
                  <c:v>58495</c:v>
                </c:pt>
                <c:pt idx="2770">
                  <c:v>58502</c:v>
                </c:pt>
                <c:pt idx="2771">
                  <c:v>58509</c:v>
                </c:pt>
                <c:pt idx="2772">
                  <c:v>58516</c:v>
                </c:pt>
                <c:pt idx="2773">
                  <c:v>58523</c:v>
                </c:pt>
                <c:pt idx="2774">
                  <c:v>58530</c:v>
                </c:pt>
                <c:pt idx="2775">
                  <c:v>58537</c:v>
                </c:pt>
                <c:pt idx="2776">
                  <c:v>58544</c:v>
                </c:pt>
                <c:pt idx="2777">
                  <c:v>58551</c:v>
                </c:pt>
                <c:pt idx="2778">
                  <c:v>58558</c:v>
                </c:pt>
                <c:pt idx="2779">
                  <c:v>58565</c:v>
                </c:pt>
                <c:pt idx="2780">
                  <c:v>58572</c:v>
                </c:pt>
                <c:pt idx="2781">
                  <c:v>58579</c:v>
                </c:pt>
                <c:pt idx="2782">
                  <c:v>58586</c:v>
                </c:pt>
                <c:pt idx="2783">
                  <c:v>58593</c:v>
                </c:pt>
                <c:pt idx="2784">
                  <c:v>58600</c:v>
                </c:pt>
                <c:pt idx="2785">
                  <c:v>58607</c:v>
                </c:pt>
                <c:pt idx="2786">
                  <c:v>58614</c:v>
                </c:pt>
                <c:pt idx="2787">
                  <c:v>58621</c:v>
                </c:pt>
                <c:pt idx="2788">
                  <c:v>58628</c:v>
                </c:pt>
                <c:pt idx="2789">
                  <c:v>58635</c:v>
                </c:pt>
                <c:pt idx="2790">
                  <c:v>58642</c:v>
                </c:pt>
                <c:pt idx="2791">
                  <c:v>58649</c:v>
                </c:pt>
                <c:pt idx="2792">
                  <c:v>58656</c:v>
                </c:pt>
                <c:pt idx="2793">
                  <c:v>58663</c:v>
                </c:pt>
                <c:pt idx="2794">
                  <c:v>58670</c:v>
                </c:pt>
                <c:pt idx="2795">
                  <c:v>58677</c:v>
                </c:pt>
                <c:pt idx="2796">
                  <c:v>58684</c:v>
                </c:pt>
                <c:pt idx="2797">
                  <c:v>58691</c:v>
                </c:pt>
                <c:pt idx="2798">
                  <c:v>58698</c:v>
                </c:pt>
                <c:pt idx="2799">
                  <c:v>58705</c:v>
                </c:pt>
                <c:pt idx="2800">
                  <c:v>58712</c:v>
                </c:pt>
                <c:pt idx="2801">
                  <c:v>58719</c:v>
                </c:pt>
                <c:pt idx="2802">
                  <c:v>58726</c:v>
                </c:pt>
                <c:pt idx="2803">
                  <c:v>58733</c:v>
                </c:pt>
                <c:pt idx="2804">
                  <c:v>58740</c:v>
                </c:pt>
                <c:pt idx="2805">
                  <c:v>58747</c:v>
                </c:pt>
                <c:pt idx="2806">
                  <c:v>58754</c:v>
                </c:pt>
                <c:pt idx="2807">
                  <c:v>58761</c:v>
                </c:pt>
                <c:pt idx="2808">
                  <c:v>58768</c:v>
                </c:pt>
                <c:pt idx="2809">
                  <c:v>58775</c:v>
                </c:pt>
                <c:pt idx="2810">
                  <c:v>58782</c:v>
                </c:pt>
                <c:pt idx="2811">
                  <c:v>58789</c:v>
                </c:pt>
                <c:pt idx="2812">
                  <c:v>58796</c:v>
                </c:pt>
                <c:pt idx="2813">
                  <c:v>58804</c:v>
                </c:pt>
                <c:pt idx="2814">
                  <c:v>58811</c:v>
                </c:pt>
                <c:pt idx="2815">
                  <c:v>58818</c:v>
                </c:pt>
                <c:pt idx="2816">
                  <c:v>58825</c:v>
                </c:pt>
                <c:pt idx="2817">
                  <c:v>58833</c:v>
                </c:pt>
                <c:pt idx="2818">
                  <c:v>58840</c:v>
                </c:pt>
                <c:pt idx="2819">
                  <c:v>58847</c:v>
                </c:pt>
                <c:pt idx="2820">
                  <c:v>58854</c:v>
                </c:pt>
                <c:pt idx="2821">
                  <c:v>58861</c:v>
                </c:pt>
                <c:pt idx="2822">
                  <c:v>58868</c:v>
                </c:pt>
                <c:pt idx="2823">
                  <c:v>58875</c:v>
                </c:pt>
                <c:pt idx="2824">
                  <c:v>58882</c:v>
                </c:pt>
                <c:pt idx="2825">
                  <c:v>58889</c:v>
                </c:pt>
                <c:pt idx="2826">
                  <c:v>58896</c:v>
                </c:pt>
                <c:pt idx="2827">
                  <c:v>58903</c:v>
                </c:pt>
                <c:pt idx="2828">
                  <c:v>58910</c:v>
                </c:pt>
                <c:pt idx="2829">
                  <c:v>58917</c:v>
                </c:pt>
                <c:pt idx="2830">
                  <c:v>58924</c:v>
                </c:pt>
                <c:pt idx="2831">
                  <c:v>58931</c:v>
                </c:pt>
                <c:pt idx="2832">
                  <c:v>58938</c:v>
                </c:pt>
                <c:pt idx="2833">
                  <c:v>58945</c:v>
                </c:pt>
                <c:pt idx="2834">
                  <c:v>58952</c:v>
                </c:pt>
                <c:pt idx="2835">
                  <c:v>58959</c:v>
                </c:pt>
                <c:pt idx="2836">
                  <c:v>58966</c:v>
                </c:pt>
                <c:pt idx="2837">
                  <c:v>58973</c:v>
                </c:pt>
                <c:pt idx="2838">
                  <c:v>58980</c:v>
                </c:pt>
                <c:pt idx="2839">
                  <c:v>58987</c:v>
                </c:pt>
                <c:pt idx="2840">
                  <c:v>58994</c:v>
                </c:pt>
                <c:pt idx="2841">
                  <c:v>59001</c:v>
                </c:pt>
                <c:pt idx="2842">
                  <c:v>59008</c:v>
                </c:pt>
                <c:pt idx="2843">
                  <c:v>59015</c:v>
                </c:pt>
                <c:pt idx="2844">
                  <c:v>59022</c:v>
                </c:pt>
                <c:pt idx="2845">
                  <c:v>59029</c:v>
                </c:pt>
                <c:pt idx="2846">
                  <c:v>59036</c:v>
                </c:pt>
                <c:pt idx="2847">
                  <c:v>59043</c:v>
                </c:pt>
                <c:pt idx="2848">
                  <c:v>59050</c:v>
                </c:pt>
                <c:pt idx="2849">
                  <c:v>59057</c:v>
                </c:pt>
                <c:pt idx="2850">
                  <c:v>59064</c:v>
                </c:pt>
                <c:pt idx="2851">
                  <c:v>59071</c:v>
                </c:pt>
                <c:pt idx="2852">
                  <c:v>59078</c:v>
                </c:pt>
                <c:pt idx="2853">
                  <c:v>59085</c:v>
                </c:pt>
                <c:pt idx="2854">
                  <c:v>59092</c:v>
                </c:pt>
                <c:pt idx="2855">
                  <c:v>59099</c:v>
                </c:pt>
                <c:pt idx="2856">
                  <c:v>59106</c:v>
                </c:pt>
                <c:pt idx="2857">
                  <c:v>59113</c:v>
                </c:pt>
                <c:pt idx="2858">
                  <c:v>59120</c:v>
                </c:pt>
                <c:pt idx="2859">
                  <c:v>59127</c:v>
                </c:pt>
                <c:pt idx="2860">
                  <c:v>59134</c:v>
                </c:pt>
                <c:pt idx="2861">
                  <c:v>59141</c:v>
                </c:pt>
                <c:pt idx="2862">
                  <c:v>59148</c:v>
                </c:pt>
                <c:pt idx="2863">
                  <c:v>59155</c:v>
                </c:pt>
                <c:pt idx="2864">
                  <c:v>59162</c:v>
                </c:pt>
                <c:pt idx="2865">
                  <c:v>59169</c:v>
                </c:pt>
                <c:pt idx="2866">
                  <c:v>59176</c:v>
                </c:pt>
                <c:pt idx="2867">
                  <c:v>59183</c:v>
                </c:pt>
                <c:pt idx="2868">
                  <c:v>59190</c:v>
                </c:pt>
                <c:pt idx="2869">
                  <c:v>59198</c:v>
                </c:pt>
                <c:pt idx="2870">
                  <c:v>59205</c:v>
                </c:pt>
                <c:pt idx="2871">
                  <c:v>59212</c:v>
                </c:pt>
                <c:pt idx="2872">
                  <c:v>59219</c:v>
                </c:pt>
                <c:pt idx="2873">
                  <c:v>59226</c:v>
                </c:pt>
                <c:pt idx="2874">
                  <c:v>59233</c:v>
                </c:pt>
                <c:pt idx="2875">
                  <c:v>59240</c:v>
                </c:pt>
                <c:pt idx="2876">
                  <c:v>59247</c:v>
                </c:pt>
                <c:pt idx="2877">
                  <c:v>59258</c:v>
                </c:pt>
                <c:pt idx="2878">
                  <c:v>59265</c:v>
                </c:pt>
                <c:pt idx="2879">
                  <c:v>59272</c:v>
                </c:pt>
                <c:pt idx="2880">
                  <c:v>59279</c:v>
                </c:pt>
                <c:pt idx="2881">
                  <c:v>59287</c:v>
                </c:pt>
                <c:pt idx="2882">
                  <c:v>59294</c:v>
                </c:pt>
                <c:pt idx="2883">
                  <c:v>59301</c:v>
                </c:pt>
                <c:pt idx="2884">
                  <c:v>59308</c:v>
                </c:pt>
                <c:pt idx="2885">
                  <c:v>59315</c:v>
                </c:pt>
                <c:pt idx="2886">
                  <c:v>59322</c:v>
                </c:pt>
                <c:pt idx="2887">
                  <c:v>59329</c:v>
                </c:pt>
                <c:pt idx="2888">
                  <c:v>59336</c:v>
                </c:pt>
                <c:pt idx="2889">
                  <c:v>59343</c:v>
                </c:pt>
                <c:pt idx="2890">
                  <c:v>59350</c:v>
                </c:pt>
                <c:pt idx="2891">
                  <c:v>59357</c:v>
                </c:pt>
                <c:pt idx="2892">
                  <c:v>59364</c:v>
                </c:pt>
                <c:pt idx="2893">
                  <c:v>59371</c:v>
                </c:pt>
                <c:pt idx="2894">
                  <c:v>59378</c:v>
                </c:pt>
                <c:pt idx="2895">
                  <c:v>59385</c:v>
                </c:pt>
                <c:pt idx="2896">
                  <c:v>59392</c:v>
                </c:pt>
                <c:pt idx="2897">
                  <c:v>59399</c:v>
                </c:pt>
                <c:pt idx="2898">
                  <c:v>59406</c:v>
                </c:pt>
                <c:pt idx="2899">
                  <c:v>59413</c:v>
                </c:pt>
                <c:pt idx="2900">
                  <c:v>59420</c:v>
                </c:pt>
                <c:pt idx="2901">
                  <c:v>59427</c:v>
                </c:pt>
                <c:pt idx="2902">
                  <c:v>59434</c:v>
                </c:pt>
                <c:pt idx="2903">
                  <c:v>59441</c:v>
                </c:pt>
                <c:pt idx="2904">
                  <c:v>59448</c:v>
                </c:pt>
                <c:pt idx="2905">
                  <c:v>59455</c:v>
                </c:pt>
                <c:pt idx="2906">
                  <c:v>59462</c:v>
                </c:pt>
                <c:pt idx="2907">
                  <c:v>59469</c:v>
                </c:pt>
                <c:pt idx="2908">
                  <c:v>59476</c:v>
                </c:pt>
                <c:pt idx="2909">
                  <c:v>59483</c:v>
                </c:pt>
                <c:pt idx="2910">
                  <c:v>59490</c:v>
                </c:pt>
                <c:pt idx="2911">
                  <c:v>59497</c:v>
                </c:pt>
                <c:pt idx="2912">
                  <c:v>59504</c:v>
                </c:pt>
                <c:pt idx="2913">
                  <c:v>59511</c:v>
                </c:pt>
                <c:pt idx="2914">
                  <c:v>59518</c:v>
                </c:pt>
                <c:pt idx="2915">
                  <c:v>59525</c:v>
                </c:pt>
                <c:pt idx="2916">
                  <c:v>59532</c:v>
                </c:pt>
                <c:pt idx="2917">
                  <c:v>59539</c:v>
                </c:pt>
                <c:pt idx="2918">
                  <c:v>59546</c:v>
                </c:pt>
                <c:pt idx="2919">
                  <c:v>59553</c:v>
                </c:pt>
                <c:pt idx="2920">
                  <c:v>59560</c:v>
                </c:pt>
                <c:pt idx="2921">
                  <c:v>59567</c:v>
                </c:pt>
                <c:pt idx="2922">
                  <c:v>59574</c:v>
                </c:pt>
                <c:pt idx="2923">
                  <c:v>59581</c:v>
                </c:pt>
                <c:pt idx="2924">
                  <c:v>59588</c:v>
                </c:pt>
                <c:pt idx="2925">
                  <c:v>59595</c:v>
                </c:pt>
                <c:pt idx="2926">
                  <c:v>59602</c:v>
                </c:pt>
                <c:pt idx="2927">
                  <c:v>59609</c:v>
                </c:pt>
                <c:pt idx="2928">
                  <c:v>59616</c:v>
                </c:pt>
                <c:pt idx="2929">
                  <c:v>59623</c:v>
                </c:pt>
                <c:pt idx="2930">
                  <c:v>59630</c:v>
                </c:pt>
                <c:pt idx="2931">
                  <c:v>59637</c:v>
                </c:pt>
                <c:pt idx="2932">
                  <c:v>59644</c:v>
                </c:pt>
                <c:pt idx="2933">
                  <c:v>59652</c:v>
                </c:pt>
                <c:pt idx="2934">
                  <c:v>59659</c:v>
                </c:pt>
                <c:pt idx="2935">
                  <c:v>59666</c:v>
                </c:pt>
                <c:pt idx="2936">
                  <c:v>59673</c:v>
                </c:pt>
                <c:pt idx="2937">
                  <c:v>59680</c:v>
                </c:pt>
                <c:pt idx="2938">
                  <c:v>59687</c:v>
                </c:pt>
                <c:pt idx="2939">
                  <c:v>59694</c:v>
                </c:pt>
                <c:pt idx="2940">
                  <c:v>59701</c:v>
                </c:pt>
                <c:pt idx="2941">
                  <c:v>59708</c:v>
                </c:pt>
                <c:pt idx="2942">
                  <c:v>59715</c:v>
                </c:pt>
                <c:pt idx="2943">
                  <c:v>59722</c:v>
                </c:pt>
                <c:pt idx="2944">
                  <c:v>59729</c:v>
                </c:pt>
                <c:pt idx="2945">
                  <c:v>59736</c:v>
                </c:pt>
                <c:pt idx="2946">
                  <c:v>59743</c:v>
                </c:pt>
                <c:pt idx="2947">
                  <c:v>59750</c:v>
                </c:pt>
                <c:pt idx="2948">
                  <c:v>59757</c:v>
                </c:pt>
                <c:pt idx="2949">
                  <c:v>59764</c:v>
                </c:pt>
                <c:pt idx="2950">
                  <c:v>59771</c:v>
                </c:pt>
                <c:pt idx="2951">
                  <c:v>59778</c:v>
                </c:pt>
                <c:pt idx="2952">
                  <c:v>59785</c:v>
                </c:pt>
                <c:pt idx="2953">
                  <c:v>59792</c:v>
                </c:pt>
                <c:pt idx="2954">
                  <c:v>59799</c:v>
                </c:pt>
                <c:pt idx="2955">
                  <c:v>59806</c:v>
                </c:pt>
                <c:pt idx="2956">
                  <c:v>59813</c:v>
                </c:pt>
                <c:pt idx="2957">
                  <c:v>59820</c:v>
                </c:pt>
                <c:pt idx="2958">
                  <c:v>59827</c:v>
                </c:pt>
                <c:pt idx="2959">
                  <c:v>59834</c:v>
                </c:pt>
                <c:pt idx="2960">
                  <c:v>59841</c:v>
                </c:pt>
                <c:pt idx="2961">
                  <c:v>59848</c:v>
                </c:pt>
                <c:pt idx="2962">
                  <c:v>59855</c:v>
                </c:pt>
                <c:pt idx="2963">
                  <c:v>59862</c:v>
                </c:pt>
                <c:pt idx="2964">
                  <c:v>59869</c:v>
                </c:pt>
                <c:pt idx="2965">
                  <c:v>59876</c:v>
                </c:pt>
                <c:pt idx="2966">
                  <c:v>59883</c:v>
                </c:pt>
                <c:pt idx="2967">
                  <c:v>59890</c:v>
                </c:pt>
                <c:pt idx="2968">
                  <c:v>59897</c:v>
                </c:pt>
                <c:pt idx="2969">
                  <c:v>59904</c:v>
                </c:pt>
                <c:pt idx="2970">
                  <c:v>59911</c:v>
                </c:pt>
                <c:pt idx="2971">
                  <c:v>59918</c:v>
                </c:pt>
                <c:pt idx="2972">
                  <c:v>59925</c:v>
                </c:pt>
                <c:pt idx="2973">
                  <c:v>59932</c:v>
                </c:pt>
                <c:pt idx="2974">
                  <c:v>59939</c:v>
                </c:pt>
                <c:pt idx="2975">
                  <c:v>59946</c:v>
                </c:pt>
                <c:pt idx="2976">
                  <c:v>59953</c:v>
                </c:pt>
                <c:pt idx="2977">
                  <c:v>59960</c:v>
                </c:pt>
                <c:pt idx="2978">
                  <c:v>59967</c:v>
                </c:pt>
                <c:pt idx="2979">
                  <c:v>59974</c:v>
                </c:pt>
                <c:pt idx="2980">
                  <c:v>59981</c:v>
                </c:pt>
                <c:pt idx="2981">
                  <c:v>59988</c:v>
                </c:pt>
                <c:pt idx="2982">
                  <c:v>59995</c:v>
                </c:pt>
                <c:pt idx="2983">
                  <c:v>60002</c:v>
                </c:pt>
                <c:pt idx="2984">
                  <c:v>60009</c:v>
                </c:pt>
                <c:pt idx="2985">
                  <c:v>60016</c:v>
                </c:pt>
                <c:pt idx="2986">
                  <c:v>60023</c:v>
                </c:pt>
                <c:pt idx="2987">
                  <c:v>60030</c:v>
                </c:pt>
                <c:pt idx="2988">
                  <c:v>60037</c:v>
                </c:pt>
                <c:pt idx="2989">
                  <c:v>60044</c:v>
                </c:pt>
                <c:pt idx="2990">
                  <c:v>60051</c:v>
                </c:pt>
                <c:pt idx="2991">
                  <c:v>60058</c:v>
                </c:pt>
                <c:pt idx="2992">
                  <c:v>60065</c:v>
                </c:pt>
                <c:pt idx="2993">
                  <c:v>60072</c:v>
                </c:pt>
                <c:pt idx="2994">
                  <c:v>60079</c:v>
                </c:pt>
                <c:pt idx="2995">
                  <c:v>60086</c:v>
                </c:pt>
                <c:pt idx="2996">
                  <c:v>60093</c:v>
                </c:pt>
                <c:pt idx="2997">
                  <c:v>60100</c:v>
                </c:pt>
                <c:pt idx="2998">
                  <c:v>60107</c:v>
                </c:pt>
                <c:pt idx="2999">
                  <c:v>60114</c:v>
                </c:pt>
                <c:pt idx="3000">
                  <c:v>60121</c:v>
                </c:pt>
                <c:pt idx="3001">
                  <c:v>60128</c:v>
                </c:pt>
                <c:pt idx="3002">
                  <c:v>60135</c:v>
                </c:pt>
                <c:pt idx="3003">
                  <c:v>60142</c:v>
                </c:pt>
                <c:pt idx="3004">
                  <c:v>60149</c:v>
                </c:pt>
                <c:pt idx="3005">
                  <c:v>60156</c:v>
                </c:pt>
                <c:pt idx="3006">
                  <c:v>60163</c:v>
                </c:pt>
                <c:pt idx="3007">
                  <c:v>60170</c:v>
                </c:pt>
                <c:pt idx="3008">
                  <c:v>60177</c:v>
                </c:pt>
                <c:pt idx="3009">
                  <c:v>60184</c:v>
                </c:pt>
                <c:pt idx="3010">
                  <c:v>60191</c:v>
                </c:pt>
                <c:pt idx="3011">
                  <c:v>60198</c:v>
                </c:pt>
                <c:pt idx="3012">
                  <c:v>60205</c:v>
                </c:pt>
                <c:pt idx="3013">
                  <c:v>60212</c:v>
                </c:pt>
                <c:pt idx="3014">
                  <c:v>60219</c:v>
                </c:pt>
                <c:pt idx="3015">
                  <c:v>60226</c:v>
                </c:pt>
                <c:pt idx="3016">
                  <c:v>60233</c:v>
                </c:pt>
                <c:pt idx="3017">
                  <c:v>60240</c:v>
                </c:pt>
                <c:pt idx="3018">
                  <c:v>60247</c:v>
                </c:pt>
                <c:pt idx="3019">
                  <c:v>60254</c:v>
                </c:pt>
                <c:pt idx="3020">
                  <c:v>60265</c:v>
                </c:pt>
                <c:pt idx="3021">
                  <c:v>60272</c:v>
                </c:pt>
                <c:pt idx="3022">
                  <c:v>60279</c:v>
                </c:pt>
                <c:pt idx="3023">
                  <c:v>60286</c:v>
                </c:pt>
                <c:pt idx="3024">
                  <c:v>60294</c:v>
                </c:pt>
                <c:pt idx="3025">
                  <c:v>60301</c:v>
                </c:pt>
                <c:pt idx="3026">
                  <c:v>60308</c:v>
                </c:pt>
                <c:pt idx="3027">
                  <c:v>60315</c:v>
                </c:pt>
                <c:pt idx="3028">
                  <c:v>60322</c:v>
                </c:pt>
                <c:pt idx="3029">
                  <c:v>60329</c:v>
                </c:pt>
                <c:pt idx="3030">
                  <c:v>60336</c:v>
                </c:pt>
                <c:pt idx="3031">
                  <c:v>60343</c:v>
                </c:pt>
                <c:pt idx="3032">
                  <c:v>60350</c:v>
                </c:pt>
                <c:pt idx="3033">
                  <c:v>60357</c:v>
                </c:pt>
                <c:pt idx="3034">
                  <c:v>60364</c:v>
                </c:pt>
                <c:pt idx="3035">
                  <c:v>60371</c:v>
                </c:pt>
                <c:pt idx="3036">
                  <c:v>60378</c:v>
                </c:pt>
                <c:pt idx="3037">
                  <c:v>60385</c:v>
                </c:pt>
                <c:pt idx="3038">
                  <c:v>60392</c:v>
                </c:pt>
                <c:pt idx="3039">
                  <c:v>60399</c:v>
                </c:pt>
                <c:pt idx="3040">
                  <c:v>60406</c:v>
                </c:pt>
                <c:pt idx="3041">
                  <c:v>60413</c:v>
                </c:pt>
                <c:pt idx="3042">
                  <c:v>60420</c:v>
                </c:pt>
                <c:pt idx="3043">
                  <c:v>60427</c:v>
                </c:pt>
                <c:pt idx="3044">
                  <c:v>60434</c:v>
                </c:pt>
                <c:pt idx="3045">
                  <c:v>60441</c:v>
                </c:pt>
                <c:pt idx="3046">
                  <c:v>60448</c:v>
                </c:pt>
                <c:pt idx="3047">
                  <c:v>60455</c:v>
                </c:pt>
                <c:pt idx="3048">
                  <c:v>60462</c:v>
                </c:pt>
                <c:pt idx="3049">
                  <c:v>60469</c:v>
                </c:pt>
                <c:pt idx="3050">
                  <c:v>60476</c:v>
                </c:pt>
                <c:pt idx="3051">
                  <c:v>60483</c:v>
                </c:pt>
                <c:pt idx="3052">
                  <c:v>60490</c:v>
                </c:pt>
                <c:pt idx="3053">
                  <c:v>60497</c:v>
                </c:pt>
                <c:pt idx="3054">
                  <c:v>60504</c:v>
                </c:pt>
                <c:pt idx="3055">
                  <c:v>60511</c:v>
                </c:pt>
                <c:pt idx="3056">
                  <c:v>60518</c:v>
                </c:pt>
                <c:pt idx="3057">
                  <c:v>60525</c:v>
                </c:pt>
                <c:pt idx="3058">
                  <c:v>60532</c:v>
                </c:pt>
                <c:pt idx="3059">
                  <c:v>60539</c:v>
                </c:pt>
                <c:pt idx="3060">
                  <c:v>60546</c:v>
                </c:pt>
                <c:pt idx="3061">
                  <c:v>60553</c:v>
                </c:pt>
                <c:pt idx="3062">
                  <c:v>60560</c:v>
                </c:pt>
                <c:pt idx="3063">
                  <c:v>60567</c:v>
                </c:pt>
                <c:pt idx="3064">
                  <c:v>60574</c:v>
                </c:pt>
                <c:pt idx="3065">
                  <c:v>60581</c:v>
                </c:pt>
                <c:pt idx="3066">
                  <c:v>60588</c:v>
                </c:pt>
                <c:pt idx="3067">
                  <c:v>60595</c:v>
                </c:pt>
                <c:pt idx="3068">
                  <c:v>60602</c:v>
                </c:pt>
                <c:pt idx="3069">
                  <c:v>60609</c:v>
                </c:pt>
                <c:pt idx="3070">
                  <c:v>60616</c:v>
                </c:pt>
                <c:pt idx="3071">
                  <c:v>60623</c:v>
                </c:pt>
                <c:pt idx="3072">
                  <c:v>60630</c:v>
                </c:pt>
                <c:pt idx="3073">
                  <c:v>60637</c:v>
                </c:pt>
                <c:pt idx="3074">
                  <c:v>60644</c:v>
                </c:pt>
                <c:pt idx="3075">
                  <c:v>60651</c:v>
                </c:pt>
                <c:pt idx="3076">
                  <c:v>60659</c:v>
                </c:pt>
                <c:pt idx="3077">
                  <c:v>60666</c:v>
                </c:pt>
                <c:pt idx="3078">
                  <c:v>60673</c:v>
                </c:pt>
                <c:pt idx="3079">
                  <c:v>60680</c:v>
                </c:pt>
                <c:pt idx="3080">
                  <c:v>60687</c:v>
                </c:pt>
                <c:pt idx="3081">
                  <c:v>60694</c:v>
                </c:pt>
                <c:pt idx="3082">
                  <c:v>60701</c:v>
                </c:pt>
                <c:pt idx="3083">
                  <c:v>60708</c:v>
                </c:pt>
                <c:pt idx="3084">
                  <c:v>60715</c:v>
                </c:pt>
                <c:pt idx="3085">
                  <c:v>60722</c:v>
                </c:pt>
                <c:pt idx="3086">
                  <c:v>60729</c:v>
                </c:pt>
                <c:pt idx="3087">
                  <c:v>60736</c:v>
                </c:pt>
                <c:pt idx="3088">
                  <c:v>60743</c:v>
                </c:pt>
                <c:pt idx="3089">
                  <c:v>60750</c:v>
                </c:pt>
                <c:pt idx="3090">
                  <c:v>60757</c:v>
                </c:pt>
                <c:pt idx="3091">
                  <c:v>60764</c:v>
                </c:pt>
                <c:pt idx="3092">
                  <c:v>60771</c:v>
                </c:pt>
                <c:pt idx="3093">
                  <c:v>60778</c:v>
                </c:pt>
                <c:pt idx="3094">
                  <c:v>60785</c:v>
                </c:pt>
                <c:pt idx="3095">
                  <c:v>60792</c:v>
                </c:pt>
                <c:pt idx="3096">
                  <c:v>60799</c:v>
                </c:pt>
                <c:pt idx="3097">
                  <c:v>60806</c:v>
                </c:pt>
                <c:pt idx="3098">
                  <c:v>60813</c:v>
                </c:pt>
                <c:pt idx="3099">
                  <c:v>60820</c:v>
                </c:pt>
                <c:pt idx="3100">
                  <c:v>60827</c:v>
                </c:pt>
                <c:pt idx="3101">
                  <c:v>60834</c:v>
                </c:pt>
                <c:pt idx="3102">
                  <c:v>60841</c:v>
                </c:pt>
                <c:pt idx="3103">
                  <c:v>60848</c:v>
                </c:pt>
                <c:pt idx="3104">
                  <c:v>60855</c:v>
                </c:pt>
                <c:pt idx="3105">
                  <c:v>60862</c:v>
                </c:pt>
                <c:pt idx="3106">
                  <c:v>60869</c:v>
                </c:pt>
                <c:pt idx="3107">
                  <c:v>60876</c:v>
                </c:pt>
                <c:pt idx="3108">
                  <c:v>60883</c:v>
                </c:pt>
                <c:pt idx="3109">
                  <c:v>60890</c:v>
                </c:pt>
                <c:pt idx="3110">
                  <c:v>60897</c:v>
                </c:pt>
                <c:pt idx="3111">
                  <c:v>60904</c:v>
                </c:pt>
                <c:pt idx="3112">
                  <c:v>60911</c:v>
                </c:pt>
                <c:pt idx="3113">
                  <c:v>60918</c:v>
                </c:pt>
                <c:pt idx="3114">
                  <c:v>60925</c:v>
                </c:pt>
                <c:pt idx="3115">
                  <c:v>60932</c:v>
                </c:pt>
                <c:pt idx="3116">
                  <c:v>60939</c:v>
                </c:pt>
                <c:pt idx="3117">
                  <c:v>60946</c:v>
                </c:pt>
                <c:pt idx="3118">
                  <c:v>60953</c:v>
                </c:pt>
                <c:pt idx="3119">
                  <c:v>60960</c:v>
                </c:pt>
                <c:pt idx="3120">
                  <c:v>60967</c:v>
                </c:pt>
                <c:pt idx="3121">
                  <c:v>60974</c:v>
                </c:pt>
                <c:pt idx="3122">
                  <c:v>60981</c:v>
                </c:pt>
                <c:pt idx="3123">
                  <c:v>60988</c:v>
                </c:pt>
                <c:pt idx="3124">
                  <c:v>60995</c:v>
                </c:pt>
                <c:pt idx="3125">
                  <c:v>61002</c:v>
                </c:pt>
                <c:pt idx="3126">
                  <c:v>61009</c:v>
                </c:pt>
                <c:pt idx="3127">
                  <c:v>61016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61389</c:v>
                </c:pt>
                <c:pt idx="3181">
                  <c:v>61396</c:v>
                </c:pt>
                <c:pt idx="3182">
                  <c:v>61403</c:v>
                </c:pt>
                <c:pt idx="3183">
                  <c:v>61410</c:v>
                </c:pt>
                <c:pt idx="3184">
                  <c:v>61417</c:v>
                </c:pt>
                <c:pt idx="3185">
                  <c:v>61424</c:v>
                </c:pt>
                <c:pt idx="3186">
                  <c:v>61431</c:v>
                </c:pt>
                <c:pt idx="3187">
                  <c:v>61438</c:v>
                </c:pt>
                <c:pt idx="3188">
                  <c:v>61445</c:v>
                </c:pt>
                <c:pt idx="3189">
                  <c:v>61452</c:v>
                </c:pt>
                <c:pt idx="3190">
                  <c:v>61459</c:v>
                </c:pt>
                <c:pt idx="3191">
                  <c:v>61466</c:v>
                </c:pt>
                <c:pt idx="3192">
                  <c:v>61477</c:v>
                </c:pt>
                <c:pt idx="3193">
                  <c:v>61484</c:v>
                </c:pt>
                <c:pt idx="3194">
                  <c:v>61491</c:v>
                </c:pt>
                <c:pt idx="3195">
                  <c:v>61498</c:v>
                </c:pt>
                <c:pt idx="3196">
                  <c:v>61505</c:v>
                </c:pt>
                <c:pt idx="3197">
                  <c:v>61512</c:v>
                </c:pt>
                <c:pt idx="3198">
                  <c:v>61519</c:v>
                </c:pt>
                <c:pt idx="3199">
                  <c:v>61526</c:v>
                </c:pt>
                <c:pt idx="3200">
                  <c:v>61533</c:v>
                </c:pt>
                <c:pt idx="3201">
                  <c:v>61540</c:v>
                </c:pt>
                <c:pt idx="3202">
                  <c:v>61547</c:v>
                </c:pt>
                <c:pt idx="3203">
                  <c:v>61554</c:v>
                </c:pt>
                <c:pt idx="3204">
                  <c:v>61561</c:v>
                </c:pt>
                <c:pt idx="3205">
                  <c:v>61568</c:v>
                </c:pt>
                <c:pt idx="3206">
                  <c:v>61575</c:v>
                </c:pt>
                <c:pt idx="3207">
                  <c:v>61582</c:v>
                </c:pt>
                <c:pt idx="3208">
                  <c:v>61589</c:v>
                </c:pt>
                <c:pt idx="3209">
                  <c:v>61596</c:v>
                </c:pt>
                <c:pt idx="3210">
                  <c:v>61603</c:v>
                </c:pt>
                <c:pt idx="3211">
                  <c:v>61610</c:v>
                </c:pt>
                <c:pt idx="3212">
                  <c:v>61617</c:v>
                </c:pt>
                <c:pt idx="3213">
                  <c:v>61624</c:v>
                </c:pt>
                <c:pt idx="3214">
                  <c:v>61631</c:v>
                </c:pt>
                <c:pt idx="3215">
                  <c:v>61638</c:v>
                </c:pt>
                <c:pt idx="3216">
                  <c:v>61645</c:v>
                </c:pt>
                <c:pt idx="3217">
                  <c:v>61652</c:v>
                </c:pt>
                <c:pt idx="3218">
                  <c:v>61659</c:v>
                </c:pt>
                <c:pt idx="3219">
                  <c:v>61666</c:v>
                </c:pt>
                <c:pt idx="3220">
                  <c:v>61673</c:v>
                </c:pt>
                <c:pt idx="3221">
                  <c:v>61680</c:v>
                </c:pt>
                <c:pt idx="3222">
                  <c:v>61687</c:v>
                </c:pt>
                <c:pt idx="3223">
                  <c:v>61694</c:v>
                </c:pt>
                <c:pt idx="3224">
                  <c:v>61701</c:v>
                </c:pt>
                <c:pt idx="3225">
                  <c:v>61708</c:v>
                </c:pt>
                <c:pt idx="3226">
                  <c:v>61715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61844</c:v>
                </c:pt>
                <c:pt idx="3245">
                  <c:v>61851</c:v>
                </c:pt>
                <c:pt idx="3246">
                  <c:v>61858</c:v>
                </c:pt>
                <c:pt idx="3247">
                  <c:v>61865</c:v>
                </c:pt>
                <c:pt idx="3248">
                  <c:v>61872</c:v>
                </c:pt>
                <c:pt idx="3249">
                  <c:v>61879</c:v>
                </c:pt>
                <c:pt idx="3250">
                  <c:v>61886</c:v>
                </c:pt>
                <c:pt idx="3251">
                  <c:v>61893</c:v>
                </c:pt>
                <c:pt idx="3252">
                  <c:v>61900</c:v>
                </c:pt>
                <c:pt idx="3253">
                  <c:v>61907</c:v>
                </c:pt>
                <c:pt idx="3254">
                  <c:v>61914</c:v>
                </c:pt>
                <c:pt idx="3255">
                  <c:v>61921</c:v>
                </c:pt>
                <c:pt idx="3256">
                  <c:v>61928</c:v>
                </c:pt>
                <c:pt idx="3257">
                  <c:v>61935</c:v>
                </c:pt>
                <c:pt idx="3258">
                  <c:v>61942</c:v>
                </c:pt>
                <c:pt idx="3259">
                  <c:v>61949</c:v>
                </c:pt>
                <c:pt idx="3260">
                  <c:v>61956</c:v>
                </c:pt>
                <c:pt idx="3261">
                  <c:v>61963</c:v>
                </c:pt>
                <c:pt idx="3262">
                  <c:v>61970</c:v>
                </c:pt>
                <c:pt idx="3263">
                  <c:v>61977</c:v>
                </c:pt>
                <c:pt idx="3264">
                  <c:v>61984</c:v>
                </c:pt>
                <c:pt idx="3265">
                  <c:v>61991</c:v>
                </c:pt>
                <c:pt idx="3266">
                  <c:v>61998</c:v>
                </c:pt>
                <c:pt idx="3267">
                  <c:v>62005</c:v>
                </c:pt>
                <c:pt idx="3268">
                  <c:v>62012</c:v>
                </c:pt>
                <c:pt idx="3269">
                  <c:v>62019</c:v>
                </c:pt>
                <c:pt idx="3270">
                  <c:v>62026</c:v>
                </c:pt>
                <c:pt idx="3271">
                  <c:v>62033</c:v>
                </c:pt>
                <c:pt idx="3272">
                  <c:v>62040</c:v>
                </c:pt>
                <c:pt idx="3273">
                  <c:v>62047</c:v>
                </c:pt>
                <c:pt idx="3274">
                  <c:v>62054</c:v>
                </c:pt>
                <c:pt idx="3275">
                  <c:v>62061</c:v>
                </c:pt>
                <c:pt idx="3276">
                  <c:v>62068</c:v>
                </c:pt>
                <c:pt idx="3277">
                  <c:v>62075</c:v>
                </c:pt>
                <c:pt idx="3278">
                  <c:v>62082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62850</c:v>
                </c:pt>
                <c:pt idx="3388">
                  <c:v>62857</c:v>
                </c:pt>
                <c:pt idx="3389">
                  <c:v>62864</c:v>
                </c:pt>
                <c:pt idx="3390">
                  <c:v>62871</c:v>
                </c:pt>
                <c:pt idx="3391">
                  <c:v>62878</c:v>
                </c:pt>
                <c:pt idx="3392">
                  <c:v>62885</c:v>
                </c:pt>
                <c:pt idx="3393">
                  <c:v>62892</c:v>
                </c:pt>
                <c:pt idx="3394">
                  <c:v>62899</c:v>
                </c:pt>
                <c:pt idx="3395">
                  <c:v>62906</c:v>
                </c:pt>
                <c:pt idx="3396">
                  <c:v>62913</c:v>
                </c:pt>
                <c:pt idx="3397">
                  <c:v>62920</c:v>
                </c:pt>
                <c:pt idx="3398">
                  <c:v>62927</c:v>
                </c:pt>
                <c:pt idx="3399">
                  <c:v>62934</c:v>
                </c:pt>
                <c:pt idx="3400">
                  <c:v>62941</c:v>
                </c:pt>
                <c:pt idx="3401">
                  <c:v>62948</c:v>
                </c:pt>
                <c:pt idx="3402">
                  <c:v>62955</c:v>
                </c:pt>
                <c:pt idx="3403">
                  <c:v>62962</c:v>
                </c:pt>
                <c:pt idx="3404">
                  <c:v>62969</c:v>
                </c:pt>
                <c:pt idx="3405">
                  <c:v>62976</c:v>
                </c:pt>
                <c:pt idx="3406">
                  <c:v>62983</c:v>
                </c:pt>
                <c:pt idx="3407">
                  <c:v>62990</c:v>
                </c:pt>
                <c:pt idx="3408">
                  <c:v>62997</c:v>
                </c:pt>
                <c:pt idx="3409">
                  <c:v>63004</c:v>
                </c:pt>
                <c:pt idx="3410">
                  <c:v>63011</c:v>
                </c:pt>
                <c:pt idx="3411">
                  <c:v>63018</c:v>
                </c:pt>
                <c:pt idx="3412">
                  <c:v>63025</c:v>
                </c:pt>
                <c:pt idx="3413">
                  <c:v>63032</c:v>
                </c:pt>
                <c:pt idx="3414">
                  <c:v>63039</c:v>
                </c:pt>
                <c:pt idx="3415">
                  <c:v>63046</c:v>
                </c:pt>
                <c:pt idx="3416">
                  <c:v>63053</c:v>
                </c:pt>
                <c:pt idx="3417">
                  <c:v>63060</c:v>
                </c:pt>
                <c:pt idx="3418">
                  <c:v>63067</c:v>
                </c:pt>
                <c:pt idx="3419">
                  <c:v>63074</c:v>
                </c:pt>
                <c:pt idx="3420">
                  <c:v>63081</c:v>
                </c:pt>
                <c:pt idx="3421">
                  <c:v>63088</c:v>
                </c:pt>
                <c:pt idx="3422">
                  <c:v>63095</c:v>
                </c:pt>
                <c:pt idx="3423">
                  <c:v>63102</c:v>
                </c:pt>
                <c:pt idx="3424">
                  <c:v>63109</c:v>
                </c:pt>
                <c:pt idx="3425">
                  <c:v>63116</c:v>
                </c:pt>
                <c:pt idx="3426">
                  <c:v>63123</c:v>
                </c:pt>
                <c:pt idx="3427">
                  <c:v>63130</c:v>
                </c:pt>
                <c:pt idx="3428">
                  <c:v>63137</c:v>
                </c:pt>
                <c:pt idx="3429">
                  <c:v>63144</c:v>
                </c:pt>
                <c:pt idx="3430">
                  <c:v>63151</c:v>
                </c:pt>
                <c:pt idx="3431">
                  <c:v>63158</c:v>
                </c:pt>
                <c:pt idx="3432">
                  <c:v>63165</c:v>
                </c:pt>
                <c:pt idx="3433">
                  <c:v>63172</c:v>
                </c:pt>
                <c:pt idx="3434">
                  <c:v>63179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63670</c:v>
                </c:pt>
                <c:pt idx="3505">
                  <c:v>63677</c:v>
                </c:pt>
                <c:pt idx="3506">
                  <c:v>63684</c:v>
                </c:pt>
                <c:pt idx="3507">
                  <c:v>63691</c:v>
                </c:pt>
                <c:pt idx="3508">
                  <c:v>63698</c:v>
                </c:pt>
                <c:pt idx="3509">
                  <c:v>63705</c:v>
                </c:pt>
                <c:pt idx="3510">
                  <c:v>63712</c:v>
                </c:pt>
                <c:pt idx="3511">
                  <c:v>63719</c:v>
                </c:pt>
                <c:pt idx="3512">
                  <c:v>63726</c:v>
                </c:pt>
                <c:pt idx="3513">
                  <c:v>63733</c:v>
                </c:pt>
                <c:pt idx="3514">
                  <c:v>63740</c:v>
                </c:pt>
                <c:pt idx="3515">
                  <c:v>63747</c:v>
                </c:pt>
                <c:pt idx="3516">
                  <c:v>63754</c:v>
                </c:pt>
                <c:pt idx="3517">
                  <c:v>63761</c:v>
                </c:pt>
                <c:pt idx="3518">
                  <c:v>63768</c:v>
                </c:pt>
                <c:pt idx="3519">
                  <c:v>63775</c:v>
                </c:pt>
                <c:pt idx="3520">
                  <c:v>63782</c:v>
                </c:pt>
                <c:pt idx="3521">
                  <c:v>63789</c:v>
                </c:pt>
                <c:pt idx="3522">
                  <c:v>63796</c:v>
                </c:pt>
                <c:pt idx="3523">
                  <c:v>63803</c:v>
                </c:pt>
                <c:pt idx="3524">
                  <c:v>63810</c:v>
                </c:pt>
                <c:pt idx="3525">
                  <c:v>63817</c:v>
                </c:pt>
                <c:pt idx="3526">
                  <c:v>63824</c:v>
                </c:pt>
                <c:pt idx="3527">
                  <c:v>63831</c:v>
                </c:pt>
                <c:pt idx="3528">
                  <c:v>63838</c:v>
                </c:pt>
                <c:pt idx="3529">
                  <c:v>63845</c:v>
                </c:pt>
                <c:pt idx="3530">
                  <c:v>63852</c:v>
                </c:pt>
                <c:pt idx="3531">
                  <c:v>63859</c:v>
                </c:pt>
                <c:pt idx="3532">
                  <c:v>63866</c:v>
                </c:pt>
                <c:pt idx="3533">
                  <c:v>63873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2.6661404978790548E-2</c:v>
                </c:pt>
                <c:pt idx="1">
                  <c:v>2.6661390389163264E-2</c:v>
                </c:pt>
                <c:pt idx="2">
                  <c:v>2.6661361209989742E-2</c:v>
                </c:pt>
                <c:pt idx="3">
                  <c:v>2.6661317441351029E-2</c:v>
                </c:pt>
                <c:pt idx="4">
                  <c:v>2.6663128767751752E-2</c:v>
                </c:pt>
                <c:pt idx="5">
                  <c:v>2.6660996471090659E-2</c:v>
                </c:pt>
                <c:pt idx="6">
                  <c:v>2.6660879754558664E-2</c:v>
                </c:pt>
                <c:pt idx="7">
                  <c:v>2.6660733807388759E-2</c:v>
                </c:pt>
                <c:pt idx="8">
                  <c:v>2.6660500064890069E-2</c:v>
                </c:pt>
                <c:pt idx="9">
                  <c:v>2.6661638403074527E-2</c:v>
                </c:pt>
                <c:pt idx="10">
                  <c:v>2.6658540730609692E-2</c:v>
                </c:pt>
                <c:pt idx="11">
                  <c:v>2.6657794806008717E-2</c:v>
                </c:pt>
                <c:pt idx="12">
                  <c:v>2.6656911879640033E-2</c:v>
                </c:pt>
                <c:pt idx="13">
                  <c:v>2.6655753690925099E-2</c:v>
                </c:pt>
                <c:pt idx="14">
                  <c:v>2.6654228232134425E-2</c:v>
                </c:pt>
                <c:pt idx="15">
                  <c:v>2.6645315332353148E-2</c:v>
                </c:pt>
                <c:pt idx="16">
                  <c:v>2.6642325922860977E-2</c:v>
                </c:pt>
                <c:pt idx="17">
                  <c:v>2.6639165411540544E-2</c:v>
                </c:pt>
                <c:pt idx="18">
                  <c:v>2.6634309821498652E-2</c:v>
                </c:pt>
                <c:pt idx="19">
                  <c:v>2.6625089799463542E-2</c:v>
                </c:pt>
                <c:pt idx="20">
                  <c:v>2.662121250470495E-2</c:v>
                </c:pt>
                <c:pt idx="21">
                  <c:v>2.6617191853420819E-2</c:v>
                </c:pt>
                <c:pt idx="22">
                  <c:v>2.6613027845286963E-2</c:v>
                </c:pt>
                <c:pt idx="23">
                  <c:v>2.660650809908368E-2</c:v>
                </c:pt>
                <c:pt idx="24">
                  <c:v>2.6596364357061031E-2</c:v>
                </c:pt>
                <c:pt idx="25">
                  <c:v>2.659240861031309E-2</c:v>
                </c:pt>
                <c:pt idx="26">
                  <c:v>2.658854076814432E-2</c:v>
                </c:pt>
                <c:pt idx="27">
                  <c:v>2.6584760830473675E-2</c:v>
                </c:pt>
                <c:pt idx="28">
                  <c:v>2.6579429258515311E-2</c:v>
                </c:pt>
                <c:pt idx="29">
                  <c:v>2.6570520124367114E-2</c:v>
                </c:pt>
                <c:pt idx="30">
                  <c:v>2.6567179709025002E-2</c:v>
                </c:pt>
                <c:pt idx="31">
                  <c:v>2.6563927198181014E-2</c:v>
                </c:pt>
                <c:pt idx="32">
                  <c:v>2.6560762591916198E-2</c:v>
                </c:pt>
                <c:pt idx="33">
                  <c:v>2.6556658368219747E-2</c:v>
                </c:pt>
                <c:pt idx="34">
                  <c:v>2.6548983211027721E-2</c:v>
                </c:pt>
                <c:pt idx="35">
                  <c:v>2.6546258126929345E-2</c:v>
                </c:pt>
                <c:pt idx="36">
                  <c:v>2.6543620947329094E-2</c:v>
                </c:pt>
                <c:pt idx="37">
                  <c:v>2.6541071672226968E-2</c:v>
                </c:pt>
                <c:pt idx="38">
                  <c:v>2.6538195425819627E-2</c:v>
                </c:pt>
                <c:pt idx="39">
                  <c:v>2.653175361623239E-2</c:v>
                </c:pt>
                <c:pt idx="40">
                  <c:v>2.6529643863296704E-2</c:v>
                </c:pt>
                <c:pt idx="41">
                  <c:v>2.6527622014859142E-2</c:v>
                </c:pt>
                <c:pt idx="42">
                  <c:v>2.6525688070919706E-2</c:v>
                </c:pt>
                <c:pt idx="43">
                  <c:v>2.6524040429315814E-2</c:v>
                </c:pt>
                <c:pt idx="44">
                  <c:v>2.6518804220112546E-2</c:v>
                </c:pt>
                <c:pt idx="45">
                  <c:v>2.6517147082694148E-2</c:v>
                </c:pt>
                <c:pt idx="46">
                  <c:v>2.6515415134047426E-2</c:v>
                </c:pt>
                <c:pt idx="47">
                  <c:v>2.6513608374091335E-2</c:v>
                </c:pt>
                <c:pt idx="48">
                  <c:v>2.6511670918227447E-2</c:v>
                </c:pt>
                <c:pt idx="49">
                  <c:v>2.6505633222470015E-2</c:v>
                </c:pt>
                <c:pt idx="50">
                  <c:v>2.65034524065344E-2</c:v>
                </c:pt>
                <c:pt idx="51">
                  <c:v>2.6501196779370462E-2</c:v>
                </c:pt>
                <c:pt idx="52">
                  <c:v>2.6498866341059246E-2</c:v>
                </c:pt>
                <c:pt idx="53">
                  <c:v>2.6495879235253577E-2</c:v>
                </c:pt>
                <c:pt idx="54">
                  <c:v>2.6488796475531151E-2</c:v>
                </c:pt>
                <c:pt idx="55">
                  <c:v>2.6486091981159365E-2</c:v>
                </c:pt>
                <c:pt idx="56">
                  <c:v>2.6483312675559256E-2</c:v>
                </c:pt>
                <c:pt idx="57">
                  <c:v>2.648045855881187E-2</c:v>
                </c:pt>
                <c:pt idx="58">
                  <c:v>2.6476421272832638E-2</c:v>
                </c:pt>
                <c:pt idx="59">
                  <c:v>2.6468293979863278E-2</c:v>
                </c:pt>
                <c:pt idx="60">
                  <c:v>2.6465065807055321E-2</c:v>
                </c:pt>
                <c:pt idx="61">
                  <c:v>2.6461762823181134E-2</c:v>
                </c:pt>
                <c:pt idx="62">
                  <c:v>2.6458385028078624E-2</c:v>
                </c:pt>
                <c:pt idx="63">
                  <c:v>2.6453297032774662E-2</c:v>
                </c:pt>
                <c:pt idx="64">
                  <c:v>2.6444125735871626E-2</c:v>
                </c:pt>
                <c:pt idx="65">
                  <c:v>2.6440373884870638E-2</c:v>
                </c:pt>
                <c:pt idx="66">
                  <c:v>2.6436571888833749E-2</c:v>
                </c:pt>
                <c:pt idx="67">
                  <c:v>2.6432818411720183E-2</c:v>
                </c:pt>
                <c:pt idx="68">
                  <c:v>2.6427468631850342E-2</c:v>
                </c:pt>
                <c:pt idx="69">
                  <c:v>2.6418536353775002E-2</c:v>
                </c:pt>
                <c:pt idx="70">
                  <c:v>2.6415148801915977E-2</c:v>
                </c:pt>
                <c:pt idx="71">
                  <c:v>2.6409319267862941E-2</c:v>
                </c:pt>
                <c:pt idx="72">
                  <c:v>2.6396360376571559E-2</c:v>
                </c:pt>
                <c:pt idx="73">
                  <c:v>2.6393485119955429E-2</c:v>
                </c:pt>
                <c:pt idx="74">
                  <c:v>2.6390272572424656E-2</c:v>
                </c:pt>
                <c:pt idx="75">
                  <c:v>2.6384647368318619E-2</c:v>
                </c:pt>
                <c:pt idx="76">
                  <c:v>2.6377770465906281E-2</c:v>
                </c:pt>
                <c:pt idx="77">
                  <c:v>2.6375407504451998E-2</c:v>
                </c:pt>
                <c:pt idx="78">
                  <c:v>2.6373117728032414E-2</c:v>
                </c:pt>
                <c:pt idx="79">
                  <c:v>2.6370901136647529E-2</c:v>
                </c:pt>
                <c:pt idx="80">
                  <c:v>2.6368616616862704E-2</c:v>
                </c:pt>
                <c:pt idx="81">
                  <c:v>2.6362766621211842E-2</c:v>
                </c:pt>
                <c:pt idx="82">
                  <c:v>2.636091595483836E-2</c:v>
                </c:pt>
                <c:pt idx="83">
                  <c:v>2.6359138473499577E-2</c:v>
                </c:pt>
                <c:pt idx="84">
                  <c:v>2.6357434177195493E-2</c:v>
                </c:pt>
                <c:pt idx="85">
                  <c:v>2.6356172450262932E-2</c:v>
                </c:pt>
                <c:pt idx="86">
                  <c:v>2.6351348842001965E-2</c:v>
                </c:pt>
                <c:pt idx="87">
                  <c:v>2.6350010470628238E-2</c:v>
                </c:pt>
                <c:pt idx="88">
                  <c:v>2.6348745284370256E-2</c:v>
                </c:pt>
                <c:pt idx="89">
                  <c:v>2.6347553283065928E-2</c:v>
                </c:pt>
                <c:pt idx="90">
                  <c:v>2.6347791626298578E-2</c:v>
                </c:pt>
                <c:pt idx="91">
                  <c:v>2.6342691051659539E-2</c:v>
                </c:pt>
                <c:pt idx="92">
                  <c:v>2.6341938160320266E-2</c:v>
                </c:pt>
                <c:pt idx="93">
                  <c:v>2.6341258454015692E-2</c:v>
                </c:pt>
                <c:pt idx="94">
                  <c:v>2.6342043867660557E-2</c:v>
                </c:pt>
                <c:pt idx="95">
                  <c:v>2.6339271478820203E-2</c:v>
                </c:pt>
                <c:pt idx="96">
                  <c:v>2.6338957697527032E-2</c:v>
                </c:pt>
                <c:pt idx="97">
                  <c:v>2.6338717101187514E-2</c:v>
                </c:pt>
                <c:pt idx="98">
                  <c:v>2.6338549689882695E-2</c:v>
                </c:pt>
                <c:pt idx="99">
                  <c:v>2.6340359450388227E-2</c:v>
                </c:pt>
                <c:pt idx="100">
                  <c:v>2.6338611894524133E-2</c:v>
                </c:pt>
                <c:pt idx="101">
                  <c:v>2.6338810408230717E-2</c:v>
                </c:pt>
                <c:pt idx="102">
                  <c:v>2.6339082106890954E-2</c:v>
                </c:pt>
                <c:pt idx="103">
                  <c:v>2.6339426990504844E-2</c:v>
                </c:pt>
                <c:pt idx="104">
                  <c:v>2.6342261615486622E-2</c:v>
                </c:pt>
                <c:pt idx="105">
                  <c:v>2.6341538375145301E-2</c:v>
                </c:pt>
                <c:pt idx="106">
                  <c:v>2.6342249183770594E-2</c:v>
                </c:pt>
                <c:pt idx="107">
                  <c:v>2.6343033177430586E-2</c:v>
                </c:pt>
                <c:pt idx="108">
                  <c:v>2.6343890355963184E-2</c:v>
                </c:pt>
                <c:pt idx="109">
                  <c:v>2.6347750363117838E-2</c:v>
                </c:pt>
                <c:pt idx="110">
                  <c:v>2.6348050920521615E-2</c:v>
                </c:pt>
                <c:pt idx="111">
                  <c:v>2.6349274024146663E-2</c:v>
                </c:pt>
                <c:pt idx="112">
                  <c:v>2.6350570312806409E-2</c:v>
                </c:pt>
                <c:pt idx="113">
                  <c:v>2.6351939786419809E-2</c:v>
                </c:pt>
                <c:pt idx="114">
                  <c:v>2.6356825693795164E-2</c:v>
                </c:pt>
                <c:pt idx="115">
                  <c:v>2.6358149531058306E-2</c:v>
                </c:pt>
                <c:pt idx="116">
                  <c:v>2.6359884929764155E-2</c:v>
                </c:pt>
                <c:pt idx="117">
                  <c:v>2.6361693513423656E-2</c:v>
                </c:pt>
                <c:pt idx="118">
                  <c:v>2.6363575282117857E-2</c:v>
                </c:pt>
                <c:pt idx="119">
                  <c:v>2.6369487608302048E-2</c:v>
                </c:pt>
                <c:pt idx="120">
                  <c:v>2.6371834206917466E-2</c:v>
                </c:pt>
                <c:pt idx="121">
                  <c:v>2.6374081900704116E-2</c:v>
                </c:pt>
                <c:pt idx="122">
                  <c:v>2.6376402779525465E-2</c:v>
                </c:pt>
                <c:pt idx="123">
                  <c:v>2.6378796843219421E-2</c:v>
                </c:pt>
                <c:pt idx="124">
                  <c:v>2.6385736107773138E-2</c:v>
                </c:pt>
                <c:pt idx="125">
                  <c:v>2.638910494866642E-2</c:v>
                </c:pt>
                <c:pt idx="126">
                  <c:v>2.6391860703108838E-2</c:v>
                </c:pt>
                <c:pt idx="127">
                  <c:v>2.6394668470541838E-2</c:v>
                </c:pt>
                <c:pt idx="128">
                  <c:v>2.6397524016378293E-2</c:v>
                </c:pt>
                <c:pt idx="129">
                  <c:v>2.6405304386312171E-2</c:v>
                </c:pt>
                <c:pt idx="130">
                  <c:v>2.6409423984731228E-2</c:v>
                </c:pt>
                <c:pt idx="131">
                  <c:v>2.6412518422990194E-2</c:v>
                </c:pt>
                <c:pt idx="132">
                  <c:v>2.6415660639814709E-2</c:v>
                </c:pt>
                <c:pt idx="133">
                  <c:v>2.6418850635123725E-2</c:v>
                </c:pt>
                <c:pt idx="134">
                  <c:v>2.6427303087527648E-2</c:v>
                </c:pt>
                <c:pt idx="135">
                  <c:v>2.6432088401204812E-2</c:v>
                </c:pt>
                <c:pt idx="136">
                  <c:v>2.6435517288936339E-2</c:v>
                </c:pt>
                <c:pt idx="137">
                  <c:v>2.6438993955233414E-2</c:v>
                </c:pt>
                <c:pt idx="138">
                  <c:v>2.6453592049600738E-2</c:v>
                </c:pt>
                <c:pt idx="139">
                  <c:v>2.6460857301352503E-2</c:v>
                </c:pt>
                <c:pt idx="140">
                  <c:v>2.6464668417122139E-2</c:v>
                </c:pt>
                <c:pt idx="141">
                  <c:v>2.6468527311457324E-2</c:v>
                </c:pt>
                <c:pt idx="142">
                  <c:v>2.6478324956116982E-2</c:v>
                </c:pt>
                <c:pt idx="143">
                  <c:v>2.6484440673805176E-2</c:v>
                </c:pt>
                <c:pt idx="144">
                  <c:v>2.6488538460724964E-2</c:v>
                </c:pt>
                <c:pt idx="145">
                  <c:v>2.6492684026129254E-2</c:v>
                </c:pt>
                <c:pt idx="146">
                  <c:v>2.6496877370018046E-2</c:v>
                </c:pt>
                <c:pt idx="147">
                  <c:v>2.6507348126381485E-2</c:v>
                </c:pt>
                <c:pt idx="148">
                  <c:v>2.6514128530985559E-2</c:v>
                </c:pt>
                <c:pt idx="149">
                  <c:v>2.651856076754E-2</c:v>
                </c:pt>
                <c:pt idx="150">
                  <c:v>2.652304078265999E-2</c:v>
                </c:pt>
                <c:pt idx="151">
                  <c:v>2.6527568576264482E-2</c:v>
                </c:pt>
                <c:pt idx="152">
                  <c:v>2.6538712789507816E-2</c:v>
                </c:pt>
                <c:pt idx="153">
                  <c:v>2.6546157536175841E-2</c:v>
                </c:pt>
                <c:pt idx="154">
                  <c:v>2.6550924222527028E-2</c:v>
                </c:pt>
                <c:pt idx="155">
                  <c:v>2.6555738687362718E-2</c:v>
                </c:pt>
                <c:pt idx="156">
                  <c:v>2.6560600930763956E-2</c:v>
                </c:pt>
                <c:pt idx="157">
                  <c:v>2.6572418947278985E-2</c:v>
                </c:pt>
                <c:pt idx="158">
                  <c:v>2.6580527689943345E-2</c:v>
                </c:pt>
                <c:pt idx="159">
                  <c:v>2.6585628826091279E-2</c:v>
                </c:pt>
                <c:pt idx="160">
                  <c:v>2.6590777740804761E-2</c:v>
                </c:pt>
                <c:pt idx="161">
                  <c:v>2.6595974434083791E-2</c:v>
                </c:pt>
                <c:pt idx="162">
                  <c:v>2.660846660169414E-2</c:v>
                </c:pt>
                <c:pt idx="163">
                  <c:v>2.6617238992936443E-2</c:v>
                </c:pt>
                <c:pt idx="164">
                  <c:v>2.6622674579043215E-2</c:v>
                </c:pt>
                <c:pt idx="165">
                  <c:v>2.6628157943796582E-2</c:v>
                </c:pt>
                <c:pt idx="166">
                  <c:v>2.6633689087034451E-2</c:v>
                </c:pt>
                <c:pt idx="167">
                  <c:v>2.6646855754752417E-2</c:v>
                </c:pt>
                <c:pt idx="168">
                  <c:v>2.6656291445965596E-2</c:v>
                </c:pt>
                <c:pt idx="169">
                  <c:v>2.6662061482031207E-2</c:v>
                </c:pt>
                <c:pt idx="170">
                  <c:v>2.6667879296905506E-2</c:v>
                </c:pt>
                <c:pt idx="171">
                  <c:v>2.6673744890264306E-2</c:v>
                </c:pt>
                <c:pt idx="172">
                  <c:v>2.6687586408723117E-2</c:v>
                </c:pt>
                <c:pt idx="173">
                  <c:v>2.669768504959813E-2</c:v>
                </c:pt>
                <c:pt idx="174">
                  <c:v>2.6703789535946765E-2</c:v>
                </c:pt>
                <c:pt idx="175">
                  <c:v>2.6709941800941994E-2</c:v>
                </c:pt>
                <c:pt idx="176">
                  <c:v>2.6716141844502772E-2</c:v>
                </c:pt>
                <c:pt idx="177">
                  <c:v>2.6730658565956581E-2</c:v>
                </c:pt>
                <c:pt idx="178">
                  <c:v>2.6741419804887645E-2</c:v>
                </c:pt>
                <c:pt idx="179">
                  <c:v>2.6747858741438257E-2</c:v>
                </c:pt>
                <c:pt idx="180">
                  <c:v>2.6754345456716511E-2</c:v>
                </c:pt>
                <c:pt idx="181">
                  <c:v>2.6760879950641359E-2</c:v>
                </c:pt>
                <c:pt idx="182">
                  <c:v>2.6780401929783759E-2</c:v>
                </c:pt>
                <c:pt idx="183">
                  <c:v>2.6794269099478241E-2</c:v>
                </c:pt>
                <c:pt idx="184">
                  <c:v>2.6801090265120564E-2</c:v>
                </c:pt>
                <c:pt idx="185">
                  <c:v>2.6807959209490528E-2</c:v>
                </c:pt>
                <c:pt idx="186">
                  <c:v>2.6823827400261534E-2</c:v>
                </c:pt>
                <c:pt idx="187">
                  <c:v>2.683591277327424E-2</c:v>
                </c:pt>
                <c:pt idx="188">
                  <c:v>2.6843020610796131E-2</c:v>
                </c:pt>
                <c:pt idx="189">
                  <c:v>2.685017622712671E-2</c:v>
                </c:pt>
                <c:pt idx="190">
                  <c:v>2.685737962194179E-2</c:v>
                </c:pt>
                <c:pt idx="191">
                  <c:v>2.687392408268208E-2</c:v>
                </c:pt>
                <c:pt idx="192">
                  <c:v>2.688667098831643E-2</c:v>
                </c:pt>
                <c:pt idx="193">
                  <c:v>2.6894113276526577E-2</c:v>
                </c:pt>
                <c:pt idx="194">
                  <c:v>2.6901603343464364E-2</c:v>
                </c:pt>
                <c:pt idx="195">
                  <c:v>2.6909141189048746E-2</c:v>
                </c:pt>
                <c:pt idx="196">
                  <c:v>2.6926362279117527E-2</c:v>
                </c:pt>
                <c:pt idx="197">
                  <c:v>2.6939770358419546E-2</c:v>
                </c:pt>
                <c:pt idx="198">
                  <c:v>2.694754709748004E-2</c:v>
                </c:pt>
                <c:pt idx="199">
                  <c:v>2.6955371615268175E-2</c:v>
                </c:pt>
                <c:pt idx="200">
                  <c:v>2.6963243911783952E-2</c:v>
                </c:pt>
                <c:pt idx="201">
                  <c:v>2.6981141992620621E-2</c:v>
                </c:pt>
                <c:pt idx="202">
                  <c:v>2.6995210884718235E-2</c:v>
                </c:pt>
                <c:pt idx="203">
                  <c:v>2.700332207479117E-2</c:v>
                </c:pt>
                <c:pt idx="204">
                  <c:v>2.7011481043510699E-2</c:v>
                </c:pt>
                <c:pt idx="205">
                  <c:v>2.7019687791038915E-2</c:v>
                </c:pt>
                <c:pt idx="206">
                  <c:v>2.7038263226298136E-2</c:v>
                </c:pt>
                <c:pt idx="207">
                  <c:v>2.7052992568347145E-2</c:v>
                </c:pt>
                <c:pt idx="208">
                  <c:v>2.7061438209513566E-2</c:v>
                </c:pt>
                <c:pt idx="209">
                  <c:v>2.7069931629407629E-2</c:v>
                </c:pt>
                <c:pt idx="210">
                  <c:v>2.7078472828029332E-2</c:v>
                </c:pt>
                <c:pt idx="211">
                  <c:v>2.7097725983472969E-2</c:v>
                </c:pt>
                <c:pt idx="212">
                  <c:v>2.7113115410278832E-2</c:v>
                </c:pt>
                <c:pt idx="213">
                  <c:v>2.7121895502700832E-2</c:v>
                </c:pt>
                <c:pt idx="214">
                  <c:v>2.713072337393152E-2</c:v>
                </c:pt>
                <c:pt idx="215">
                  <c:v>2.7139599023970895E-2</c:v>
                </c:pt>
                <c:pt idx="216">
                  <c:v>2.7159530267576081E-2</c:v>
                </c:pt>
                <c:pt idx="217">
                  <c:v>2.7175579411728989E-2</c:v>
                </c:pt>
                <c:pt idx="218">
                  <c:v>2.7184693955568662E-2</c:v>
                </c:pt>
                <c:pt idx="219">
                  <c:v>2.7193856278298068E-2</c:v>
                </c:pt>
                <c:pt idx="220">
                  <c:v>2.7203066379755114E-2</c:v>
                </c:pt>
                <c:pt idx="221">
                  <c:v>2.7229377006603994E-2</c:v>
                </c:pt>
                <c:pt idx="222">
                  <c:v>2.7249833569332749E-2</c:v>
                </c:pt>
                <c:pt idx="223">
                  <c:v>2.7259330343722965E-2</c:v>
                </c:pt>
                <c:pt idx="224">
                  <c:v>2.7268874896921869E-2</c:v>
                </c:pt>
                <c:pt idx="225">
                  <c:v>2.7290163430939339E-2</c:v>
                </c:pt>
                <c:pt idx="226">
                  <c:v>2.7307530897885401E-2</c:v>
                </c:pt>
                <c:pt idx="227">
                  <c:v>2.7317314345289834E-2</c:v>
                </c:pt>
                <c:pt idx="228">
                  <c:v>2.7327145571421907E-2</c:v>
                </c:pt>
                <c:pt idx="229">
                  <c:v>2.733702457652476E-2</c:v>
                </c:pt>
                <c:pt idx="230">
                  <c:v>2.7358992317763807E-2</c:v>
                </c:pt>
                <c:pt idx="231">
                  <c:v>2.7377018385266183E-2</c:v>
                </c:pt>
                <c:pt idx="232">
                  <c:v>2.7387136284655611E-2</c:v>
                </c:pt>
                <c:pt idx="233">
                  <c:v>2.7397301962853726E-2</c:v>
                </c:pt>
                <c:pt idx="234">
                  <c:v>2.7407515419941575E-2</c:v>
                </c:pt>
                <c:pt idx="235">
                  <c:v>2.7430162746591161E-2</c:v>
                </c:pt>
                <c:pt idx="236">
                  <c:v>2.7448847037271351E-2</c:v>
                </c:pt>
                <c:pt idx="237">
                  <c:v>2.7459299388726821E-2</c:v>
                </c:pt>
                <c:pt idx="238">
                  <c:v>2.7469799519234117E-2</c:v>
                </c:pt>
                <c:pt idx="239">
                  <c:v>2.7480347428631147E-2</c:v>
                </c:pt>
                <c:pt idx="240">
                  <c:v>2.7503674721554759E-2</c:v>
                </c:pt>
                <c:pt idx="241">
                  <c:v>2.7523016855197646E-2</c:v>
                </c:pt>
                <c:pt idx="242">
                  <c:v>2.7533803659043343E-2</c:v>
                </c:pt>
                <c:pt idx="243">
                  <c:v>2.7544638241940866E-2</c:v>
                </c:pt>
                <c:pt idx="244">
                  <c:v>2.7555520603809169E-2</c:v>
                </c:pt>
                <c:pt idx="245">
                  <c:v>2.7579528246841994E-2</c:v>
                </c:pt>
                <c:pt idx="246">
                  <c:v>2.7599527840503901E-2</c:v>
                </c:pt>
                <c:pt idx="247">
                  <c:v>2.7610649096982964E-2</c:v>
                </c:pt>
                <c:pt idx="248">
                  <c:v>2.7621818132513853E-2</c:v>
                </c:pt>
                <c:pt idx="249">
                  <c:v>2.7633034946934476E-2</c:v>
                </c:pt>
                <c:pt idx="250">
                  <c:v>2.7657723326910414E-2</c:v>
                </c:pt>
                <c:pt idx="251">
                  <c:v>2.7678379994648949E-2</c:v>
                </c:pt>
                <c:pt idx="252">
                  <c:v>2.7689835704004517E-2</c:v>
                </c:pt>
                <c:pt idx="253">
                  <c:v>2.7701330551905823E-2</c:v>
                </c:pt>
                <c:pt idx="254">
                  <c:v>2.7712829976409559E-2</c:v>
                </c:pt>
                <c:pt idx="255">
                  <c:v>2.7737922936717695E-2</c:v>
                </c:pt>
                <c:pt idx="256">
                  <c:v>2.775878703652257E-2</c:v>
                </c:pt>
                <c:pt idx="257">
                  <c:v>2.7770266141994293E-2</c:v>
                </c:pt>
                <c:pt idx="258">
                  <c:v>2.7781741183643405E-2</c:v>
                </c:pt>
                <c:pt idx="259">
                  <c:v>2.7793212161469905E-2</c:v>
                </c:pt>
                <c:pt idx="260">
                  <c:v>2.7818260454173981E-2</c:v>
                </c:pt>
                <c:pt idx="261">
                  <c:v>2.7839055434873972E-2</c:v>
                </c:pt>
                <c:pt idx="262">
                  <c:v>2.7850506093587413E-2</c:v>
                </c:pt>
                <c:pt idx="263">
                  <c:v>2.7861952688559288E-2</c:v>
                </c:pt>
                <c:pt idx="264">
                  <c:v>2.7873395219789598E-2</c:v>
                </c:pt>
                <c:pt idx="265">
                  <c:v>2.7905180790906148E-2</c:v>
                </c:pt>
                <c:pt idx="266">
                  <c:v>2.7930546918196741E-2</c:v>
                </c:pt>
                <c:pt idx="267">
                  <c:v>2.7941965066491381E-2</c:v>
                </c:pt>
                <c:pt idx="268">
                  <c:v>2.7953379150963409E-2</c:v>
                </c:pt>
                <c:pt idx="269">
                  <c:v>2.7978338122696494E-2</c:v>
                </c:pt>
                <c:pt idx="270">
                  <c:v>2.799899485046331E-2</c:v>
                </c:pt>
                <c:pt idx="271">
                  <c:v>2.8010388615741233E-2</c:v>
                </c:pt>
                <c:pt idx="272">
                  <c:v>2.802177831727759E-2</c:v>
                </c:pt>
                <c:pt idx="273">
                  <c:v>2.8033163954991336E-2</c:v>
                </c:pt>
                <c:pt idx="274">
                  <c:v>2.8058078272952262E-2</c:v>
                </c:pt>
                <c:pt idx="275">
                  <c:v>2.8078665867458108E-2</c:v>
                </c:pt>
                <c:pt idx="276">
                  <c:v>2.8090031186058795E-2</c:v>
                </c:pt>
                <c:pt idx="277">
                  <c:v>2.810139244083687E-2</c:v>
                </c:pt>
                <c:pt idx="278">
                  <c:v>2.8112749631711287E-2</c:v>
                </c:pt>
                <c:pt idx="279">
                  <c:v>2.8137619300006394E-2</c:v>
                </c:pt>
                <c:pt idx="280">
                  <c:v>2.8158137757225976E-2</c:v>
                </c:pt>
                <c:pt idx="281">
                  <c:v>2.8169474628987334E-2</c:v>
                </c:pt>
                <c:pt idx="282">
                  <c:v>2.8180807436926081E-2</c:v>
                </c:pt>
                <c:pt idx="283">
                  <c:v>2.8192136181123262E-2</c:v>
                </c:pt>
                <c:pt idx="284">
                  <c:v>2.8216961203507699E-2</c:v>
                </c:pt>
                <c:pt idx="285">
                  <c:v>2.8237410519361683E-2</c:v>
                </c:pt>
                <c:pt idx="286">
                  <c:v>2.8248718944364759E-2</c:v>
                </c:pt>
                <c:pt idx="287">
                  <c:v>2.8260023305545223E-2</c:v>
                </c:pt>
                <c:pt idx="288">
                  <c:v>2.8271323602903076E-2</c:v>
                </c:pt>
                <c:pt idx="289">
                  <c:v>2.8296103983077952E-2</c:v>
                </c:pt>
                <c:pt idx="290">
                  <c:v>2.8316484153946275E-2</c:v>
                </c:pt>
                <c:pt idx="291">
                  <c:v>2.8327764132191069E-2</c:v>
                </c:pt>
                <c:pt idx="292">
                  <c:v>2.8339040046532205E-2</c:v>
                </c:pt>
                <c:pt idx="293">
                  <c:v>2.8350311897050728E-2</c:v>
                </c:pt>
                <c:pt idx="294">
                  <c:v>2.8375047638230882E-2</c:v>
                </c:pt>
                <c:pt idx="295">
                  <c:v>2.839535866081766E-2</c:v>
                </c:pt>
                <c:pt idx="296">
                  <c:v>2.8406610192223125E-2</c:v>
                </c:pt>
                <c:pt idx="297">
                  <c:v>2.8417857659724932E-2</c:v>
                </c:pt>
                <c:pt idx="298">
                  <c:v>2.8429101063404127E-2</c:v>
                </c:pt>
                <c:pt idx="299">
                  <c:v>2.8453792168696333E-2</c:v>
                </c:pt>
                <c:pt idx="300">
                  <c:v>2.8474034039813745E-2</c:v>
                </c:pt>
                <c:pt idx="301">
                  <c:v>2.8485257124298835E-2</c:v>
                </c:pt>
                <c:pt idx="302">
                  <c:v>2.8496476144961314E-2</c:v>
                </c:pt>
                <c:pt idx="303">
                  <c:v>2.850769110180118E-2</c:v>
                </c:pt>
                <c:pt idx="304">
                  <c:v>2.8532337574015042E-2</c:v>
                </c:pt>
                <c:pt idx="305">
                  <c:v>2.8552510290772437E-2</c:v>
                </c:pt>
                <c:pt idx="306">
                  <c:v>2.8563704928418199E-2</c:v>
                </c:pt>
                <c:pt idx="307">
                  <c:v>2.8574895502241349E-2</c:v>
                </c:pt>
                <c:pt idx="308">
                  <c:v>2.8586082012160841E-2</c:v>
                </c:pt>
                <c:pt idx="309">
                  <c:v>2.8610683853808792E-2</c:v>
                </c:pt>
                <c:pt idx="310">
                  <c:v>2.8630787413612691E-2</c:v>
                </c:pt>
                <c:pt idx="311">
                  <c:v>2.8641953604419124E-2</c:v>
                </c:pt>
                <c:pt idx="312">
                  <c:v>2.8653115731321899E-2</c:v>
                </c:pt>
                <c:pt idx="313">
                  <c:v>2.8664273794321016E-2</c:v>
                </c:pt>
                <c:pt idx="314">
                  <c:v>2.8688831007726383E-2</c:v>
                </c:pt>
                <c:pt idx="315">
                  <c:v>2.8708865408253459E-2</c:v>
                </c:pt>
                <c:pt idx="316">
                  <c:v>2.8720003152058471E-2</c:v>
                </c:pt>
                <c:pt idx="317">
                  <c:v>2.8731136832040871E-2</c:v>
                </c:pt>
                <c:pt idx="318">
                  <c:v>2.874226644820066E-2</c:v>
                </c:pt>
                <c:pt idx="319">
                  <c:v>2.8766779035335571E-2</c:v>
                </c:pt>
                <c:pt idx="320">
                  <c:v>2.8786744274370557E-2</c:v>
                </c:pt>
                <c:pt idx="321">
                  <c:v>2.879785357133624E-2</c:v>
                </c:pt>
                <c:pt idx="322">
                  <c:v>2.8808958804398266E-2</c:v>
                </c:pt>
                <c:pt idx="323">
                  <c:v>2.8846804636622148E-2</c:v>
                </c:pt>
                <c:pt idx="324">
                  <c:v>2.8875504862009294E-2</c:v>
                </c:pt>
                <c:pt idx="325">
                  <c:v>2.888658164823199E-2</c:v>
                </c:pt>
                <c:pt idx="326">
                  <c:v>2.8917689231893751E-2</c:v>
                </c:pt>
                <c:pt idx="327">
                  <c:v>2.8941904621114789E-2</c:v>
                </c:pt>
                <c:pt idx="328">
                  <c:v>2.8952957024158676E-2</c:v>
                </c:pt>
                <c:pt idx="329">
                  <c:v>2.8964005363298906E-2</c:v>
                </c:pt>
                <c:pt idx="330">
                  <c:v>2.897504963869757E-2</c:v>
                </c:pt>
                <c:pt idx="331">
                  <c:v>2.8999428356719651E-2</c:v>
                </c:pt>
                <c:pt idx="332">
                  <c:v>2.9019186101417738E-2</c:v>
                </c:pt>
                <c:pt idx="333">
                  <c:v>2.9030210057460204E-2</c:v>
                </c:pt>
                <c:pt idx="334">
                  <c:v>2.9041229949680059E-2</c:v>
                </c:pt>
                <c:pt idx="335">
                  <c:v>2.9052245777996255E-2</c:v>
                </c:pt>
                <c:pt idx="336">
                  <c:v>2.9076579875421119E-2</c:v>
                </c:pt>
                <c:pt idx="337">
                  <c:v>2.9096268452791785E-2</c:v>
                </c:pt>
                <c:pt idx="338">
                  <c:v>2.910726396183283E-2</c:v>
                </c:pt>
                <c:pt idx="339">
                  <c:v>2.9118255407051263E-2</c:v>
                </c:pt>
                <c:pt idx="340">
                  <c:v>2.9129242788366039E-2</c:v>
                </c:pt>
                <c:pt idx="341">
                  <c:v>2.9153532265923102E-2</c:v>
                </c:pt>
                <c:pt idx="342">
                  <c:v>2.9179801497573599E-2</c:v>
                </c:pt>
                <c:pt idx="343">
                  <c:v>2.919508173541252E-2</c:v>
                </c:pt>
                <c:pt idx="344">
                  <c:v>2.9206040669725875E-2</c:v>
                </c:pt>
                <c:pt idx="345">
                  <c:v>2.9230285527847382E-2</c:v>
                </c:pt>
                <c:pt idx="346">
                  <c:v>2.9249835768428989E-2</c:v>
                </c:pt>
                <c:pt idx="347">
                  <c:v>2.9260774383386146E-2</c:v>
                </c:pt>
                <c:pt idx="348">
                  <c:v>2.9271708934601737E-2</c:v>
                </c:pt>
                <c:pt idx="349">
                  <c:v>2.9282639421832624E-2</c:v>
                </c:pt>
                <c:pt idx="350">
                  <c:v>2.9306839660842764E-2</c:v>
                </c:pt>
                <c:pt idx="351">
                  <c:v>2.9326320732367961E-2</c:v>
                </c:pt>
                <c:pt idx="352">
                  <c:v>2.9337230900323696E-2</c:v>
                </c:pt>
                <c:pt idx="353">
                  <c:v>2.9348137004375774E-2</c:v>
                </c:pt>
                <c:pt idx="354">
                  <c:v>2.935903904460524E-2</c:v>
                </c:pt>
                <c:pt idx="355">
                  <c:v>2.9383194664558042E-2</c:v>
                </c:pt>
                <c:pt idx="356">
                  <c:v>2.9402606566891754E-2</c:v>
                </c:pt>
                <c:pt idx="357">
                  <c:v>2.9413488287765022E-2</c:v>
                </c:pt>
                <c:pt idx="358">
                  <c:v>2.9424365944815678E-2</c:v>
                </c:pt>
                <c:pt idx="359">
                  <c:v>2.9435239537962676E-2</c:v>
                </c:pt>
                <c:pt idx="360">
                  <c:v>2.9459350538533956E-2</c:v>
                </c:pt>
                <c:pt idx="361">
                  <c:v>2.9478693271919321E-2</c:v>
                </c:pt>
                <c:pt idx="362">
                  <c:v>2.9489546545710121E-2</c:v>
                </c:pt>
                <c:pt idx="363">
                  <c:v>2.950039575567831E-2</c:v>
                </c:pt>
                <c:pt idx="364">
                  <c:v>2.9511240901742841E-2</c:v>
                </c:pt>
                <c:pt idx="365">
                  <c:v>2.9535307282473337E-2</c:v>
                </c:pt>
                <c:pt idx="366">
                  <c:v>2.955458084728857E-2</c:v>
                </c:pt>
                <c:pt idx="367">
                  <c:v>2.9565405674077949E-2</c:v>
                </c:pt>
                <c:pt idx="368">
                  <c:v>2.9576226436882624E-2</c:v>
                </c:pt>
                <c:pt idx="369">
                  <c:v>2.9587043135783642E-2</c:v>
                </c:pt>
                <c:pt idx="370">
                  <c:v>2.961106489597095E-2</c:v>
                </c:pt>
                <c:pt idx="371">
                  <c:v>2.9630269292918454E-2</c:v>
                </c:pt>
                <c:pt idx="372">
                  <c:v>2.964106567254432E-2</c:v>
                </c:pt>
                <c:pt idx="373">
                  <c:v>2.9651857988185482E-2</c:v>
                </c:pt>
                <c:pt idx="374">
                  <c:v>2.9662646240085078E-2</c:v>
                </c:pt>
                <c:pt idx="375">
                  <c:v>2.9686623378648583E-2</c:v>
                </c:pt>
                <c:pt idx="376">
                  <c:v>2.9705758608646882E-2</c:v>
                </c:pt>
                <c:pt idx="377">
                  <c:v>2.9716526541109234E-2</c:v>
                </c:pt>
                <c:pt idx="378">
                  <c:v>2.9727290409667928E-2</c:v>
                </c:pt>
                <c:pt idx="379">
                  <c:v>2.9738050214322964E-2</c:v>
                </c:pt>
                <c:pt idx="380">
                  <c:v>2.9761982730155033E-2</c:v>
                </c:pt>
                <c:pt idx="381">
                  <c:v>2.9781048794392806E-2</c:v>
                </c:pt>
                <c:pt idx="382">
                  <c:v>2.9791788279691644E-2</c:v>
                </c:pt>
                <c:pt idx="383">
                  <c:v>2.9802523701086825E-2</c:v>
                </c:pt>
                <c:pt idx="384">
                  <c:v>2.9839579228366109E-2</c:v>
                </c:pt>
                <c:pt idx="385">
                  <c:v>2.9866850888048413E-2</c:v>
                </c:pt>
                <c:pt idx="386">
                  <c:v>2.987755786228008E-2</c:v>
                </c:pt>
                <c:pt idx="387">
                  <c:v>2.9888260772689135E-2</c:v>
                </c:pt>
                <c:pt idx="388">
                  <c:v>2.9912104038141527E-2</c:v>
                </c:pt>
                <c:pt idx="389">
                  <c:v>2.9931031775288774E-2</c:v>
                </c:pt>
                <c:pt idx="390">
                  <c:v>2.9941714366179539E-2</c:v>
                </c:pt>
                <c:pt idx="391">
                  <c:v>2.9952392893247692E-2</c:v>
                </c:pt>
                <c:pt idx="392">
                  <c:v>2.9963067356331141E-2</c:v>
                </c:pt>
                <c:pt idx="393">
                  <c:v>2.9986865993892151E-2</c:v>
                </c:pt>
                <c:pt idx="394">
                  <c:v>3.000572457019568E-2</c:v>
                </c:pt>
                <c:pt idx="395">
                  <c:v>3.0016378713841885E-2</c:v>
                </c:pt>
                <c:pt idx="396">
                  <c:v>3.0027028793665478E-2</c:v>
                </c:pt>
                <c:pt idx="397">
                  <c:v>3.0037674809666459E-2</c:v>
                </c:pt>
                <c:pt idx="398">
                  <c:v>3.0061428816985744E-2</c:v>
                </c:pt>
                <c:pt idx="399">
                  <c:v>3.0080218234552758E-2</c:v>
                </c:pt>
                <c:pt idx="400">
                  <c:v>3.0090843931035449E-2</c:v>
                </c:pt>
                <c:pt idx="401">
                  <c:v>3.0101465563695529E-2</c:v>
                </c:pt>
                <c:pt idx="402">
                  <c:v>3.0112083132370904E-2</c:v>
                </c:pt>
                <c:pt idx="403">
                  <c:v>3.014233982610387E-2</c:v>
                </c:pt>
                <c:pt idx="404">
                  <c:v>3.016511001759814E-2</c:v>
                </c:pt>
                <c:pt idx="405">
                  <c:v>3.0175703202932613E-2</c:v>
                </c:pt>
                <c:pt idx="406">
                  <c:v>3.0186292324444475E-2</c:v>
                </c:pt>
                <c:pt idx="407">
                  <c:v>3.0209957063797036E-2</c:v>
                </c:pt>
                <c:pt idx="408">
                  <c:v>3.0228608171374294E-2</c:v>
                </c:pt>
                <c:pt idx="409">
                  <c:v>3.0239176973367865E-2</c:v>
                </c:pt>
                <c:pt idx="410">
                  <c:v>3.0249741711457778E-2</c:v>
                </c:pt>
                <c:pt idx="411">
                  <c:v>3.0260302385644033E-2</c:v>
                </c:pt>
                <c:pt idx="412">
                  <c:v>3.0283922486704272E-2</c:v>
                </c:pt>
                <c:pt idx="413">
                  <c:v>3.0302504443514566E-2</c:v>
                </c:pt>
                <c:pt idx="414">
                  <c:v>3.0313044798263578E-2</c:v>
                </c:pt>
                <c:pt idx="415">
                  <c:v>3.0323581089027885E-2</c:v>
                </c:pt>
                <c:pt idx="416">
                  <c:v>3.033411331596958E-2</c:v>
                </c:pt>
                <c:pt idx="417">
                  <c:v>3.0357688775549677E-2</c:v>
                </c:pt>
                <c:pt idx="418">
                  <c:v>3.037620158469978E-2</c:v>
                </c:pt>
                <c:pt idx="419">
                  <c:v>3.0386713492123185E-2</c:v>
                </c:pt>
                <c:pt idx="420">
                  <c:v>3.0397221335642932E-2</c:v>
                </c:pt>
                <c:pt idx="421">
                  <c:v>3.0407725115259021E-2</c:v>
                </c:pt>
                <c:pt idx="422">
                  <c:v>3.0431255929901001E-2</c:v>
                </c:pt>
                <c:pt idx="423">
                  <c:v>3.0449699594767843E-2</c:v>
                </c:pt>
                <c:pt idx="424">
                  <c:v>3.0460183054784595E-2</c:v>
                </c:pt>
                <c:pt idx="425">
                  <c:v>3.0470662451059782E-2</c:v>
                </c:pt>
                <c:pt idx="426">
                  <c:v>3.0481137783350265E-2</c:v>
                </c:pt>
                <c:pt idx="427">
                  <c:v>3.0504623949434061E-2</c:v>
                </c:pt>
                <c:pt idx="428">
                  <c:v>3.0522998473556662E-2</c:v>
                </c:pt>
                <c:pt idx="429">
                  <c:v>3.0533453486328854E-2</c:v>
                </c:pt>
                <c:pt idx="430">
                  <c:v>3.0543904435197389E-2</c:v>
                </c:pt>
                <c:pt idx="431">
                  <c:v>3.0554351320162265E-2</c:v>
                </c:pt>
                <c:pt idx="432">
                  <c:v>3.0577792833743626E-2</c:v>
                </c:pt>
                <c:pt idx="433">
                  <c:v>3.0596098220985191E-2</c:v>
                </c:pt>
                <c:pt idx="434">
                  <c:v>3.0606524786431777E-2</c:v>
                </c:pt>
                <c:pt idx="435">
                  <c:v>3.0616947287974705E-2</c:v>
                </c:pt>
                <c:pt idx="436">
                  <c:v>3.0627365725532929E-2</c:v>
                </c:pt>
                <c:pt idx="437">
                  <c:v>3.0657253210927826E-2</c:v>
                </c:pt>
                <c:pt idx="438">
                  <c:v>3.0679396955093363E-2</c:v>
                </c:pt>
                <c:pt idx="439">
                  <c:v>3.0689791009229639E-2</c:v>
                </c:pt>
                <c:pt idx="440">
                  <c:v>3.0700180999462257E-2</c:v>
                </c:pt>
                <c:pt idx="441">
                  <c:v>3.072353319536851E-2</c:v>
                </c:pt>
                <c:pt idx="442">
                  <c:v>3.0741700321356147E-2</c:v>
                </c:pt>
                <c:pt idx="443">
                  <c:v>3.0752069992070474E-2</c:v>
                </c:pt>
                <c:pt idx="444">
                  <c:v>3.0762435598800097E-2</c:v>
                </c:pt>
                <c:pt idx="445">
                  <c:v>3.0772797141707109E-2</c:v>
                </c:pt>
                <c:pt idx="446">
                  <c:v>3.0796104671954413E-2</c:v>
                </c:pt>
                <c:pt idx="447">
                  <c:v>3.0814202674055435E-2</c:v>
                </c:pt>
                <c:pt idx="448">
                  <c:v>3.0824543897282064E-2</c:v>
                </c:pt>
                <c:pt idx="449">
                  <c:v>3.0834881056686081E-2</c:v>
                </c:pt>
                <c:pt idx="450">
                  <c:v>3.084521415218644E-2</c:v>
                </c:pt>
                <c:pt idx="451">
                  <c:v>3.0868477011939031E-2</c:v>
                </c:pt>
                <c:pt idx="452">
                  <c:v>3.0886505894908156E-2</c:v>
                </c:pt>
                <c:pt idx="453">
                  <c:v>3.0896818670728132E-2</c:v>
                </c:pt>
                <c:pt idx="454">
                  <c:v>3.0907127382725497E-2</c:v>
                </c:pt>
                <c:pt idx="455">
                  <c:v>3.0917432030738157E-2</c:v>
                </c:pt>
                <c:pt idx="456">
                  <c:v>3.094065021491714E-2</c:v>
                </c:pt>
                <c:pt idx="457">
                  <c:v>3.0958609983752217E-2</c:v>
                </c:pt>
                <c:pt idx="458">
                  <c:v>3.0968894312246587E-2</c:v>
                </c:pt>
                <c:pt idx="459">
                  <c:v>3.0979174576756252E-2</c:v>
                </c:pt>
                <c:pt idx="460">
                  <c:v>3.098945077736226E-2</c:v>
                </c:pt>
                <c:pt idx="461">
                  <c:v>3.1012624280564546E-2</c:v>
                </c:pt>
                <c:pt idx="462">
                  <c:v>3.1030514940587617E-2</c:v>
                </c:pt>
                <c:pt idx="463">
                  <c:v>3.1040770821594288E-2</c:v>
                </c:pt>
                <c:pt idx="464">
                  <c:v>3.1051022638697301E-2</c:v>
                </c:pt>
                <c:pt idx="465">
                  <c:v>3.106127039181561E-2</c:v>
                </c:pt>
                <c:pt idx="466">
                  <c:v>3.1084399208503036E-2</c:v>
                </c:pt>
                <c:pt idx="467">
                  <c:v>3.1102220765252264E-2</c:v>
                </c:pt>
                <c:pt idx="468">
                  <c:v>3.1112448198771236E-2</c:v>
                </c:pt>
                <c:pt idx="469">
                  <c:v>3.1122671568386551E-2</c:v>
                </c:pt>
                <c:pt idx="470">
                  <c:v>3.1132890874098207E-2</c:v>
                </c:pt>
                <c:pt idx="471">
                  <c:v>3.1162408828003252E-2</c:v>
                </c:pt>
                <c:pt idx="472">
                  <c:v>3.118392644361534E-2</c:v>
                </c:pt>
                <c:pt idx="473">
                  <c:v>3.1194121365742955E-2</c:v>
                </c:pt>
                <c:pt idx="474">
                  <c:v>3.1204312223966912E-2</c:v>
                </c:pt>
                <c:pt idx="475">
                  <c:v>3.1227351649929517E-2</c:v>
                </c:pt>
                <c:pt idx="476">
                  <c:v>3.1245035017501976E-2</c:v>
                </c:pt>
                <c:pt idx="477">
                  <c:v>3.1255205556045551E-2</c:v>
                </c:pt>
                <c:pt idx="478">
                  <c:v>3.1265372030685468E-2</c:v>
                </c:pt>
                <c:pt idx="479">
                  <c:v>3.127553444134068E-2</c:v>
                </c:pt>
                <c:pt idx="480">
                  <c:v>3.1298529162715104E-2</c:v>
                </c:pt>
                <c:pt idx="481">
                  <c:v>3.1316143444843902E-2</c:v>
                </c:pt>
                <c:pt idx="482">
                  <c:v>3.1326285535899778E-2</c:v>
                </c:pt>
                <c:pt idx="483">
                  <c:v>3.1336423563051996E-2</c:v>
                </c:pt>
                <c:pt idx="484">
                  <c:v>3.134655752621951E-2</c:v>
                </c:pt>
                <c:pt idx="485">
                  <c:v>3.1369507536386974E-2</c:v>
                </c:pt>
                <c:pt idx="486">
                  <c:v>3.1387052739609844E-2</c:v>
                </c:pt>
                <c:pt idx="487">
                  <c:v>3.1397166383096975E-2</c:v>
                </c:pt>
                <c:pt idx="488">
                  <c:v>3.1407275962680448E-2</c:v>
                </c:pt>
                <c:pt idx="489">
                  <c:v>3.1417381478360262E-2</c:v>
                </c:pt>
                <c:pt idx="490">
                  <c:v>3.144028677062094E-2</c:v>
                </c:pt>
                <c:pt idx="491">
                  <c:v>3.1457762901556663E-2</c:v>
                </c:pt>
                <c:pt idx="492">
                  <c:v>3.1467848097556095E-2</c:v>
                </c:pt>
                <c:pt idx="493">
                  <c:v>3.1477929229570822E-2</c:v>
                </c:pt>
                <c:pt idx="494">
                  <c:v>3.1488006297600846E-2</c:v>
                </c:pt>
                <c:pt idx="495">
                  <c:v>3.1510866865065809E-2</c:v>
                </c:pt>
                <c:pt idx="496">
                  <c:v>3.1528273930603312E-2</c:v>
                </c:pt>
                <c:pt idx="497">
                  <c:v>3.1538330679033999E-2</c:v>
                </c:pt>
                <c:pt idx="498">
                  <c:v>3.1548383363479982E-2</c:v>
                </c:pt>
                <c:pt idx="499">
                  <c:v>3.1558431984022306E-2</c:v>
                </c:pt>
                <c:pt idx="500">
                  <c:v>3.158124781937037E-2</c:v>
                </c:pt>
                <c:pt idx="501">
                  <c:v>3.1598585826749792E-2</c:v>
                </c:pt>
                <c:pt idx="502">
                  <c:v>3.1608614127530688E-2</c:v>
                </c:pt>
                <c:pt idx="503">
                  <c:v>3.1618638364407925E-2</c:v>
                </c:pt>
                <c:pt idx="504">
                  <c:v>3.1628658537381504E-2</c:v>
                </c:pt>
                <c:pt idx="505">
                  <c:v>3.1651439988007457E-2</c:v>
                </c:pt>
                <c:pt idx="506">
                  <c:v>3.1668741152098834E-2</c:v>
                </c:pt>
                <c:pt idx="507">
                  <c:v>3.1678768613402353E-2</c:v>
                </c:pt>
                <c:pt idx="508">
                  <c:v>3.1688798912784533E-2</c:v>
                </c:pt>
                <c:pt idx="509">
                  <c:v>3.1698832050245374E-2</c:v>
                </c:pt>
                <c:pt idx="510">
                  <c:v>3.1721664273691719E-2</c:v>
                </c:pt>
                <c:pt idx="511">
                  <c:v>3.1738992980794301E-2</c:v>
                </c:pt>
                <c:pt idx="512">
                  <c:v>3.1749040308648446E-2</c:v>
                </c:pt>
                <c:pt idx="513">
                  <c:v>3.1759090474581253E-2</c:v>
                </c:pt>
                <c:pt idx="514">
                  <c:v>3.1769143478592721E-2</c:v>
                </c:pt>
                <c:pt idx="515">
                  <c:v>3.1798444708603657E-2</c:v>
                </c:pt>
                <c:pt idx="516">
                  <c:v>3.1819451069667881E-2</c:v>
                </c:pt>
                <c:pt idx="517">
                  <c:v>3.1829521102232361E-2</c:v>
                </c:pt>
                <c:pt idx="518">
                  <c:v>3.1900090795737857E-2</c:v>
                </c:pt>
                <c:pt idx="519">
                  <c:v>3.1970799555259832E-2</c:v>
                </c:pt>
                <c:pt idx="520">
                  <c:v>3.2041647380798288E-2</c:v>
                </c:pt>
                <c:pt idx="521">
                  <c:v>3.2112634272515317E-2</c:v>
                </c:pt>
                <c:pt idx="522">
                  <c:v>3.2183760230573011E-2</c:v>
                </c:pt>
                <c:pt idx="523">
                  <c:v>3.2255025254890324E-2</c:v>
                </c:pt>
                <c:pt idx="524">
                  <c:v>3.2326429345548302E-2</c:v>
                </c:pt>
                <c:pt idx="525">
                  <c:v>3.2397972502709038E-2</c:v>
                </c:pt>
                <c:pt idx="526">
                  <c:v>3.2469654726534625E-2</c:v>
                </c:pt>
                <c:pt idx="527">
                  <c:v>3.2541476016862969E-2</c:v>
                </c:pt>
                <c:pt idx="528">
                  <c:v>3.261343637393721E-2</c:v>
                </c:pt>
                <c:pt idx="529">
                  <c:v>3.2685535797919441E-2</c:v>
                </c:pt>
                <c:pt idx="530">
                  <c:v>3.2757774288728614E-2</c:v>
                </c:pt>
                <c:pt idx="531">
                  <c:v>3.2830151846526823E-2</c:v>
                </c:pt>
                <c:pt idx="532">
                  <c:v>3.2902668471395113E-2</c:v>
                </c:pt>
                <c:pt idx="533">
                  <c:v>3.2982009551938973E-2</c:v>
                </c:pt>
                <c:pt idx="534">
                  <c:v>3.3048118922585079E-2</c:v>
                </c:pt>
                <c:pt idx="535">
                  <c:v>3.3121052749068847E-2</c:v>
                </c:pt>
                <c:pt idx="536">
                  <c:v>3.3194125643027927E-2</c:v>
                </c:pt>
                <c:pt idx="537">
                  <c:v>3.3267337604381275E-2</c:v>
                </c:pt>
                <c:pt idx="538">
                  <c:v>3.3340688633290982E-2</c:v>
                </c:pt>
                <c:pt idx="539">
                  <c:v>3.3414178729838095E-2</c:v>
                </c:pt>
                <c:pt idx="540">
                  <c:v>3.3487807894184707E-2</c:v>
                </c:pt>
                <c:pt idx="541">
                  <c:v>3.3561576126330817E-2</c:v>
                </c:pt>
                <c:pt idx="542">
                  <c:v>3.3635483426276425E-2</c:v>
                </c:pt>
                <c:pt idx="543">
                  <c:v>3.370952979426467E-2</c:v>
                </c:pt>
                <c:pt idx="544">
                  <c:v>3.3783715230295552E-2</c:v>
                </c:pt>
                <c:pt idx="545">
                  <c:v>3.3858039734450118E-2</c:v>
                </c:pt>
                <c:pt idx="546">
                  <c:v>3.3932503306809414E-2</c:v>
                </c:pt>
                <c:pt idx="547">
                  <c:v>3.4007105947616578E-2</c:v>
                </c:pt>
                <c:pt idx="548">
                  <c:v>3.4081847656709519E-2</c:v>
                </c:pt>
                <c:pt idx="549">
                  <c:v>3.4156728434331374E-2</c:v>
                </c:pt>
                <c:pt idx="550">
                  <c:v>3.423174828056319E-2</c:v>
                </c:pt>
                <c:pt idx="551">
                  <c:v>3.4306907195404968E-2</c:v>
                </c:pt>
                <c:pt idx="552">
                  <c:v>3.4382205179018799E-2</c:v>
                </c:pt>
                <c:pt idx="553">
                  <c:v>3.4457642231404684E-2</c:v>
                </c:pt>
                <c:pt idx="554">
                  <c:v>3.4533218352724715E-2</c:v>
                </c:pt>
                <c:pt idx="555">
                  <c:v>3.4608933543059939E-2</c:v>
                </c:pt>
                <c:pt idx="556">
                  <c:v>3.4684787802572448E-2</c:v>
                </c:pt>
                <c:pt idx="557">
                  <c:v>3.4760781131181195E-2</c:v>
                </c:pt>
                <c:pt idx="558">
                  <c:v>3.4836913528967228E-2</c:v>
                </c:pt>
                <c:pt idx="559">
                  <c:v>3.4913184996173685E-2</c:v>
                </c:pt>
                <c:pt idx="560">
                  <c:v>3.4989595532962658E-2</c:v>
                </c:pt>
                <c:pt idx="561">
                  <c:v>3.5066145139091009E-2</c:v>
                </c:pt>
                <c:pt idx="562">
                  <c:v>3.5142833814882923E-2</c:v>
                </c:pt>
                <c:pt idx="563">
                  <c:v>3.5219661560419446E-2</c:v>
                </c:pt>
                <c:pt idx="564">
                  <c:v>3.5296628375700578E-2</c:v>
                </c:pt>
                <c:pt idx="565">
                  <c:v>3.5373734260807366E-2</c:v>
                </c:pt>
                <c:pt idx="566">
                  <c:v>3.5450979215901901E-2</c:v>
                </c:pt>
                <c:pt idx="567">
                  <c:v>3.5528338050827557E-2</c:v>
                </c:pt>
                <c:pt idx="568">
                  <c:v>3.5605527043303109E-2</c:v>
                </c:pt>
                <c:pt idx="569">
                  <c:v>3.5682465319109014E-2</c:v>
                </c:pt>
                <c:pt idx="570">
                  <c:v>3.5759152878164224E-2</c:v>
                </c:pt>
                <c:pt idx="571">
                  <c:v>3.5835589720144556E-2</c:v>
                </c:pt>
                <c:pt idx="572">
                  <c:v>3.5911775845050009E-2</c:v>
                </c:pt>
                <c:pt idx="573">
                  <c:v>3.5987711252718491E-2</c:v>
                </c:pt>
                <c:pt idx="574">
                  <c:v>3.6063395942987908E-2</c:v>
                </c:pt>
                <c:pt idx="575">
                  <c:v>3.6138829915615123E-2</c:v>
                </c:pt>
                <c:pt idx="576">
                  <c:v>3.6214013170519088E-2</c:v>
                </c:pt>
                <c:pt idx="577">
                  <c:v>3.6288945707456666E-2</c:v>
                </c:pt>
                <c:pt idx="578">
                  <c:v>3.6363627526346809E-2</c:v>
                </c:pt>
                <c:pt idx="579">
                  <c:v>3.6438058627027425E-2</c:v>
                </c:pt>
                <c:pt idx="580">
                  <c:v>3.6512239009417469E-2</c:v>
                </c:pt>
                <c:pt idx="581">
                  <c:v>3.65861686732738E-2</c:v>
                </c:pt>
                <c:pt idx="582">
                  <c:v>3.6659847618434327E-2</c:v>
                </c:pt>
                <c:pt idx="583">
                  <c:v>3.6733275844818003E-2</c:v>
                </c:pt>
                <c:pt idx="584">
                  <c:v>3.6806453352181689E-2</c:v>
                </c:pt>
                <c:pt idx="585">
                  <c:v>3.6879380140363294E-2</c:v>
                </c:pt>
                <c:pt idx="586">
                  <c:v>3.6952056209362816E-2</c:v>
                </c:pt>
                <c:pt idx="587">
                  <c:v>3.7024481558937117E-2</c:v>
                </c:pt>
                <c:pt idx="588">
                  <c:v>3.7096656188924104E-2</c:v>
                </c:pt>
                <c:pt idx="589">
                  <c:v>3.7168580099242732E-2</c:v>
                </c:pt>
                <c:pt idx="590">
                  <c:v>3.7240253289649861E-2</c:v>
                </c:pt>
                <c:pt idx="591">
                  <c:v>3.7311675759983398E-2</c:v>
                </c:pt>
                <c:pt idx="592">
                  <c:v>3.7382847510243344E-2</c:v>
                </c:pt>
                <c:pt idx="593">
                  <c:v>3.7453768540105514E-2</c:v>
                </c:pt>
                <c:pt idx="594">
                  <c:v>3.7524438849569908E-2</c:v>
                </c:pt>
                <c:pt idx="595">
                  <c:v>3.7594858438474432E-2</c:v>
                </c:pt>
                <c:pt idx="596">
                  <c:v>3.7665027306575949E-2</c:v>
                </c:pt>
                <c:pt idx="597">
                  <c:v>3.7734945453793411E-2</c:v>
                </c:pt>
                <c:pt idx="598">
                  <c:v>3.7814544902383673E-2</c:v>
                </c:pt>
                <c:pt idx="599">
                  <c:v>3.7883925790158646E-2</c:v>
                </c:pt>
                <c:pt idx="600">
                  <c:v>3.795305595648224E-2</c:v>
                </c:pt>
                <c:pt idx="601">
                  <c:v>3.802193540127341E-2</c:v>
                </c:pt>
                <c:pt idx="602">
                  <c:v>3.8090564124532156E-2</c:v>
                </c:pt>
                <c:pt idx="603">
                  <c:v>3.8158942126015338E-2</c:v>
                </c:pt>
                <c:pt idx="604">
                  <c:v>3.8227069405560865E-2</c:v>
                </c:pt>
                <c:pt idx="605">
                  <c:v>3.829494596308769E-2</c:v>
                </c:pt>
                <c:pt idx="606">
                  <c:v>3.836257179843372E-2</c:v>
                </c:pt>
                <c:pt idx="607">
                  <c:v>3.8429946911355817E-2</c:v>
                </c:pt>
                <c:pt idx="608">
                  <c:v>3.8497071301935026E-2</c:v>
                </c:pt>
                <c:pt idx="609">
                  <c:v>3.8563944969766117E-2</c:v>
                </c:pt>
                <c:pt idx="610">
                  <c:v>3.8630567915011182E-2</c:v>
                </c:pt>
                <c:pt idx="611">
                  <c:v>3.8696940137346036E-2</c:v>
                </c:pt>
                <c:pt idx="612">
                  <c:v>3.876306163652754E-2</c:v>
                </c:pt>
                <c:pt idx="613">
                  <c:v>3.8828932412717787E-2</c:v>
                </c:pt>
                <c:pt idx="614">
                  <c:v>3.8894552465511545E-2</c:v>
                </c:pt>
                <c:pt idx="615">
                  <c:v>3.895992179498986E-2</c:v>
                </c:pt>
                <c:pt idx="616">
                  <c:v>3.9025040400828548E-2</c:v>
                </c:pt>
                <c:pt idx="617">
                  <c:v>3.9089908282946562E-2</c:v>
                </c:pt>
                <c:pt idx="618">
                  <c:v>3.9154525441262855E-2</c:v>
                </c:pt>
                <c:pt idx="619">
                  <c:v>3.9218854193957542E-2</c:v>
                </c:pt>
                <c:pt idx="620">
                  <c:v>3.9282670486885385E-2</c:v>
                </c:pt>
                <c:pt idx="621">
                  <c:v>3.9345936638226497E-2</c:v>
                </c:pt>
                <c:pt idx="622">
                  <c:v>3.9408652647575648E-2</c:v>
                </c:pt>
                <c:pt idx="623">
                  <c:v>3.9470818514689698E-2</c:v>
                </c:pt>
                <c:pt idx="624">
                  <c:v>3.9532434239406555E-2</c:v>
                </c:pt>
                <c:pt idx="625">
                  <c:v>3.9593499821158895E-2</c:v>
                </c:pt>
                <c:pt idx="626">
                  <c:v>3.9654015260027764E-2</c:v>
                </c:pt>
                <c:pt idx="627">
                  <c:v>3.9713980555364792E-2</c:v>
                </c:pt>
                <c:pt idx="628">
                  <c:v>3.9773395707169978E-2</c:v>
                </c:pt>
                <c:pt idx="629">
                  <c:v>3.9832260715119139E-2</c:v>
                </c:pt>
                <c:pt idx="630">
                  <c:v>3.9890575578807042E-2</c:v>
                </c:pt>
                <c:pt idx="631">
                  <c:v>3.994834029815264E-2</c:v>
                </c:pt>
                <c:pt idx="632">
                  <c:v>4.0005554872912796E-2</c:v>
                </c:pt>
                <c:pt idx="633">
                  <c:v>4.0062219302682278E-2</c:v>
                </c:pt>
                <c:pt idx="634">
                  <c:v>4.0118333587136901E-2</c:v>
                </c:pt>
                <c:pt idx="635">
                  <c:v>4.017389772635771E-2</c:v>
                </c:pt>
                <c:pt idx="636">
                  <c:v>4.0228911719777383E-2</c:v>
                </c:pt>
                <c:pt idx="637">
                  <c:v>4.0283375567233826E-2</c:v>
                </c:pt>
                <c:pt idx="638">
                  <c:v>4.03372892684839E-2</c:v>
                </c:pt>
                <c:pt idx="639">
                  <c:v>4.0390652823284467E-2</c:v>
                </c:pt>
                <c:pt idx="640">
                  <c:v>4.0443466231554481E-2</c:v>
                </c:pt>
                <c:pt idx="641">
                  <c:v>4.0495729492807664E-2</c:v>
                </c:pt>
                <c:pt idx="642">
                  <c:v>4.0547442606881923E-2</c:v>
                </c:pt>
                <c:pt idx="643">
                  <c:v>4.0598605573615165E-2</c:v>
                </c:pt>
                <c:pt idx="644">
                  <c:v>4.0649218392683206E-2</c:v>
                </c:pt>
                <c:pt idx="645">
                  <c:v>4.0699281064005E-2</c:v>
                </c:pt>
                <c:pt idx="646">
                  <c:v>4.074879358725636E-2</c:v>
                </c:pt>
                <c:pt idx="647">
                  <c:v>4.0797755962194149E-2</c:v>
                </c:pt>
                <c:pt idx="648">
                  <c:v>4.0846168188494181E-2</c:v>
                </c:pt>
                <c:pt idx="649">
                  <c:v>4.0916763383617161E-2</c:v>
                </c:pt>
                <c:pt idx="650">
                  <c:v>4.0959350590784968E-2</c:v>
                </c:pt>
                <c:pt idx="651">
                  <c:v>4.1005965649901784E-2</c:v>
                </c:pt>
                <c:pt idx="652">
                  <c:v>4.1052030447699492E-2</c:v>
                </c:pt>
                <c:pt idx="653">
                  <c:v>4.1097544983610776E-2</c:v>
                </c:pt>
                <c:pt idx="654">
                  <c:v>4.1142509256987266E-2</c:v>
                </c:pt>
                <c:pt idx="655">
                  <c:v>4.1186923267234617E-2</c:v>
                </c:pt>
                <c:pt idx="656">
                  <c:v>4.1236224719509162E-2</c:v>
                </c:pt>
                <c:pt idx="657">
                  <c:v>4.1274100495937535E-2</c:v>
                </c:pt>
                <c:pt idx="658">
                  <c:v>4.1316863713231441E-2</c:v>
                </c:pt>
                <c:pt idx="659">
                  <c:v>4.1359076664991841E-2</c:v>
                </c:pt>
                <c:pt idx="660">
                  <c:v>4.1400739350732449E-2</c:v>
                </c:pt>
                <c:pt idx="661">
                  <c:v>4.1441851769804902E-2</c:v>
                </c:pt>
                <c:pt idx="662">
                  <c:v>4.1482413921695903E-2</c:v>
                </c:pt>
                <c:pt idx="663">
                  <c:v>4.1522425805811121E-2</c:v>
                </c:pt>
                <c:pt idx="664">
                  <c:v>4.1567048203734747E-2</c:v>
                </c:pt>
                <c:pt idx="665">
                  <c:v>4.1600798768715037E-2</c:v>
                </c:pt>
                <c:pt idx="666">
                  <c:v>4.1639159846423121E-2</c:v>
                </c:pt>
                <c:pt idx="667">
                  <c:v>4.1676970654248212E-2</c:v>
                </c:pt>
                <c:pt idx="668">
                  <c:v>4.1714231191677019E-2</c:v>
                </c:pt>
                <c:pt idx="669">
                  <c:v>4.1750941458250278E-2</c:v>
                </c:pt>
                <c:pt idx="670">
                  <c:v>4.1787101453427684E-2</c:v>
                </c:pt>
                <c:pt idx="671">
                  <c:v>4.1822842700707616E-2</c:v>
                </c:pt>
                <c:pt idx="672">
                  <c:v>4.1858436733226798E-2</c:v>
                </c:pt>
                <c:pt idx="673">
                  <c:v>4.1898827507536318E-2</c:v>
                </c:pt>
                <c:pt idx="674">
                  <c:v>4.1929221337776441E-2</c:v>
                </c:pt>
                <c:pt idx="675">
                  <c:v>4.1964411909590778E-2</c:v>
                </c:pt>
                <c:pt idx="676">
                  <c:v>4.1999467994287373E-2</c:v>
                </c:pt>
                <c:pt idx="677">
                  <c:v>4.2034389591704142E-2</c:v>
                </c:pt>
                <c:pt idx="678">
                  <c:v>4.2069176701787045E-2</c:v>
                </c:pt>
                <c:pt idx="679">
                  <c:v>4.2103829324373995E-2</c:v>
                </c:pt>
                <c:pt idx="680">
                  <c:v>4.2138347459383947E-2</c:v>
                </c:pt>
                <c:pt idx="681">
                  <c:v>4.2172731106681814E-2</c:v>
                </c:pt>
                <c:pt idx="682">
                  <c:v>4.2206980266159551E-2</c:v>
                </c:pt>
                <c:pt idx="683">
                  <c:v>4.2241094937709077E-2</c:v>
                </c:pt>
                <c:pt idx="684">
                  <c:v>4.2275075121195334E-2</c:v>
                </c:pt>
                <c:pt idx="685">
                  <c:v>4.2308920816537261E-2</c:v>
                </c:pt>
                <c:pt idx="686">
                  <c:v>4.2342632023572767E-2</c:v>
                </c:pt>
                <c:pt idx="687">
                  <c:v>4.2376208742274844E-2</c:v>
                </c:pt>
                <c:pt idx="688">
                  <c:v>4.2409650972454381E-2</c:v>
                </c:pt>
                <c:pt idx="689">
                  <c:v>4.2447799653977658E-2</c:v>
                </c:pt>
                <c:pt idx="690">
                  <c:v>4.2476131966867621E-2</c:v>
                </c:pt>
                <c:pt idx="691">
                  <c:v>4.2509170730912212E-2</c:v>
                </c:pt>
                <c:pt idx="692">
                  <c:v>4.2542075005974997E-2</c:v>
                </c:pt>
                <c:pt idx="693">
                  <c:v>4.2574844792055984E-2</c:v>
                </c:pt>
                <c:pt idx="694">
                  <c:v>4.260748008893904E-2</c:v>
                </c:pt>
                <c:pt idx="695">
                  <c:v>4.2639980896570139E-2</c:v>
                </c:pt>
                <c:pt idx="696">
                  <c:v>4.2672347214841221E-2</c:v>
                </c:pt>
                <c:pt idx="697">
                  <c:v>4.2704579043617207E-2</c:v>
                </c:pt>
                <c:pt idx="698">
                  <c:v>4.273667638281705E-2</c:v>
                </c:pt>
                <c:pt idx="699">
                  <c:v>4.2768639232332692E-2</c:v>
                </c:pt>
                <c:pt idx="700">
                  <c:v>4.280904700429633E-2</c:v>
                </c:pt>
                <c:pt idx="701">
                  <c:v>4.2840675813163864E-2</c:v>
                </c:pt>
                <c:pt idx="702">
                  <c:v>4.2872170158065881E-2</c:v>
                </c:pt>
                <c:pt idx="703">
                  <c:v>4.2903530039083426E-2</c:v>
                </c:pt>
                <c:pt idx="704">
                  <c:v>4.2934755456054408E-2</c:v>
                </c:pt>
                <c:pt idx="705">
                  <c:v>4.2965846408978825E-2</c:v>
                </c:pt>
                <c:pt idx="706">
                  <c:v>4.2996802897775632E-2</c:v>
                </c:pt>
                <c:pt idx="707">
                  <c:v>4.3027624922525876E-2</c:v>
                </c:pt>
                <c:pt idx="708">
                  <c:v>4.3058312483067462E-2</c:v>
                </c:pt>
                <c:pt idx="709">
                  <c:v>4.3088865579481439E-2</c:v>
                </c:pt>
                <c:pt idx="710">
                  <c:v>4.3119284211605713E-2</c:v>
                </c:pt>
                <c:pt idx="711">
                  <c:v>4.314956837952133E-2</c:v>
                </c:pt>
                <c:pt idx="712">
                  <c:v>4.3179718083066199E-2</c:v>
                </c:pt>
                <c:pt idx="713">
                  <c:v>4.320973332240241E-2</c:v>
                </c:pt>
                <c:pt idx="714">
                  <c:v>4.3239614097367873E-2</c:v>
                </c:pt>
                <c:pt idx="715">
                  <c:v>4.3269360407962587E-2</c:v>
                </c:pt>
                <c:pt idx="716">
                  <c:v>4.3298972254024459E-2</c:v>
                </c:pt>
                <c:pt idx="717">
                  <c:v>4.3328449635715582E-2</c:v>
                </c:pt>
                <c:pt idx="718">
                  <c:v>4.335779255295491E-2</c:v>
                </c:pt>
                <c:pt idx="719">
                  <c:v>4.3387001005661396E-2</c:v>
                </c:pt>
                <c:pt idx="720">
                  <c:v>4.3416074993835041E-2</c:v>
                </c:pt>
                <c:pt idx="721">
                  <c:v>4.3445014517313751E-2</c:v>
                </c:pt>
                <c:pt idx="722">
                  <c:v>4.3473819576340667E-2</c:v>
                </c:pt>
                <c:pt idx="723">
                  <c:v>4.3502490170591601E-2</c:v>
                </c:pt>
                <c:pt idx="724">
                  <c:v>4.3531026300228648E-2</c:v>
                </c:pt>
                <c:pt idx="725">
                  <c:v>4.3559427965170761E-2</c:v>
                </c:pt>
                <c:pt idx="726">
                  <c:v>4.3587695165336893E-2</c:v>
                </c:pt>
                <c:pt idx="727">
                  <c:v>4.3615827900727044E-2</c:v>
                </c:pt>
                <c:pt idx="728">
                  <c:v>4.3643826171341216E-2</c:v>
                </c:pt>
                <c:pt idx="729">
                  <c:v>4.3671689977179406E-2</c:v>
                </c:pt>
                <c:pt idx="730">
                  <c:v>4.3699419318079524E-2</c:v>
                </c:pt>
                <c:pt idx="731">
                  <c:v>4.3727014194122615E-2</c:v>
                </c:pt>
                <c:pt idx="732">
                  <c:v>4.3754474605146587E-2</c:v>
                </c:pt>
                <c:pt idx="733">
                  <c:v>4.3781800551313532E-2</c:v>
                </c:pt>
                <c:pt idx="734">
                  <c:v>4.3808992032542404E-2</c:v>
                </c:pt>
                <c:pt idx="735">
                  <c:v>4.3836049048671111E-2</c:v>
                </c:pt>
                <c:pt idx="736">
                  <c:v>4.3862971599780698E-2</c:v>
                </c:pt>
                <c:pt idx="737">
                  <c:v>4.388975968579012E-2</c:v>
                </c:pt>
                <c:pt idx="738">
                  <c:v>4.3916413306699376E-2</c:v>
                </c:pt>
                <c:pt idx="739">
                  <c:v>4.3942932462508466E-2</c:v>
                </c:pt>
                <c:pt idx="740">
                  <c:v>4.3969317153136345E-2</c:v>
                </c:pt>
                <c:pt idx="741">
                  <c:v>4.3999306433997187E-2</c:v>
                </c:pt>
                <c:pt idx="742">
                  <c:v>4.4025402984916306E-2</c:v>
                </c:pt>
                <c:pt idx="743">
                  <c:v>4.4051365070573167E-2</c:v>
                </c:pt>
                <c:pt idx="744">
                  <c:v>4.4077192690886724E-2</c:v>
                </c:pt>
                <c:pt idx="745">
                  <c:v>4.4102885845938022E-2</c:v>
                </c:pt>
                <c:pt idx="746">
                  <c:v>4.4128444535646016E-2</c:v>
                </c:pt>
                <c:pt idx="747">
                  <c:v>4.4153868760010706E-2</c:v>
                </c:pt>
                <c:pt idx="748">
                  <c:v>4.4179158518951045E-2</c:v>
                </c:pt>
                <c:pt idx="749">
                  <c:v>4.4204313812467033E-2</c:v>
                </c:pt>
                <c:pt idx="750">
                  <c:v>4.4229334640477624E-2</c:v>
                </c:pt>
                <c:pt idx="751">
                  <c:v>4.4254221003063865E-2</c:v>
                </c:pt>
                <c:pt idx="752">
                  <c:v>4.4278972900144709E-2</c:v>
                </c:pt>
                <c:pt idx="753">
                  <c:v>4.4303590331720155E-2</c:v>
                </c:pt>
                <c:pt idx="754">
                  <c:v>4.4328073297709158E-2</c:v>
                </c:pt>
                <c:pt idx="755">
                  <c:v>4.4352421798111719E-2</c:v>
                </c:pt>
                <c:pt idx="756">
                  <c:v>4.4376635832927835E-2</c:v>
                </c:pt>
                <c:pt idx="757">
                  <c:v>4.4400715402076463E-2</c:v>
                </c:pt>
                <c:pt idx="758">
                  <c:v>4.44246605055576E-2</c:v>
                </c:pt>
                <c:pt idx="759">
                  <c:v>4.4448471143290202E-2</c:v>
                </c:pt>
                <c:pt idx="760">
                  <c:v>4.4472147315355315E-2</c:v>
                </c:pt>
                <c:pt idx="761">
                  <c:v>4.4495689021671891E-2</c:v>
                </c:pt>
                <c:pt idx="762">
                  <c:v>4.4519096262158886E-2</c:v>
                </c:pt>
                <c:pt idx="763">
                  <c:v>4.4542369036897345E-2</c:v>
                </c:pt>
                <c:pt idx="764">
                  <c:v>4.4565507345806221E-2</c:v>
                </c:pt>
                <c:pt idx="765">
                  <c:v>4.4588511188885516E-2</c:v>
                </c:pt>
                <c:pt idx="766">
                  <c:v>4.4611380566054182E-2</c:v>
                </c:pt>
                <c:pt idx="767">
                  <c:v>4.4634115477393266E-2</c:v>
                </c:pt>
                <c:pt idx="768">
                  <c:v>4.4656715922740675E-2</c:v>
                </c:pt>
                <c:pt idx="769">
                  <c:v>4.467918190209641E-2</c:v>
                </c:pt>
                <c:pt idx="770">
                  <c:v>4.4701513415541516E-2</c:v>
                </c:pt>
                <c:pt idx="771">
                  <c:v>4.4723710462994948E-2</c:v>
                </c:pt>
                <c:pt idx="772">
                  <c:v>4.4745773044294612E-2</c:v>
                </c:pt>
                <c:pt idx="773">
                  <c:v>4.4767701159683648E-2</c:v>
                </c:pt>
                <c:pt idx="774">
                  <c:v>4.4789494808999963E-2</c:v>
                </c:pt>
                <c:pt idx="775">
                  <c:v>4.4811236723962811E-2</c:v>
                </c:pt>
                <c:pt idx="776">
                  <c:v>4.4833035042274316E-2</c:v>
                </c:pt>
                <c:pt idx="777">
                  <c:v>4.4854890415384485E-2</c:v>
                </c:pt>
                <c:pt idx="778">
                  <c:v>4.4876802843293317E-2</c:v>
                </c:pt>
                <c:pt idx="779">
                  <c:v>4.4898772326081859E-2</c:v>
                </c:pt>
                <c:pt idx="780">
                  <c:v>4.4920798863669065E-2</c:v>
                </c:pt>
                <c:pt idx="781">
                  <c:v>4.4942882455973887E-2</c:v>
                </c:pt>
                <c:pt idx="782">
                  <c:v>4.4965023103239465E-2</c:v>
                </c:pt>
                <c:pt idx="783">
                  <c:v>4.4987220805303707E-2</c:v>
                </c:pt>
                <c:pt idx="784">
                  <c:v>4.5009475562247658E-2</c:v>
                </c:pt>
                <c:pt idx="785">
                  <c:v>4.5031787374071319E-2</c:v>
                </c:pt>
                <c:pt idx="786">
                  <c:v>4.5054156240693644E-2</c:v>
                </c:pt>
                <c:pt idx="787">
                  <c:v>4.5076582162276724E-2</c:v>
                </c:pt>
                <c:pt idx="788">
                  <c:v>4.509906513882056E-2</c:v>
                </c:pt>
                <c:pt idx="789">
                  <c:v>4.5121605170244106E-2</c:v>
                </c:pt>
                <c:pt idx="790">
                  <c:v>4.5144202256547361E-2</c:v>
                </c:pt>
                <c:pt idx="791">
                  <c:v>4.5166856397811372E-2</c:v>
                </c:pt>
                <c:pt idx="792">
                  <c:v>4.518956759403614E-2</c:v>
                </c:pt>
                <c:pt idx="793">
                  <c:v>4.5215593109997343E-2</c:v>
                </c:pt>
                <c:pt idx="794">
                  <c:v>4.5238426566887036E-2</c:v>
                </c:pt>
                <c:pt idx="795">
                  <c:v>4.5261317078656438E-2</c:v>
                </c:pt>
                <c:pt idx="796">
                  <c:v>4.5284264645548689E-2</c:v>
                </c:pt>
                <c:pt idx="797">
                  <c:v>4.5307269267320649E-2</c:v>
                </c:pt>
                <c:pt idx="798">
                  <c:v>4.5330330944053365E-2</c:v>
                </c:pt>
                <c:pt idx="799">
                  <c:v>4.5353449675989976E-2</c:v>
                </c:pt>
                <c:pt idx="800">
                  <c:v>4.5376625462806297E-2</c:v>
                </c:pt>
                <c:pt idx="801">
                  <c:v>4.5399858304745466E-2</c:v>
                </c:pt>
                <c:pt idx="802">
                  <c:v>4.5423148201726438E-2</c:v>
                </c:pt>
                <c:pt idx="803">
                  <c:v>4.5446495153830258E-2</c:v>
                </c:pt>
                <c:pt idx="804">
                  <c:v>4.5487931245440594E-2</c:v>
                </c:pt>
                <c:pt idx="805">
                  <c:v>4.5493360223163304E-2</c:v>
                </c:pt>
                <c:pt idx="806">
                  <c:v>4.551687834039253E-2</c:v>
                </c:pt>
                <c:pt idx="807">
                  <c:v>4.5540453512825652E-2</c:v>
                </c:pt>
                <c:pt idx="808">
                  <c:v>4.5564085740381621E-2</c:v>
                </c:pt>
                <c:pt idx="809">
                  <c:v>4.5587775022979393E-2</c:v>
                </c:pt>
                <c:pt idx="810">
                  <c:v>4.5611521360862106E-2</c:v>
                </c:pt>
                <c:pt idx="811">
                  <c:v>4.5635324753867668E-2</c:v>
                </c:pt>
                <c:pt idx="812">
                  <c:v>4.5659185201996078E-2</c:v>
                </c:pt>
                <c:pt idx="813">
                  <c:v>4.568310270516629E-2</c:v>
                </c:pt>
                <c:pt idx="814">
                  <c:v>4.5707077263702489E-2</c:v>
                </c:pt>
                <c:pt idx="815">
                  <c:v>4.5731108877361537E-2</c:v>
                </c:pt>
                <c:pt idx="816">
                  <c:v>4.5755197546305526E-2</c:v>
                </c:pt>
                <c:pt idx="817">
                  <c:v>4.577934327045341E-2</c:v>
                </c:pt>
                <c:pt idx="818">
                  <c:v>4.5803546049805188E-2</c:v>
                </c:pt>
                <c:pt idx="819">
                  <c:v>4.5827805884360862E-2</c:v>
                </c:pt>
                <c:pt idx="820">
                  <c:v>4.5852122774282522E-2</c:v>
                </c:pt>
                <c:pt idx="821">
                  <c:v>4.5876496719408077E-2</c:v>
                </c:pt>
                <c:pt idx="822">
                  <c:v>4.5900927719818574E-2</c:v>
                </c:pt>
                <c:pt idx="823">
                  <c:v>4.5925415775514011E-2</c:v>
                </c:pt>
                <c:pt idx="824">
                  <c:v>4.594996088649439E-2</c:v>
                </c:pt>
                <c:pt idx="825">
                  <c:v>4.5974563052759709E-2</c:v>
                </c:pt>
                <c:pt idx="826">
                  <c:v>4.5999222274391016E-2</c:v>
                </c:pt>
                <c:pt idx="827">
                  <c:v>4.602393855138831E-2</c:v>
                </c:pt>
                <c:pt idx="828">
                  <c:v>4.6048711883751592E-2</c:v>
                </c:pt>
                <c:pt idx="829">
                  <c:v>4.6073542271399814E-2</c:v>
                </c:pt>
                <c:pt idx="830">
                  <c:v>4.6098429714414024E-2</c:v>
                </c:pt>
                <c:pt idx="831">
                  <c:v>4.6123374212875268E-2</c:v>
                </c:pt>
                <c:pt idx="832">
                  <c:v>4.6148375766621452E-2</c:v>
                </c:pt>
                <c:pt idx="833">
                  <c:v>4.6173434375895717E-2</c:v>
                </c:pt>
                <c:pt idx="834">
                  <c:v>4.6198550040535968E-2</c:v>
                </c:pt>
                <c:pt idx="835">
                  <c:v>4.6223722760623254E-2</c:v>
                </c:pt>
                <c:pt idx="836">
                  <c:v>4.6248952536076526E-2</c:v>
                </c:pt>
                <c:pt idx="837">
                  <c:v>4.6274239367138925E-2</c:v>
                </c:pt>
                <c:pt idx="838">
                  <c:v>4.6299583253567311E-2</c:v>
                </c:pt>
                <c:pt idx="839">
                  <c:v>4.6324984195523777E-2</c:v>
                </c:pt>
                <c:pt idx="840">
                  <c:v>4.6350442192846231E-2</c:v>
                </c:pt>
                <c:pt idx="841">
                  <c:v>4.6375957245696764E-2</c:v>
                </c:pt>
                <c:pt idx="842">
                  <c:v>4.6401529354075377E-2</c:v>
                </c:pt>
                <c:pt idx="843">
                  <c:v>4.6427158518063116E-2</c:v>
                </c:pt>
                <c:pt idx="844">
                  <c:v>4.6452844737578936E-2</c:v>
                </c:pt>
                <c:pt idx="845">
                  <c:v>4.6491874747380077E-2</c:v>
                </c:pt>
                <c:pt idx="846">
                  <c:v>4.651769795774937E-2</c:v>
                </c:pt>
                <c:pt idx="847">
                  <c:v>4.6543578241909175E-2</c:v>
                </c:pt>
                <c:pt idx="848">
                  <c:v>4.6569515599859487E-2</c:v>
                </c:pt>
                <c:pt idx="849">
                  <c:v>4.6595510031654339E-2</c:v>
                </c:pt>
                <c:pt idx="850">
                  <c:v>4.6621561537401789E-2</c:v>
                </c:pt>
                <c:pt idx="851">
                  <c:v>4.6647670116993785E-2</c:v>
                </c:pt>
                <c:pt idx="852">
                  <c:v>4.6673835770592406E-2</c:v>
                </c:pt>
                <c:pt idx="853">
                  <c:v>4.6700058498197659E-2</c:v>
                </c:pt>
                <c:pt idx="854">
                  <c:v>4.6726338299836565E-2</c:v>
                </c:pt>
                <c:pt idx="855">
                  <c:v>4.6757989346398743E-2</c:v>
                </c:pt>
                <c:pt idx="856">
                  <c:v>4.6784400987427421E-2</c:v>
                </c:pt>
                <c:pt idx="857">
                  <c:v>4.6814655583905518E-2</c:v>
                </c:pt>
                <c:pt idx="858">
                  <c:v>4.6841189487057955E-2</c:v>
                </c:pt>
                <c:pt idx="859">
                  <c:v>4.6867780445981611E-2</c:v>
                </c:pt>
                <c:pt idx="860">
                  <c:v>4.6894428460676485E-2</c:v>
                </c:pt>
                <c:pt idx="861">
                  <c:v>4.6921133531061532E-2</c:v>
                </c:pt>
                <c:pt idx="862">
                  <c:v>4.6947895657217797E-2</c:v>
                </c:pt>
                <c:pt idx="863">
                  <c:v>4.6974714839145282E-2</c:v>
                </c:pt>
                <c:pt idx="864">
                  <c:v>4.7001591076843985E-2</c:v>
                </c:pt>
                <c:pt idx="865">
                  <c:v>4.7028524370475999E-2</c:v>
                </c:pt>
                <c:pt idx="866">
                  <c:v>4.7055514719798186E-2</c:v>
                </c:pt>
                <c:pt idx="867">
                  <c:v>4.7082562124972638E-2</c:v>
                </c:pt>
                <c:pt idx="868">
                  <c:v>4.7109666585999355E-2</c:v>
                </c:pt>
                <c:pt idx="869">
                  <c:v>4.7136828102878336E-2</c:v>
                </c:pt>
                <c:pt idx="870">
                  <c:v>4.716404667569063E-2</c:v>
                </c:pt>
                <c:pt idx="871">
                  <c:v>4.7191322304274141E-2</c:v>
                </c:pt>
                <c:pt idx="872">
                  <c:v>4.7218654988872011E-2</c:v>
                </c:pt>
                <c:pt idx="873">
                  <c:v>4.7246044729322145E-2</c:v>
                </c:pt>
                <c:pt idx="874">
                  <c:v>4.7273491525624545E-2</c:v>
                </c:pt>
                <c:pt idx="875">
                  <c:v>4.7300995377941302E-2</c:v>
                </c:pt>
                <c:pt idx="876">
                  <c:v>4.732855628619137E-2</c:v>
                </c:pt>
                <c:pt idx="877">
                  <c:v>4.7356174250455796E-2</c:v>
                </c:pt>
                <c:pt idx="878">
                  <c:v>4.7383849270572487E-2</c:v>
                </c:pt>
                <c:pt idx="879">
                  <c:v>4.7411581346784581E-2</c:v>
                </c:pt>
                <c:pt idx="880">
                  <c:v>4.7439370478929987E-2</c:v>
                </c:pt>
                <c:pt idx="881">
                  <c:v>4.7467216667089751E-2</c:v>
                </c:pt>
                <c:pt idx="882">
                  <c:v>4.7495119911263872E-2</c:v>
                </c:pt>
                <c:pt idx="883">
                  <c:v>4.7523080211533397E-2</c:v>
                </c:pt>
                <c:pt idx="884">
                  <c:v>4.755109756781728E-2</c:v>
                </c:pt>
                <c:pt idx="885">
                  <c:v>4.7579171980196566E-2</c:v>
                </c:pt>
                <c:pt idx="886">
                  <c:v>4.760730344859021E-2</c:v>
                </c:pt>
                <c:pt idx="887">
                  <c:v>4.7635491973160304E-2</c:v>
                </c:pt>
                <c:pt idx="888">
                  <c:v>4.7663737553744756E-2</c:v>
                </c:pt>
                <c:pt idx="889">
                  <c:v>4.7692040190424612E-2</c:v>
                </c:pt>
                <c:pt idx="890">
                  <c:v>4.7720399883361964E-2</c:v>
                </c:pt>
                <c:pt idx="891">
                  <c:v>4.7748816632313673E-2</c:v>
                </c:pt>
                <c:pt idx="892">
                  <c:v>4.7777290437441833E-2</c:v>
                </c:pt>
                <c:pt idx="893">
                  <c:v>4.7805821298827489E-2</c:v>
                </c:pt>
                <c:pt idx="894">
                  <c:v>4.7834409216308549E-2</c:v>
                </c:pt>
                <c:pt idx="895">
                  <c:v>4.7863054190047105E-2</c:v>
                </c:pt>
                <c:pt idx="896">
                  <c:v>4.7891756219962112E-2</c:v>
                </c:pt>
                <c:pt idx="897">
                  <c:v>4.7920515306134615E-2</c:v>
                </c:pt>
                <c:pt idx="898">
                  <c:v>4.7949331448483568E-2</c:v>
                </c:pt>
                <c:pt idx="899">
                  <c:v>4.7978204647171063E-2</c:v>
                </c:pt>
                <c:pt idx="900">
                  <c:v>4.8007134902116055E-2</c:v>
                </c:pt>
                <c:pt idx="901">
                  <c:v>4.8036122213237498E-2</c:v>
                </c:pt>
                <c:pt idx="902">
                  <c:v>4.8065166580697483E-2</c:v>
                </c:pt>
                <c:pt idx="903">
                  <c:v>4.8094268004414964E-2</c:v>
                </c:pt>
                <c:pt idx="904">
                  <c:v>4.8123426484552034E-2</c:v>
                </c:pt>
                <c:pt idx="905">
                  <c:v>4.8152642020946601E-2</c:v>
                </c:pt>
                <c:pt idx="906">
                  <c:v>4.8181914613760757E-2</c:v>
                </c:pt>
                <c:pt idx="907">
                  <c:v>4.8211244262913455E-2</c:v>
                </c:pt>
                <c:pt idx="908">
                  <c:v>4.8240630968404696E-2</c:v>
                </c:pt>
                <c:pt idx="909">
                  <c:v>4.8275372244316883E-2</c:v>
                </c:pt>
                <c:pt idx="910">
                  <c:v>4.8299575548564899E-2</c:v>
                </c:pt>
                <c:pt idx="911">
                  <c:v>4.8329133423233861E-2</c:v>
                </c:pt>
                <c:pt idx="912">
                  <c:v>4.8358748354403458E-2</c:v>
                </c:pt>
                <c:pt idx="913">
                  <c:v>4.8388420341911598E-2</c:v>
                </c:pt>
                <c:pt idx="914">
                  <c:v>4.8418149385920373E-2</c:v>
                </c:pt>
                <c:pt idx="915">
                  <c:v>4.8447935486510829E-2</c:v>
                </c:pt>
                <c:pt idx="916">
                  <c:v>4.8477778643439828E-2</c:v>
                </c:pt>
                <c:pt idx="917">
                  <c:v>4.8507678856950509E-2</c:v>
                </c:pt>
                <c:pt idx="918">
                  <c:v>4.8537636126961825E-2</c:v>
                </c:pt>
                <c:pt idx="919">
                  <c:v>4.8567650453473776E-2</c:v>
                </c:pt>
                <c:pt idx="920">
                  <c:v>4.8597721836486363E-2</c:v>
                </c:pt>
                <c:pt idx="921">
                  <c:v>4.8627850276080631E-2</c:v>
                </c:pt>
                <c:pt idx="922">
                  <c:v>4.865803577225658E-2</c:v>
                </c:pt>
                <c:pt idx="923">
                  <c:v>4.8688278325014211E-2</c:v>
                </c:pt>
                <c:pt idx="924">
                  <c:v>4.871857793443457E-2</c:v>
                </c:pt>
                <c:pt idx="925">
                  <c:v>4.8748934600436611E-2</c:v>
                </c:pt>
                <c:pt idx="926">
                  <c:v>4.8779348323020333E-2</c:v>
                </c:pt>
                <c:pt idx="927">
                  <c:v>4.8809819102266783E-2</c:v>
                </c:pt>
                <c:pt idx="928">
                  <c:v>4.884034693817596E-2</c:v>
                </c:pt>
                <c:pt idx="929">
                  <c:v>4.8870931830666819E-2</c:v>
                </c:pt>
                <c:pt idx="930">
                  <c:v>4.8901550864470789E-2</c:v>
                </c:pt>
                <c:pt idx="931">
                  <c:v>4.8931945939034716E-2</c:v>
                </c:pt>
                <c:pt idx="932">
                  <c:v>4.8962043483705697E-2</c:v>
                </c:pt>
                <c:pt idx="933">
                  <c:v>4.8991843498240595E-2</c:v>
                </c:pt>
                <c:pt idx="934">
                  <c:v>4.9021345982720455E-2</c:v>
                </c:pt>
                <c:pt idx="935">
                  <c:v>4.905055093706423E-2</c:v>
                </c:pt>
                <c:pt idx="936">
                  <c:v>4.9079458361190875E-2</c:v>
                </c:pt>
                <c:pt idx="937">
                  <c:v>4.9108068254857251E-2</c:v>
                </c:pt>
                <c:pt idx="938">
                  <c:v>4.913638061822545E-2</c:v>
                </c:pt>
                <c:pt idx="939">
                  <c:v>4.9164395451052334E-2</c:v>
                </c:pt>
                <c:pt idx="940">
                  <c:v>4.9192112753499995E-2</c:v>
                </c:pt>
                <c:pt idx="941">
                  <c:v>4.9219532525325294E-2</c:v>
                </c:pt>
                <c:pt idx="942">
                  <c:v>4.9246654766447184E-2</c:v>
                </c:pt>
                <c:pt idx="943">
                  <c:v>4.9273479476865667E-2</c:v>
                </c:pt>
                <c:pt idx="944">
                  <c:v>4.9317944567666146E-2</c:v>
                </c:pt>
                <c:pt idx="945">
                  <c:v>4.9344053758293059E-2</c:v>
                </c:pt>
                <c:pt idx="946">
                  <c:v>4.9369865341222605E-2</c:v>
                </c:pt>
                <c:pt idx="947">
                  <c:v>4.9395379316265663E-2</c:v>
                </c:pt>
                <c:pt idx="948">
                  <c:v>4.9425729379758143E-2</c:v>
                </c:pt>
                <c:pt idx="949">
                  <c:v>4.9445514441881874E-2</c:v>
                </c:pt>
                <c:pt idx="950">
                  <c:v>4.9470135592184869E-2</c:v>
                </c:pt>
                <c:pt idx="951">
                  <c:v>4.9494459133817933E-2</c:v>
                </c:pt>
                <c:pt idx="952">
                  <c:v>4.9518485066645988E-2</c:v>
                </c:pt>
                <c:pt idx="953">
                  <c:v>4.9542213390533961E-2</c:v>
                </c:pt>
                <c:pt idx="954">
                  <c:v>4.9565644105238713E-2</c:v>
                </c:pt>
                <c:pt idx="955">
                  <c:v>4.9588777210625164E-2</c:v>
                </c:pt>
                <c:pt idx="956">
                  <c:v>4.9611612706531215E-2</c:v>
                </c:pt>
                <c:pt idx="957">
                  <c:v>4.9634150592794787E-2</c:v>
                </c:pt>
                <c:pt idx="958">
                  <c:v>4.9656390869199749E-2</c:v>
                </c:pt>
                <c:pt idx="959">
                  <c:v>4.9678333535638039E-2</c:v>
                </c:pt>
                <c:pt idx="960">
                  <c:v>4.9702397633997197E-2</c:v>
                </c:pt>
                <c:pt idx="961">
                  <c:v>4.9723611753453856E-2</c:v>
                </c:pt>
                <c:pt idx="962">
                  <c:v>4.9744528341153504E-2</c:v>
                </c:pt>
                <c:pt idx="963">
                  <c:v>4.9765147396853004E-2</c:v>
                </c:pt>
                <c:pt idx="964">
                  <c:v>4.9785468920552356E-2</c:v>
                </c:pt>
                <c:pt idx="965">
                  <c:v>4.9805492912251559E-2</c:v>
                </c:pt>
                <c:pt idx="966">
                  <c:v>4.9825219371707474E-2</c:v>
                </c:pt>
                <c:pt idx="967">
                  <c:v>4.9844648299163241E-2</c:v>
                </c:pt>
                <c:pt idx="968">
                  <c:v>4.9863779694456767E-2</c:v>
                </c:pt>
                <c:pt idx="969">
                  <c:v>4.9882613557425959E-2</c:v>
                </c:pt>
                <c:pt idx="970">
                  <c:v>4.9901149888151863E-2</c:v>
                </c:pt>
                <c:pt idx="971">
                  <c:v>4.9919388686553434E-2</c:v>
                </c:pt>
                <c:pt idx="972">
                  <c:v>4.9937329952630671E-2</c:v>
                </c:pt>
                <c:pt idx="973">
                  <c:v>4.9954973686221482E-2</c:v>
                </c:pt>
                <c:pt idx="974">
                  <c:v>4.9972319887325867E-2</c:v>
                </c:pt>
                <c:pt idx="975">
                  <c:v>4.9989368556024871E-2</c:v>
                </c:pt>
                <c:pt idx="976">
                  <c:v>5.0006119692156403E-2</c:v>
                </c:pt>
                <c:pt idx="977">
                  <c:v>5.0022573295639416E-2</c:v>
                </c:pt>
                <c:pt idx="978">
                  <c:v>5.0038729366554957E-2</c:v>
                </c:pt>
                <c:pt idx="979">
                  <c:v>5.0054587904740933E-2</c:v>
                </c:pt>
                <c:pt idx="980">
                  <c:v>5.0070148910359435E-2</c:v>
                </c:pt>
                <c:pt idx="981">
                  <c:v>5.0085412383086281E-2</c:v>
                </c:pt>
                <c:pt idx="982">
                  <c:v>5.0100378323164607E-2</c:v>
                </c:pt>
                <c:pt idx="983">
                  <c:v>5.0115046730351276E-2</c:v>
                </c:pt>
                <c:pt idx="984">
                  <c:v>5.0129417604727333E-2</c:v>
                </c:pt>
                <c:pt idx="985">
                  <c:v>5.0143490946211733E-2</c:v>
                </c:pt>
                <c:pt idx="986">
                  <c:v>5.0157266754723429E-2</c:v>
                </c:pt>
                <c:pt idx="987">
                  <c:v>5.0170745030343467E-2</c:v>
                </c:pt>
                <c:pt idx="988">
                  <c:v>5.0183925772990801E-2</c:v>
                </c:pt>
                <c:pt idx="989">
                  <c:v>5.0196808982584384E-2</c:v>
                </c:pt>
                <c:pt idx="990">
                  <c:v>5.0209394659043172E-2</c:v>
                </c:pt>
                <c:pt idx="991">
                  <c:v>5.0221682802610301E-2</c:v>
                </c:pt>
                <c:pt idx="992">
                  <c:v>5.0233673412961588E-2</c:v>
                </c:pt>
                <c:pt idx="993">
                  <c:v>5.0245366490178078E-2</c:v>
                </c:pt>
                <c:pt idx="994">
                  <c:v>5.0256762034259772E-2</c:v>
                </c:pt>
                <c:pt idx="995">
                  <c:v>5.0267860045125623E-2</c:v>
                </c:pt>
                <c:pt idx="996">
                  <c:v>5.0278660522775631E-2</c:v>
                </c:pt>
                <c:pt idx="997">
                  <c:v>5.0289163467209796E-2</c:v>
                </c:pt>
                <c:pt idx="998">
                  <c:v>5.0299368878266026E-2</c:v>
                </c:pt>
                <c:pt idx="999">
                  <c:v>5.0309276756106414E-2</c:v>
                </c:pt>
                <c:pt idx="1000">
                  <c:v>5.0318887100568865E-2</c:v>
                </c:pt>
                <c:pt idx="1001">
                  <c:v>5.0328199911734428E-2</c:v>
                </c:pt>
                <c:pt idx="1002">
                  <c:v>5.0337215189522055E-2</c:v>
                </c:pt>
                <c:pt idx="1003">
                  <c:v>5.0345932933850701E-2</c:v>
                </c:pt>
                <c:pt idx="1004">
                  <c:v>5.0354353144801411E-2</c:v>
                </c:pt>
                <c:pt idx="1005">
                  <c:v>5.0362475822374186E-2</c:v>
                </c:pt>
                <c:pt idx="1006">
                  <c:v>5.037030096648798E-2</c:v>
                </c:pt>
                <c:pt idx="1007">
                  <c:v>5.0377828577061745E-2</c:v>
                </c:pt>
                <c:pt idx="1008">
                  <c:v>5.0385058654176529E-2</c:v>
                </c:pt>
                <c:pt idx="1009">
                  <c:v>5.0391991197832331E-2</c:v>
                </c:pt>
                <c:pt idx="1010">
                  <c:v>5.0398626207704966E-2</c:v>
                </c:pt>
                <c:pt idx="1011">
                  <c:v>5.0404963684280712E-2</c:v>
                </c:pt>
                <c:pt idx="1012">
                  <c:v>5.0411003627397477E-2</c:v>
                </c:pt>
                <c:pt idx="1013">
                  <c:v>5.0416746036731075E-2</c:v>
                </c:pt>
                <c:pt idx="1014">
                  <c:v>5.0422190912605691E-2</c:v>
                </c:pt>
                <c:pt idx="1015">
                  <c:v>5.0427338254778187E-2</c:v>
                </c:pt>
                <c:pt idx="1016">
                  <c:v>5.0432188063410655E-2</c:v>
                </c:pt>
                <c:pt idx="1017">
                  <c:v>5.0436740338341002E-2</c:v>
                </c:pt>
                <c:pt idx="1018">
                  <c:v>5.0440995079650275E-2</c:v>
                </c:pt>
                <c:pt idx="1019">
                  <c:v>5.0444952287338474E-2</c:v>
                </c:pt>
                <c:pt idx="1020">
                  <c:v>5.0448611961405598E-2</c:v>
                </c:pt>
                <c:pt idx="1021">
                  <c:v>5.0451974101770602E-2</c:v>
                </c:pt>
                <c:pt idx="1022">
                  <c:v>5.0455038708595579E-2</c:v>
                </c:pt>
                <c:pt idx="1023">
                  <c:v>5.0457805781556342E-2</c:v>
                </c:pt>
                <c:pt idx="1024">
                  <c:v>5.0460275320814985E-2</c:v>
                </c:pt>
                <c:pt idx="1025">
                  <c:v>5.0462447326533599E-2</c:v>
                </c:pt>
                <c:pt idx="1026">
                  <c:v>5.0464321798469047E-2</c:v>
                </c:pt>
                <c:pt idx="1027">
                  <c:v>5.0465898736702375E-2</c:v>
                </c:pt>
                <c:pt idx="1028">
                  <c:v>5.0467178141233582E-2</c:v>
                </c:pt>
                <c:pt idx="1029">
                  <c:v>5.0468160011981622E-2</c:v>
                </c:pt>
                <c:pt idx="1030">
                  <c:v>5.0468844349108588E-2</c:v>
                </c:pt>
                <c:pt idx="1031">
                  <c:v>5.046923115261448E-2</c:v>
                </c:pt>
                <c:pt idx="1032">
                  <c:v>5.0469320422256159E-2</c:v>
                </c:pt>
                <c:pt idx="1033">
                  <c:v>5.0469112158276763E-2</c:v>
                </c:pt>
                <c:pt idx="1034">
                  <c:v>5.0468769968884386E-2</c:v>
                </c:pt>
                <c:pt idx="1035">
                  <c:v>5.0468507704659604E-2</c:v>
                </c:pt>
                <c:pt idx="1036">
                  <c:v>5.0468326653833051E-2</c:v>
                </c:pt>
                <c:pt idx="1037">
                  <c:v>5.046822681632368E-2</c:v>
                </c:pt>
                <c:pt idx="1038">
                  <c:v>5.0468208192212538E-2</c:v>
                </c:pt>
                <c:pt idx="1039">
                  <c:v>5.0468270781418578E-2</c:v>
                </c:pt>
                <c:pt idx="1040">
                  <c:v>5.0468414584103893E-2</c:v>
                </c:pt>
                <c:pt idx="1041">
                  <c:v>5.0468639600025345E-2</c:v>
                </c:pt>
                <c:pt idx="1042">
                  <c:v>5.0468945829426071E-2</c:v>
                </c:pt>
                <c:pt idx="1043">
                  <c:v>5.0469333272062933E-2</c:v>
                </c:pt>
                <c:pt idx="1044">
                  <c:v>5.0469801928016977E-2</c:v>
                </c:pt>
                <c:pt idx="1045">
                  <c:v>5.0470351797450297E-2</c:v>
                </c:pt>
                <c:pt idx="1046">
                  <c:v>5.0470982880281845E-2</c:v>
                </c:pt>
                <c:pt idx="1047">
                  <c:v>5.0471695176430575E-2</c:v>
                </c:pt>
                <c:pt idx="1048">
                  <c:v>5.0472488685896488E-2</c:v>
                </c:pt>
                <c:pt idx="1049">
                  <c:v>5.0473363408841676E-2</c:v>
                </c:pt>
                <c:pt idx="1050">
                  <c:v>5.0474319345023E-2</c:v>
                </c:pt>
                <c:pt idx="1051">
                  <c:v>5.0475356494683599E-2</c:v>
                </c:pt>
                <c:pt idx="1052">
                  <c:v>5.04766412534563E-2</c:v>
                </c:pt>
                <c:pt idx="1053">
                  <c:v>5.0477852431688452E-2</c:v>
                </c:pt>
                <c:pt idx="1054">
                  <c:v>5.0479144823318833E-2</c:v>
                </c:pt>
                <c:pt idx="1055">
                  <c:v>5.0480518428266397E-2</c:v>
                </c:pt>
                <c:pt idx="1056">
                  <c:v>5.0481973246774281E-2</c:v>
                </c:pt>
                <c:pt idx="1057">
                  <c:v>5.0483509278437255E-2</c:v>
                </c:pt>
                <c:pt idx="1058">
                  <c:v>5.0485126523579504E-2</c:v>
                </c:pt>
                <c:pt idx="1059">
                  <c:v>5.048682498195789E-2</c:v>
                </c:pt>
                <c:pt idx="1060">
                  <c:v>5.048860465381555E-2</c:v>
                </c:pt>
                <c:pt idx="1061">
                  <c:v>5.0490465539152485E-2</c:v>
                </c:pt>
                <c:pt idx="1062">
                  <c:v>5.0492407637725556E-2</c:v>
                </c:pt>
                <c:pt idx="1063">
                  <c:v>5.0494430949696856E-2</c:v>
                </c:pt>
                <c:pt idx="1064">
                  <c:v>5.049653547514743E-2</c:v>
                </c:pt>
                <c:pt idx="1065">
                  <c:v>5.0498721213915188E-2</c:v>
                </c:pt>
                <c:pt idx="1066">
                  <c:v>5.0500988166000127E-2</c:v>
                </c:pt>
                <c:pt idx="1067">
                  <c:v>5.0503336331564341E-2</c:v>
                </c:pt>
                <c:pt idx="1068">
                  <c:v>5.0505765710445738E-2</c:v>
                </c:pt>
                <c:pt idx="1069">
                  <c:v>5.0508276302725363E-2</c:v>
                </c:pt>
                <c:pt idx="1070">
                  <c:v>5.0510868108403217E-2</c:v>
                </c:pt>
                <c:pt idx="1071">
                  <c:v>5.0513541127398254E-2</c:v>
                </c:pt>
                <c:pt idx="1072">
                  <c:v>5.0516295359953611E-2</c:v>
                </c:pt>
                <c:pt idx="1073">
                  <c:v>5.0519130805745105E-2</c:v>
                </c:pt>
                <c:pt idx="1074">
                  <c:v>5.052204746509692E-2</c:v>
                </c:pt>
                <c:pt idx="1075">
                  <c:v>5.0525045337765917E-2</c:v>
                </c:pt>
                <c:pt idx="1076">
                  <c:v>5.0528124423752097E-2</c:v>
                </c:pt>
                <c:pt idx="1077">
                  <c:v>5.0531284723217551E-2</c:v>
                </c:pt>
                <c:pt idx="1078">
                  <c:v>5.0534526236081234E-2</c:v>
                </c:pt>
                <c:pt idx="1079">
                  <c:v>5.0537848962343146E-2</c:v>
                </c:pt>
                <c:pt idx="1080">
                  <c:v>5.0541252902084333E-2</c:v>
                </c:pt>
                <c:pt idx="1081">
                  <c:v>5.0544738055142702E-2</c:v>
                </c:pt>
                <c:pt idx="1082">
                  <c:v>5.0548304421680346E-2</c:v>
                </c:pt>
                <c:pt idx="1083">
                  <c:v>5.0551952001697265E-2</c:v>
                </c:pt>
                <c:pt idx="1084">
                  <c:v>5.055568079495032E-2</c:v>
                </c:pt>
                <c:pt idx="1085">
                  <c:v>5.0559490801682649E-2</c:v>
                </c:pt>
                <c:pt idx="1086">
                  <c:v>5.0563382021975301E-2</c:v>
                </c:pt>
                <c:pt idx="1087">
                  <c:v>5.0567354455585134E-2</c:v>
                </c:pt>
                <c:pt idx="1088">
                  <c:v>5.0571408102593196E-2</c:v>
                </c:pt>
                <c:pt idx="1089">
                  <c:v>5.0575542963080533E-2</c:v>
                </c:pt>
                <c:pt idx="1090">
                  <c:v>5.0579759036966099E-2</c:v>
                </c:pt>
                <c:pt idx="1091">
                  <c:v>5.0584056324330939E-2</c:v>
                </c:pt>
                <c:pt idx="1092">
                  <c:v>5.0588434825094009E-2</c:v>
                </c:pt>
                <c:pt idx="1093">
                  <c:v>5.0592894539336353E-2</c:v>
                </c:pt>
                <c:pt idx="1094">
                  <c:v>5.0597435466976926E-2</c:v>
                </c:pt>
                <c:pt idx="1095">
                  <c:v>5.0602057608096773E-2</c:v>
                </c:pt>
                <c:pt idx="1096">
                  <c:v>5.0606760962695896E-2</c:v>
                </c:pt>
                <c:pt idx="1097">
                  <c:v>5.0611545530693247E-2</c:v>
                </c:pt>
                <c:pt idx="1098">
                  <c:v>5.0616411312169873E-2</c:v>
                </c:pt>
                <c:pt idx="1099">
                  <c:v>5.0621358307125774E-2</c:v>
                </c:pt>
                <c:pt idx="1100">
                  <c:v>5.062638651556095E-2</c:v>
                </c:pt>
                <c:pt idx="1101">
                  <c:v>5.0631495937475401E-2</c:v>
                </c:pt>
                <c:pt idx="1102">
                  <c:v>5.0636686572788081E-2</c:v>
                </c:pt>
                <c:pt idx="1103">
                  <c:v>5.0641958421661082E-2</c:v>
                </c:pt>
                <c:pt idx="1104">
                  <c:v>5.0648082836803887E-2</c:v>
                </c:pt>
                <c:pt idx="1105">
                  <c:v>5.0653528714572627E-2</c:v>
                </c:pt>
                <c:pt idx="1106">
                  <c:v>5.0659055805739595E-2</c:v>
                </c:pt>
                <c:pt idx="1107">
                  <c:v>5.0664664110466884E-2</c:v>
                </c:pt>
                <c:pt idx="1108">
                  <c:v>5.0670353628592402E-2</c:v>
                </c:pt>
                <c:pt idx="1109">
                  <c:v>5.0676124360359287E-2</c:v>
                </c:pt>
                <c:pt idx="1110">
                  <c:v>5.0681976305524401E-2</c:v>
                </c:pt>
                <c:pt idx="1111">
                  <c:v>5.068790946416879E-2</c:v>
                </c:pt>
                <c:pt idx="1112">
                  <c:v>5.06939238363735E-2</c:v>
                </c:pt>
                <c:pt idx="1113">
                  <c:v>5.0700019422138531E-2</c:v>
                </c:pt>
                <c:pt idx="1114">
                  <c:v>5.0706196221301791E-2</c:v>
                </c:pt>
                <c:pt idx="1115">
                  <c:v>5.0728353570422824E-2</c:v>
                </c:pt>
                <c:pt idx="1116">
                  <c:v>5.0718793460390321E-2</c:v>
                </c:pt>
                <c:pt idx="1117">
                  <c:v>5.0725213900234545E-2</c:v>
                </c:pt>
                <c:pt idx="1118">
                  <c:v>5.0731715553476997E-2</c:v>
                </c:pt>
                <c:pt idx="1119">
                  <c:v>5.0738298420360817E-2</c:v>
                </c:pt>
                <c:pt idx="1120">
                  <c:v>5.0744962500886004E-2</c:v>
                </c:pt>
                <c:pt idx="1121">
                  <c:v>5.075170779480942E-2</c:v>
                </c:pt>
                <c:pt idx="1122">
                  <c:v>5.0758534302374203E-2</c:v>
                </c:pt>
                <c:pt idx="1123">
                  <c:v>5.0765442023418261E-2</c:v>
                </c:pt>
                <c:pt idx="1124">
                  <c:v>5.0772430958184733E-2</c:v>
                </c:pt>
                <c:pt idx="1125">
                  <c:v>5.0779501106268388E-2</c:v>
                </c:pt>
                <c:pt idx="1126">
                  <c:v>5.0786652468074456E-2</c:v>
                </c:pt>
                <c:pt idx="1127">
                  <c:v>5.0793885043440845E-2</c:v>
                </c:pt>
                <c:pt idx="1128">
                  <c:v>5.0801198832367556E-2</c:v>
                </c:pt>
                <c:pt idx="1129">
                  <c:v>5.0808593834935634E-2</c:v>
                </c:pt>
                <c:pt idx="1130">
                  <c:v>5.0816070050982987E-2</c:v>
                </c:pt>
                <c:pt idx="1131">
                  <c:v>5.0823627480671707E-2</c:v>
                </c:pt>
                <c:pt idx="1132">
                  <c:v>5.0831266124001795E-2</c:v>
                </c:pt>
                <c:pt idx="1133">
                  <c:v>5.083898598097325E-2</c:v>
                </c:pt>
                <c:pt idx="1134">
                  <c:v>5.0846787051423981E-2</c:v>
                </c:pt>
                <c:pt idx="1135">
                  <c:v>5.0854669335597125E-2</c:v>
                </c:pt>
                <c:pt idx="1136">
                  <c:v>5.086263283333059E-2</c:v>
                </c:pt>
                <c:pt idx="1137">
                  <c:v>5.0870677544624376E-2</c:v>
                </c:pt>
                <c:pt idx="1138">
                  <c:v>5.0878803469802669E-2</c:v>
                </c:pt>
                <c:pt idx="1139">
                  <c:v>5.0887010608379191E-2</c:v>
                </c:pt>
                <c:pt idx="1140">
                  <c:v>5.0895298960678126E-2</c:v>
                </c:pt>
                <c:pt idx="1141">
                  <c:v>5.0903668526618429E-2</c:v>
                </c:pt>
                <c:pt idx="1142">
                  <c:v>5.0912119306200099E-2</c:v>
                </c:pt>
                <c:pt idx="1143">
                  <c:v>5.0920651299423136E-2</c:v>
                </c:pt>
                <c:pt idx="1144">
                  <c:v>5.0929264506368588E-2</c:v>
                </c:pt>
                <c:pt idx="1145">
                  <c:v>5.093795892687436E-2</c:v>
                </c:pt>
                <c:pt idx="1146">
                  <c:v>5.0946734561183593E-2</c:v>
                </c:pt>
                <c:pt idx="1147">
                  <c:v>5.0955591409134193E-2</c:v>
                </c:pt>
                <c:pt idx="1148">
                  <c:v>5.0964529470726161E-2</c:v>
                </c:pt>
                <c:pt idx="1149">
                  <c:v>5.0973548746121589E-2</c:v>
                </c:pt>
                <c:pt idx="1150">
                  <c:v>5.0982649235158384E-2</c:v>
                </c:pt>
                <c:pt idx="1151">
                  <c:v>5.0991830937836546E-2</c:v>
                </c:pt>
                <c:pt idx="1152">
                  <c:v>5.1001093854318169E-2</c:v>
                </c:pt>
                <c:pt idx="1153">
                  <c:v>5.1010437984522206E-2</c:v>
                </c:pt>
                <c:pt idx="1154">
                  <c:v>5.101986332836761E-2</c:v>
                </c:pt>
                <c:pt idx="1155">
                  <c:v>5.1029369886016474E-2</c:v>
                </c:pt>
                <c:pt idx="1156">
                  <c:v>5.1051731024146507E-2</c:v>
                </c:pt>
                <c:pt idx="1157">
                  <c:v>5.1048626642481443E-2</c:v>
                </c:pt>
                <c:pt idx="1158">
                  <c:v>5.1058376841297548E-2</c:v>
                </c:pt>
                <c:pt idx="1159">
                  <c:v>5.1068208253836067E-2</c:v>
                </c:pt>
                <c:pt idx="1160">
                  <c:v>5.1078120880178046E-2</c:v>
                </c:pt>
                <c:pt idx="1161">
                  <c:v>5.1088114720404532E-2</c:v>
                </c:pt>
                <c:pt idx="1162">
                  <c:v>5.1098189774272385E-2</c:v>
                </c:pt>
                <c:pt idx="1163">
                  <c:v>5.1108346042024744E-2</c:v>
                </c:pt>
                <c:pt idx="1164">
                  <c:v>5.1118583523499517E-2</c:v>
                </c:pt>
                <c:pt idx="1165">
                  <c:v>5.1146194849797988E-2</c:v>
                </c:pt>
                <c:pt idx="1166">
                  <c:v>5.1139302127859443E-2</c:v>
                </c:pt>
                <c:pt idx="1167">
                  <c:v>5.1149783250825642E-2</c:v>
                </c:pt>
                <c:pt idx="1168">
                  <c:v>5.1160345587433209E-2</c:v>
                </c:pt>
                <c:pt idx="1169">
                  <c:v>5.1170989138087375E-2</c:v>
                </c:pt>
                <c:pt idx="1170">
                  <c:v>5.1181713902463954E-2</c:v>
                </c:pt>
                <c:pt idx="1171">
                  <c:v>5.1192519880643994E-2</c:v>
                </c:pt>
                <c:pt idx="1172">
                  <c:v>5.120340707270854E-2</c:v>
                </c:pt>
                <c:pt idx="1173">
                  <c:v>5.1214375478576546E-2</c:v>
                </c:pt>
                <c:pt idx="1174">
                  <c:v>5.1225425098410104E-2</c:v>
                </c:pt>
                <c:pt idx="1175">
                  <c:v>5.1236555932047123E-2</c:v>
                </c:pt>
                <c:pt idx="1176">
                  <c:v>5.1247767979487602E-2</c:v>
                </c:pt>
                <c:pt idx="1177">
                  <c:v>5.1259061240812587E-2</c:v>
                </c:pt>
                <c:pt idx="1178">
                  <c:v>5.1270435716265217E-2</c:v>
                </c:pt>
                <c:pt idx="1179">
                  <c:v>5.1281891405359215E-2</c:v>
                </c:pt>
                <c:pt idx="1180">
                  <c:v>5.1293428308499811E-2</c:v>
                </c:pt>
                <c:pt idx="1181">
                  <c:v>5.1305046425443868E-2</c:v>
                </c:pt>
                <c:pt idx="1182">
                  <c:v>5.1316745756434523E-2</c:v>
                </c:pt>
                <c:pt idx="1183">
                  <c:v>5.1328526301228639E-2</c:v>
                </c:pt>
                <c:pt idx="1184">
                  <c:v>5.1340388060150399E-2</c:v>
                </c:pt>
                <c:pt idx="1185">
                  <c:v>5.135233103287562E-2</c:v>
                </c:pt>
                <c:pt idx="1186">
                  <c:v>5.1364355219566393E-2</c:v>
                </c:pt>
                <c:pt idx="1187">
                  <c:v>5.1376460620060627E-2</c:v>
                </c:pt>
                <c:pt idx="1188">
                  <c:v>5.1388647234844598E-2</c:v>
                </c:pt>
                <c:pt idx="1189">
                  <c:v>5.1400915063432029E-2</c:v>
                </c:pt>
                <c:pt idx="1190">
                  <c:v>5.1413238571381692E-2</c:v>
                </c:pt>
                <c:pt idx="1191">
                  <c:v>5.1425465931778103E-2</c:v>
                </c:pt>
                <c:pt idx="1192">
                  <c:v>5.143757161001794E-2</c:v>
                </c:pt>
                <c:pt idx="1193">
                  <c:v>5.1449555605858066E-2</c:v>
                </c:pt>
                <c:pt idx="1194">
                  <c:v>5.1461417919541619E-2</c:v>
                </c:pt>
                <c:pt idx="1195">
                  <c:v>5.1473158550906506E-2</c:v>
                </c:pt>
                <c:pt idx="1196">
                  <c:v>5.148477750011482E-2</c:v>
                </c:pt>
                <c:pt idx="1197">
                  <c:v>5.1496274766923422E-2</c:v>
                </c:pt>
                <c:pt idx="1198">
                  <c:v>5.1507650351494405E-2</c:v>
                </c:pt>
                <c:pt idx="1199">
                  <c:v>5.1518904253827769E-2</c:v>
                </c:pt>
                <c:pt idx="1200">
                  <c:v>5.153003647376142E-2</c:v>
                </c:pt>
                <c:pt idx="1201">
                  <c:v>5.154104701129536E-2</c:v>
                </c:pt>
                <c:pt idx="1202">
                  <c:v>5.1551935866672727E-2</c:v>
                </c:pt>
                <c:pt idx="1203">
                  <c:v>5.1562703039650382E-2</c:v>
                </c:pt>
                <c:pt idx="1204">
                  <c:v>5.1573348530228325E-2</c:v>
                </c:pt>
                <c:pt idx="1205">
                  <c:v>5.1583872338406556E-2</c:v>
                </c:pt>
                <c:pt idx="1206">
                  <c:v>5.1594274464185075E-2</c:v>
                </c:pt>
                <c:pt idx="1207">
                  <c:v>5.1604554907644928E-2</c:v>
                </c:pt>
                <c:pt idx="1208">
                  <c:v>5.161471366870507E-2</c:v>
                </c:pt>
                <c:pt idx="1209">
                  <c:v>5.16247507473655E-2</c:v>
                </c:pt>
                <c:pt idx="1210">
                  <c:v>5.1634666143545171E-2</c:v>
                </c:pt>
                <c:pt idx="1211">
                  <c:v>5.1644459857325131E-2</c:v>
                </c:pt>
                <c:pt idx="1212">
                  <c:v>5.1654131888705379E-2</c:v>
                </c:pt>
                <c:pt idx="1213">
                  <c:v>5.1663682237523822E-2</c:v>
                </c:pt>
                <c:pt idx="1214">
                  <c:v>5.1673110903942554E-2</c:v>
                </c:pt>
                <c:pt idx="1215">
                  <c:v>5.1682417887961574E-2</c:v>
                </c:pt>
                <c:pt idx="1216">
                  <c:v>5.1691603189418789E-2</c:v>
                </c:pt>
                <c:pt idx="1217">
                  <c:v>5.1700666808476292E-2</c:v>
                </c:pt>
                <c:pt idx="1218">
                  <c:v>5.1709608744890945E-2</c:v>
                </c:pt>
                <c:pt idx="1219">
                  <c:v>5.1718428998905885E-2</c:v>
                </c:pt>
                <c:pt idx="1220">
                  <c:v>5.1744252862854001E-2</c:v>
                </c:pt>
                <c:pt idx="1221">
                  <c:v>5.1745465960483614E-2</c:v>
                </c:pt>
                <c:pt idx="1222">
                  <c:v>5.17538887880135E-2</c:v>
                </c:pt>
                <c:pt idx="1223">
                  <c:v>5.1762189898861097E-2</c:v>
                </c:pt>
                <c:pt idx="1224">
                  <c:v>5.1770369293026405E-2</c:v>
                </c:pt>
                <c:pt idx="1225">
                  <c:v>5.1778426970482412E-2</c:v>
                </c:pt>
                <c:pt idx="1226">
                  <c:v>5.1786362931175077E-2</c:v>
                </c:pt>
                <c:pt idx="1227">
                  <c:v>5.1798404529126152E-2</c:v>
                </c:pt>
                <c:pt idx="1228">
                  <c:v>5.1801869702270416E-2</c:v>
                </c:pt>
                <c:pt idx="1229">
                  <c:v>5.1809440512646063E-2</c:v>
                </c:pt>
                <c:pt idx="1230">
                  <c:v>5.1816889606123302E-2</c:v>
                </c:pt>
                <c:pt idx="1231">
                  <c:v>5.18242169828372E-2</c:v>
                </c:pt>
                <c:pt idx="1232">
                  <c:v>5.1831422642571644E-2</c:v>
                </c:pt>
                <c:pt idx="1233">
                  <c:v>5.1838506585488726E-2</c:v>
                </c:pt>
                <c:pt idx="1234">
                  <c:v>5.1845468811453362E-2</c:v>
                </c:pt>
                <c:pt idx="1235">
                  <c:v>5.1856475364731869E-2</c:v>
                </c:pt>
                <c:pt idx="1236">
                  <c:v>5.1859028112579329E-2</c:v>
                </c:pt>
                <c:pt idx="1237">
                  <c:v>5.1865625187686636E-2</c:v>
                </c:pt>
                <c:pt idx="1238">
                  <c:v>5.1872100545760455E-2</c:v>
                </c:pt>
                <c:pt idx="1239">
                  <c:v>5.1878454186854814E-2</c:v>
                </c:pt>
                <c:pt idx="1240">
                  <c:v>5.1884686110888666E-2</c:v>
                </c:pt>
                <c:pt idx="1241">
                  <c:v>5.1890796317889031E-2</c:v>
                </c:pt>
                <c:pt idx="1242">
                  <c:v>5.1896784807801875E-2</c:v>
                </c:pt>
                <c:pt idx="1243">
                  <c:v>5.1902651580600187E-2</c:v>
                </c:pt>
                <c:pt idx="1244">
                  <c:v>5.1912492393811627E-2</c:v>
                </c:pt>
                <c:pt idx="1245">
                  <c:v>5.1914019974853197E-2</c:v>
                </c:pt>
                <c:pt idx="1246">
                  <c:v>5.1919521596334915E-2</c:v>
                </c:pt>
                <c:pt idx="1247">
                  <c:v>5.1924901500567021E-2</c:v>
                </c:pt>
                <c:pt idx="1248">
                  <c:v>5.1930159687711606E-2</c:v>
                </c:pt>
                <c:pt idx="1249">
                  <c:v>5.1935296157579566E-2</c:v>
                </c:pt>
                <c:pt idx="1250">
                  <c:v>5.194031091027896E-2</c:v>
                </c:pt>
                <c:pt idx="1251">
                  <c:v>5.1945203945728734E-2</c:v>
                </c:pt>
                <c:pt idx="1252">
                  <c:v>5.1949975263982935E-2</c:v>
                </c:pt>
                <c:pt idx="1253">
                  <c:v>5.1954624864960504E-2</c:v>
                </c:pt>
                <c:pt idx="1254">
                  <c:v>5.195915274866144E-2</c:v>
                </c:pt>
                <c:pt idx="1255">
                  <c:v>5.1963558915085757E-2</c:v>
                </c:pt>
                <c:pt idx="1256">
                  <c:v>5.1967843364206422E-2</c:v>
                </c:pt>
                <c:pt idx="1257">
                  <c:v>5.1972006096050467E-2</c:v>
                </c:pt>
                <c:pt idx="1258">
                  <c:v>5.1976047110563847E-2</c:v>
                </c:pt>
                <c:pt idx="1259">
                  <c:v>5.1979966407773588E-2</c:v>
                </c:pt>
                <c:pt idx="1260">
                  <c:v>5.1987731344550481E-2</c:v>
                </c:pt>
                <c:pt idx="1261">
                  <c:v>5.1987439850066007E-2</c:v>
                </c:pt>
                <c:pt idx="1262">
                  <c:v>5.1990993995202725E-2</c:v>
                </c:pt>
                <c:pt idx="1263">
                  <c:v>5.1994426422927738E-2</c:v>
                </c:pt>
                <c:pt idx="1264">
                  <c:v>5.1997737133322085E-2</c:v>
                </c:pt>
                <c:pt idx="1265">
                  <c:v>5.20009261262507E-2</c:v>
                </c:pt>
                <c:pt idx="1266">
                  <c:v>5.2003993401848657E-2</c:v>
                </c:pt>
                <c:pt idx="1267">
                  <c:v>5.2006938959926849E-2</c:v>
                </c:pt>
                <c:pt idx="1268">
                  <c:v>5.2009762800674382E-2</c:v>
                </c:pt>
                <c:pt idx="1269">
                  <c:v>5.201246492398319E-2</c:v>
                </c:pt>
                <c:pt idx="1270">
                  <c:v>5.2015045329799246E-2</c:v>
                </c:pt>
                <c:pt idx="1271">
                  <c:v>5.2011109572333014E-2</c:v>
                </c:pt>
                <c:pt idx="1272">
                  <c:v>5.2013393727706747E-2</c:v>
                </c:pt>
                <c:pt idx="1273">
                  <c:v>5.2015556200113444E-2</c:v>
                </c:pt>
                <c:pt idx="1274">
                  <c:v>5.2017596989796244E-2</c:v>
                </c:pt>
                <c:pt idx="1275">
                  <c:v>5.2019516096593055E-2</c:v>
                </c:pt>
                <c:pt idx="1276">
                  <c:v>5.2021313520665968E-2</c:v>
                </c:pt>
                <c:pt idx="1277">
                  <c:v>5.2022989261933938E-2</c:v>
                </c:pt>
                <c:pt idx="1278">
                  <c:v>5.2024543320315919E-2</c:v>
                </c:pt>
                <c:pt idx="1279">
                  <c:v>5.2025975695974003E-2</c:v>
                </c:pt>
                <c:pt idx="1280">
                  <c:v>5.2027286388665051E-2</c:v>
                </c:pt>
                <c:pt idx="1281">
                  <c:v>5.2028475398632201E-2</c:v>
                </c:pt>
                <c:pt idx="1282">
                  <c:v>5.2029542725713362E-2</c:v>
                </c:pt>
                <c:pt idx="1283">
                  <c:v>5.2030488369908534E-2</c:v>
                </c:pt>
                <c:pt idx="1284">
                  <c:v>5.2031312331460855E-2</c:v>
                </c:pt>
                <c:pt idx="1285">
                  <c:v>5.2032014610127186E-2</c:v>
                </c:pt>
                <c:pt idx="1286">
                  <c:v>5.2032595205826482E-2</c:v>
                </c:pt>
                <c:pt idx="1287">
                  <c:v>5.203305411880188E-2</c:v>
                </c:pt>
                <c:pt idx="1288">
                  <c:v>5.2033391349053382E-2</c:v>
                </c:pt>
                <c:pt idx="1289">
                  <c:v>5.2033606896256801E-2</c:v>
                </c:pt>
                <c:pt idx="1290">
                  <c:v>5.203370076081737E-2</c:v>
                </c:pt>
                <c:pt idx="1291">
                  <c:v>5.2033672942410902E-2</c:v>
                </c:pt>
                <c:pt idx="1292">
                  <c:v>5.2033523441280538E-2</c:v>
                </c:pt>
                <c:pt idx="1293">
                  <c:v>5.2033252257264184E-2</c:v>
                </c:pt>
                <c:pt idx="1294">
                  <c:v>5.2032859390442887E-2</c:v>
                </c:pt>
                <c:pt idx="1295">
                  <c:v>5.2032344840816647E-2</c:v>
                </c:pt>
                <c:pt idx="1296">
                  <c:v>5.203170860822337E-2</c:v>
                </c:pt>
                <c:pt idx="1297">
                  <c:v>5.203095069306829E-2</c:v>
                </c:pt>
                <c:pt idx="1298">
                  <c:v>5.2030071094865127E-2</c:v>
                </c:pt>
                <c:pt idx="1299">
                  <c:v>5.2029069813938067E-2</c:v>
                </c:pt>
                <c:pt idx="1300">
                  <c:v>5.2027946850043971E-2</c:v>
                </c:pt>
                <c:pt idx="1301">
                  <c:v>5.2026702203425979E-2</c:v>
                </c:pt>
                <c:pt idx="1302">
                  <c:v>5.2025335874003042E-2</c:v>
                </c:pt>
                <c:pt idx="1303">
                  <c:v>5.2023847861775163E-2</c:v>
                </c:pt>
                <c:pt idx="1304">
                  <c:v>5.2022238166661294E-2</c:v>
                </c:pt>
                <c:pt idx="1305">
                  <c:v>5.2020506788742482E-2</c:v>
                </c:pt>
                <c:pt idx="1306">
                  <c:v>5.2018653728099773E-2</c:v>
                </c:pt>
                <c:pt idx="1307">
                  <c:v>5.2016678984490028E-2</c:v>
                </c:pt>
                <c:pt idx="1308">
                  <c:v>5.2014582558237432E-2</c:v>
                </c:pt>
                <c:pt idx="1309">
                  <c:v>5.2012364448936754E-2</c:v>
                </c:pt>
                <c:pt idx="1310">
                  <c:v>5.2010024656993226E-2</c:v>
                </c:pt>
                <c:pt idx="1311">
                  <c:v>5.2007563182244754E-2</c:v>
                </c:pt>
                <c:pt idx="1312">
                  <c:v>5.2004980024691339E-2</c:v>
                </c:pt>
                <c:pt idx="1313">
                  <c:v>5.2002275184251934E-2</c:v>
                </c:pt>
                <c:pt idx="1314">
                  <c:v>5.1999448661088632E-2</c:v>
                </c:pt>
                <c:pt idx="1315">
                  <c:v>5.1996500455201433E-2</c:v>
                </c:pt>
                <c:pt idx="1316">
                  <c:v>5.1993430566347199E-2</c:v>
                </c:pt>
                <c:pt idx="1317">
                  <c:v>5.1990238994850113E-2</c:v>
                </c:pt>
                <c:pt idx="1318">
                  <c:v>5.1986925740467038E-2</c:v>
                </c:pt>
                <c:pt idx="1319">
                  <c:v>5.1983490803360066E-2</c:v>
                </c:pt>
                <c:pt idx="1320">
                  <c:v>5.1979934183448151E-2</c:v>
                </c:pt>
                <c:pt idx="1321">
                  <c:v>5.1976255880731292E-2</c:v>
                </c:pt>
                <c:pt idx="1322">
                  <c:v>5.1972455895290537E-2</c:v>
                </c:pt>
                <c:pt idx="1323">
                  <c:v>5.1968534227044838E-2</c:v>
                </c:pt>
                <c:pt idx="1324">
                  <c:v>5.1964490876075242E-2</c:v>
                </c:pt>
                <c:pt idx="1325">
                  <c:v>5.1960325842300703E-2</c:v>
                </c:pt>
                <c:pt idx="1326">
                  <c:v>5.1956039125964359E-2</c:v>
                </c:pt>
                <c:pt idx="1327">
                  <c:v>5.1951630726579934E-2</c:v>
                </c:pt>
                <c:pt idx="1328">
                  <c:v>5.1947100644633704E-2</c:v>
                </c:pt>
                <c:pt idx="1329">
                  <c:v>5.1942448879801484E-2</c:v>
                </c:pt>
                <c:pt idx="1330">
                  <c:v>5.1937675432326413E-2</c:v>
                </c:pt>
                <c:pt idx="1331">
                  <c:v>5.1932780302208492E-2</c:v>
                </c:pt>
                <c:pt idx="1332">
                  <c:v>5.1927763489285628E-2</c:v>
                </c:pt>
                <c:pt idx="1333">
                  <c:v>5.192262499355782E-2</c:v>
                </c:pt>
                <c:pt idx="1334">
                  <c:v>5.1917364815106115E-2</c:v>
                </c:pt>
                <c:pt idx="1335">
                  <c:v>5.1911982954092606E-2</c:v>
                </c:pt>
                <c:pt idx="1336">
                  <c:v>5.1906479410193107E-2</c:v>
                </c:pt>
                <c:pt idx="1337">
                  <c:v>5.1900854183731804E-2</c:v>
                </c:pt>
                <c:pt idx="1338">
                  <c:v>5.1895107274465557E-2</c:v>
                </c:pt>
                <c:pt idx="1339">
                  <c:v>5.188923868255646E-2</c:v>
                </c:pt>
                <c:pt idx="1340">
                  <c:v>5.1883248408004512E-2</c:v>
                </c:pt>
                <c:pt idx="1341">
                  <c:v>5.1877136450809713E-2</c:v>
                </c:pt>
                <c:pt idx="1342">
                  <c:v>5.1870902810809971E-2</c:v>
                </c:pt>
                <c:pt idx="1343">
                  <c:v>5.1864547488248425E-2</c:v>
                </c:pt>
                <c:pt idx="1344">
                  <c:v>5.1858070482962981E-2</c:v>
                </c:pt>
                <c:pt idx="1345">
                  <c:v>5.1851471794953641E-2</c:v>
                </c:pt>
                <c:pt idx="1346">
                  <c:v>5.1844751424544588E-2</c:v>
                </c:pt>
                <c:pt idx="1347">
                  <c:v>5.1837909371249546E-2</c:v>
                </c:pt>
                <c:pt idx="1348">
                  <c:v>5.1830945635311654E-2</c:v>
                </c:pt>
                <c:pt idx="1349">
                  <c:v>5.1823860216893003E-2</c:v>
                </c:pt>
                <c:pt idx="1350">
                  <c:v>5.1816653115831501E-2</c:v>
                </c:pt>
                <c:pt idx="1351">
                  <c:v>5.1809324332127149E-2</c:v>
                </c:pt>
                <c:pt idx="1352">
                  <c:v>5.1801873865779946E-2</c:v>
                </c:pt>
                <c:pt idx="1353">
                  <c:v>5.1794301716951985E-2</c:v>
                </c:pt>
                <c:pt idx="1354">
                  <c:v>5.1786607885400127E-2</c:v>
                </c:pt>
                <c:pt idx="1355">
                  <c:v>5.177879237136751E-2</c:v>
                </c:pt>
                <c:pt idx="1356">
                  <c:v>5.1770855174610997E-2</c:v>
                </c:pt>
                <c:pt idx="1357">
                  <c:v>5.1762796295454772E-2</c:v>
                </c:pt>
                <c:pt idx="1358">
                  <c:v>5.1754615733655696E-2</c:v>
                </c:pt>
                <c:pt idx="1359">
                  <c:v>5.1746313489294815E-2</c:v>
                </c:pt>
                <c:pt idx="1360">
                  <c:v>5.1736676211127097E-2</c:v>
                </c:pt>
                <c:pt idx="1361">
                  <c:v>5.1728113218431071E-2</c:v>
                </c:pt>
                <c:pt idx="1362">
                  <c:v>5.1719428543254287E-2</c:v>
                </c:pt>
                <c:pt idx="1363">
                  <c:v>5.1710622185596744E-2</c:v>
                </c:pt>
                <c:pt idx="1364">
                  <c:v>5.1700408777785034E-2</c:v>
                </c:pt>
                <c:pt idx="1365">
                  <c:v>5.1691341672035485E-2</c:v>
                </c:pt>
                <c:pt idx="1366">
                  <c:v>5.1682152883562038E-2</c:v>
                </c:pt>
                <c:pt idx="1367">
                  <c:v>5.167284241268888E-2</c:v>
                </c:pt>
                <c:pt idx="1368">
                  <c:v>5.1663410259416009E-2</c:v>
                </c:pt>
                <c:pt idx="1369">
                  <c:v>5.1653856423662381E-2</c:v>
                </c:pt>
                <c:pt idx="1370">
                  <c:v>5.1644180905346948E-2</c:v>
                </c:pt>
                <c:pt idx="1371">
                  <c:v>5.163438370471285E-2</c:v>
                </c:pt>
                <c:pt idx="1372">
                  <c:v>5.1624464821679039E-2</c:v>
                </c:pt>
                <c:pt idx="1373">
                  <c:v>5.1614424256083424E-2</c:v>
                </c:pt>
                <c:pt idx="1374">
                  <c:v>5.160426200825019E-2</c:v>
                </c:pt>
                <c:pt idx="1375">
                  <c:v>5.1605601329891559E-2</c:v>
                </c:pt>
                <c:pt idx="1376">
                  <c:v>5.1583572465141447E-2</c:v>
                </c:pt>
                <c:pt idx="1377">
                  <c:v>5.1573045170028031E-2</c:v>
                </c:pt>
                <c:pt idx="1378">
                  <c:v>5.1562396192514903E-2</c:v>
                </c:pt>
                <c:pt idx="1379">
                  <c:v>5.155162553268311E-2</c:v>
                </c:pt>
                <c:pt idx="1380">
                  <c:v>5.154073319053265E-2</c:v>
                </c:pt>
                <c:pt idx="1381">
                  <c:v>5.1529719165982479E-2</c:v>
                </c:pt>
                <c:pt idx="1382">
                  <c:v>5.1518583459113643E-2</c:v>
                </c:pt>
                <c:pt idx="1383">
                  <c:v>5.1507326070088233E-2</c:v>
                </c:pt>
                <c:pt idx="1384">
                  <c:v>5.1495946998501019E-2</c:v>
                </c:pt>
                <c:pt idx="1385">
                  <c:v>5.1484446244838278E-2</c:v>
                </c:pt>
                <c:pt idx="1386">
                  <c:v>5.1472823808775825E-2</c:v>
                </c:pt>
                <c:pt idx="1387">
                  <c:v>5.1461079690394707E-2</c:v>
                </c:pt>
                <c:pt idx="1388">
                  <c:v>5.1449213889857015E-2</c:v>
                </c:pt>
                <c:pt idx="1389">
                  <c:v>5.1437226407081704E-2</c:v>
                </c:pt>
                <c:pt idx="1390">
                  <c:v>5.1425117242068774E-2</c:v>
                </c:pt>
                <c:pt idx="1391">
                  <c:v>5.1412886394818225E-2</c:v>
                </c:pt>
                <c:pt idx="1392">
                  <c:v>5.1400533865411102E-2</c:v>
                </c:pt>
                <c:pt idx="1393">
                  <c:v>5.1388059653685314E-2</c:v>
                </c:pt>
                <c:pt idx="1394">
                  <c:v>5.1375463759883999E-2</c:v>
                </c:pt>
                <c:pt idx="1395">
                  <c:v>5.1362746183764019E-2</c:v>
                </c:pt>
                <c:pt idx="1396">
                  <c:v>5.1349906925568511E-2</c:v>
                </c:pt>
                <c:pt idx="1397">
                  <c:v>5.1336945985297477E-2</c:v>
                </c:pt>
                <c:pt idx="1398">
                  <c:v>5.1323863362788824E-2</c:v>
                </c:pt>
                <c:pt idx="1399">
                  <c:v>5.1310659058204644E-2</c:v>
                </c:pt>
                <c:pt idx="1400">
                  <c:v>5.1297333071625983E-2</c:v>
                </c:pt>
                <c:pt idx="1401">
                  <c:v>5.1283885402809704E-2</c:v>
                </c:pt>
                <c:pt idx="1402">
                  <c:v>5.1270316051917897E-2</c:v>
                </c:pt>
                <c:pt idx="1403">
                  <c:v>5.125662501903161E-2</c:v>
                </c:pt>
                <c:pt idx="1404">
                  <c:v>5.124281230398875E-2</c:v>
                </c:pt>
                <c:pt idx="1405">
                  <c:v>5.1228877906951409E-2</c:v>
                </c:pt>
                <c:pt idx="1406">
                  <c:v>5.1214821827919588E-2</c:v>
                </c:pt>
                <c:pt idx="1407">
                  <c:v>5.1200644066893286E-2</c:v>
                </c:pt>
                <c:pt idx="1408">
                  <c:v>5.1186344623872504E-2</c:v>
                </c:pt>
                <c:pt idx="1409">
                  <c:v>5.1171923498776195E-2</c:v>
                </c:pt>
                <c:pt idx="1410">
                  <c:v>5.1157380691847498E-2</c:v>
                </c:pt>
                <c:pt idx="1411">
                  <c:v>5.1142716202843275E-2</c:v>
                </c:pt>
                <c:pt idx="1412">
                  <c:v>5.1127930032087709E-2</c:v>
                </c:pt>
                <c:pt idx="1413">
                  <c:v>5.1113022179175571E-2</c:v>
                </c:pt>
                <c:pt idx="1414">
                  <c:v>5.1097992644431045E-2</c:v>
                </c:pt>
                <c:pt idx="1415">
                  <c:v>5.1082841427773085E-2</c:v>
                </c:pt>
                <c:pt idx="1416">
                  <c:v>5.1070325694227613E-2</c:v>
                </c:pt>
                <c:pt idx="1417">
                  <c:v>5.1054892030875841E-2</c:v>
                </c:pt>
                <c:pt idx="1418">
                  <c:v>5.1039336652948984E-2</c:v>
                </c:pt>
                <c:pt idx="1419">
                  <c:v>5.1023659560474062E-2</c:v>
                </c:pt>
                <c:pt idx="1420">
                  <c:v>5.100786075358614E-2</c:v>
                </c:pt>
                <c:pt idx="1421">
                  <c:v>5.0991940232204179E-2</c:v>
                </c:pt>
                <c:pt idx="1422">
                  <c:v>5.0975897996490278E-2</c:v>
                </c:pt>
                <c:pt idx="1423">
                  <c:v>5.0959734046444424E-2</c:v>
                </c:pt>
                <c:pt idx="1424">
                  <c:v>5.0943448382120657E-2</c:v>
                </c:pt>
                <c:pt idx="1425">
                  <c:v>5.0927041003518976E-2</c:v>
                </c:pt>
                <c:pt idx="1426">
                  <c:v>5.0896294176506762E-2</c:v>
                </c:pt>
                <c:pt idx="1427">
                  <c:v>5.0879595862775018E-2</c:v>
                </c:pt>
                <c:pt idx="1428">
                  <c:v>5.0860363077854798E-2</c:v>
                </c:pt>
                <c:pt idx="1429">
                  <c:v>5.0843404017814064E-2</c:v>
                </c:pt>
                <c:pt idx="1430">
                  <c:v>5.0826323276103036E-2</c:v>
                </c:pt>
                <c:pt idx="1431">
                  <c:v>5.0809120852802758E-2</c:v>
                </c:pt>
                <c:pt idx="1432">
                  <c:v>5.0791796747832185E-2</c:v>
                </c:pt>
                <c:pt idx="1433">
                  <c:v>5.0774350961434456E-2</c:v>
                </c:pt>
                <c:pt idx="1434">
                  <c:v>5.0756783493285385E-2</c:v>
                </c:pt>
                <c:pt idx="1435">
                  <c:v>5.0739094343790203E-2</c:v>
                </c:pt>
                <c:pt idx="1436">
                  <c:v>5.0721283512462634E-2</c:v>
                </c:pt>
                <c:pt idx="1437">
                  <c:v>5.0703350999788954E-2</c:v>
                </c:pt>
                <c:pt idx="1438">
                  <c:v>5.0685296805607072E-2</c:v>
                </c:pt>
                <c:pt idx="1439">
                  <c:v>5.0667120929998033E-2</c:v>
                </c:pt>
                <c:pt idx="1440">
                  <c:v>5.0648823372799745E-2</c:v>
                </c:pt>
                <c:pt idx="1441">
                  <c:v>5.0630404134255347E-2</c:v>
                </c:pt>
                <c:pt idx="1442">
                  <c:v>5.0611863214364838E-2</c:v>
                </c:pt>
                <c:pt idx="1443">
                  <c:v>5.0593200612804035E-2</c:v>
                </c:pt>
                <c:pt idx="1444">
                  <c:v>5.0574416330059213E-2</c:v>
                </c:pt>
                <c:pt idx="1445">
                  <c:v>5.0555510365887235E-2</c:v>
                </c:pt>
                <c:pt idx="1446">
                  <c:v>5.0536482720369147E-2</c:v>
                </c:pt>
                <c:pt idx="1447">
                  <c:v>5.0517333393504948E-2</c:v>
                </c:pt>
                <c:pt idx="1448">
                  <c:v>5.0498062385375686E-2</c:v>
                </c:pt>
                <c:pt idx="1449">
                  <c:v>5.0478681892474064E-2</c:v>
                </c:pt>
                <c:pt idx="1450">
                  <c:v>5.0459329287354526E-2</c:v>
                </c:pt>
                <c:pt idx="1451">
                  <c:v>5.0440043727608685E-2</c:v>
                </c:pt>
                <c:pt idx="1452">
                  <c:v>5.0420825212993403E-2</c:v>
                </c:pt>
                <c:pt idx="1453">
                  <c:v>5.0401673743832864E-2</c:v>
                </c:pt>
                <c:pt idx="1454">
                  <c:v>5.0382589319640791E-2</c:v>
                </c:pt>
                <c:pt idx="1455">
                  <c:v>5.0363571940822416E-2</c:v>
                </c:pt>
                <c:pt idx="1456">
                  <c:v>5.0344621607296691E-2</c:v>
                </c:pt>
                <c:pt idx="1457">
                  <c:v>5.0325738318982571E-2</c:v>
                </c:pt>
                <c:pt idx="1458">
                  <c:v>5.030692207579901E-2</c:v>
                </c:pt>
                <c:pt idx="1459">
                  <c:v>5.0288172877908099E-2</c:v>
                </c:pt>
                <c:pt idx="1460">
                  <c:v>5.0269490725147747E-2</c:v>
                </c:pt>
                <c:pt idx="1461">
                  <c:v>5.0250875617599E-2</c:v>
                </c:pt>
                <c:pt idx="1462">
                  <c:v>5.0232327555261858E-2</c:v>
                </c:pt>
                <c:pt idx="1463">
                  <c:v>5.0213846537974227E-2</c:v>
                </c:pt>
                <c:pt idx="1464">
                  <c:v>5.0195432565817155E-2</c:v>
                </c:pt>
                <c:pt idx="1465">
                  <c:v>5.0177085638871688E-2</c:v>
                </c:pt>
                <c:pt idx="1466">
                  <c:v>5.0158805757056779E-2</c:v>
                </c:pt>
                <c:pt idx="1467">
                  <c:v>5.0140592920291382E-2</c:v>
                </c:pt>
                <c:pt idx="1468">
                  <c:v>5.0122447128737591E-2</c:v>
                </c:pt>
                <c:pt idx="1469">
                  <c:v>5.0104368382314357E-2</c:v>
                </c:pt>
                <c:pt idx="1470">
                  <c:v>5.0086356680778543E-2</c:v>
                </c:pt>
                <c:pt idx="1471">
                  <c:v>5.006841202453538E-2</c:v>
                </c:pt>
                <c:pt idx="1472">
                  <c:v>5.0050534413179637E-2</c:v>
                </c:pt>
                <c:pt idx="1473">
                  <c:v>5.0032723846954452E-2</c:v>
                </c:pt>
                <c:pt idx="1474">
                  <c:v>5.0014980325859826E-2</c:v>
                </c:pt>
                <c:pt idx="1475">
                  <c:v>4.9997303849733665E-2</c:v>
                </c:pt>
                <c:pt idx="1476">
                  <c:v>4.9979694418657017E-2</c:v>
                </c:pt>
                <c:pt idx="1477">
                  <c:v>4.9962152032467788E-2</c:v>
                </c:pt>
                <c:pt idx="1478">
                  <c:v>4.9944676691490164E-2</c:v>
                </c:pt>
                <c:pt idx="1479">
                  <c:v>4.992726839539996E-2</c:v>
                </c:pt>
                <c:pt idx="1480">
                  <c:v>4.99074552957679E-2</c:v>
                </c:pt>
                <c:pt idx="1481">
                  <c:v>4.9890190667501999E-2</c:v>
                </c:pt>
                <c:pt idx="1482">
                  <c:v>4.9872993084285611E-2</c:v>
                </c:pt>
                <c:pt idx="1483">
                  <c:v>4.9855862545956642E-2</c:v>
                </c:pt>
                <c:pt idx="1484">
                  <c:v>4.9838799052596139E-2</c:v>
                </c:pt>
                <c:pt idx="1485">
                  <c:v>4.9821802604285148E-2</c:v>
                </c:pt>
                <c:pt idx="1486">
                  <c:v>4.9804873200699484E-2</c:v>
                </c:pt>
                <c:pt idx="1487">
                  <c:v>4.9788010842244379E-2</c:v>
                </c:pt>
                <c:pt idx="1488">
                  <c:v>4.9771215528433554E-2</c:v>
                </c:pt>
                <c:pt idx="1489">
                  <c:v>4.9754487259753288E-2</c:v>
                </c:pt>
                <c:pt idx="1490">
                  <c:v>4.9737826035879396E-2</c:v>
                </c:pt>
                <c:pt idx="1491">
                  <c:v>4.9721231856973969E-2</c:v>
                </c:pt>
                <c:pt idx="1492">
                  <c:v>4.9704704722793869E-2</c:v>
                </c:pt>
                <c:pt idx="1493">
                  <c:v>4.9688244633582235E-2</c:v>
                </c:pt>
                <c:pt idx="1494">
                  <c:v>4.9671851589339067E-2</c:v>
                </c:pt>
                <c:pt idx="1495">
                  <c:v>4.9655525589740179E-2</c:v>
                </c:pt>
                <c:pt idx="1496">
                  <c:v>4.9639266635109758E-2</c:v>
                </c:pt>
                <c:pt idx="1497">
                  <c:v>4.9623074725123617E-2</c:v>
                </c:pt>
                <c:pt idx="1498">
                  <c:v>4.9606949860186988E-2</c:v>
                </c:pt>
                <c:pt idx="1499">
                  <c:v>4.9590892040056733E-2</c:v>
                </c:pt>
                <c:pt idx="1500">
                  <c:v>4.9574901264489712E-2</c:v>
                </c:pt>
                <c:pt idx="1501">
                  <c:v>4.955897753405325E-2</c:v>
                </c:pt>
                <c:pt idx="1502">
                  <c:v>4.9543120848180022E-2</c:v>
                </c:pt>
                <c:pt idx="1503">
                  <c:v>4.9527331207194214E-2</c:v>
                </c:pt>
                <c:pt idx="1504">
                  <c:v>4.9511608610852686E-2</c:v>
                </c:pt>
                <c:pt idx="1505">
                  <c:v>4.9495953059398579E-2</c:v>
                </c:pt>
                <c:pt idx="1506">
                  <c:v>4.9480364552588751E-2</c:v>
                </c:pt>
                <c:pt idx="1507">
                  <c:v>4.9464843090585298E-2</c:v>
                </c:pt>
                <c:pt idx="1508">
                  <c:v>4.9449388673307171E-2</c:v>
                </c:pt>
                <c:pt idx="1509">
                  <c:v>4.9434001300835417E-2</c:v>
                </c:pt>
                <c:pt idx="1510">
                  <c:v>4.9418680972926898E-2</c:v>
                </c:pt>
                <c:pt idx="1511">
                  <c:v>4.9403427689824753E-2</c:v>
                </c:pt>
                <c:pt idx="1512">
                  <c:v>4.938824145152898E-2</c:v>
                </c:pt>
                <c:pt idx="1513">
                  <c:v>4.9373122257715396E-2</c:v>
                </c:pt>
                <c:pt idx="1514">
                  <c:v>4.9358070108708185E-2</c:v>
                </c:pt>
                <c:pt idx="1515">
                  <c:v>4.9343085004264209E-2</c:v>
                </c:pt>
                <c:pt idx="1516">
                  <c:v>4.9328166944626606E-2</c:v>
                </c:pt>
                <c:pt idx="1517">
                  <c:v>4.9313315929633283E-2</c:v>
                </c:pt>
                <c:pt idx="1518">
                  <c:v>4.9298531959203196E-2</c:v>
                </c:pt>
                <c:pt idx="1519">
                  <c:v>4.9283815033498435E-2</c:v>
                </c:pt>
                <c:pt idx="1520">
                  <c:v>4.9269165152356909E-2</c:v>
                </c:pt>
                <c:pt idx="1521">
                  <c:v>4.9254582315940709E-2</c:v>
                </c:pt>
                <c:pt idx="1522">
                  <c:v>4.9240066524087744E-2</c:v>
                </c:pt>
                <c:pt idx="1523">
                  <c:v>4.9225617776798014E-2</c:v>
                </c:pt>
                <c:pt idx="1524">
                  <c:v>4.9211236074152565E-2</c:v>
                </c:pt>
                <c:pt idx="1525">
                  <c:v>4.9196921416151396E-2</c:v>
                </c:pt>
                <c:pt idx="1526">
                  <c:v>4.9182673802632415E-2</c:v>
                </c:pt>
                <c:pt idx="1527">
                  <c:v>4.9168493233838761E-2</c:v>
                </c:pt>
                <c:pt idx="1528">
                  <c:v>4.9154379709527296E-2</c:v>
                </c:pt>
                <c:pt idx="1529">
                  <c:v>4.9140333229779065E-2</c:v>
                </c:pt>
                <c:pt idx="1530">
                  <c:v>4.9135597091635175E-2</c:v>
                </c:pt>
                <c:pt idx="1531">
                  <c:v>4.9112441403972307E-2</c:v>
                </c:pt>
                <c:pt idx="1532">
                  <c:v>4.9105545342509604E-2</c:v>
                </c:pt>
                <c:pt idx="1533">
                  <c:v>4.908481775633744E-2</c:v>
                </c:pt>
                <c:pt idx="1534">
                  <c:v>4.9071106499324335E-2</c:v>
                </c:pt>
                <c:pt idx="1535">
                  <c:v>4.9057462286712372E-2</c:v>
                </c:pt>
                <c:pt idx="1536">
                  <c:v>4.904388511874469E-2</c:v>
                </c:pt>
                <c:pt idx="1537">
                  <c:v>4.9030374995259196E-2</c:v>
                </c:pt>
                <c:pt idx="1538">
                  <c:v>4.9016931916336937E-2</c:v>
                </c:pt>
                <c:pt idx="1539">
                  <c:v>4.9003555881815819E-2</c:v>
                </c:pt>
                <c:pt idx="1540">
                  <c:v>4.899024689177689E-2</c:v>
                </c:pt>
                <c:pt idx="1541">
                  <c:v>4.8977004946301195E-2</c:v>
                </c:pt>
                <c:pt idx="1542">
                  <c:v>4.8963830045064549E-2</c:v>
                </c:pt>
                <c:pt idx="1543">
                  <c:v>4.8950722188553231E-2</c:v>
                </c:pt>
                <c:pt idx="1544">
                  <c:v>4.8937681376362008E-2</c:v>
                </c:pt>
                <c:pt idx="1545">
                  <c:v>4.8924707608571927E-2</c:v>
                </c:pt>
                <c:pt idx="1546">
                  <c:v>4.8911800885264034E-2</c:v>
                </c:pt>
                <c:pt idx="1547">
                  <c:v>4.8898961206357283E-2</c:v>
                </c:pt>
                <c:pt idx="1548">
                  <c:v>4.888618857193272E-2</c:v>
                </c:pt>
                <c:pt idx="1549">
                  <c:v>4.8873482981990346E-2</c:v>
                </c:pt>
                <c:pt idx="1550">
                  <c:v>4.8860844436368067E-2</c:v>
                </c:pt>
                <c:pt idx="1551">
                  <c:v>4.884827293514693E-2</c:v>
                </c:pt>
                <c:pt idx="1552">
                  <c:v>4.8835768478407982E-2</c:v>
                </c:pt>
                <c:pt idx="1553">
                  <c:v>4.8823331065908082E-2</c:v>
                </c:pt>
                <c:pt idx="1554">
                  <c:v>4.8810960697809325E-2</c:v>
                </c:pt>
                <c:pt idx="1555">
                  <c:v>4.8798657374192755E-2</c:v>
                </c:pt>
                <c:pt idx="1556">
                  <c:v>4.8786421094896282E-2</c:v>
                </c:pt>
                <c:pt idx="1557">
                  <c:v>4.8774251859919904E-2</c:v>
                </c:pt>
                <c:pt idx="1558">
                  <c:v>4.8762149669425714E-2</c:v>
                </c:pt>
                <c:pt idx="1559">
                  <c:v>4.8750114523170573E-2</c:v>
                </c:pt>
                <c:pt idx="1560">
                  <c:v>4.8738146421235529E-2</c:v>
                </c:pt>
                <c:pt idx="1561">
                  <c:v>4.8726245363701626E-2</c:v>
                </c:pt>
                <c:pt idx="1562">
                  <c:v>4.8714411350406772E-2</c:v>
                </c:pt>
                <c:pt idx="1563">
                  <c:v>4.8702644381675153E-2</c:v>
                </c:pt>
                <c:pt idx="1564">
                  <c:v>4.8690944456858398E-2</c:v>
                </c:pt>
                <c:pt idx="1565">
                  <c:v>4.8679311576685924E-2</c:v>
                </c:pt>
                <c:pt idx="1566">
                  <c:v>4.8667745740752499E-2</c:v>
                </c:pt>
                <c:pt idx="1567">
                  <c:v>4.8649706312473562E-2</c:v>
                </c:pt>
                <c:pt idx="1568">
                  <c:v>4.8638312876081446E-2</c:v>
                </c:pt>
                <c:pt idx="1569">
                  <c:v>4.8626986483928381E-2</c:v>
                </c:pt>
                <c:pt idx="1570">
                  <c:v>4.8615727136257503E-2</c:v>
                </c:pt>
                <c:pt idx="1571">
                  <c:v>4.8602941405159195E-2</c:v>
                </c:pt>
                <c:pt idx="1572">
                  <c:v>4.8591825723529602E-2</c:v>
                </c:pt>
                <c:pt idx="1573">
                  <c:v>4.8580777086301152E-2</c:v>
                </c:pt>
                <c:pt idx="1574">
                  <c:v>4.8569795493230705E-2</c:v>
                </c:pt>
                <c:pt idx="1575">
                  <c:v>4.8558880944480354E-2</c:v>
                </c:pt>
                <c:pt idx="1576">
                  <c:v>4.8548033439888005E-2</c:v>
                </c:pt>
                <c:pt idx="1577">
                  <c:v>4.8537252979615753E-2</c:v>
                </c:pt>
                <c:pt idx="1578">
                  <c:v>4.8526539563420457E-2</c:v>
                </c:pt>
                <c:pt idx="1579">
                  <c:v>4.8515893191545256E-2</c:v>
                </c:pt>
                <c:pt idx="1580">
                  <c:v>4.8505313863909105E-2</c:v>
                </c:pt>
                <c:pt idx="1581">
                  <c:v>4.8494801580512004E-2</c:v>
                </c:pt>
                <c:pt idx="1582">
                  <c:v>4.8484356341272905E-2</c:v>
                </c:pt>
                <c:pt idx="1583">
                  <c:v>4.847397814619181E-2</c:v>
                </c:pt>
                <c:pt idx="1584">
                  <c:v>4.8463666995349763E-2</c:v>
                </c:pt>
                <c:pt idx="1585">
                  <c:v>4.8453422888503628E-2</c:v>
                </c:pt>
                <c:pt idx="1586">
                  <c:v>4.844324582613968E-2</c:v>
                </c:pt>
                <c:pt idx="1587">
                  <c:v>4.8433135807690597E-2</c:v>
                </c:pt>
                <c:pt idx="1588">
                  <c:v>4.8423092833642656E-2</c:v>
                </c:pt>
                <c:pt idx="1589">
                  <c:v>4.8413116903509579E-2</c:v>
                </c:pt>
                <c:pt idx="1590">
                  <c:v>4.8403208017615551E-2</c:v>
                </c:pt>
                <c:pt idx="1591">
                  <c:v>4.8393366175960573E-2</c:v>
                </c:pt>
                <c:pt idx="1592">
                  <c:v>4.8383591378382551E-2</c:v>
                </c:pt>
                <c:pt idx="1593">
                  <c:v>4.8373883625043579E-2</c:v>
                </c:pt>
                <c:pt idx="1594">
                  <c:v>4.8364242915700517E-2</c:v>
                </c:pt>
                <c:pt idx="1595">
                  <c:v>4.8354669250677551E-2</c:v>
                </c:pt>
                <c:pt idx="1596">
                  <c:v>4.8345162629488403E-2</c:v>
                </c:pt>
                <c:pt idx="1597">
                  <c:v>4.833572305261935E-2</c:v>
                </c:pt>
                <c:pt idx="1598">
                  <c:v>4.8326350519827255E-2</c:v>
                </c:pt>
                <c:pt idx="1599">
                  <c:v>4.8317045031112116E-2</c:v>
                </c:pt>
                <c:pt idx="1600">
                  <c:v>4.830780658655498E-2</c:v>
                </c:pt>
                <c:pt idx="1601">
                  <c:v>4.8298635185993755E-2</c:v>
                </c:pt>
                <c:pt idx="1602">
                  <c:v>4.8289530829590532E-2</c:v>
                </c:pt>
                <c:pt idx="1603">
                  <c:v>4.8280493517264267E-2</c:v>
                </c:pt>
                <c:pt idx="1604">
                  <c:v>4.8271523249096004E-2</c:v>
                </c:pt>
                <c:pt idx="1605">
                  <c:v>4.8262620024923653E-2</c:v>
                </c:pt>
                <c:pt idx="1606">
                  <c:v>4.8253783844909304E-2</c:v>
                </c:pt>
                <c:pt idx="1607">
                  <c:v>4.8245014708809819E-2</c:v>
                </c:pt>
                <c:pt idx="1608">
                  <c:v>4.8236312616868338E-2</c:v>
                </c:pt>
                <c:pt idx="1609">
                  <c:v>4.8227677569003813E-2</c:v>
                </c:pt>
                <c:pt idx="1610">
                  <c:v>4.8219109565216245E-2</c:v>
                </c:pt>
                <c:pt idx="1611">
                  <c:v>4.8210608605424587E-2</c:v>
                </c:pt>
                <c:pt idx="1612">
                  <c:v>4.8202174689628841E-2</c:v>
                </c:pt>
                <c:pt idx="1613">
                  <c:v>4.819380781791005E-2</c:v>
                </c:pt>
                <c:pt idx="1614">
                  <c:v>4.8185507990349263E-2</c:v>
                </c:pt>
                <c:pt idx="1615">
                  <c:v>4.8177275206703341E-2</c:v>
                </c:pt>
                <c:pt idx="1616">
                  <c:v>4.8169109467134374E-2</c:v>
                </c:pt>
                <c:pt idx="1617">
                  <c:v>4.8161010771480273E-2</c:v>
                </c:pt>
                <c:pt idx="1618">
                  <c:v>4.8152979119903128E-2</c:v>
                </c:pt>
                <c:pt idx="1619">
                  <c:v>4.8145014512402939E-2</c:v>
                </c:pt>
                <c:pt idx="1620">
                  <c:v>4.8137116948898662E-2</c:v>
                </c:pt>
                <c:pt idx="1621">
                  <c:v>4.8129286429309248E-2</c:v>
                </c:pt>
                <c:pt idx="1622">
                  <c:v>4.8121522953715745E-2</c:v>
                </c:pt>
                <c:pt idx="1623">
                  <c:v>4.8112732504956846E-2</c:v>
                </c:pt>
                <c:pt idx="1624">
                  <c:v>4.8105112695080443E-2</c:v>
                </c:pt>
                <c:pt idx="1625">
                  <c:v>4.8097559929199951E-2</c:v>
                </c:pt>
                <c:pt idx="1626">
                  <c:v>4.809007420731537E-2</c:v>
                </c:pt>
                <c:pt idx="1627">
                  <c:v>4.8082655529507745E-2</c:v>
                </c:pt>
                <c:pt idx="1628">
                  <c:v>4.8075303895452892E-2</c:v>
                </c:pt>
                <c:pt idx="1629">
                  <c:v>4.8068019305718135E-2</c:v>
                </c:pt>
                <c:pt idx="1630">
                  <c:v>4.8060801759574057E-2</c:v>
                </c:pt>
                <c:pt idx="1631">
                  <c:v>4.8053651257587982E-2</c:v>
                </c:pt>
                <c:pt idx="1632">
                  <c:v>4.8046567799597817E-2</c:v>
                </c:pt>
                <c:pt idx="1633">
                  <c:v>4.8039551385360424E-2</c:v>
                </c:pt>
                <c:pt idx="1634">
                  <c:v>4.8032602015199988E-2</c:v>
                </c:pt>
                <c:pt idx="1635">
                  <c:v>4.8025719689035462E-2</c:v>
                </c:pt>
                <c:pt idx="1636">
                  <c:v>4.8018904406704754E-2</c:v>
                </c:pt>
                <c:pt idx="1637">
                  <c:v>4.8012156168369957E-2</c:v>
                </c:pt>
                <c:pt idx="1638">
                  <c:v>4.8005474974112117E-2</c:v>
                </c:pt>
                <c:pt idx="1639">
                  <c:v>4.7998860823607048E-2</c:v>
                </c:pt>
                <c:pt idx="1640">
                  <c:v>4.799231371709789E-2</c:v>
                </c:pt>
                <c:pt idx="1641">
                  <c:v>4.7985833654422549E-2</c:v>
                </c:pt>
                <c:pt idx="1642">
                  <c:v>4.7979420635662073E-2</c:v>
                </c:pt>
                <c:pt idx="1643">
                  <c:v>4.7973074660978554E-2</c:v>
                </c:pt>
                <c:pt idx="1644">
                  <c:v>4.7966795730047807E-2</c:v>
                </c:pt>
                <c:pt idx="1645">
                  <c:v>4.7960583843112969E-2</c:v>
                </c:pt>
                <c:pt idx="1646">
                  <c:v>4.795443900001195E-2</c:v>
                </c:pt>
                <c:pt idx="1647">
                  <c:v>4.7948361200906842E-2</c:v>
                </c:pt>
                <c:pt idx="1648">
                  <c:v>4.7942350445635551E-2</c:v>
                </c:pt>
                <c:pt idx="1649">
                  <c:v>4.7936406734279124E-2</c:v>
                </c:pt>
                <c:pt idx="1650">
                  <c:v>4.7930530066918609E-2</c:v>
                </c:pt>
                <c:pt idx="1651">
                  <c:v>4.7924720443310864E-2</c:v>
                </c:pt>
                <c:pt idx="1652">
                  <c:v>4.791897786369903E-2</c:v>
                </c:pt>
                <c:pt idx="1653">
                  <c:v>4.7913302327839968E-2</c:v>
                </c:pt>
                <c:pt idx="1654">
                  <c:v>4.7907693835976817E-2</c:v>
                </c:pt>
                <c:pt idx="1655">
                  <c:v>4.7902152387866437E-2</c:v>
                </c:pt>
                <c:pt idx="1656">
                  <c:v>4.7896677983751967E-2</c:v>
                </c:pt>
                <c:pt idx="1657">
                  <c:v>4.7891270623471316E-2</c:v>
                </c:pt>
                <c:pt idx="1658">
                  <c:v>4.7885930307024482E-2</c:v>
                </c:pt>
                <c:pt idx="1659">
                  <c:v>4.7880657034411467E-2</c:v>
                </c:pt>
                <c:pt idx="1660">
                  <c:v>4.7875450805794362E-2</c:v>
                </c:pt>
                <c:pt idx="1661">
                  <c:v>4.7870311620930028E-2</c:v>
                </c:pt>
                <c:pt idx="1662">
                  <c:v>4.7865239479980559E-2</c:v>
                </c:pt>
                <c:pt idx="1663">
                  <c:v>4.7860234382783862E-2</c:v>
                </c:pt>
                <c:pt idx="1664">
                  <c:v>4.7855296329583075E-2</c:v>
                </c:pt>
                <c:pt idx="1665">
                  <c:v>4.7850425320297152E-2</c:v>
                </c:pt>
                <c:pt idx="1666">
                  <c:v>4.7845621354601908E-2</c:v>
                </c:pt>
                <c:pt idx="1667">
                  <c:v>4.7840884432983621E-2</c:v>
                </c:pt>
                <c:pt idx="1668">
                  <c:v>4.7836214554874967E-2</c:v>
                </c:pt>
                <c:pt idx="1669">
                  <c:v>4.7831611720924316E-2</c:v>
                </c:pt>
                <c:pt idx="1670">
                  <c:v>4.7827075930726437E-2</c:v>
                </c:pt>
                <c:pt idx="1671">
                  <c:v>4.7822607184281329E-2</c:v>
                </c:pt>
                <c:pt idx="1672">
                  <c:v>4.7818205481751086E-2</c:v>
                </c:pt>
                <c:pt idx="1673">
                  <c:v>4.7813870823054661E-2</c:v>
                </c:pt>
                <c:pt idx="1674">
                  <c:v>4.7809603208273099E-2</c:v>
                </c:pt>
                <c:pt idx="1675">
                  <c:v>4.7804808028480972E-2</c:v>
                </c:pt>
                <c:pt idx="1676">
                  <c:v>4.7800684078849187E-2</c:v>
                </c:pt>
                <c:pt idx="1677">
                  <c:v>4.7796627173213313E-2</c:v>
                </c:pt>
                <c:pt idx="1678">
                  <c:v>4.7792637311249164E-2</c:v>
                </c:pt>
                <c:pt idx="1679">
                  <c:v>4.778871449319988E-2</c:v>
                </c:pt>
                <c:pt idx="1680">
                  <c:v>4.7784858718741274E-2</c:v>
                </c:pt>
                <c:pt idx="1681">
                  <c:v>4.7781069988278579E-2</c:v>
                </c:pt>
                <c:pt idx="1682">
                  <c:v>4.7777348301649702E-2</c:v>
                </c:pt>
                <c:pt idx="1683">
                  <c:v>4.7773693658773597E-2</c:v>
                </c:pt>
                <c:pt idx="1684">
                  <c:v>4.7770106059650264E-2</c:v>
                </c:pt>
                <c:pt idx="1685">
                  <c:v>4.777809660429444E-2</c:v>
                </c:pt>
                <c:pt idx="1686">
                  <c:v>4.776313199290505E-2</c:v>
                </c:pt>
                <c:pt idx="1687">
                  <c:v>4.7759745525202124E-2</c:v>
                </c:pt>
                <c:pt idx="1688">
                  <c:v>4.7756426101414062E-2</c:v>
                </c:pt>
                <c:pt idx="1689">
                  <c:v>4.7753173721297726E-2</c:v>
                </c:pt>
                <c:pt idx="1690">
                  <c:v>4.7749988385015207E-2</c:v>
                </c:pt>
                <c:pt idx="1691">
                  <c:v>4.7746870092566507E-2</c:v>
                </c:pt>
                <c:pt idx="1692">
                  <c:v>4.7743818843789532E-2</c:v>
                </c:pt>
                <c:pt idx="1693">
                  <c:v>4.7740834638846374E-2</c:v>
                </c:pt>
                <c:pt idx="1694">
                  <c:v>4.7737917477737035E-2</c:v>
                </c:pt>
                <c:pt idx="1695">
                  <c:v>4.7735067360380468E-2</c:v>
                </c:pt>
                <c:pt idx="1696">
                  <c:v>4.7732284286776672E-2</c:v>
                </c:pt>
                <c:pt idx="1697">
                  <c:v>4.7729568257006694E-2</c:v>
                </c:pt>
                <c:pt idx="1698">
                  <c:v>4.7726919270908441E-2</c:v>
                </c:pt>
                <c:pt idx="1699">
                  <c:v>4.7724337328806099E-2</c:v>
                </c:pt>
                <c:pt idx="1700">
                  <c:v>4.7721822430294436E-2</c:v>
                </c:pt>
                <c:pt idx="1701">
                  <c:v>4.7719374575697637E-2</c:v>
                </c:pt>
                <c:pt idx="1702">
                  <c:v>4.7716993764691518E-2</c:v>
                </c:pt>
                <c:pt idx="1703">
                  <c:v>4.7714679997519216E-2</c:v>
                </c:pt>
                <c:pt idx="1704">
                  <c:v>4.7712433274261778E-2</c:v>
                </c:pt>
                <c:pt idx="1705">
                  <c:v>4.771025359459502E-2</c:v>
                </c:pt>
                <c:pt idx="1706">
                  <c:v>4.770814095876208E-2</c:v>
                </c:pt>
                <c:pt idx="1707">
                  <c:v>4.7706095366762957E-2</c:v>
                </c:pt>
                <c:pt idx="1708">
                  <c:v>4.770411681843556E-2</c:v>
                </c:pt>
                <c:pt idx="1709">
                  <c:v>4.7702179563998692E-2</c:v>
                </c:pt>
                <c:pt idx="1710">
                  <c:v>4.7700249946309725E-2</c:v>
                </c:pt>
                <c:pt idx="1711">
                  <c:v>4.7698327762428772E-2</c:v>
                </c:pt>
                <c:pt idx="1712">
                  <c:v>4.7696413012355832E-2</c:v>
                </c:pt>
                <c:pt idx="1713">
                  <c:v>4.7694505696171952E-2</c:v>
                </c:pt>
                <c:pt idx="1714">
                  <c:v>4.7692605813958178E-2</c:v>
                </c:pt>
                <c:pt idx="1715">
                  <c:v>4.7690713365552417E-2</c:v>
                </c:pt>
                <c:pt idx="1716">
                  <c:v>4.7688828351035717E-2</c:v>
                </c:pt>
                <c:pt idx="1717">
                  <c:v>4.7686950770408076E-2</c:v>
                </c:pt>
                <c:pt idx="1718">
                  <c:v>4.7685080623669496E-2</c:v>
                </c:pt>
                <c:pt idx="1719">
                  <c:v>4.7683217910657882E-2</c:v>
                </c:pt>
                <c:pt idx="1720">
                  <c:v>4.7681362631616375E-2</c:v>
                </c:pt>
                <c:pt idx="1721">
                  <c:v>4.7679514786382882E-2</c:v>
                </c:pt>
                <c:pt idx="1722">
                  <c:v>4.7677674375200541E-2</c:v>
                </c:pt>
                <c:pt idx="1723">
                  <c:v>4.767584139766412E-2</c:v>
                </c:pt>
                <c:pt idx="1724">
                  <c:v>4.7674015854097807E-2</c:v>
                </c:pt>
                <c:pt idx="1725">
                  <c:v>4.7672197744420552E-2</c:v>
                </c:pt>
                <c:pt idx="1726">
                  <c:v>4.7670387068632358E-2</c:v>
                </c:pt>
                <c:pt idx="1727">
                  <c:v>4.7674295630046513E-2</c:v>
                </c:pt>
                <c:pt idx="1728">
                  <c:v>4.7672501477379711E-2</c:v>
                </c:pt>
                <c:pt idx="1729">
                  <c:v>4.7670714760574093E-2</c:v>
                </c:pt>
                <c:pt idx="1730">
                  <c:v>4.7668935479521599E-2</c:v>
                </c:pt>
                <c:pt idx="1731">
                  <c:v>4.7667163634384321E-2</c:v>
                </c:pt>
                <c:pt idx="1732">
                  <c:v>4.7665399225027182E-2</c:v>
                </c:pt>
                <c:pt idx="1733">
                  <c:v>4.7663642251504219E-2</c:v>
                </c:pt>
                <c:pt idx="1734">
                  <c:v>4.7661892713815421E-2</c:v>
                </c:pt>
                <c:pt idx="1735">
                  <c:v>4.7660150611906767E-2</c:v>
                </c:pt>
                <c:pt idx="1736">
                  <c:v>4.7651453483401607E-2</c:v>
                </c:pt>
                <c:pt idx="1737">
                  <c:v>4.7649729889978065E-2</c:v>
                </c:pt>
                <c:pt idx="1738">
                  <c:v>4.764801373052463E-2</c:v>
                </c:pt>
                <c:pt idx="1739">
                  <c:v>4.764929306296517E-2</c:v>
                </c:pt>
                <c:pt idx="1740">
                  <c:v>4.76446037130418E-2</c:v>
                </c:pt>
                <c:pt idx="1741">
                  <c:v>4.7642909855255544E-2</c:v>
                </c:pt>
                <c:pt idx="1742">
                  <c:v>4.7641223431034163E-2</c:v>
                </c:pt>
                <c:pt idx="1743">
                  <c:v>4.7639544440863935E-2</c:v>
                </c:pt>
                <c:pt idx="1744">
                  <c:v>4.7637872884744858E-2</c:v>
                </c:pt>
                <c:pt idx="1745">
                  <c:v>4.7636208762190657E-2</c:v>
                </c:pt>
                <c:pt idx="1746">
                  <c:v>4.7634552073687608E-2</c:v>
                </c:pt>
                <c:pt idx="1747">
                  <c:v>4.7632902818911527E-2</c:v>
                </c:pt>
                <c:pt idx="1748">
                  <c:v>4.7631260998186598E-2</c:v>
                </c:pt>
                <c:pt idx="1749">
                  <c:v>4.7629626611026543E-2</c:v>
                </c:pt>
                <c:pt idx="1750">
                  <c:v>4.7627999657917641E-2</c:v>
                </c:pt>
                <c:pt idx="1751">
                  <c:v>4.7626380138616753E-2</c:v>
                </c:pt>
                <c:pt idx="1752">
                  <c:v>4.7624768053204924E-2</c:v>
                </c:pt>
                <c:pt idx="1753">
                  <c:v>4.7623163401844248E-2</c:v>
                </c:pt>
                <c:pt idx="1754">
                  <c:v>4.7621566184048447E-2</c:v>
                </c:pt>
                <c:pt idx="1755">
                  <c:v>4.7619976400384845E-2</c:v>
                </c:pt>
                <c:pt idx="1756">
                  <c:v>4.7618394050448209E-2</c:v>
                </c:pt>
                <c:pt idx="1757">
                  <c:v>4.7616819134400634E-2</c:v>
                </c:pt>
                <c:pt idx="1758">
                  <c:v>4.7615251652080026E-2</c:v>
                </c:pt>
                <c:pt idx="1759">
                  <c:v>4.7613691603810571E-2</c:v>
                </c:pt>
                <c:pt idx="1760">
                  <c:v>4.7612138989430175E-2</c:v>
                </c:pt>
                <c:pt idx="1761">
                  <c:v>4.7610593808776747E-2</c:v>
                </c:pt>
                <c:pt idx="1762">
                  <c:v>4.7609056062174471E-2</c:v>
                </c:pt>
                <c:pt idx="1763">
                  <c:v>4.760752574913707E-2</c:v>
                </c:pt>
                <c:pt idx="1764">
                  <c:v>4.7606002870312913E-2</c:v>
                </c:pt>
                <c:pt idx="1765">
                  <c:v>4.7604487425134678E-2</c:v>
                </c:pt>
                <c:pt idx="1766">
                  <c:v>4.7602979413764457E-2</c:v>
                </c:pt>
                <c:pt idx="1767">
                  <c:v>4.7601478836445388E-2</c:v>
                </c:pt>
                <c:pt idx="1768">
                  <c:v>4.7599985692853286E-2</c:v>
                </c:pt>
                <c:pt idx="1769">
                  <c:v>4.7598499983069198E-2</c:v>
                </c:pt>
                <c:pt idx="1770">
                  <c:v>4.7597021707417309E-2</c:v>
                </c:pt>
                <c:pt idx="1771">
                  <c:v>4.759555086541134E-2</c:v>
                </c:pt>
                <c:pt idx="1772">
                  <c:v>4.7594087457294432E-2</c:v>
                </c:pt>
                <c:pt idx="1773">
                  <c:v>4.7592631483147629E-2</c:v>
                </c:pt>
                <c:pt idx="1774">
                  <c:v>4.7590770439527308E-2</c:v>
                </c:pt>
                <c:pt idx="1775">
                  <c:v>4.7589331456976414E-2</c:v>
                </c:pt>
                <c:pt idx="1776">
                  <c:v>4.7587899908314579E-2</c:v>
                </c:pt>
                <c:pt idx="1777">
                  <c:v>4.7586475793541805E-2</c:v>
                </c:pt>
                <c:pt idx="1778">
                  <c:v>4.7585059112577044E-2</c:v>
                </c:pt>
                <c:pt idx="1779">
                  <c:v>4.7583649865420297E-2</c:v>
                </c:pt>
                <c:pt idx="1780">
                  <c:v>4.7582248052152609E-2</c:v>
                </c:pt>
                <c:pt idx="1781">
                  <c:v>4.7580853672936074E-2</c:v>
                </c:pt>
                <c:pt idx="1782">
                  <c:v>4.757946672736546E-2</c:v>
                </c:pt>
                <c:pt idx="1783">
                  <c:v>4.7578087215764953E-2</c:v>
                </c:pt>
                <c:pt idx="1784">
                  <c:v>4.7576715137891412E-2</c:v>
                </c:pt>
                <c:pt idx="1785">
                  <c:v>4.757535049415007E-2</c:v>
                </c:pt>
                <c:pt idx="1786">
                  <c:v>4.757399328405465E-2</c:v>
                </c:pt>
                <c:pt idx="1787">
                  <c:v>4.7572643507929335E-2</c:v>
                </c:pt>
                <c:pt idx="1788">
                  <c:v>4.7571301165612034E-2</c:v>
                </c:pt>
                <c:pt idx="1789">
                  <c:v>4.7569966257183793E-2</c:v>
                </c:pt>
                <c:pt idx="1790">
                  <c:v>4.7580661209545072E-2</c:v>
                </c:pt>
                <c:pt idx="1791">
                  <c:v>4.7573142215276983E-2</c:v>
                </c:pt>
                <c:pt idx="1792">
                  <c:v>4.7571831390777662E-2</c:v>
                </c:pt>
                <c:pt idx="1793">
                  <c:v>4.7570528002112519E-2</c:v>
                </c:pt>
                <c:pt idx="1794">
                  <c:v>4.7569232049227514E-2</c:v>
                </c:pt>
                <c:pt idx="1795">
                  <c:v>4.7567943532176679E-2</c:v>
                </c:pt>
                <c:pt idx="1796">
                  <c:v>4.7566662450933002E-2</c:v>
                </c:pt>
                <c:pt idx="1797">
                  <c:v>4.7568397147372821E-2</c:v>
                </c:pt>
                <c:pt idx="1798">
                  <c:v>4.7564122595867106E-2</c:v>
                </c:pt>
                <c:pt idx="1799">
                  <c:v>4.7562863822071907E-2</c:v>
                </c:pt>
                <c:pt idx="1800">
                  <c:v>4.7561612484056846E-2</c:v>
                </c:pt>
                <c:pt idx="1801">
                  <c:v>4.756036858182193E-2</c:v>
                </c:pt>
                <c:pt idx="1802">
                  <c:v>4.7559132115448197E-2</c:v>
                </c:pt>
                <c:pt idx="1803">
                  <c:v>4.7557903084800575E-2</c:v>
                </c:pt>
                <c:pt idx="1804">
                  <c:v>4.755668149004115E-2</c:v>
                </c:pt>
                <c:pt idx="1805">
                  <c:v>4.7558478629938783E-2</c:v>
                </c:pt>
                <c:pt idx="1806">
                  <c:v>4.755426060788974E-2</c:v>
                </c:pt>
                <c:pt idx="1807">
                  <c:v>4.7553061320524767E-2</c:v>
                </c:pt>
                <c:pt idx="1808">
                  <c:v>4.7551869468966952E-2</c:v>
                </c:pt>
                <c:pt idx="1809">
                  <c:v>4.7550685053243301E-2</c:v>
                </c:pt>
                <c:pt idx="1810">
                  <c:v>4.7549508073218748E-2</c:v>
                </c:pt>
                <c:pt idx="1811">
                  <c:v>4.7548338529109412E-2</c:v>
                </c:pt>
                <c:pt idx="1812">
                  <c:v>4.75471764207532E-2</c:v>
                </c:pt>
                <c:pt idx="1813">
                  <c:v>4.7546021748231158E-2</c:v>
                </c:pt>
                <c:pt idx="1814">
                  <c:v>4.7547889211351779E-2</c:v>
                </c:pt>
                <c:pt idx="1815">
                  <c:v>4.7543734710554515E-2</c:v>
                </c:pt>
                <c:pt idx="1816">
                  <c:v>4.754260234545394E-2</c:v>
                </c:pt>
                <c:pt idx="1817">
                  <c:v>4.7541477416160514E-2</c:v>
                </c:pt>
                <c:pt idx="1818">
                  <c:v>4.7540359922620221E-2</c:v>
                </c:pt>
                <c:pt idx="1819">
                  <c:v>4.7539249864887077E-2</c:v>
                </c:pt>
                <c:pt idx="1820">
                  <c:v>4.7538147243015125E-2</c:v>
                </c:pt>
                <c:pt idx="1821">
                  <c:v>4.7537052056869276E-2</c:v>
                </c:pt>
                <c:pt idx="1822">
                  <c:v>4.7535964306584619E-2</c:v>
                </c:pt>
                <c:pt idx="1823">
                  <c:v>4.7534883992080099E-2</c:v>
                </c:pt>
                <c:pt idx="1824">
                  <c:v>4.7533811113436762E-2</c:v>
                </c:pt>
                <c:pt idx="1825">
                  <c:v>4.7532745670519537E-2</c:v>
                </c:pt>
                <c:pt idx="1826">
                  <c:v>4.7531687663436482E-2</c:v>
                </c:pt>
                <c:pt idx="1827">
                  <c:v>4.7530637092133572E-2</c:v>
                </c:pt>
                <c:pt idx="1828">
                  <c:v>4.7529593956610793E-2</c:v>
                </c:pt>
                <c:pt idx="1829">
                  <c:v>4.7528558256949203E-2</c:v>
                </c:pt>
                <c:pt idx="1830">
                  <c:v>4.7530550933493898E-2</c:v>
                </c:pt>
                <c:pt idx="1831">
                  <c:v>4.7526509164966445E-2</c:v>
                </c:pt>
                <c:pt idx="1832">
                  <c:v>4.7525495772672295E-2</c:v>
                </c:pt>
                <c:pt idx="1833">
                  <c:v>4.7524489816212309E-2</c:v>
                </c:pt>
                <c:pt idx="1834">
                  <c:v>4.7523491295559481E-2</c:v>
                </c:pt>
                <c:pt idx="1835">
                  <c:v>4.7522500210659777E-2</c:v>
                </c:pt>
                <c:pt idx="1836">
                  <c:v>4.752151656156723E-2</c:v>
                </c:pt>
                <c:pt idx="1837">
                  <c:v>4.7520540348281834E-2</c:v>
                </c:pt>
                <c:pt idx="1838">
                  <c:v>4.7519571570776582E-2</c:v>
                </c:pt>
                <c:pt idx="1839">
                  <c:v>4.7518610229105494E-2</c:v>
                </c:pt>
                <c:pt idx="1840">
                  <c:v>4.7511065076658587E-2</c:v>
                </c:pt>
                <c:pt idx="1841">
                  <c:v>4.751012203883076E-2</c:v>
                </c:pt>
                <c:pt idx="1842">
                  <c:v>4.7509186434973039E-2</c:v>
                </c:pt>
                <c:pt idx="1843">
                  <c:v>4.7508258264842285E-2</c:v>
                </c:pt>
                <c:pt idx="1844">
                  <c:v>4.7507337528681637E-2</c:v>
                </c:pt>
                <c:pt idx="1845">
                  <c:v>4.7506424226247956E-2</c:v>
                </c:pt>
                <c:pt idx="1846">
                  <c:v>4.7505518357784382E-2</c:v>
                </c:pt>
                <c:pt idx="1847">
                  <c:v>4.7504619923128821E-2</c:v>
                </c:pt>
                <c:pt idx="1848">
                  <c:v>4.750372892236232E-2</c:v>
                </c:pt>
                <c:pt idx="1849">
                  <c:v>4.7502845355403833E-2</c:v>
                </c:pt>
                <c:pt idx="1850">
                  <c:v>4.7501969222334406E-2</c:v>
                </c:pt>
                <c:pt idx="1851">
                  <c:v>4.7501100523154038E-2</c:v>
                </c:pt>
                <c:pt idx="1852">
                  <c:v>4.7500239257781685E-2</c:v>
                </c:pt>
                <c:pt idx="1853">
                  <c:v>4.7499385426298391E-2</c:v>
                </c:pt>
                <c:pt idx="1854">
                  <c:v>4.749853902862311E-2</c:v>
                </c:pt>
                <c:pt idx="1855">
                  <c:v>4.7497700064917936E-2</c:v>
                </c:pt>
                <c:pt idx="1856">
                  <c:v>4.7496868534939729E-2</c:v>
                </c:pt>
                <c:pt idx="1857">
                  <c:v>4.7496044438931628E-2</c:v>
                </c:pt>
                <c:pt idx="1858">
                  <c:v>4.7495227776731541E-2</c:v>
                </c:pt>
                <c:pt idx="1859">
                  <c:v>4.7494418548339468E-2</c:v>
                </c:pt>
                <c:pt idx="1860">
                  <c:v>4.74936167539175E-2</c:v>
                </c:pt>
                <c:pt idx="1861">
                  <c:v>4.74928223932225E-2</c:v>
                </c:pt>
                <c:pt idx="1862">
                  <c:v>4.7492035466497606E-2</c:v>
                </c:pt>
                <c:pt idx="1863">
                  <c:v>4.749125597349968E-2</c:v>
                </c:pt>
                <c:pt idx="1864">
                  <c:v>4.7490483914552906E-2</c:v>
                </c:pt>
                <c:pt idx="1865">
                  <c:v>4.7489719289333099E-2</c:v>
                </c:pt>
                <c:pt idx="1866">
                  <c:v>4.7488962098002352E-2</c:v>
                </c:pt>
                <c:pt idx="1867">
                  <c:v>4.7488212340560665E-2</c:v>
                </c:pt>
                <c:pt idx="1868">
                  <c:v>4.7487470016926991E-2</c:v>
                </c:pt>
                <c:pt idx="1869">
                  <c:v>4.7486735127182378E-2</c:v>
                </c:pt>
                <c:pt idx="1870">
                  <c:v>4.7486007671164732E-2</c:v>
                </c:pt>
                <c:pt idx="1871">
                  <c:v>4.7485287649198238E-2</c:v>
                </c:pt>
                <c:pt idx="1872">
                  <c:v>4.7484575060958711E-2</c:v>
                </c:pt>
                <c:pt idx="1873">
                  <c:v>4.7483869906689291E-2</c:v>
                </c:pt>
                <c:pt idx="1874">
                  <c:v>4.7483172186227884E-2</c:v>
                </c:pt>
                <c:pt idx="1875">
                  <c:v>4.7482481899655538E-2</c:v>
                </c:pt>
                <c:pt idx="1876">
                  <c:v>4.7481799046810158E-2</c:v>
                </c:pt>
                <c:pt idx="1877">
                  <c:v>4.7481123627934885E-2</c:v>
                </c:pt>
                <c:pt idx="1878">
                  <c:v>4.7480455642867625E-2</c:v>
                </c:pt>
                <c:pt idx="1879">
                  <c:v>4.7479795091608379E-2</c:v>
                </c:pt>
                <c:pt idx="1880">
                  <c:v>4.7479141974319239E-2</c:v>
                </c:pt>
                <c:pt idx="1881">
                  <c:v>4.7478496290919159E-2</c:v>
                </c:pt>
                <c:pt idx="1882">
                  <c:v>4.7477858041246046E-2</c:v>
                </c:pt>
                <c:pt idx="1883">
                  <c:v>4.7477227225461993E-2</c:v>
                </c:pt>
                <c:pt idx="1884">
                  <c:v>4.7476603843485954E-2</c:v>
                </c:pt>
                <c:pt idx="1885">
                  <c:v>4.7475987895561067E-2</c:v>
                </c:pt>
                <c:pt idx="1886">
                  <c:v>4.7475379381282101E-2</c:v>
                </c:pt>
                <c:pt idx="1887">
                  <c:v>4.7474778300892195E-2</c:v>
                </c:pt>
                <c:pt idx="1888">
                  <c:v>4.7474184654391349E-2</c:v>
                </c:pt>
                <c:pt idx="1889">
                  <c:v>4.7473598441698517E-2</c:v>
                </c:pt>
                <c:pt idx="1890">
                  <c:v>4.7473019663137883E-2</c:v>
                </c:pt>
                <c:pt idx="1891">
                  <c:v>4.747244831822317E-2</c:v>
                </c:pt>
                <c:pt idx="1892">
                  <c:v>4.7471884407116471E-2</c:v>
                </c:pt>
                <c:pt idx="1893">
                  <c:v>4.7471327930060925E-2</c:v>
                </c:pt>
                <c:pt idx="1894">
                  <c:v>4.7470778886651299E-2</c:v>
                </c:pt>
                <c:pt idx="1895">
                  <c:v>4.7470237277049687E-2</c:v>
                </c:pt>
                <c:pt idx="1896">
                  <c:v>4.7469703101499228E-2</c:v>
                </c:pt>
                <c:pt idx="1897">
                  <c:v>4.7469176359594689E-2</c:v>
                </c:pt>
                <c:pt idx="1898">
                  <c:v>4.7468657051741303E-2</c:v>
                </c:pt>
                <c:pt idx="1899">
                  <c:v>4.7468145177695931E-2</c:v>
                </c:pt>
                <c:pt idx="1900">
                  <c:v>4.7467640737539618E-2</c:v>
                </c:pt>
                <c:pt idx="1901">
                  <c:v>4.7467143731110273E-2</c:v>
                </c:pt>
                <c:pt idx="1902">
                  <c:v>4.746665415873208E-2</c:v>
                </c:pt>
                <c:pt idx="1903">
                  <c:v>4.7466172019999808E-2</c:v>
                </c:pt>
                <c:pt idx="1904">
                  <c:v>4.7465697315318689E-2</c:v>
                </c:pt>
                <c:pt idx="1905">
                  <c:v>4.7465230044283491E-2</c:v>
                </c:pt>
                <c:pt idx="1906">
                  <c:v>4.7464770207299445E-2</c:v>
                </c:pt>
                <c:pt idx="1907">
                  <c:v>4.7464317804123413E-2</c:v>
                </c:pt>
                <c:pt idx="1908">
                  <c:v>4.7463872834755394E-2</c:v>
                </c:pt>
                <c:pt idx="1909">
                  <c:v>4.7463435299114343E-2</c:v>
                </c:pt>
                <c:pt idx="1910">
                  <c:v>4.7463005197524444E-2</c:v>
                </c:pt>
                <c:pt idx="1911">
                  <c:v>4.7462582529904651E-2</c:v>
                </c:pt>
                <c:pt idx="1912">
                  <c:v>4.7462167295930779E-2</c:v>
                </c:pt>
                <c:pt idx="1913">
                  <c:v>4.7461759495927014E-2</c:v>
                </c:pt>
                <c:pt idx="1914">
                  <c:v>4.7461359129569169E-2</c:v>
                </c:pt>
                <c:pt idx="1915">
                  <c:v>4.7460966197262477E-2</c:v>
                </c:pt>
                <c:pt idx="1916">
                  <c:v>4.7460580698763799E-2</c:v>
                </c:pt>
                <c:pt idx="1917">
                  <c:v>4.7460202634073134E-2</c:v>
                </c:pt>
                <c:pt idx="1918">
                  <c:v>4.7459832003190483E-2</c:v>
                </c:pt>
                <c:pt idx="1919">
                  <c:v>4.7459468806358984E-2</c:v>
                </c:pt>
                <c:pt idx="1920">
                  <c:v>4.7459113043335499E-2</c:v>
                </c:pt>
                <c:pt idx="1921">
                  <c:v>4.7458764714038981E-2</c:v>
                </c:pt>
                <c:pt idx="1922">
                  <c:v>4.7458423818793616E-2</c:v>
                </c:pt>
                <c:pt idx="1923">
                  <c:v>4.7458090357194171E-2</c:v>
                </c:pt>
                <c:pt idx="1924">
                  <c:v>4.7457764329564833E-2</c:v>
                </c:pt>
                <c:pt idx="1925">
                  <c:v>4.7457445735662462E-2</c:v>
                </c:pt>
                <c:pt idx="1926">
                  <c:v>4.7457134575730198E-2</c:v>
                </c:pt>
                <c:pt idx="1927">
                  <c:v>4.7456830849686993E-2</c:v>
                </c:pt>
                <c:pt idx="1928">
                  <c:v>4.7456534557370755E-2</c:v>
                </c:pt>
                <c:pt idx="1929">
                  <c:v>4.745624569910567E-2</c:v>
                </c:pt>
                <c:pt idx="1930">
                  <c:v>4.7455964274486506E-2</c:v>
                </c:pt>
                <c:pt idx="1931">
                  <c:v>4.7455690283837448E-2</c:v>
                </c:pt>
                <c:pt idx="1932">
                  <c:v>4.7455423726915358E-2</c:v>
                </c:pt>
                <c:pt idx="1933">
                  <c:v>4.745516460404442E-2</c:v>
                </c:pt>
                <c:pt idx="1934">
                  <c:v>4.745487756632194E-2</c:v>
                </c:pt>
                <c:pt idx="1935">
                  <c:v>4.7454634372854354E-2</c:v>
                </c:pt>
                <c:pt idx="1936">
                  <c:v>4.7454398613518967E-2</c:v>
                </c:pt>
                <c:pt idx="1937">
                  <c:v>4.7454170287991593E-2</c:v>
                </c:pt>
                <c:pt idx="1938">
                  <c:v>4.7453949396272233E-2</c:v>
                </c:pt>
                <c:pt idx="1939">
                  <c:v>4.7453735938441932E-2</c:v>
                </c:pt>
                <c:pt idx="1940">
                  <c:v>4.7453529914500692E-2</c:v>
                </c:pt>
                <c:pt idx="1941">
                  <c:v>4.7453331324205372E-2</c:v>
                </c:pt>
                <c:pt idx="1942">
                  <c:v>4.7453140167961205E-2</c:v>
                </c:pt>
                <c:pt idx="1943">
                  <c:v>4.7452956445687144E-2</c:v>
                </c:pt>
                <c:pt idx="1944">
                  <c:v>4.7452780157059005E-2</c:v>
                </c:pt>
                <c:pt idx="1945">
                  <c:v>4.7452611302319925E-2</c:v>
                </c:pt>
                <c:pt idx="1946">
                  <c:v>4.7452449881469905E-2</c:v>
                </c:pt>
                <c:pt idx="1947">
                  <c:v>4.7452295894508945E-2</c:v>
                </c:pt>
                <c:pt idx="1948">
                  <c:v>4.7452149341193905E-2</c:v>
                </c:pt>
                <c:pt idx="1949">
                  <c:v>4.7452010222011065E-2</c:v>
                </c:pt>
                <c:pt idx="1950">
                  <c:v>4.7451878536555192E-2</c:v>
                </c:pt>
                <c:pt idx="1951">
                  <c:v>4.7451754285069425E-2</c:v>
                </c:pt>
                <c:pt idx="1952">
                  <c:v>4.7451637467229579E-2</c:v>
                </c:pt>
                <c:pt idx="1953">
                  <c:v>4.745152808335984E-2</c:v>
                </c:pt>
                <c:pt idx="1954">
                  <c:v>4.7451426133460206E-2</c:v>
                </c:pt>
                <c:pt idx="1955">
                  <c:v>4.745133161728754E-2</c:v>
                </c:pt>
                <c:pt idx="1956">
                  <c:v>4.7451244535003934E-2</c:v>
                </c:pt>
                <c:pt idx="1957">
                  <c:v>4.7451164886528341E-2</c:v>
                </c:pt>
                <c:pt idx="1958">
                  <c:v>4.7451092671860762E-2</c:v>
                </c:pt>
                <c:pt idx="1959">
                  <c:v>4.7451027891163289E-2</c:v>
                </c:pt>
                <c:pt idx="1960">
                  <c:v>4.7450970544273829E-2</c:v>
                </c:pt>
                <c:pt idx="1961">
                  <c:v>4.7450920631192384E-2</c:v>
                </c:pt>
                <c:pt idx="1962">
                  <c:v>4.7450878152081044E-2</c:v>
                </c:pt>
                <c:pt idx="1963">
                  <c:v>4.7450843106777718E-2</c:v>
                </c:pt>
                <c:pt idx="1964">
                  <c:v>4.7450815495363452E-2</c:v>
                </c:pt>
                <c:pt idx="1965">
                  <c:v>4.7450795317757199E-2</c:v>
                </c:pt>
                <c:pt idx="1966">
                  <c:v>4.7450782573958961E-2</c:v>
                </c:pt>
                <c:pt idx="1967">
                  <c:v>4.7450777264049782E-2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15296"/>
        <c:axId val="672754688"/>
      </c:lineChart>
      <c:dateAx>
        <c:axId val="590615296"/>
        <c:scaling>
          <c:orientation val="minMax"/>
          <c:max val="4262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54688"/>
        <c:crosses val="autoZero"/>
        <c:auto val="1"/>
        <c:lblOffset val="100"/>
        <c:baseTimeUnit val="days"/>
        <c:majorUnit val="3"/>
        <c:majorTimeUnit val="months"/>
      </c:dateAx>
      <c:valAx>
        <c:axId val="672754688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06152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_AUDYC3M#0007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41897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52856</v>
      </c>
      <c r="D28" s="3">
        <f>MIN(_xll.ohPack(Selected!J1:J126))</f>
        <v>0.24968180665961054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obj_00472#0003</v>
      </c>
      <c r="C2" s="152" t="str">
        <f>_xll.qlRateHelperQuoteName(B2)</f>
        <v>AUDSND_SYNTH3M_Quote</v>
      </c>
      <c r="D2" s="151">
        <f>_xll.qlRateHelperQuoteValue($B2,Trigger)</f>
        <v>2.6662999999999999E-2</v>
      </c>
      <c r="E2" s="151"/>
      <c r="F2" s="150" t="b">
        <v>0</v>
      </c>
      <c r="G2" s="150">
        <v>10</v>
      </c>
      <c r="H2" s="150">
        <v>1</v>
      </c>
      <c r="I2" s="149">
        <f>_xll.qlRateHelperEarliestDate($B2,Trigger)</f>
        <v>41899</v>
      </c>
      <c r="J2" s="148">
        <f>_xll.qlRateHelperLatestDate($B2,Trigger)</f>
        <v>41900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obj_00467#0003</v>
      </c>
      <c r="C3" s="152" t="str">
        <f>_xll.qlRateHelperQuoteName(B3)</f>
        <v>AUDSWD_SYNTH3M_Quote</v>
      </c>
      <c r="D3" s="151">
        <f>_xll.qlRateHelperQuoteValue($B3,Trigger)</f>
        <v>2.6667E-2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41899</v>
      </c>
      <c r="J3" s="148">
        <f>_xll.qlRateHelperLatestDate($B3,Trigger)</f>
        <v>41906</v>
      </c>
    </row>
    <row r="4" spans="1:14" s="141" customFormat="1" x14ac:dyDescent="0.2">
      <c r="B4" s="244" t="str">
        <f>Deposits!J5</f>
        <v>obj_00466#0003</v>
      </c>
      <c r="C4" s="152" t="str">
        <f>_xll.qlRateHelperQuoteName(B4)</f>
        <v>AUD2WD_SYNTH3M_Quote</v>
      </c>
      <c r="D4" s="151">
        <f>_xll.qlRateHelperQuoteValue($B4,Trigger)</f>
        <v>2.6672999999999999E-2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41899</v>
      </c>
      <c r="J4" s="148">
        <f>_xll.qlRateHelperLatestDate($B4,Trigger)</f>
        <v>41913</v>
      </c>
    </row>
    <row r="5" spans="1:14" s="141" customFormat="1" x14ac:dyDescent="0.2">
      <c r="B5" s="244" t="str">
        <f>Deposits!J6</f>
        <v>obj_00469#0003</v>
      </c>
      <c r="C5" s="152" t="str">
        <f>_xll.qlRateHelperQuoteName(B5)</f>
        <v>AUD3WD_SYNTH3M_Quote</v>
      </c>
      <c r="D5" s="151">
        <f>_xll.qlRateHelperQuoteValue($B5,Trigger)</f>
        <v>2.6676999999999999E-2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41899</v>
      </c>
      <c r="J5" s="148">
        <f>_xll.qlRateHelperLatestDate($B5,Trigger)</f>
        <v>41920</v>
      </c>
    </row>
    <row r="6" spans="1:14" x14ac:dyDescent="0.2">
      <c r="B6" s="244" t="str">
        <f>Deposits!J7</f>
        <v>obj_00468#0003</v>
      </c>
      <c r="C6" s="152" t="str">
        <f>_xll.qlRateHelperQuoteName(B6)</f>
        <v>AUD1MD_SYNTH3M_Quote</v>
      </c>
      <c r="D6" s="151">
        <f>_xll.qlRateHelperQuoteValue($B6,Trigger)</f>
        <v>2.6676999999999999E-2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41899</v>
      </c>
      <c r="J6" s="148">
        <f>_xll.qlRateHelperLatestDate($B6,Trigger)</f>
        <v>41929</v>
      </c>
      <c r="K6" s="53">
        <v>70</v>
      </c>
      <c r="L6" s="53" t="s">
        <v>37</v>
      </c>
    </row>
    <row r="7" spans="1:14" x14ac:dyDescent="0.2">
      <c r="B7" s="244" t="str">
        <f>Deposits!J8</f>
        <v>obj_00475#0003</v>
      </c>
      <c r="C7" s="152" t="str">
        <f>_xll.qlRateHelperQuoteName(B7)</f>
        <v>AUD2MD_SYNTH3M_Quote</v>
      </c>
      <c r="D7" s="151">
        <f>_xll.qlRateHelperQuoteValue($B7,Trigger)</f>
        <v>2.6661000000000001E-2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41899</v>
      </c>
      <c r="J7" s="148">
        <f>_xll.qlRateHelperLatestDate($B7,Trigger)</f>
        <v>41960</v>
      </c>
    </row>
    <row r="8" spans="1:14" x14ac:dyDescent="0.2">
      <c r="B8" s="244" t="str">
        <f>Deposits!J9</f>
        <v>obj_0046c#0003</v>
      </c>
      <c r="C8" s="152" t="str">
        <f>_xll.qlRateHelperQuoteName(B8)</f>
        <v>AUD3MD_SYNTH3M_Quote</v>
      </c>
      <c r="D8" s="151">
        <f>_xll.qlRateHelperQuoteValue($B8,Trigger)</f>
        <v>2.6651000000000001E-2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5" t="str">
        <f>FRAs!G3</f>
        <v>obj_00474#0003</v>
      </c>
      <c r="C9" s="157" t="str">
        <f>_xll.qlRateHelperQuoteName(B9)</f>
        <v>AUD1x4F_Quote</v>
      </c>
      <c r="D9" s="156">
        <f>_xll.qlRateHelperQuoteValue($B9,Trigger)</f>
        <v>2.6349999999999998E-2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41927</v>
      </c>
      <c r="J9" s="153">
        <f>_xll.qlRateHelperLatestDate($B9,Trigger)</f>
        <v>42019</v>
      </c>
    </row>
    <row r="10" spans="1:14" x14ac:dyDescent="0.2">
      <c r="B10" s="244" t="str">
        <f>FRAs!G5</f>
        <v>obj_0046e#0003</v>
      </c>
      <c r="C10" s="152" t="str">
        <f>_xll.qlRateHelperQuoteName(B10)</f>
        <v>AUD2x5F_Quote</v>
      </c>
      <c r="D10" s="151">
        <f>_xll.qlRateHelperQuoteValue($B10,Trigger)</f>
        <v>2.6349999999999998E-2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41957</v>
      </c>
      <c r="J10" s="148">
        <f>_xll.qlRateHelperLatestDate($B10,Trigger)</f>
        <v>42048</v>
      </c>
    </row>
    <row r="11" spans="1:14" x14ac:dyDescent="0.2">
      <c r="B11" s="244" t="str">
        <f>FRAs!G6</f>
        <v>obj_0046d#0003</v>
      </c>
      <c r="C11" s="152" t="str">
        <f>_xll.qlRateHelperQuoteName(B11)</f>
        <v>AUD3x6F_Quote</v>
      </c>
      <c r="D11" s="151">
        <f>_xll.qlRateHelperQuoteValue($B11,Trigger)</f>
        <v>2.6450000000000001E-2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41988</v>
      </c>
      <c r="J11" s="148">
        <f>_xll.qlRateHelperLatestDate($B11,Trigger)</f>
        <v>42076</v>
      </c>
    </row>
    <row r="12" spans="1:14" x14ac:dyDescent="0.2">
      <c r="B12" s="244" t="str">
        <f>FRAs!G7</f>
        <v>obj_0046f#0003</v>
      </c>
      <c r="C12" s="152" t="str">
        <f>_xll.qlRateHelperQuoteName(B12)</f>
        <v>AUD4x7F_Quote</v>
      </c>
      <c r="D12" s="151">
        <f>_xll.qlRateHelperQuoteValue($B12,Trigger)</f>
        <v>2.6550000000000004E-2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42019</v>
      </c>
      <c r="J12" s="148">
        <f>_xll.qlRateHelperLatestDate($B12,Trigger)</f>
        <v>42109</v>
      </c>
    </row>
    <row r="13" spans="1:14" x14ac:dyDescent="0.2">
      <c r="B13" s="244" t="str">
        <f>FRAs!G8</f>
        <v>obj_00473#0003</v>
      </c>
      <c r="C13" s="152" t="str">
        <f>_xll.qlRateHelperQuoteName(B13)</f>
        <v>AUD5x8F_Quote</v>
      </c>
      <c r="D13" s="151">
        <f>_xll.qlRateHelperQuoteValue($B13,Trigger)</f>
        <v>2.665E-2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42048</v>
      </c>
      <c r="J13" s="148">
        <f>_xll.qlRateHelperLatestDate($B13,Trigger)</f>
        <v>42137</v>
      </c>
    </row>
    <row r="14" spans="1:14" x14ac:dyDescent="0.2">
      <c r="B14" s="244" t="str">
        <f>FRAs!G9</f>
        <v>obj_00471#0003</v>
      </c>
      <c r="C14" s="152" t="str">
        <f>_xll.qlRateHelperQuoteName(B14)</f>
        <v>AUD6x9F_Quote</v>
      </c>
      <c r="D14" s="151">
        <f>_xll.qlRateHelperQuoteValue($B14,Trigger)</f>
        <v>2.6849999999999999E-2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42076</v>
      </c>
      <c r="J14" s="148">
        <f>_xll.qlRateHelperLatestDate($B14,Trigger)</f>
        <v>42170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obj_004aa#0003</v>
      </c>
      <c r="C15" s="157" t="str">
        <f>_xll.qlRateHelperQuoteName(B15)</f>
        <v>AUDFUT3MU4_Quote</v>
      </c>
      <c r="D15" s="238">
        <f>_xll.qlRateHelperQuoteValue($B15,Trigger)</f>
        <v>97.335000000000008</v>
      </c>
      <c r="E15" s="156">
        <f>_xll.qlFuturesRateHelperConvexityAdjustment($B15,Trigger)</f>
        <v>0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41899</v>
      </c>
      <c r="J15" s="153">
        <f>_xll.qlRateHelperLatestDate($B15,Trigger)</f>
        <v>41990</v>
      </c>
      <c r="M15" s="53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obj_004a1#0003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obj_004b4#0003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obj_0049d#0003</v>
      </c>
      <c r="C18" s="152" t="str">
        <f>_xll.qlRateHelperQuoteName(B18)</f>
        <v>AUDFUT3MZ4_Quote</v>
      </c>
      <c r="D18" s="158">
        <f>_xll.qlRateHelperQuoteValue($B18,Trigger)</f>
        <v>97.35499999999999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obj_004c0#0003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obj_004b5#0003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obj_004c4#0003</v>
      </c>
      <c r="C21" s="152" t="str">
        <f>_xll.qlRateHelperQuoteName(B21)</f>
        <v>AUDFUT3MH5_Quote</v>
      </c>
      <c r="D21" s="158">
        <f>_xll.qlRateHelperQuoteValue($B21,Trigger)</f>
        <v>97.314999999999998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obj_004bb#0003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obj_004b7#0003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obj_004a9#0003</v>
      </c>
      <c r="C24" s="152" t="str">
        <f>_xll.qlRateHelperQuoteName(B24)</f>
        <v>AUDFUT3MM5_Quote</v>
      </c>
      <c r="D24" s="158">
        <f>_xll.qlRateHelperQuoteValue($B24,Trigger)</f>
        <v>97.254999999999995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obj_004ad#0003</v>
      </c>
      <c r="C25" s="152" t="str">
        <f>_xll.qlRateHelperQuoteName(B25)</f>
        <v>AUDFUT3MN5_Quote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42200</v>
      </c>
      <c r="J25" s="148">
        <f>_xll.qlRateHelperLatestDate($B25,Trigger)</f>
        <v>42292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obj_004b8#0003</v>
      </c>
      <c r="C26" s="152" t="str">
        <f>_xll.qlRateHelperQuoteName(B26)</f>
        <v>AUDFUT3MQ5_Quote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42235</v>
      </c>
      <c r="J26" s="148">
        <f>_xll.qlRateHelperLatestDate($B26,Trigger)</f>
        <v>42327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obj_0049e#0003</v>
      </c>
      <c r="C27" s="152" t="str">
        <f>_xll.qlRateHelperQuoteName(B27)</f>
        <v>AUDFUT3MU5_Quote</v>
      </c>
      <c r="D27" s="158">
        <f>_xll.qlRateHelperQuoteValue($B27,Trigger)</f>
        <v>97.164999999999992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42263</v>
      </c>
      <c r="J27" s="148">
        <f>_xll.qlRateHelperLatestDate($B27,Trigger)</f>
        <v>42354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obj_004ab#0003</v>
      </c>
      <c r="C28" s="152" t="str">
        <f>_xll.qlRateHelperQuoteName(B28)</f>
        <v>AUDFUT3MZ5_Quote</v>
      </c>
      <c r="D28" s="158">
        <f>_xll.qlRateHelperQuoteValue($B28,Trigger)</f>
        <v>97.055000000000007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42354</v>
      </c>
      <c r="J28" s="148">
        <f>_xll.qlRateHelperLatestDate($B28,Trigger)</f>
        <v>42445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obj_004a4#0003</v>
      </c>
      <c r="C29" s="152" t="str">
        <f>_xll.qlRateHelperQuoteName(B29)</f>
        <v>AUDFUT3MH6_Quote</v>
      </c>
      <c r="D29" s="158">
        <f>_xll.qlRateHelperQuoteValue($B29,Trigger)</f>
        <v>96.949999999999989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42445</v>
      </c>
      <c r="J29" s="148">
        <f>_xll.qlRateHelperLatestDate($B29,Trigger)</f>
        <v>42537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obj_004ba#0003</v>
      </c>
      <c r="C30" s="152" t="str">
        <f>_xll.qlRateHelperQuoteName(B30)</f>
        <v>AUDFUT3MM6_Quote</v>
      </c>
      <c r="D30" s="158">
        <f>_xll.qlRateHelperQuoteValue($B30,Trigger)</f>
        <v>96.85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42536</v>
      </c>
      <c r="J30" s="148">
        <f>_xll.qlRateHelperLatestDate($B30,Trigger)</f>
        <v>42628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obj_004a8#0003</v>
      </c>
      <c r="C31" s="152" t="str">
        <f>_xll.qlRateHelperQuoteName(B31)</f>
        <v>AUDFUT3MU6_Quote</v>
      </c>
      <c r="D31" s="158">
        <f>_xll.qlRateHelperQuoteValue($B31,Trigger)</f>
        <v>96.754999999999995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42634</v>
      </c>
      <c r="J31" s="148">
        <f>_xll.qlRateHelperLatestDate($B31,Trigger)</f>
        <v>42725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obj_004a5#0003</v>
      </c>
      <c r="C32" s="152" t="str">
        <f>_xll.qlRateHelperQuoteName(B32)</f>
        <v>AUDFUT3MZ6_Quote</v>
      </c>
      <c r="D32" s="158">
        <f>_xll.qlRateHelperQuoteValue($B32,Trigger)</f>
        <v>96.67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42725</v>
      </c>
      <c r="J32" s="148">
        <f>_xll.qlRateHelperLatestDate($B32,Trigger)</f>
        <v>42815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obj_004ac#0003</v>
      </c>
      <c r="C33" s="152" t="str">
        <f>_xll.qlRateHelperQuoteName(B33)</f>
        <v>AUDFUT3MH7_Quote</v>
      </c>
      <c r="D33" s="158">
        <f>_xll.qlRateHelperQuoteValue($B33,Trigger)</f>
        <v>96.57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42809</v>
      </c>
      <c r="J33" s="148">
        <f>_xll.qlRateHelperLatestDate($B33,Trigger)</f>
        <v>42901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obj_004a3#0003</v>
      </c>
      <c r="C34" s="152" t="str">
        <f>_xll.qlRateHelperQuoteName(B34)</f>
        <v>AUDFUT3MM7_Quote</v>
      </c>
      <c r="D34" s="158">
        <f>_xll.qlRateHelperQuoteValue($B34,Trigger)</f>
        <v>96.47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42907</v>
      </c>
      <c r="J34" s="148">
        <f>_xll.qlRateHelperLatestDate($B34,Trigger)</f>
        <v>42999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obj_004be#0003</v>
      </c>
      <c r="C35" s="152" t="str">
        <f>_xll.qlRateHelperQuoteName(B35)</f>
        <v>AUDFUT3MU7_Quote</v>
      </c>
      <c r="D35" s="158">
        <f>_xll.qlRateHelperQuoteValue($B35,Trigger)</f>
        <v>96.385000000000005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42998</v>
      </c>
      <c r="J35" s="148">
        <f>_xll.qlRateHelperLatestDate($B35,Trigger)</f>
        <v>43089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obj_004b6#0003</v>
      </c>
      <c r="C36" s="152" t="str">
        <f>_xll.qlRateHelperQuoteName(B36)</f>
        <v>AUDFUT3MZ7_Quote</v>
      </c>
      <c r="D36" s="158">
        <f>_xll.qlRateHelperQuoteValue($B36,Trigger)</f>
        <v>96.3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43089</v>
      </c>
      <c r="J36" s="148">
        <f>_xll.qlRateHelperLatestDate($B36,Trigger)</f>
        <v>43179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obj_004b2#0003</v>
      </c>
      <c r="C37" s="152" t="str">
        <f>_xll.qlRateHelperQuoteName(B37)</f>
        <v>AUDFUT3MH8_Quote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43180</v>
      </c>
      <c r="J37" s="148">
        <f>_xll.qlRateHelperLatestDate($B37,Trigger)</f>
        <v>43272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obj_004c1#0003</v>
      </c>
      <c r="C38" s="152" t="str">
        <f>_xll.qlRateHelperQuoteName(B38)</f>
        <v>AUDFUT3MM8_Quote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43271</v>
      </c>
      <c r="J38" s="148">
        <f>_xll.qlRateHelperLatestDate($B38,Trigger)</f>
        <v>43363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obj_004bd#0003</v>
      </c>
      <c r="C39" s="152" t="str">
        <f>_xll.qlRateHelperQuoteName(B39)</f>
        <v>AUDFUT3MU8_Quote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43362</v>
      </c>
      <c r="J39" s="148">
        <f>_xll.qlRateHelperLatestDate($B39,Trigger)</f>
        <v>43453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obj_004c3#0003</v>
      </c>
      <c r="C40" s="152" t="str">
        <f>_xll.qlRateHelperQuoteName(B40)</f>
        <v>AUDFUT3MZ8_Quote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43453</v>
      </c>
      <c r="J40" s="148">
        <f>_xll.qlRateHelperLatestDate($B40,Trigger)</f>
        <v>43543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obj_004b3#0003</v>
      </c>
      <c r="C41" s="152" t="str">
        <f>_xll.qlRateHelperQuoteName(B41)</f>
        <v>AUDFUT3MH9_Quote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43544</v>
      </c>
      <c r="J41" s="148">
        <f>_xll.qlRateHelperLatestDate($B41,Trigger)</f>
        <v>43636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obj_0049c#0003</v>
      </c>
      <c r="C42" s="152" t="str">
        <f>_xll.qlRateHelperQuoteName(B42)</f>
        <v>AUDFUT3MM9_Quote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43635</v>
      </c>
      <c r="J42" s="148">
        <f>_xll.qlRateHelperLatestDate($B42,Trigger)</f>
        <v>43727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obj_004a6#0003</v>
      </c>
      <c r="C43" s="152" t="str">
        <f>_xll.qlRateHelperQuoteName(B43)</f>
        <v>AUDFUT3MU9_Quote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43726</v>
      </c>
      <c r="J43" s="148">
        <f>_xll.qlRateHelperLatestDate($B43,Trigger)</f>
        <v>43817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obj_004b1#0003</v>
      </c>
      <c r="C44" s="152" t="str">
        <f>_xll.qlRateHelperQuoteName(B44)</f>
        <v>AUDFUT3MZ9_Quote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43817</v>
      </c>
      <c r="J44" s="148">
        <f>_xll.qlRateHelperLatestDate($B44,Trigger)</f>
        <v>43908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obj_004b9#0003</v>
      </c>
      <c r="C45" s="152" t="str">
        <f>_xll.qlRateHelperQuoteName(B45)</f>
        <v>AUDFUT3MH0_Quote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43908</v>
      </c>
      <c r="J45" s="148">
        <f>_xll.qlRateHelperLatestDate($B45,Trigger)</f>
        <v>44000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obj_004a0#0003</v>
      </c>
      <c r="C46" s="152" t="str">
        <f>_xll.qlRateHelperQuoteName(B46)</f>
        <v>AUDFUT3MM0_Quote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43999</v>
      </c>
      <c r="J46" s="148">
        <f>_xll.qlRateHelperLatestDate($B46,Trigger)</f>
        <v>44091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obj_004c5#0003</v>
      </c>
      <c r="C47" s="152" t="str">
        <f>_xll.qlRateHelperQuoteName(B47)</f>
        <v>AUDFUT3MU0_Quote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44090</v>
      </c>
      <c r="J47" s="148">
        <f>_xll.qlRateHelperLatestDate($B47,Trigger)</f>
        <v>44181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obj_004a2#0003</v>
      </c>
      <c r="C48" s="152" t="str">
        <f>_xll.qlRateHelperQuoteName(B48)</f>
        <v>AUDFUT3MZ0_Quote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44181</v>
      </c>
      <c r="J48" s="148">
        <f>_xll.qlRateHelperLatestDate($B48,Trigger)</f>
        <v>44271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obj_0049f#0003</v>
      </c>
      <c r="C49" s="152" t="str">
        <f>_xll.qlRateHelperQuoteName(B49)</f>
        <v>AUDFUT3MH1_Quote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44272</v>
      </c>
      <c r="J49" s="148">
        <f>_xll.qlRateHelperLatestDate($B49,Trigger)</f>
        <v>44364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obj_004bf#0003</v>
      </c>
      <c r="C50" s="152" t="str">
        <f>_xll.qlRateHelperQuoteName(B50)</f>
        <v>AUDFUT3MM1_Quote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44363</v>
      </c>
      <c r="J50" s="148">
        <f>_xll.qlRateHelperLatestDate($B50,Trigger)</f>
        <v>44455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obj_004bc#0003</v>
      </c>
      <c r="C51" s="152" t="str">
        <f>_xll.qlRateHelperQuoteName(B51)</f>
        <v>AUDFUT3MU1_Quote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44454</v>
      </c>
      <c r="J51" s="148">
        <f>_xll.qlRateHelperLatestDate($B51,Trigger)</f>
        <v>44545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obj_004af#0003</v>
      </c>
      <c r="C52" s="152" t="str">
        <f>_xll.qlRateHelperQuoteName(B52)</f>
        <v>AUDFUT3MZ1_Quote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44545</v>
      </c>
      <c r="J52" s="148">
        <f>_xll.qlRateHelperLatestDate($B52,Trigger)</f>
        <v>44635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obj_004a7#0003</v>
      </c>
      <c r="C53" s="152" t="str">
        <f>_xll.qlRateHelperQuoteName(B53)</f>
        <v>AUDFUT3MH2_Quote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44636</v>
      </c>
      <c r="J53" s="148">
        <f>_xll.qlRateHelperLatestDate($B53,Trigger)</f>
        <v>44728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obj_004ae#0003</v>
      </c>
      <c r="C54" s="152" t="str">
        <f>_xll.qlRateHelperQuoteName(B54)</f>
        <v>AUDFUT3MM2_Quote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44727</v>
      </c>
      <c r="J54" s="148">
        <f>_xll.qlRateHelperLatestDate($B54,Trigger)</f>
        <v>44819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obj_004c2#0003</v>
      </c>
      <c r="C55" s="152" t="str">
        <f>_xll.qlRateHelperQuoteName(B55)</f>
        <v>AUDFUT3MU2_Quote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44825</v>
      </c>
      <c r="J55" s="148">
        <f>_xll.qlRateHelperLatestDate($B55,Trigger)</f>
        <v>44916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obj_004b0#0003</v>
      </c>
      <c r="C56" s="152" t="str">
        <f>_xll.qlRateHelperQuoteName(B56)</f>
        <v>AUDFUT3MZ2_Quote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44916</v>
      </c>
      <c r="J56" s="148">
        <f>_xll.qlRateHelperLatestDate($B56,Trigger)</f>
        <v>45006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obj_00479#0003</v>
      </c>
      <c r="C57" s="157" t="str">
        <f>SUBSTITUTE(_xll.qlRateHelperQuoteName(B57),"6AB","3ABBASIS")</f>
        <v>AUDQM3AB1Y_Quote</v>
      </c>
      <c r="D57" s="156">
        <f>_xll.qlRateHelperQuoteValue($B57,Trigger)</f>
        <v>2.6775000000000004E-2</v>
      </c>
      <c r="E57" s="156">
        <f>_xll.qlSwapRateHelperSpread($B57,Trigger)</f>
        <v>0</v>
      </c>
      <c r="F57" s="155" t="b">
        <v>1</v>
      </c>
      <c r="G57" s="155">
        <v>50</v>
      </c>
      <c r="H57" s="155">
        <v>1</v>
      </c>
      <c r="I57" s="154">
        <f>_xll.qlRateHelperEarliestDate($B57,Trigger)</f>
        <v>41898</v>
      </c>
      <c r="J57" s="153">
        <f>_xll.qlRateHelperLatestDate($B57,Trigger)</f>
        <v>42263</v>
      </c>
      <c r="L57" s="79"/>
    </row>
    <row r="58" spans="1:14" x14ac:dyDescent="0.2">
      <c r="B58" s="244" t="str">
        <f>Swaps!K6</f>
        <v>obj_00477#0003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41898</v>
      </c>
      <c r="J58" s="148">
        <f>_xll.qlRateHelperLatestDate($B58,Trigger)</f>
        <v>42354</v>
      </c>
      <c r="L58" s="79"/>
    </row>
    <row r="59" spans="1:14" x14ac:dyDescent="0.2">
      <c r="B59" s="244" t="str">
        <f>Swaps!K7</f>
        <v>obj_0049a#0003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41898</v>
      </c>
      <c r="J59" s="148">
        <f>_xll.qlRateHelperLatestDate($B59,Trigger)</f>
        <v>42445</v>
      </c>
      <c r="L59" s="79"/>
    </row>
    <row r="60" spans="1:14" x14ac:dyDescent="0.2">
      <c r="B60" s="244" t="str">
        <f>Swaps!K8</f>
        <v>obj_00480#0003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41898</v>
      </c>
      <c r="J60" s="148">
        <f>_xll.qlRateHelperLatestDate($B60,Trigger)</f>
        <v>42537</v>
      </c>
      <c r="L60" s="79"/>
    </row>
    <row r="61" spans="1:14" x14ac:dyDescent="0.2">
      <c r="B61" s="244" t="str">
        <f>Swaps!K9</f>
        <v>obj_0048d#0003</v>
      </c>
      <c r="C61" s="152" t="str">
        <f>SUBSTITUTE(_xll.qlRateHelperQuoteName(B61),"6AB","3ABBASIS")</f>
        <v>AUDQM3AB2Y_Quote</v>
      </c>
      <c r="D61" s="151">
        <f>_xll.qlRateHelperQuoteValue($B61,Trigger)</f>
        <v>2.8274999999999998E-2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41898</v>
      </c>
      <c r="J61" s="148">
        <f>_xll.qlRateHelperLatestDate($B61,Trigger)</f>
        <v>42629</v>
      </c>
      <c r="L61" s="79"/>
    </row>
    <row r="62" spans="1:14" x14ac:dyDescent="0.2">
      <c r="B62" s="100" t="str">
        <f>Swaps!K10</f>
        <v>obj_00485#0003</v>
      </c>
      <c r="C62" s="147" t="str">
        <f>SUBSTITUTE(_xll.qlRateHelperQuoteName(B62),"6AB","3ABBASIS")</f>
        <v>AUDQM3AB3Y_Quote</v>
      </c>
      <c r="D62" s="146">
        <f>_xll.qlRateHelperQuoteValue($B62,Trigger)</f>
        <v>3.0025000000000003E-2</v>
      </c>
      <c r="E62" s="146">
        <f>_xll.qlSwapRateHelperSpread($B62,Trigger)</f>
        <v>0</v>
      </c>
      <c r="F62" s="145" t="b">
        <v>1</v>
      </c>
      <c r="G62" s="145">
        <v>50</v>
      </c>
      <c r="H62" s="145">
        <v>1</v>
      </c>
      <c r="I62" s="144">
        <f>_xll.qlRateHelperEarliestDate($B62,Trigger)</f>
        <v>41898</v>
      </c>
      <c r="J62" s="143">
        <f>_xll.qlRateHelperLatestDate($B62,Trigger)</f>
        <v>42996</v>
      </c>
      <c r="L62" s="79"/>
    </row>
    <row r="63" spans="1:14" x14ac:dyDescent="0.2">
      <c r="B63" s="245" t="str">
        <f>Swaps!K11</f>
        <v>obj_00495#0003</v>
      </c>
      <c r="C63" s="157" t="str">
        <f>SUBSTITUTE(_xll.qlRateHelperQuoteName(B63),"6AB","3ABBASIS")</f>
        <v>AUDSM3ABBASIS4Y_Quote</v>
      </c>
      <c r="D63" s="156">
        <f>_xll.qlRateHelperQuoteValue($B63,Trigger)</f>
        <v>3.2675000000000003E-2</v>
      </c>
      <c r="E63" s="156">
        <f>_xll.qlSwapRateHelperSpread($B63,Trigger)</f>
        <v>7.3749999999999998E-4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41898</v>
      </c>
      <c r="J63" s="153">
        <f>_xll.qlRateHelperLatestDate($B63,Trigger)</f>
        <v>43360</v>
      </c>
      <c r="L63" s="79"/>
    </row>
    <row r="64" spans="1:14" x14ac:dyDescent="0.2">
      <c r="B64" s="244" t="str">
        <f>Swaps!K12</f>
        <v>obj_0047a#0003</v>
      </c>
      <c r="C64" s="152" t="str">
        <f>SUBSTITUTE(_xll.qlRateHelperQuoteName(B64),"6AB","3ABBASIS")</f>
        <v>AUDSM3ABBASIS5Y_Quote</v>
      </c>
      <c r="D64" s="151">
        <f>_xll.qlRateHelperQuoteValue($B64,Trigger)</f>
        <v>3.4400000000000007E-2</v>
      </c>
      <c r="E64" s="151">
        <f>_xll.qlSwapRateHelperSpread($B64,Trigger)</f>
        <v>7.7499999999999997E-4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41898</v>
      </c>
      <c r="J64" s="148">
        <f>_xll.qlRateHelperLatestDate($B64,Trigger)</f>
        <v>43724</v>
      </c>
      <c r="L64" s="79"/>
    </row>
    <row r="65" spans="2:12" x14ac:dyDescent="0.2">
      <c r="B65" s="244" t="str">
        <f>Swaps!K13</f>
        <v>obj_00486#0003</v>
      </c>
      <c r="C65" s="152" t="str">
        <f>SUBSTITUTE(_xll.qlRateHelperQuoteName(B65),"6AB","3ABBASIS")</f>
        <v>AUDSM3ABBASIS6Y_Quote</v>
      </c>
      <c r="D65" s="151">
        <f>_xll.qlRateHelperQuoteValue($B65,Trigger)</f>
        <v>3.585E-2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41898</v>
      </c>
      <c r="J65" s="148">
        <f>_xll.qlRateHelperLatestDate($B65,Trigger)</f>
        <v>44090</v>
      </c>
      <c r="L65" s="79"/>
    </row>
    <row r="66" spans="2:12" x14ac:dyDescent="0.2">
      <c r="B66" s="244" t="str">
        <f>Swaps!K14</f>
        <v>obj_00488#0003</v>
      </c>
      <c r="C66" s="152" t="str">
        <f>SUBSTITUTE(_xll.qlRateHelperQuoteName(B66),"6AB","3ABBASIS")</f>
        <v>AUDSM3ABBASIS7Y_Quote</v>
      </c>
      <c r="D66" s="151">
        <f>_xll.qlRateHelperQuoteValue($B66,Trigger)</f>
        <v>3.7074999999999997E-2</v>
      </c>
      <c r="E66" s="151">
        <f>_xll.qlSwapRateHelperSpread($B66,Trigger)</f>
        <v>7.8750000000000001E-4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41898</v>
      </c>
      <c r="J66" s="148">
        <f>_xll.qlRateHelperLatestDate($B66,Trigger)</f>
        <v>44455</v>
      </c>
      <c r="L66" s="79"/>
    </row>
    <row r="67" spans="2:12" x14ac:dyDescent="0.2">
      <c r="B67" s="244" t="str">
        <f>Swaps!K15</f>
        <v>obj_0048c#0003</v>
      </c>
      <c r="C67" s="152" t="str">
        <f>SUBSTITUTE(_xll.qlRateHelperQuoteName(B67),"6AB","3ABBASIS")</f>
        <v>AUDSM3ABBASIS8Y_Quote</v>
      </c>
      <c r="D67" s="151">
        <f>_xll.qlRateHelperQuoteValue($B67,Trigger)</f>
        <v>3.8099999999999995E-2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41898</v>
      </c>
      <c r="J67" s="148">
        <f>_xll.qlRateHelperLatestDate($B67,Trigger)</f>
        <v>44820</v>
      </c>
      <c r="L67" s="79"/>
    </row>
    <row r="68" spans="2:12" x14ac:dyDescent="0.2">
      <c r="B68" s="244" t="str">
        <f>Swaps!K16</f>
        <v>obj_00487#0003</v>
      </c>
      <c r="C68" s="152" t="str">
        <f>SUBSTITUTE(_xll.qlRateHelperQuoteName(B68),"6AB","3ABBASIS")</f>
        <v>AUDSM3ABBASIS9Y_Quote</v>
      </c>
      <c r="D68" s="151">
        <f>_xll.qlRateHelperQuoteValue($B68,Trigger)</f>
        <v>3.9050000000000001E-2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41898</v>
      </c>
      <c r="J68" s="148">
        <f>_xll.qlRateHelperLatestDate($B68,Trigger)</f>
        <v>45187</v>
      </c>
      <c r="L68" s="79"/>
    </row>
    <row r="69" spans="2:12" x14ac:dyDescent="0.2">
      <c r="B69" s="244" t="str">
        <f>Swaps!K17</f>
        <v>obj_0048f#0003</v>
      </c>
      <c r="C69" s="152" t="str">
        <f>SUBSTITUTE(_xll.qlRateHelperQuoteName(B69),"6AB","3ABBASIS")</f>
        <v>AUDSM3ABBASIS10Y_Quote</v>
      </c>
      <c r="D69" s="151">
        <f>_xll.qlRateHelperQuoteValue($B69,Trigger)</f>
        <v>3.9924999999999995E-2</v>
      </c>
      <c r="E69" s="151">
        <f>_xll.qlSwapRateHelperSpread($B69,Trigger)</f>
        <v>8.0000000000000004E-4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41898</v>
      </c>
      <c r="J69" s="148">
        <f>_xll.qlRateHelperLatestDate($B69,Trigger)</f>
        <v>45551</v>
      </c>
      <c r="L69" s="79"/>
    </row>
    <row r="70" spans="2:12" x14ac:dyDescent="0.2">
      <c r="B70" s="244" t="str">
        <f>Swaps!K18</f>
        <v>obj_0047f#0003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41898</v>
      </c>
      <c r="J70" s="148">
        <f>_xll.qlRateHelperLatestDate($B70,Trigger)</f>
        <v>45916</v>
      </c>
      <c r="L70" s="79"/>
    </row>
    <row r="71" spans="2:12" x14ac:dyDescent="0.2">
      <c r="B71" s="244" t="str">
        <f>Swaps!K19</f>
        <v>obj_00483#0003</v>
      </c>
      <c r="C71" s="152" t="str">
        <f>SUBSTITUTE(_xll.qlRateHelperQuoteName(B71),"6AB","3ABBASIS")</f>
        <v>AUDSM3ABBASIS12Y_Quote</v>
      </c>
      <c r="D71" s="151">
        <f>_xll.qlRateHelperQuoteValue($B71,Trigger)</f>
        <v>4.1425000000000003E-2</v>
      </c>
      <c r="E71" s="151">
        <f>_xll.qlSwapRateHelperSpread($B71,Trigger)</f>
        <v>7.7499999999999997E-4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41898</v>
      </c>
      <c r="J71" s="148">
        <f>_xll.qlRateHelperLatestDate($B71,Trigger)</f>
        <v>46281</v>
      </c>
      <c r="L71" s="79"/>
    </row>
    <row r="72" spans="2:12" x14ac:dyDescent="0.2">
      <c r="B72" s="244" t="str">
        <f>Swaps!K20</f>
        <v>obj_00490#0003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41898</v>
      </c>
      <c r="J72" s="148">
        <f>_xll.qlRateHelperLatestDate($B72,Trigger)</f>
        <v>46646</v>
      </c>
      <c r="L72" s="79"/>
    </row>
    <row r="73" spans="2:12" x14ac:dyDescent="0.2">
      <c r="B73" s="244" t="str">
        <f>Swaps!K21</f>
        <v>obj_00493#0003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41898</v>
      </c>
      <c r="J73" s="148">
        <f>_xll.qlRateHelperLatestDate($B73,Trigger)</f>
        <v>47014</v>
      </c>
      <c r="L73" s="79"/>
    </row>
    <row r="74" spans="2:12" x14ac:dyDescent="0.2">
      <c r="B74" s="244" t="str">
        <f>Swaps!K22</f>
        <v>obj_00492#0003</v>
      </c>
      <c r="C74" s="152" t="str">
        <f>SUBSTITUTE(_xll.qlRateHelperQuoteName(B74),"6AB","3ABBASIS")</f>
        <v>AUDSM3ABBASIS15Y_Quote</v>
      </c>
      <c r="D74" s="151">
        <f>_xll.qlRateHelperQuoteValue($B74,Trigger)</f>
        <v>4.2975000000000006E-2</v>
      </c>
      <c r="E74" s="151">
        <f>_xll.qlSwapRateHelperSpread($B74,Trigger)</f>
        <v>6.9999999999999999E-4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41898</v>
      </c>
      <c r="J74" s="148">
        <f>_xll.qlRateHelperLatestDate($B74,Trigger)</f>
        <v>47378</v>
      </c>
      <c r="L74" s="79"/>
    </row>
    <row r="75" spans="2:12" x14ac:dyDescent="0.2">
      <c r="B75" s="244" t="str">
        <f>Swaps!K23</f>
        <v>obj_0048b#0003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41898</v>
      </c>
      <c r="J75" s="148">
        <f>_xll.qlRateHelperLatestDate($B75,Trigger)</f>
        <v>47742</v>
      </c>
      <c r="L75" s="79"/>
    </row>
    <row r="76" spans="2:12" x14ac:dyDescent="0.2">
      <c r="B76" s="244" t="str">
        <f>Swaps!K24</f>
        <v>obj_00494#0003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41898</v>
      </c>
      <c r="J76" s="148">
        <f>_xll.qlRateHelperLatestDate($B76,Trigger)</f>
        <v>48107</v>
      </c>
      <c r="L76" s="79"/>
    </row>
    <row r="77" spans="2:12" x14ac:dyDescent="0.2">
      <c r="B77" s="244" t="str">
        <f>Swaps!K25</f>
        <v>obj_0047c#0003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41898</v>
      </c>
      <c r="J77" s="148">
        <f>_xll.qlRateHelperLatestDate($B77,Trigger)</f>
        <v>48473</v>
      </c>
      <c r="L77" s="79"/>
    </row>
    <row r="78" spans="2:12" x14ac:dyDescent="0.2">
      <c r="B78" s="244" t="str">
        <f>Swaps!K26</f>
        <v>obj_00489#0003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41898</v>
      </c>
      <c r="J78" s="148">
        <f>_xll.qlRateHelperLatestDate($B78,Trigger)</f>
        <v>48838</v>
      </c>
      <c r="L78" s="79"/>
    </row>
    <row r="79" spans="2:12" x14ac:dyDescent="0.2">
      <c r="B79" s="244" t="str">
        <f>Swaps!K27</f>
        <v>obj_00484#0003</v>
      </c>
      <c r="C79" s="152" t="str">
        <f>SUBSTITUTE(_xll.qlRateHelperQuoteName(B79),"6AB","3ABBASIS")</f>
        <v>AUDSM3ABBASIS20Y_Quote</v>
      </c>
      <c r="D79" s="151">
        <f>_xll.qlRateHelperQuoteValue($B79,Trigger)</f>
        <v>4.4600000000000001E-2</v>
      </c>
      <c r="E79" s="151">
        <f>_xll.qlSwapRateHelperSpread($B79,Trigger)</f>
        <v>5.9999999999999995E-4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41898</v>
      </c>
      <c r="J79" s="148">
        <f>_xll.qlRateHelperLatestDate($B79,Trigger)</f>
        <v>49205</v>
      </c>
      <c r="L79" s="79"/>
    </row>
    <row r="80" spans="2:12" x14ac:dyDescent="0.2">
      <c r="B80" s="244" t="str">
        <f>Swaps!K28</f>
        <v>obj_00499#0003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41898</v>
      </c>
      <c r="J80" s="148">
        <f>_xll.qlRateHelperLatestDate($B80,Trigger)</f>
        <v>49569</v>
      </c>
      <c r="L80" s="79"/>
    </row>
    <row r="81" spans="2:12" x14ac:dyDescent="0.2">
      <c r="B81" s="244" t="str">
        <f>Swaps!K29</f>
        <v>obj_0049b#0003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41898</v>
      </c>
      <c r="J81" s="148">
        <f>_xll.qlRateHelperLatestDate($B81,Trigger)</f>
        <v>49934</v>
      </c>
      <c r="L81" s="79"/>
    </row>
    <row r="82" spans="2:12" x14ac:dyDescent="0.2">
      <c r="B82" s="244" t="str">
        <f>Swaps!K30</f>
        <v>obj_0047e#0003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41898</v>
      </c>
      <c r="J82" s="148">
        <f>_xll.qlRateHelperLatestDate($B82,Trigger)</f>
        <v>50299</v>
      </c>
      <c r="L82" s="79"/>
    </row>
    <row r="83" spans="2:12" x14ac:dyDescent="0.2">
      <c r="B83" s="244" t="str">
        <f>Swaps!K31</f>
        <v>obj_00478#0003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41898</v>
      </c>
      <c r="J83" s="148">
        <f>_xll.qlRateHelperLatestDate($B83,Trigger)</f>
        <v>50664</v>
      </c>
      <c r="L83" s="79"/>
    </row>
    <row r="84" spans="2:12" x14ac:dyDescent="0.2">
      <c r="B84" s="244" t="str">
        <f>Swaps!K32</f>
        <v>obj_00498#0003</v>
      </c>
      <c r="C84" s="152" t="str">
        <f>SUBSTITUTE(_xll.qlRateHelperQuoteName(B84),"6AB","3ABBASIS")</f>
        <v>AUDSM3ABBASIS25Y_Quote</v>
      </c>
      <c r="D84" s="151">
        <f>_xll.qlRateHelperQuoteValue($B84,Trigger)</f>
        <v>4.5124999999999998E-2</v>
      </c>
      <c r="E84" s="151">
        <f>_xll.qlSwapRateHelperSpread($B84,Trigger)</f>
        <v>4.8749999999999998E-4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41898</v>
      </c>
      <c r="J84" s="148">
        <f>_xll.qlRateHelperLatestDate($B84,Trigger)</f>
        <v>51029</v>
      </c>
      <c r="L84" s="79"/>
    </row>
    <row r="85" spans="2:12" x14ac:dyDescent="0.2">
      <c r="B85" s="244" t="str">
        <f>Swaps!K33</f>
        <v>obj_0047d#0003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41898</v>
      </c>
      <c r="J85" s="148">
        <f>_xll.qlRateHelperLatestDate($B85,Trigger)</f>
        <v>51396</v>
      </c>
      <c r="L85" s="79"/>
    </row>
    <row r="86" spans="2:12" x14ac:dyDescent="0.2">
      <c r="B86" s="244" t="str">
        <f>Swaps!K34</f>
        <v>obj_0047b#0003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41898</v>
      </c>
      <c r="J86" s="148">
        <f>_xll.qlRateHelperLatestDate($B86,Trigger)</f>
        <v>51760</v>
      </c>
      <c r="L86" s="79"/>
    </row>
    <row r="87" spans="2:12" x14ac:dyDescent="0.2">
      <c r="B87" s="244" t="str">
        <f>Swaps!K35</f>
        <v>obj_00496#0003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41898</v>
      </c>
      <c r="J87" s="148">
        <f>_xll.qlRateHelperLatestDate($B87,Trigger)</f>
        <v>52125</v>
      </c>
      <c r="L87" s="79"/>
    </row>
    <row r="88" spans="2:12" x14ac:dyDescent="0.2">
      <c r="B88" s="244" t="str">
        <f>Swaps!K36</f>
        <v>obj_00491#0003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41898</v>
      </c>
      <c r="J88" s="148">
        <f>_xll.qlRateHelperLatestDate($B88,Trigger)</f>
        <v>52490</v>
      </c>
      <c r="L88" s="79"/>
    </row>
    <row r="89" spans="2:12" x14ac:dyDescent="0.2">
      <c r="B89" s="244" t="str">
        <f>Swaps!K37</f>
        <v>obj_00497#0003</v>
      </c>
      <c r="C89" s="152" t="str">
        <f>SUBSTITUTE(_xll.qlRateHelperQuoteName(B89),"6AB","3ABBASIS")</f>
        <v>AUDSM3ABBASIS30Y_Quote</v>
      </c>
      <c r="D89" s="151">
        <f>_xll.qlRateHelperQuoteValue($B89,Trigger)</f>
        <v>4.5324999999999997E-2</v>
      </c>
      <c r="E89" s="151">
        <f>_xll.qlSwapRateHelperSpread($B89,Trigger)</f>
        <v>3.8749999999999999E-4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41898</v>
      </c>
      <c r="J89" s="148">
        <f>_xll.qlRateHelperLatestDate($B89,Trigger)</f>
        <v>52856</v>
      </c>
      <c r="L89" s="79"/>
    </row>
    <row r="90" spans="2:12" x14ac:dyDescent="0.2">
      <c r="B90" s="244" t="str">
        <f>Swaps!K38</f>
        <v>obj_00481#0003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41898</v>
      </c>
      <c r="J90" s="148">
        <f>_xll.qlRateHelperLatestDate($B90,Trigger)</f>
        <v>54682</v>
      </c>
      <c r="L90" s="79"/>
    </row>
    <row r="91" spans="2:12" x14ac:dyDescent="0.2">
      <c r="B91" s="244" t="str">
        <f>Swaps!K39</f>
        <v>obj_00482#0003</v>
      </c>
      <c r="C91" s="152" t="str">
        <f>SUBSTITUTE(_xll.qlRateHelperQuoteName(B91),"6AB","3ABBASIS")</f>
        <v>AUDSM3ABBASIS40Y_Quote</v>
      </c>
      <c r="D91" s="151">
        <f>_xll.qlRateHelperQuoteValue($B91,Trigger)</f>
        <v>4.4925E-2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41898</v>
      </c>
      <c r="J91" s="148">
        <f>_xll.qlRateHelperLatestDate($B91,Trigger)</f>
        <v>56508</v>
      </c>
      <c r="L91" s="79"/>
    </row>
    <row r="92" spans="2:12" x14ac:dyDescent="0.2">
      <c r="B92" s="244" t="str">
        <f>Swaps!K40</f>
        <v>obj_0048a#0003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41898</v>
      </c>
      <c r="J92" s="148">
        <f>_xll.qlRateHelperLatestDate($B92,Trigger)</f>
        <v>60161</v>
      </c>
      <c r="L92" s="79"/>
    </row>
    <row r="93" spans="2:12" x14ac:dyDescent="0.2">
      <c r="B93" s="100" t="str">
        <f>Swaps!K41</f>
        <v>obj_0048e#0003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41898</v>
      </c>
      <c r="J93" s="143">
        <f>_xll.qlRateHelperLatestDate($B93,Trigger)</f>
        <v>63814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2" t="s">
        <v>55</v>
      </c>
      <c r="B1" s="263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2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obj_00467</v>
      </c>
      <c r="E2" s="60" t="str">
        <f>SUBSTITUTE(_xll.qlRateHelperQuoteName(D2),"6AB","3ABBASIS")</f>
        <v>AUDSWD_SYNTH3M_Quote</v>
      </c>
      <c r="F2" s="61">
        <f>_xll.qlRateHelperRate($D2)</f>
        <v>2.6667E-2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41899</v>
      </c>
      <c r="I2" s="71">
        <f>_xll.qlRateHelperLatestDate($D2)</f>
        <v>41906</v>
      </c>
      <c r="J2" s="57">
        <v>0.99934284032282861</v>
      </c>
      <c r="M2" s="62"/>
    </row>
    <row r="3" spans="1:13" x14ac:dyDescent="0.2">
      <c r="A3" s="63" t="s">
        <v>51</v>
      </c>
      <c r="B3" s="64">
        <v>0</v>
      </c>
      <c r="D3" s="60" t="str">
        <v>obj_00466</v>
      </c>
      <c r="E3" s="60" t="str">
        <f>SUBSTITUTE(_xll.qlRateHelperQuoteName(D3),"6AB","3ABBASIS")</f>
        <v>AUD2WD_SYNTH3M_Quote</v>
      </c>
      <c r="F3" s="61">
        <f>_xll.qlRateHelperRate($D3)</f>
        <v>2.6672999999999999E-2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41899</v>
      </c>
      <c r="I3" s="71">
        <f>_xll.qlRateHelperLatestDate($D3)</f>
        <v>41913</v>
      </c>
      <c r="J3" s="57">
        <v>0.99883204708484952</v>
      </c>
      <c r="M3" s="62"/>
    </row>
    <row r="4" spans="1:13" x14ac:dyDescent="0.2">
      <c r="A4" s="63" t="s">
        <v>50</v>
      </c>
      <c r="B4" s="64">
        <v>2</v>
      </c>
      <c r="D4" s="60" t="str">
        <v>obj_00469</v>
      </c>
      <c r="E4" s="60" t="str">
        <f>SUBSTITUTE(_xll.qlRateHelperQuoteName(D4),"6AB","3ABBASIS")</f>
        <v>AUD3WD_SYNTH3M_Quote</v>
      </c>
      <c r="F4" s="61">
        <f>_xll.qlRateHelperRate($D4)</f>
        <v>2.6676999999999999E-2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41899</v>
      </c>
      <c r="I4" s="71">
        <f>_xll.qlRateHelperLatestDate($D4)</f>
        <v>41920</v>
      </c>
      <c r="J4" s="57">
        <v>0.99832166104322662</v>
      </c>
      <c r="M4" s="62"/>
    </row>
    <row r="5" spans="1:13" x14ac:dyDescent="0.2">
      <c r="A5" s="63" t="s">
        <v>49</v>
      </c>
      <c r="B5" s="65" t="s">
        <v>48</v>
      </c>
      <c r="D5" s="60" t="str">
        <v>obj_00468</v>
      </c>
      <c r="E5" s="60" t="str">
        <f>SUBSTITUTE(_xll.qlRateHelperQuoteName(D5),"6AB","3ABBASIS")</f>
        <v>AUD1MD_SYNTH3M_Quote</v>
      </c>
      <c r="F5" s="61">
        <f>_xll.qlRateHelperRate($D5)</f>
        <v>2.6676999999999999E-2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41899</v>
      </c>
      <c r="I5" s="71">
        <f>_xll.qlRateHelperLatestDate($D5)</f>
        <v>41929</v>
      </c>
      <c r="J5" s="57">
        <v>0.99766641271160494</v>
      </c>
      <c r="M5" s="62"/>
    </row>
    <row r="6" spans="1:13" x14ac:dyDescent="0.2">
      <c r="A6" s="141"/>
      <c r="B6" s="141"/>
      <c r="D6" s="60" t="str">
        <v>obj_00475</v>
      </c>
      <c r="E6" s="60" t="str">
        <f>SUBSTITUTE(_xll.qlRateHelperQuoteName(D6),"6AB","3ABBASIS")</f>
        <v>AUD2MD_SYNTH3M_Quote</v>
      </c>
      <c r="F6" s="61">
        <f>_xll.qlRateHelperRate($D6)</f>
        <v>2.6661000000000001E-2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41899</v>
      </c>
      <c r="I6" s="71">
        <f>_xll.qlRateHelperLatestDate($D6)</f>
        <v>41960</v>
      </c>
      <c r="J6" s="57">
        <v>0.99541866511664201</v>
      </c>
      <c r="M6" s="62"/>
    </row>
    <row r="7" spans="1:13" x14ac:dyDescent="0.2">
      <c r="A7" s="141"/>
      <c r="B7" s="141"/>
      <c r="D7" s="60" t="str">
        <v>obj_0046c</v>
      </c>
      <c r="E7" s="60" t="str">
        <f>SUBSTITUTE(_xll.qlRateHelperQuoteName(D7),"6AB","3ABBASIS")</f>
        <v>AUD3MD_SYNTH3M_Quote</v>
      </c>
      <c r="F7" s="61">
        <f>_xll.qlRateHelperRate($D7)</f>
        <v>2.6651000000000001E-2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41899</v>
      </c>
      <c r="I7" s="71">
        <f>_xll.qlRateHelperLatestDate($D7)</f>
        <v>41990</v>
      </c>
      <c r="J7" s="57">
        <v>0.99325425235673603</v>
      </c>
      <c r="M7" s="62"/>
    </row>
    <row r="8" spans="1:13" x14ac:dyDescent="0.2">
      <c r="A8" s="141"/>
      <c r="D8" s="60" t="str">
        <v>obj_0049d</v>
      </c>
      <c r="E8" s="60" t="str">
        <f>SUBSTITUTE(_xll.qlRateHelperQuoteName(D8),"6AB","3ABBASIS")</f>
        <v>AUDFUT3MZ4_Quote</v>
      </c>
      <c r="F8" s="61">
        <f>_xll.qlRateHelperRate($D8)</f>
        <v>2.6450000000000085E-2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41990</v>
      </c>
      <c r="I8" s="71">
        <f>_xll.qlRateHelperLatestDate($D8)</f>
        <v>42080</v>
      </c>
      <c r="J8" s="57">
        <v>0.98681830448273045</v>
      </c>
      <c r="M8" s="62"/>
    </row>
    <row r="9" spans="1:13" x14ac:dyDescent="0.2">
      <c r="A9" s="141"/>
      <c r="D9" s="60" t="str">
        <v>obj_00479</v>
      </c>
      <c r="E9" s="60" t="str">
        <f>SUBSTITUTE(_xll.qlRateHelperQuoteName(D9),"6AB","3ABBASIS")</f>
        <v>AUDQM3AB1Y_Quote</v>
      </c>
      <c r="F9" s="61">
        <f>_xll.qlRateHelperRate($D9)</f>
        <v>2.6775000000000004E-2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41898</v>
      </c>
      <c r="I9" s="71">
        <f>_xll.qlRateHelperLatestDate($D9)</f>
        <v>42263</v>
      </c>
      <c r="J9" s="57">
        <v>0.97359433666659523</v>
      </c>
      <c r="M9" s="62"/>
    </row>
    <row r="10" spans="1:13" x14ac:dyDescent="0.2">
      <c r="A10" s="141"/>
      <c r="D10" s="60" t="str">
        <v>obj_0048d</v>
      </c>
      <c r="E10" s="60" t="str">
        <f>SUBSTITUTE(_xll.qlRateHelperQuoteName(D10),"6AB","3ABBASIS")</f>
        <v>AUDQM3AB2Y_Quote</v>
      </c>
      <c r="F10" s="61">
        <f>_xll.qlRateHelperRate($D10)</f>
        <v>2.8274999999999998E-2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41898</v>
      </c>
      <c r="I10" s="71">
        <f>_xll.qlRateHelperLatestDate($D10)</f>
        <v>42629</v>
      </c>
      <c r="J10" s="57">
        <v>0.94501854652634232</v>
      </c>
      <c r="M10" s="62"/>
    </row>
    <row r="11" spans="1:13" x14ac:dyDescent="0.2">
      <c r="D11" s="60" t="str">
        <v>obj_00485</v>
      </c>
      <c r="E11" s="60" t="str">
        <f>SUBSTITUTE(_xll.qlRateHelperQuoteName(D11),"6AB","3ABBASIS")</f>
        <v>AUDQM3AB3Y_Quote</v>
      </c>
      <c r="F11" s="61">
        <f>_xll.qlRateHelperRate($D11)</f>
        <v>3.0025000000000003E-2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41898</v>
      </c>
      <c r="I11" s="71">
        <f>_xll.qlRateHelperLatestDate($D11)</f>
        <v>42996</v>
      </c>
      <c r="J11" s="57">
        <v>0.91368604360180783</v>
      </c>
      <c r="M11" s="62"/>
    </row>
    <row r="12" spans="1:13" x14ac:dyDescent="0.2">
      <c r="A12" s="66"/>
      <c r="D12" s="60" t="str">
        <v>obj_00495</v>
      </c>
      <c r="E12" s="60" t="str">
        <f>SUBSTITUTE(_xll.qlRateHelperQuoteName(D12),"6AB","3ABBASIS")</f>
        <v>AUDSM3ABBASIS4Y_Quote</v>
      </c>
      <c r="F12" s="61">
        <f>_xll.qlRateHelperRate($D12)</f>
        <v>3.2675000000000003E-2</v>
      </c>
      <c r="G12" s="61">
        <f>IF(ISERROR(_xll.qlSwapRateHelperSpread($D12)),IF(ISERROR(_xll.qlFuturesRateHelperConvexityAdjustment($D12)),"--",_xll.qlFuturesRateHelperConvexityAdjustment($D12)),_xll.qlSwapRateHelperSpread($D12))</f>
        <v>7.3749999999999998E-4</v>
      </c>
      <c r="H12" s="70">
        <f>_xll.qlRateHelperEarliestDate($D12)</f>
        <v>41898</v>
      </c>
      <c r="I12" s="71">
        <f>_xll.qlRateHelperLatestDate($D12)</f>
        <v>43360</v>
      </c>
      <c r="J12" s="57">
        <v>0.88023698573103037</v>
      </c>
      <c r="M12" s="62"/>
    </row>
    <row r="13" spans="1:13" x14ac:dyDescent="0.2">
      <c r="A13" s="66"/>
      <c r="D13" s="60" t="str">
        <v>obj_0047a</v>
      </c>
      <c r="E13" s="60" t="str">
        <f>SUBSTITUTE(_xll.qlRateHelperQuoteName(D13),"6AB","3ABBASIS")</f>
        <v>AUDSM3ABBASIS5Y_Quote</v>
      </c>
      <c r="F13" s="61">
        <f>_xll.qlRateHelperRate($D13)</f>
        <v>3.4400000000000007E-2</v>
      </c>
      <c r="G13" s="61">
        <f>IF(ISERROR(_xll.qlSwapRateHelperSpread($D13)),IF(ISERROR(_xll.qlFuturesRateHelperConvexityAdjustment($D13)),"--",_xll.qlFuturesRateHelperConvexityAdjustment($D13)),_xll.qlSwapRateHelperSpread($D13))</f>
        <v>7.7499999999999997E-4</v>
      </c>
      <c r="H13" s="70">
        <f>_xll.qlRateHelperEarliestDate($D13)</f>
        <v>41898</v>
      </c>
      <c r="I13" s="71">
        <f>_xll.qlRateHelperLatestDate($D13)</f>
        <v>43724</v>
      </c>
      <c r="J13" s="57">
        <v>0.84530064589610243</v>
      </c>
      <c r="M13" s="62"/>
    </row>
    <row r="14" spans="1:13" x14ac:dyDescent="0.2">
      <c r="D14" s="60" t="str">
        <v>obj_00488</v>
      </c>
      <c r="E14" s="60" t="str">
        <f>SUBSTITUTE(_xll.qlRateHelperQuoteName(D14),"6AB","3ABBASIS")</f>
        <v>AUDSM3ABBASIS7Y_Quote</v>
      </c>
      <c r="F14" s="61">
        <f>_xll.qlRateHelperRate($D14)</f>
        <v>3.7074999999999997E-2</v>
      </c>
      <c r="G14" s="61">
        <f>IF(ISERROR(_xll.qlSwapRateHelperSpread($D14)),IF(ISERROR(_xll.qlFuturesRateHelperConvexityAdjustment($D14)),"--",_xll.qlFuturesRateHelperConvexityAdjustment($D14)),_xll.qlSwapRateHelperSpread($D14))</f>
        <v>7.8750000000000001E-4</v>
      </c>
      <c r="H14" s="70">
        <f>_xll.qlRateHelperEarliestDate($D14)</f>
        <v>41898</v>
      </c>
      <c r="I14" s="71">
        <f>_xll.qlRateHelperLatestDate($D14)</f>
        <v>44455</v>
      </c>
      <c r="J14" s="57">
        <v>0.77491484839313018</v>
      </c>
      <c r="M14" s="62"/>
    </row>
    <row r="15" spans="1:13" x14ac:dyDescent="0.2">
      <c r="D15" s="60" t="str">
        <v>obj_0048f</v>
      </c>
      <c r="E15" s="60" t="str">
        <f>SUBSTITUTE(_xll.qlRateHelperQuoteName(D15),"6AB","3ABBASIS")</f>
        <v>AUDSM3ABBASIS10Y_Quote</v>
      </c>
      <c r="F15" s="61">
        <f>_xll.qlRateHelperRate($D15)</f>
        <v>3.9924999999999995E-2</v>
      </c>
      <c r="G15" s="61">
        <f>IF(ISERROR(_xll.qlSwapRateHelperSpread($D15)),IF(ISERROR(_xll.qlFuturesRateHelperConvexityAdjustment($D15)),"--",_xll.qlFuturesRateHelperConvexityAdjustment($D15)),_xll.qlSwapRateHelperSpread($D15))</f>
        <v>8.0000000000000004E-4</v>
      </c>
      <c r="H15" s="70">
        <f>_xll.qlRateHelperEarliestDate($D15)</f>
        <v>41898</v>
      </c>
      <c r="I15" s="71">
        <f>_xll.qlRateHelperLatestDate($D15)</f>
        <v>45551</v>
      </c>
      <c r="J15" s="57">
        <v>0.67348201578359468</v>
      </c>
      <c r="M15" s="62"/>
    </row>
    <row r="16" spans="1:13" x14ac:dyDescent="0.2">
      <c r="D16" s="60" t="str">
        <v>obj_00483</v>
      </c>
      <c r="E16" s="60" t="str">
        <f>SUBSTITUTE(_xll.qlRateHelperQuoteName(D16),"6AB","3ABBASIS")</f>
        <v>AUDSM3ABBASIS12Y_Quote</v>
      </c>
      <c r="F16" s="61">
        <f>_xll.qlRateHelperRate($D16)</f>
        <v>4.1425000000000003E-2</v>
      </c>
      <c r="G16" s="61">
        <f>IF(ISERROR(_xll.qlSwapRateHelperSpread($D16)),IF(ISERROR(_xll.qlFuturesRateHelperConvexityAdjustment($D16)),"--",_xll.qlFuturesRateHelperConvexityAdjustment($D16)),_xll.qlSwapRateHelperSpread($D16))</f>
        <v>7.7499999999999997E-4</v>
      </c>
      <c r="H16" s="70">
        <f>_xll.qlRateHelperEarliestDate($D16)</f>
        <v>41898</v>
      </c>
      <c r="I16" s="71">
        <f>_xll.qlRateHelperLatestDate($D16)</f>
        <v>46281</v>
      </c>
      <c r="J16" s="57">
        <v>0.60945743799820207</v>
      </c>
      <c r="M16" s="62"/>
    </row>
    <row r="17" spans="4:13" x14ac:dyDescent="0.2">
      <c r="D17" s="60" t="str">
        <v>obj_00492</v>
      </c>
      <c r="E17" s="60" t="str">
        <f>SUBSTITUTE(_xll.qlRateHelperQuoteName(D17),"6AB","3ABBASIS")</f>
        <v>AUDSM3ABBASIS15Y_Quote</v>
      </c>
      <c r="F17" s="61">
        <f>_xll.qlRateHelperRate($D17)</f>
        <v>4.2975000000000006E-2</v>
      </c>
      <c r="G17" s="61">
        <f>IF(ISERROR(_xll.qlSwapRateHelperSpread($D17)),IF(ISERROR(_xll.qlFuturesRateHelperConvexityAdjustment($D17)),"--",_xll.qlFuturesRateHelperConvexityAdjustment($D17)),_xll.qlSwapRateHelperSpread($D17))</f>
        <v>6.9999999999999999E-4</v>
      </c>
      <c r="H17" s="70">
        <f>_xll.qlRateHelperEarliestDate($D17)</f>
        <v>41898</v>
      </c>
      <c r="I17" s="71">
        <f>_xll.qlRateHelperLatestDate($D17)</f>
        <v>47378</v>
      </c>
      <c r="J17" s="57">
        <v>0.52321157103992111</v>
      </c>
      <c r="M17" s="62"/>
    </row>
    <row r="18" spans="4:13" x14ac:dyDescent="0.2">
      <c r="D18" s="60" t="str">
        <v>obj_00484</v>
      </c>
      <c r="E18" s="60" t="str">
        <f>SUBSTITUTE(_xll.qlRateHelperQuoteName(D18),"6AB","3ABBASIS")</f>
        <v>AUDSM3ABBASIS20Y_Quote</v>
      </c>
      <c r="F18" s="61">
        <f>_xll.qlRateHelperRate($D18)</f>
        <v>4.4600000000000001E-2</v>
      </c>
      <c r="G18" s="61">
        <f>IF(ISERROR(_xll.qlSwapRateHelperSpread($D18)),IF(ISERROR(_xll.qlFuturesRateHelperConvexityAdjustment($D18)),"--",_xll.qlFuturesRateHelperConvexityAdjustment($D18)),_xll.qlSwapRateHelperSpread($D18))</f>
        <v>5.9999999999999995E-4</v>
      </c>
      <c r="H18" s="70">
        <f>_xll.qlRateHelperEarliestDate($D18)</f>
        <v>41898</v>
      </c>
      <c r="I18" s="71">
        <f>_xll.qlRateHelperLatestDate($D18)</f>
        <v>49205</v>
      </c>
      <c r="J18" s="57">
        <v>0.40404882503872697</v>
      </c>
      <c r="M18" s="62"/>
    </row>
    <row r="19" spans="4:13" x14ac:dyDescent="0.2">
      <c r="D19" s="60" t="str">
        <v>obj_00498</v>
      </c>
      <c r="E19" s="60" t="str">
        <f>SUBSTITUTE(_xll.qlRateHelperQuoteName(D19),"6AB","3ABBASIS")</f>
        <v>AUDSM3ABBASIS25Y_Quote</v>
      </c>
      <c r="F19" s="61">
        <f>_xll.qlRateHelperRate($D19)</f>
        <v>4.5124999999999998E-2</v>
      </c>
      <c r="G19" s="61">
        <f>IF(ISERROR(_xll.qlSwapRateHelperSpread($D19)),IF(ISERROR(_xll.qlFuturesRateHelperConvexityAdjustment($D19)),"--",_xll.qlFuturesRateHelperConvexityAdjustment($D19)),_xll.qlSwapRateHelperSpread($D19))</f>
        <v>4.8749999999999998E-4</v>
      </c>
      <c r="H19" s="70">
        <f>_xll.qlRateHelperEarliestDate($D19)</f>
        <v>41898</v>
      </c>
      <c r="I19" s="71">
        <f>_xll.qlRateHelperLatestDate($D19)</f>
        <v>51029</v>
      </c>
      <c r="J19" s="57">
        <v>0.3167485353332522</v>
      </c>
      <c r="M19" s="62"/>
    </row>
    <row r="20" spans="4:13" x14ac:dyDescent="0.2">
      <c r="D20" s="60" t="str">
        <v>obj_00497</v>
      </c>
      <c r="E20" s="60" t="str">
        <f>SUBSTITUTE(_xll.qlRateHelperQuoteName(D20),"6AB","3ABBASIS")</f>
        <v>AUDSM3ABBASIS30Y_Quote</v>
      </c>
      <c r="F20" s="61">
        <f>_xll.qlRateHelperRate($D20)</f>
        <v>4.5324999999999997E-2</v>
      </c>
      <c r="G20" s="61">
        <f>IF(ISERROR(_xll.qlSwapRateHelperSpread($D20)),IF(ISERROR(_xll.qlFuturesRateHelperConvexityAdjustment($D20)),"--",_xll.qlFuturesRateHelperConvexityAdjustment($D20)),_xll.qlSwapRateHelperSpread($D20))</f>
        <v>3.8749999999999999E-4</v>
      </c>
      <c r="H20" s="70">
        <f>_xll.qlRateHelperEarliestDate($D20)</f>
        <v>41898</v>
      </c>
      <c r="I20" s="71">
        <f>_xll.qlRateHelperLatestDate($D20)</f>
        <v>52856</v>
      </c>
      <c r="J20" s="57">
        <v>0.24968180665961054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2</v>
      </c>
      <c r="D3" s="100" t="s">
        <v>146</v>
      </c>
      <c r="E3" s="100" t="s">
        <v>96</v>
      </c>
      <c r="F3" s="100" t="b">
        <v>1</v>
      </c>
      <c r="G3" s="100" t="s">
        <v>153</v>
      </c>
      <c r="H3" s="100" t="str">
        <f>_xll.qlIborIndex(,,"1D",C3,Currency,D3,E3,F3,G3,,,Trigger,ObjectOverwrite)</f>
        <v>obj_00461#0003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obj_00472#0003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2</v>
      </c>
      <c r="D4" s="100" t="s">
        <v>146</v>
      </c>
      <c r="E4" s="100" t="s">
        <v>96</v>
      </c>
      <c r="F4" s="100" t="b">
        <v>1</v>
      </c>
      <c r="G4" s="100" t="s">
        <v>153</v>
      </c>
      <c r="H4" s="100" t="str">
        <f>_xll.qlIborIndex(,,"1W",C4,Currency,D4,E4,F4,G4,,,Trigger,ObjectOverwrite)</f>
        <v>obj_00465#0003</v>
      </c>
      <c r="I4" s="101" t="str">
        <f t="shared" si="0"/>
        <v>AUDSWD_SYNTH3M_Quote</v>
      </c>
      <c r="J4" s="102" t="str">
        <f>_xll.qlDepositRateHelper(,I4,H4,Permanent,Trigger,ObjectOverwrite)</f>
        <v>obj_00467#0003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2</v>
      </c>
      <c r="D5" s="100" t="s">
        <v>146</v>
      </c>
      <c r="E5" s="100" t="s">
        <v>96</v>
      </c>
      <c r="F5" s="100" t="b">
        <v>1</v>
      </c>
      <c r="G5" s="100" t="s">
        <v>153</v>
      </c>
      <c r="H5" s="100" t="str">
        <f>_xll.qlIborIndex(,,B5,C5,Currency,D5,E5,F5,G5,,,Trigger,ObjectOverwrite)</f>
        <v>obj_00462#0003</v>
      </c>
      <c r="I5" s="101" t="str">
        <f t="shared" si="0"/>
        <v>AUD2WD_SYNTH3M_Quote</v>
      </c>
      <c r="J5" s="102" t="str">
        <f>_xll.qlDepositRateHelper(,I5,H5,Permanent,Trigger,ObjectOverwrite)</f>
        <v>obj_00466#0003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2</v>
      </c>
      <c r="D6" s="100" t="s">
        <v>146</v>
      </c>
      <c r="E6" s="100" t="s">
        <v>96</v>
      </c>
      <c r="F6" s="100" t="b">
        <v>1</v>
      </c>
      <c r="G6" s="100" t="s">
        <v>153</v>
      </c>
      <c r="H6" s="100" t="str">
        <f>_xll.qlIborIndex(,,B6,C6,Currency,D6,E6,F6,G6,,,Trigger,ObjectOverwrite)</f>
        <v>obj_00463#0003</v>
      </c>
      <c r="I6" s="101" t="str">
        <f t="shared" si="0"/>
        <v>AUD3WD_SYNTH3M_Quote</v>
      </c>
      <c r="J6" s="102" t="str">
        <f>_xll.qlDepositRateHelper(,I6,H6,Permanent,Trigger,ObjectOverwrite)</f>
        <v>obj_00469#0003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2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obj_00464#0003</v>
      </c>
      <c r="I7" s="101" t="str">
        <f t="shared" si="0"/>
        <v>AUD1MD_SYNTH3M_Quote</v>
      </c>
      <c r="J7" s="102" t="str">
        <f>_xll.qlDepositRateHelper(,I7,H7,Permanent,Trigger,ObjectOverwrite)</f>
        <v>obj_00468#0003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2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obj_0046b#0003</v>
      </c>
      <c r="I8" s="101" t="str">
        <f t="shared" si="0"/>
        <v>AUD2MD_SYNTH3M_Quote</v>
      </c>
      <c r="J8" s="102" t="str">
        <f>_xll.qlDepositRateHelper(,I8,H8,Permanent,Trigger,ObjectOverwrite)</f>
        <v>obj_00475#0003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2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obj_0046a#0003</v>
      </c>
      <c r="I9" s="101" t="str">
        <f t="shared" si="0"/>
        <v>AUD3MD_SYNTH3M_Quote</v>
      </c>
      <c r="J9" s="102" t="str">
        <f>_xll.qlDepositRateHelper(,I9,H9,Permanent,Trigger,ObjectOverwrite)</f>
        <v>obj_0046c#0003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obj_00474#0003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obj_00470#0003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obj_0046e#0003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obj_0046d#0003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obj_0046f#0003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obj_00473#0003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obj_00471#0003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U4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AUDFUT3MU4_Quote</v>
      </c>
      <c r="G3" s="248" t="str">
        <f t="shared" ref="G3:G44" si="2">Currency&amp;"FUT"&amp;IndexTenor&amp;D3&amp;"ConvAdj"&amp;QuoteSuffix</f>
        <v>AUDFUT3MU4ConvAdj_Quote</v>
      </c>
      <c r="H3" s="117" t="str">
        <f>_xll.qlFuturesRateHelper(,$F3,$D3,$E3,$G3,Permanent,Trigger,ObjectOverwrite)</f>
        <v>obj_004aa#0003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V4</v>
      </c>
      <c r="E4" s="115" t="str">
        <f t="shared" si="0"/>
        <v>AudBBSW3M</v>
      </c>
      <c r="F4" s="116" t="str">
        <f t="shared" si="1"/>
        <v>AUDFUT3MV4_Quote</v>
      </c>
      <c r="G4" s="248" t="str">
        <f t="shared" si="2"/>
        <v>AUDFUT3MV4ConvAdj_Quote</v>
      </c>
      <c r="H4" s="121" t="str">
        <f>_xll.qlFuturesRateHelper(,$F4,$D4,$E4,$G4,Permanent,Trigger,ObjectOverwrite)</f>
        <v>obj_004a1#0003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X4</v>
      </c>
      <c r="E5" s="115" t="str">
        <f t="shared" si="0"/>
        <v>AudBBSW3M</v>
      </c>
      <c r="F5" s="116" t="str">
        <f t="shared" si="1"/>
        <v>AUDFUT3MX4_Quote</v>
      </c>
      <c r="G5" s="248" t="str">
        <f t="shared" si="2"/>
        <v>AUDFUT3MX4ConvAdj_Quote</v>
      </c>
      <c r="H5" s="121" t="str">
        <f>_xll.qlFuturesRateHelper(,$F5,$D5,$E5,$G5,Permanent,Trigger,ObjectOverwrite)</f>
        <v>obj_004b4#0003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Z4</v>
      </c>
      <c r="E6" s="115" t="str">
        <f t="shared" si="0"/>
        <v>AudBBSW3M</v>
      </c>
      <c r="F6" s="116" t="str">
        <f t="shared" si="1"/>
        <v>AUDFUT3MZ4_Quote</v>
      </c>
      <c r="G6" s="248" t="str">
        <f t="shared" si="2"/>
        <v>AUDFUT3MZ4ConvAdj_Quote</v>
      </c>
      <c r="H6" s="121" t="str">
        <f>_xll.qlFuturesRateHelper(,$F6,$D6,$E6,$G6,Permanent,Trigger,ObjectOverwrite)</f>
        <v>obj_0049d#0003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F5</v>
      </c>
      <c r="E7" s="115" t="str">
        <f t="shared" si="0"/>
        <v>AudBBSW3M</v>
      </c>
      <c r="F7" s="116" t="str">
        <f t="shared" si="1"/>
        <v>AUDFUT3MF5_Quote</v>
      </c>
      <c r="G7" s="248" t="str">
        <f t="shared" si="2"/>
        <v>AUDFUT3MF5ConvAdj_Quote</v>
      </c>
      <c r="H7" s="121" t="str">
        <f>_xll.qlFuturesRateHelper(,$F7,$D7,$E7,$G7,Permanent,Trigger,ObjectOverwrite)</f>
        <v>obj_004c0#0003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G5</v>
      </c>
      <c r="E8" s="115" t="str">
        <f t="shared" si="0"/>
        <v>AudBBSW3M</v>
      </c>
      <c r="F8" s="116" t="str">
        <f t="shared" si="1"/>
        <v>AUDFUT3MG5_Quote</v>
      </c>
      <c r="G8" s="248" t="str">
        <f t="shared" si="2"/>
        <v>AUDFUT3MG5ConvAdj_Quote</v>
      </c>
      <c r="H8" s="121" t="str">
        <f>_xll.qlFuturesRateHelper(,$F8,$D8,$E8,$G8,Permanent,Trigger,ObjectOverwrite)</f>
        <v>obj_004b5#0003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H5</v>
      </c>
      <c r="E9" s="115" t="str">
        <f t="shared" si="0"/>
        <v>AudBBSW3M</v>
      </c>
      <c r="F9" s="116" t="str">
        <f t="shared" si="1"/>
        <v>AUDFUT3MH5_Quote</v>
      </c>
      <c r="G9" s="248" t="str">
        <f t="shared" si="2"/>
        <v>AUDFUT3MH5ConvAdj_Quote</v>
      </c>
      <c r="H9" s="121" t="str">
        <f>_xll.qlFuturesRateHelper(,$F9,$D9,$E9,$G9,Permanent,Trigger,ObjectOverwrite)</f>
        <v>obj_004c4#0003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J5</v>
      </c>
      <c r="E10" s="115" t="str">
        <f t="shared" si="0"/>
        <v>AudBBSW3M</v>
      </c>
      <c r="F10" s="116" t="str">
        <f t="shared" si="1"/>
        <v>AUDFUT3MJ5_Quote</v>
      </c>
      <c r="G10" s="248" t="str">
        <f t="shared" si="2"/>
        <v>AUDFUT3MJ5ConvAdj_Quote</v>
      </c>
      <c r="H10" s="121" t="str">
        <f>_xll.qlFuturesRateHelper(,$F10,$D10,$E10,$G10,Permanent,Trigger,ObjectOverwrite)</f>
        <v>obj_004bb#0003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K5</v>
      </c>
      <c r="E11" s="115" t="str">
        <f t="shared" si="0"/>
        <v>AudBBSW3M</v>
      </c>
      <c r="F11" s="116" t="str">
        <f t="shared" si="1"/>
        <v>AUDFUT3MK5_Quote</v>
      </c>
      <c r="G11" s="248" t="str">
        <f t="shared" si="2"/>
        <v>AUDFUT3MK5ConvAdj_Quote</v>
      </c>
      <c r="H11" s="121" t="str">
        <f>_xll.qlFuturesRateHelper(,$F11,$D11,$E11,$G11,Permanent,Trigger,ObjectOverwrite)</f>
        <v>obj_004b7#0003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M5</v>
      </c>
      <c r="E12" s="115" t="str">
        <f t="shared" si="0"/>
        <v>AudBBSW3M</v>
      </c>
      <c r="F12" s="116" t="str">
        <f t="shared" si="1"/>
        <v>AUDFUT3MM5_Quote</v>
      </c>
      <c r="G12" s="248" t="str">
        <f t="shared" si="2"/>
        <v>AUDFUT3MM5ConvAdj_Quote</v>
      </c>
      <c r="H12" s="121" t="str">
        <f>_xll.qlFuturesRateHelper(,$F12,$D12,$E12,$G12,Permanent,Trigger,ObjectOverwrite)</f>
        <v>obj_004a9#0003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N5</v>
      </c>
      <c r="E13" s="115" t="str">
        <f t="shared" si="0"/>
        <v>AudBBSW3M</v>
      </c>
      <c r="F13" s="116" t="str">
        <f t="shared" si="1"/>
        <v>AUDFUT3MN5_Quote</v>
      </c>
      <c r="G13" s="248" t="str">
        <f t="shared" si="2"/>
        <v>AUDFUT3MN5ConvAdj_Quote</v>
      </c>
      <c r="H13" s="121" t="str">
        <f>_xll.qlFuturesRateHelper(,$F13,$D13,$E13,$G13,Permanent,Trigger,ObjectOverwrite)</f>
        <v>obj_004ad#0003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Q5</v>
      </c>
      <c r="E14" s="115" t="str">
        <f t="shared" si="0"/>
        <v>AudBBSW3M</v>
      </c>
      <c r="F14" s="116" t="str">
        <f t="shared" si="1"/>
        <v>AUDFUT3MQ5_Quote</v>
      </c>
      <c r="G14" s="248" t="str">
        <f t="shared" si="2"/>
        <v>AUDFUT3MQ5ConvAdj_Quote</v>
      </c>
      <c r="H14" s="121" t="str">
        <f>_xll.qlFuturesRateHelper(,$F14,$D14,$E14,$G14,Permanent,Trigger,ObjectOverwrite)</f>
        <v>obj_004b8#0003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8" t="str">
        <f t="shared" si="2"/>
        <v>AUDFUT3MU5ConvAdj_Quote</v>
      </c>
      <c r="H15" s="121" t="str">
        <f>_xll.qlFuturesRateHelper(,$F15,$D15,$E15,$G15,Permanent,Trigger,ObjectOverwrite)</f>
        <v>obj_0049e#0003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8" t="str">
        <f t="shared" si="2"/>
        <v>AUDFUT3MZ5ConvAdj_Quote</v>
      </c>
      <c r="H16" s="121" t="str">
        <f>_xll.qlFuturesRateHelper(,$F16,$D16,$E16,$G16,Permanent,Trigger,ObjectOverwrite)</f>
        <v>obj_004ab#0003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8" t="str">
        <f t="shared" si="2"/>
        <v>AUDFUT3MH6ConvAdj_Quote</v>
      </c>
      <c r="H17" s="121" t="str">
        <f>_xll.qlFuturesRateHelper(,$F17,$D17,$E17,$G17,Permanent,Trigger,ObjectOverwrite)</f>
        <v>obj_004a4#0003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8" t="str">
        <f t="shared" si="2"/>
        <v>AUDFUT3MM6ConvAdj_Quote</v>
      </c>
      <c r="H18" s="121" t="str">
        <f>_xll.qlFuturesRateHelper(,$F18,$D18,$E18,$G18,Permanent,Trigger,ObjectOverwrite)</f>
        <v>obj_004ba#0003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8" t="str">
        <f t="shared" si="2"/>
        <v>AUDFUT3MU6ConvAdj_Quote</v>
      </c>
      <c r="H19" s="121" t="str">
        <f>_xll.qlFuturesRateHelper(,$F19,$D19,$E19,$G19,Permanent,Trigger,ObjectOverwrite)</f>
        <v>obj_004a8#0003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8" t="str">
        <f t="shared" si="2"/>
        <v>AUDFUT3MZ6ConvAdj_Quote</v>
      </c>
      <c r="H20" s="121" t="str">
        <f>_xll.qlFuturesRateHelper(,$F20,$D20,$E20,$G20,Permanent,Trigger,ObjectOverwrite)</f>
        <v>obj_004a5#0003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8" t="str">
        <f t="shared" si="2"/>
        <v>AUDFUT3MH7ConvAdj_Quote</v>
      </c>
      <c r="H21" s="121" t="str">
        <f>_xll.qlFuturesRateHelper(,$F21,$D21,$E21,$G21,Permanent,Trigger,ObjectOverwrite)</f>
        <v>obj_004ac#0003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8" t="str">
        <f t="shared" si="2"/>
        <v>AUDFUT3MM7ConvAdj_Quote</v>
      </c>
      <c r="H22" s="121" t="str">
        <f>_xll.qlFuturesRateHelper(,$F22,$D22,$E22,$G22,Permanent,Trigger,ObjectOverwrite)</f>
        <v>obj_004a3#0003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8" t="str">
        <f t="shared" si="2"/>
        <v>AUDFUT3MU7ConvAdj_Quote</v>
      </c>
      <c r="H23" s="121" t="str">
        <f>_xll.qlFuturesRateHelper(,$F23,$D23,$E23,$G23,Permanent,Trigger,ObjectOverwrite)</f>
        <v>obj_004be#0003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8" t="str">
        <f t="shared" si="2"/>
        <v>AUDFUT3MZ7ConvAdj_Quote</v>
      </c>
      <c r="H24" s="121" t="str">
        <f>_xll.qlFuturesRateHelper(,$F24,$D24,$E24,$G24,Permanent,Trigger,ObjectOverwrite)</f>
        <v>obj_004b6#0003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8" t="str">
        <f t="shared" si="2"/>
        <v>AUDFUT3MH8ConvAdj_Quote</v>
      </c>
      <c r="H25" s="121" t="str">
        <f>_xll.qlFuturesRateHelper(,$F25,$D25,$E25,$G25,Permanent,Trigger,ObjectOverwrite)</f>
        <v>obj_004b2#0003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8" t="str">
        <f t="shared" si="2"/>
        <v>AUDFUT3MM8ConvAdj_Quote</v>
      </c>
      <c r="H26" s="121" t="str">
        <f>_xll.qlFuturesRateHelper(,$F26,$D26,$E26,$G26,Permanent,Trigger,ObjectOverwrite)</f>
        <v>obj_004c1#0003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8" t="str">
        <f t="shared" si="2"/>
        <v>AUDFUT3MU8ConvAdj_Quote</v>
      </c>
      <c r="H27" s="121" t="str">
        <f>_xll.qlFuturesRateHelper(,$F27,$D27,$E27,$G27,Permanent,Trigger,ObjectOverwrite)</f>
        <v>obj_004bd#0003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8" t="str">
        <f t="shared" si="2"/>
        <v>AUDFUT3MZ8ConvAdj_Quote</v>
      </c>
      <c r="H28" s="121" t="str">
        <f>_xll.qlFuturesRateHelper(,$F28,$D28,$E28,$G28,Permanent,Trigger,ObjectOverwrite)</f>
        <v>obj_004c3#0003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8" t="str">
        <f t="shared" si="2"/>
        <v>AUDFUT3MH9ConvAdj_Quote</v>
      </c>
      <c r="H29" s="121" t="str">
        <f>_xll.qlFuturesRateHelper(,$F29,$D29,$E29,$G29,Permanent,Trigger,ObjectOverwrite)</f>
        <v>obj_004b3#0003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8" t="str">
        <f t="shared" si="2"/>
        <v>AUDFUT3MM9ConvAdj_Quote</v>
      </c>
      <c r="H30" s="121" t="str">
        <f>_xll.qlFuturesRateHelper(,$F30,$D30,$E30,$G30,Permanent,Trigger,ObjectOverwrite)</f>
        <v>obj_0049c#0003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8" t="str">
        <f t="shared" si="2"/>
        <v>AUDFUT3MU9ConvAdj_Quote</v>
      </c>
      <c r="H31" s="121" t="str">
        <f>_xll.qlFuturesRateHelper(,$F31,$D31,$E31,$G31,Permanent,Trigger,ObjectOverwrite)</f>
        <v>obj_004a6#0003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8" t="str">
        <f t="shared" si="2"/>
        <v>AUDFUT3MZ9ConvAdj_Quote</v>
      </c>
      <c r="H32" s="121" t="str">
        <f>_xll.qlFuturesRateHelper(,$F32,$D32,$E32,$G32,Permanent,Trigger,ObjectOverwrite)</f>
        <v>obj_004b1#0003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8" t="str">
        <f t="shared" si="2"/>
        <v>AUDFUT3MH0ConvAdj_Quote</v>
      </c>
      <c r="H33" s="121" t="str">
        <f>_xll.qlFuturesRateHelper(,$F33,$D33,$E33,$G33,Permanent,Trigger,ObjectOverwrite)</f>
        <v>obj_004b9#0003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8" t="str">
        <f t="shared" si="2"/>
        <v>AUDFUT3MM0ConvAdj_Quote</v>
      </c>
      <c r="H34" s="121" t="str">
        <f>_xll.qlFuturesRateHelper(,$F34,$D34,$E34,$G34,Permanent,Trigger,ObjectOverwrite)</f>
        <v>obj_004a0#0003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8" t="str">
        <f t="shared" si="2"/>
        <v>AUDFUT3MU0ConvAdj_Quote</v>
      </c>
      <c r="H35" s="121" t="str">
        <f>_xll.qlFuturesRateHelper(,$F35,$D35,$E35,$G35,Permanent,Trigger,ObjectOverwrite)</f>
        <v>obj_004c5#0003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8" t="str">
        <f t="shared" si="2"/>
        <v>AUDFUT3MZ0ConvAdj_Quote</v>
      </c>
      <c r="H36" s="121" t="str">
        <f>_xll.qlFuturesRateHelper(,$F36,$D36,$E36,$G36,Permanent,Trigger,ObjectOverwrite)</f>
        <v>obj_004a2#0003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8" t="str">
        <f t="shared" si="2"/>
        <v>AUDFUT3MH1ConvAdj_Quote</v>
      </c>
      <c r="H37" s="121" t="str">
        <f>_xll.qlFuturesRateHelper(,$F37,$D37,$E37,$G37,Permanent,Trigger,ObjectOverwrite)</f>
        <v>obj_0049f#0003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8" t="str">
        <f t="shared" si="2"/>
        <v>AUDFUT3MM1ConvAdj_Quote</v>
      </c>
      <c r="H38" s="121" t="str">
        <f>_xll.qlFuturesRateHelper(,$F38,$D38,$E38,$G38,Permanent,Trigger,ObjectOverwrite)</f>
        <v>obj_004bf#0003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8" t="str">
        <f t="shared" si="2"/>
        <v>AUDFUT3MU1ConvAdj_Quote</v>
      </c>
      <c r="H39" s="121" t="str">
        <f>_xll.qlFuturesRateHelper(,$F39,$D39,$E39,$G39,Permanent,Trigger,ObjectOverwrite)</f>
        <v>obj_004bc#0003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8" t="str">
        <f t="shared" si="2"/>
        <v>AUDFUT3MZ1ConvAdj_Quote</v>
      </c>
      <c r="H40" s="121" t="str">
        <f>_xll.qlFuturesRateHelper(,$F40,$D40,$E40,$G40,Permanent,Trigger,ObjectOverwrite)</f>
        <v>obj_004af#0003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8" t="str">
        <f t="shared" si="2"/>
        <v>AUDFUT3MH2ConvAdj_Quote</v>
      </c>
      <c r="H41" s="121" t="str">
        <f>_xll.qlFuturesRateHelper(,$F41,$D41,$E41,$G41,Permanent,Trigger,ObjectOverwrite)</f>
        <v>obj_004a7#0003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8" t="str">
        <f t="shared" si="2"/>
        <v>AUDFUT3MM2ConvAdj_Quote</v>
      </c>
      <c r="H42" s="121" t="str">
        <f>_xll.qlFuturesRateHelper(,$F42,$D42,$E42,$G42,Permanent,Trigger,ObjectOverwrite)</f>
        <v>obj_004ae#0003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8" t="str">
        <f t="shared" si="2"/>
        <v>AUDFUT3MU2ConvAdj_Quote</v>
      </c>
      <c r="H43" s="121" t="str">
        <f>_xll.qlFuturesRateHelper(,$F43,$D43,$E43,$G43,Permanent,Trigger,ObjectOverwrite)</f>
        <v>obj_004c2#0003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8" t="str">
        <f t="shared" si="2"/>
        <v>AUDFUT3MZ2ConvAdj_Quote</v>
      </c>
      <c r="H44" s="121" t="str">
        <f>_xll.qlFuturesRateHelper(,$F44,$D44,$E44,$G44,Permanent,Trigger,ObjectOverwrite)</f>
        <v>obj_004b0#0003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obj_00476#0003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obj_00479#0003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obj_00477#0003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obj_0049a#0003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obj_00480#0003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obj_0048d#0003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obj_00485#0003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obj_00495#0003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obj_0047a#0003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obj_00486#0003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obj_00488#0003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obj_0048c#0003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obj_00487#0003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obj_0048f#0003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obj_0047f#0003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obj_00483#0003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obj_00490#0003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obj_00493#0003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obj_00492#0003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obj_0048b#0003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obj_00494#0003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obj_0047c#0003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obj_00489#0003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obj_00484#0003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obj_00499#0003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obj_0049b#0003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obj_0047e#0003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obj_00478#0003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obj_00498#0003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obj_0047d#0003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obj_0047b#0003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obj_00496#0003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obj_00491#0003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obj_00497#0003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obj_00481#0003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obj_00482#0003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obj_0048a#0003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obj_0048e#0003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15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41882</v>
      </c>
      <c r="D3" s="170">
        <v>12</v>
      </c>
      <c r="E3" s="207">
        <f>EDATE($Z$19,$D3)</f>
        <v>42262</v>
      </c>
      <c r="F3" s="229">
        <f>IF(D3&lt;=12,1,IF(D3&lt;=24,3,IF(D3&lt;=120,6,IF(D3&lt;=240,12,IF(D3&lt;=360,36,60)))))</f>
        <v>1</v>
      </c>
      <c r="G3" s="230">
        <f t="shared" ref="G3:G9" si="0">ROUNDDOWN(J3*10,2)/10</f>
        <v>2.6000000000000002E-2</v>
      </c>
      <c r="H3" s="231">
        <f>IF(K3-J3&gt;1%,(QUOTIENT(K3*10000,50)+1)*0.5%,(QUOTIENT(K3*10000,10)+1)*0.1%)</f>
        <v>2.9000000000000001E-2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2.6448030925300337E-2</v>
      </c>
      <c r="K3" s="232">
        <f>MAX(_xll.ohPack($AA$19:INDEX($AA$19:$AA$3552,MATCH(E3+1,$Z$19:$Z$3552,1),1)))</f>
        <v>2.8311741101864404E-2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>EDATE($Z$19,$D4)</f>
        <v>42628</v>
      </c>
      <c r="F4" s="229">
        <f t="shared" ref="F4:F16" si="1">IF(D4&lt;=12,1,IF(D4&lt;=24,3,IF(D4&lt;=120,6,IF(D4&lt;=240,12,IF(D4&lt;=360,36,60)))))</f>
        <v>3</v>
      </c>
      <c r="G4" s="230">
        <f t="shared" si="0"/>
        <v>2.6000000000000002E-2</v>
      </c>
      <c r="H4" s="231">
        <f t="shared" ref="H4:H16" si="2">IF(K4-J4&gt;1%,(QUOTIENT(K4*10000,50)+1)*0.5%,(QUOTIENT(K4*10000,10)+1)*0.1%)</f>
        <v>3.3000000000000002E-2</v>
      </c>
      <c r="I4" s="232">
        <f t="shared" ref="I4:I16" si="3">IF(H4-G4&lt;0.5%,0.05%,IF(H4-G4&lt;1%,0.1%,IF(H4-G4&lt;2%,0.25%,0.5%)))</f>
        <v>1E-3</v>
      </c>
      <c r="J4" s="231">
        <f>MIN(_xll.ohPack($AA$19:INDEX($AA$19:$AA$3552,MATCH(E4+1,$Z$19:$Z$3552,1),1)))</f>
        <v>2.6448030925300337E-2</v>
      </c>
      <c r="K4" s="232">
        <f>MAX(_xll.ohPack($AA$19:INDEX($AA$19:$AA$3552,MATCH(E4+1,$Z$19:$Z$3552,1),1)))</f>
        <v>3.2220632994226776E-2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>EDATE($Z$19,$D5)</f>
        <v>43723</v>
      </c>
      <c r="F5" s="229">
        <f t="shared" si="1"/>
        <v>6</v>
      </c>
      <c r="G5" s="230">
        <f t="shared" si="0"/>
        <v>2.6000000000000002E-2</v>
      </c>
      <c r="H5" s="231">
        <f t="shared" si="2"/>
        <v>4.4999999999999998E-2</v>
      </c>
      <c r="I5" s="232">
        <f t="shared" si="3"/>
        <v>2.5000000000000001E-3</v>
      </c>
      <c r="J5" s="231">
        <f>MIN(_xll.ohPack($AA$19:INDEX($AA$19:$AA$3552,MATCH(E5+1,$Z$19:$Z$3552,1),1)))</f>
        <v>2.6448030925300337E-2</v>
      </c>
      <c r="K5" s="232">
        <f>MAX(_xll.ohPack($AA$19:INDEX($AA$19:$AA$3552,MATCH(E5+1,$Z$19:$Z$3552,1),1)))</f>
        <v>4.2221940973958559E-2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>EDATE($Z$19,$D6)</f>
        <v>45550</v>
      </c>
      <c r="F6" s="229">
        <f t="shared" si="1"/>
        <v>6</v>
      </c>
      <c r="G6" s="230">
        <f t="shared" si="0"/>
        <v>2.6000000000000002E-2</v>
      </c>
      <c r="H6" s="231">
        <f t="shared" si="2"/>
        <v>0.05</v>
      </c>
      <c r="I6" s="232">
        <f t="shared" si="3"/>
        <v>5.0000000000000001E-3</v>
      </c>
      <c r="J6" s="231">
        <f>MIN(_xll.ohPack($AA$19:INDEX($AA$19:$AA$3552,MATCH(E6+1,$Z$19:$Z$3552,1),1)))</f>
        <v>2.6448030925300337E-2</v>
      </c>
      <c r="K6" s="232">
        <f>MAX(_xll.ohPack($AA$19:INDEX($AA$19:$AA$3552,MATCH(E6+1,$Z$19:$Z$3552,1),1)))</f>
        <v>4.9358819632001824E-2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>EDATE($Z$19,$D7)</f>
        <v>49202</v>
      </c>
      <c r="F7" s="229">
        <f t="shared" si="1"/>
        <v>12</v>
      </c>
      <c r="G7" s="230">
        <f t="shared" si="0"/>
        <v>2.6000000000000002E-2</v>
      </c>
      <c r="H7" s="231">
        <f t="shared" si="2"/>
        <v>5.5E-2</v>
      </c>
      <c r="I7" s="232">
        <f t="shared" si="3"/>
        <v>5.0000000000000001E-3</v>
      </c>
      <c r="J7" s="231">
        <f>MIN(_xll.ohPack($AA$19:INDEX($AA$19:$AA$3552,MATCH(E7+1,$Z$19:$Z$3552,1),1)))</f>
        <v>2.6448030925300337E-2</v>
      </c>
      <c r="K7" s="232">
        <f>MAX(_xll.ohPack($AA$19:INDEX($AA$19:$AA$3552,MATCH(E7+1,$Z$19:$Z$3552,1),1)))</f>
        <v>5.2371774025588624E-2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>EDATE($Z$19,$D8)</f>
        <v>52855</v>
      </c>
      <c r="F8" s="229">
        <f t="shared" si="1"/>
        <v>36</v>
      </c>
      <c r="G8" s="230">
        <f t="shared" si="0"/>
        <v>2.6000000000000002E-2</v>
      </c>
      <c r="H8" s="231">
        <f t="shared" si="2"/>
        <v>5.5E-2</v>
      </c>
      <c r="I8" s="232">
        <f t="shared" si="3"/>
        <v>5.0000000000000001E-3</v>
      </c>
      <c r="J8" s="231">
        <f>MIN(_xll.ohPack($AA$19:INDEX($AA$19:$AA$3552,MATCH(E8+1,$Z$19:$Z$3552,1),1)))</f>
        <v>2.6448030925300337E-2</v>
      </c>
      <c r="K8" s="232">
        <f>MAX(_xll.ohPack($AA$19:INDEX($AA$19:$AA$3552,MATCH(E8+1,$Z$19:$Z$3552,1),1)))</f>
        <v>5.2371774025588624E-2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>EDATE($Z$19,$D9)</f>
        <v>63812</v>
      </c>
      <c r="F9" s="229">
        <f t="shared" si="1"/>
        <v>60</v>
      </c>
      <c r="G9" s="230">
        <f t="shared" si="0"/>
        <v>2.6000000000000002E-2</v>
      </c>
      <c r="H9" s="231">
        <f t="shared" si="2"/>
        <v>5.5E-2</v>
      </c>
      <c r="I9" s="232">
        <f t="shared" si="3"/>
        <v>5.0000000000000001E-3</v>
      </c>
      <c r="J9" s="231">
        <f>MIN(_xll.ohPack($AA$19:INDEX($AA$19:$AA$3552,MATCH(E9+1,$Z$19:$Z$3552,1),1)))</f>
        <v>2.6448030925300337E-2</v>
      </c>
      <c r="K9" s="232">
        <f>MAX(_xll.ohPack($AA$19:INDEX($AA$19:$AA$3552,MATCH(E9+1,$Z$19:$Z$3552,1),1)))</f>
        <v>5.2371774025588624E-2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41882</v>
      </c>
      <c r="D10" s="218">
        <v>12</v>
      </c>
      <c r="E10" s="217">
        <f>EDATE($Z$19,$D10)</f>
        <v>42262</v>
      </c>
      <c r="F10" s="233">
        <f t="shared" si="1"/>
        <v>1</v>
      </c>
      <c r="G10" s="234">
        <f t="shared" ref="G10:G16" si="4">ROUNDDOWN(J10*10,2)/10</f>
        <v>2.6000000000000002E-2</v>
      </c>
      <c r="H10" s="235">
        <f t="shared" si="2"/>
        <v>2.8000000000000001E-2</v>
      </c>
      <c r="I10" s="236">
        <f t="shared" si="3"/>
        <v>5.0000000000000001E-4</v>
      </c>
      <c r="J10" s="235">
        <f>MIN(_xll.ohPack($AB$19:INDEX($AB$19:$AB$3552,MATCH(E10+1,$Z$19:$Z$3552,1),1)))</f>
        <v>2.6338549689882695E-2</v>
      </c>
      <c r="K10" s="236">
        <f>MAX(_xll.ohPack($AB$19:INDEX($AB$19:$AB$3552,MATCH(E10+1,$Z$19:$Z$3552,1),1)))</f>
        <v>2.7701330551905823E-2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5">C4</f>
        <v>41820</v>
      </c>
      <c r="D11" s="170">
        <v>24</v>
      </c>
      <c r="E11" s="207">
        <f>EDATE($Z$19,$D11)</f>
        <v>42628</v>
      </c>
      <c r="F11" s="229">
        <f t="shared" si="1"/>
        <v>3</v>
      </c>
      <c r="G11" s="230">
        <f t="shared" si="4"/>
        <v>2.6000000000000002E-2</v>
      </c>
      <c r="H11" s="231">
        <f t="shared" si="2"/>
        <v>3.2000000000000001E-2</v>
      </c>
      <c r="I11" s="232">
        <f t="shared" si="3"/>
        <v>1E-3</v>
      </c>
      <c r="J11" s="231">
        <f>MIN(_xll.ohPack($AB$19:INDEX($AB$19:$AB$3552,MATCH(E11+1,$Z$19:$Z$3552,1),1)))</f>
        <v>2.6338549689882695E-2</v>
      </c>
      <c r="K11" s="232">
        <f>MAX(_xll.ohPack($AB$19:INDEX($AB$19:$AB$3552,MATCH(E11+1,$Z$19:$Z$3552,1),1)))</f>
        <v>3.1651439988007457E-2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5"/>
        <v>41820</v>
      </c>
      <c r="D12" s="170">
        <v>60</v>
      </c>
      <c r="E12" s="207">
        <f>EDATE($Z$19,$D12)</f>
        <v>43723</v>
      </c>
      <c r="F12" s="229">
        <f t="shared" si="1"/>
        <v>6</v>
      </c>
      <c r="G12" s="230">
        <f t="shared" si="4"/>
        <v>2.6000000000000002E-2</v>
      </c>
      <c r="H12" s="231">
        <f t="shared" si="2"/>
        <v>4.4999999999999998E-2</v>
      </c>
      <c r="I12" s="232">
        <f t="shared" si="3"/>
        <v>2.5000000000000001E-3</v>
      </c>
      <c r="J12" s="231">
        <f>MIN(_xll.ohPack($AB$19:INDEX($AB$19:$AB$3552,MATCH(E12+1,$Z$19:$Z$3552,1),1)))</f>
        <v>2.6338549689882695E-2</v>
      </c>
      <c r="K12" s="232">
        <f>MAX(_xll.ohPack($AB$19:INDEX($AB$19:$AB$3552,MATCH(E12+1,$Z$19:$Z$3552,1),1)))</f>
        <v>4.1787101453427684E-2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5"/>
        <v>41820</v>
      </c>
      <c r="D13" s="170">
        <v>120</v>
      </c>
      <c r="E13" s="207">
        <f>EDATE($Z$19,$D13)</f>
        <v>45550</v>
      </c>
      <c r="F13" s="229">
        <f t="shared" si="1"/>
        <v>6</v>
      </c>
      <c r="G13" s="230">
        <f t="shared" si="4"/>
        <v>2.6000000000000002E-2</v>
      </c>
      <c r="H13" s="231">
        <f t="shared" si="2"/>
        <v>0.05</v>
      </c>
      <c r="I13" s="232">
        <f t="shared" si="3"/>
        <v>5.0000000000000001E-3</v>
      </c>
      <c r="J13" s="231">
        <f>MIN(_xll.ohPack($AB$19:INDEX($AB$19:$AB$3552,MATCH(E13+1,$Z$19:$Z$3552,1),1)))</f>
        <v>2.6338549689882695E-2</v>
      </c>
      <c r="K13" s="232">
        <f>MAX(_xll.ohPack($AB$19:INDEX($AB$19:$AB$3552,MATCH(E13+1,$Z$19:$Z$3552,1),1)))</f>
        <v>4.8870931830666819E-2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>EDATE($Z$19,$D14)</f>
        <v>49202</v>
      </c>
      <c r="F14" s="229">
        <f t="shared" si="1"/>
        <v>12</v>
      </c>
      <c r="G14" s="230">
        <f t="shared" si="4"/>
        <v>2.6000000000000002E-2</v>
      </c>
      <c r="H14" s="231">
        <f t="shared" si="2"/>
        <v>5.5E-2</v>
      </c>
      <c r="I14" s="232">
        <f t="shared" si="3"/>
        <v>5.0000000000000001E-3</v>
      </c>
      <c r="J14" s="231">
        <f>MIN(_xll.ohPack($AB$19:INDEX($AB$19:$AB$3552,MATCH(E14+1,$Z$19:$Z$3552,1),1)))</f>
        <v>2.6338549689882695E-2</v>
      </c>
      <c r="K14" s="232">
        <f>MAX(_xll.ohPack($AB$19:INDEX($AB$19:$AB$3552,MATCH(E14+1,$Z$19:$Z$3552,1),1)))</f>
        <v>5.203370076081737E-2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>EDATE($Z$19,$D15)</f>
        <v>52855</v>
      </c>
      <c r="F15" s="229">
        <f t="shared" si="1"/>
        <v>36</v>
      </c>
      <c r="G15" s="230">
        <f t="shared" si="4"/>
        <v>2.6000000000000002E-2</v>
      </c>
      <c r="H15" s="231">
        <f t="shared" si="2"/>
        <v>5.5E-2</v>
      </c>
      <c r="I15" s="232">
        <f t="shared" si="3"/>
        <v>5.0000000000000001E-3</v>
      </c>
      <c r="J15" s="231">
        <f>MIN(_xll.ohPack($AB$19:INDEX($AB$19:$AB$3552,MATCH(E15+1,$Z$19:$Z$3552,1),1)))</f>
        <v>2.6338549689882695E-2</v>
      </c>
      <c r="K15" s="232">
        <f>MAX(_xll.ohPack($AB$19:INDEX($AB$19:$AB$3552,MATCH(E15+1,$Z$19:$Z$3552,1),1)))</f>
        <v>5.203370076081737E-2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>EDATE($Z$19,$D16)</f>
        <v>63812</v>
      </c>
      <c r="F16" s="229">
        <f t="shared" si="1"/>
        <v>60</v>
      </c>
      <c r="G16" s="230">
        <f t="shared" si="4"/>
        <v>2.6000000000000002E-2</v>
      </c>
      <c r="H16" s="231">
        <f t="shared" si="2"/>
        <v>5.5E-2</v>
      </c>
      <c r="I16" s="232">
        <f t="shared" si="3"/>
        <v>5.0000000000000001E-3</v>
      </c>
      <c r="J16" s="231">
        <f>MIN(_xll.ohPack($AB$19:INDEX($AB$19:$AB$3552,MATCH(E16+1,$Z$19:$Z$3552,1),1)))</f>
        <v>2.6338549689882695E-2</v>
      </c>
      <c r="K16" s="232">
        <f>MAX(_xll.ohPack($AB$19:INDEX($AB$19:$AB$3552,MATCH(E16+1,$Z$19:$Z$3552,1),1)))</f>
        <v>5.203370076081737E-2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obj_004c8#0009</v>
      </c>
      <c r="AB17" s="176" t="str">
        <f>_xll.qlOvernightIndex(,"Aonia",NDays,Currency,Calendar,"actual/365 (fixed)",YieldCurve,,YieldCurve)</f>
        <v>obj_004c7#0009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obj_00474#0003</v>
      </c>
      <c r="N19" s="183" t="str">
        <f>_xll.qlRateHelperQuoteName(M19)</f>
        <v>AUD1x4F_Quote</v>
      </c>
      <c r="O19" s="181">
        <f>_xll.qlRateHelperEarliestDate(M19)</f>
        <v>41927</v>
      </c>
      <c r="P19" s="196">
        <f>_xll.qlRateHelperQuoteValue(M19,"ohTrigger(Trigger,RecalcTrigger))")</f>
        <v>2.6349999999999998E-2</v>
      </c>
      <c r="Q19" s="196"/>
      <c r="R19" s="193" t="e">
        <f>NA()</f>
        <v>#N/A</v>
      </c>
      <c r="S19" s="181">
        <f>_xll.qlInterestRateIndexFixingDate(IborIndex,O19)</f>
        <v>41927</v>
      </c>
      <c r="T19" s="196">
        <f>_xll.qlIndexFixing(IborIndex,S19,TRUE,RecalcTrigger)</f>
        <v>2.6571083663150721E-2</v>
      </c>
      <c r="U19" s="212">
        <f>T19-P19</f>
        <v>2.2108366315072223E-4</v>
      </c>
      <c r="V19" s="197">
        <f t="array" ref="V19">MAX(ABS(U19:U24))</f>
        <v>2.2108366315072223E-4</v>
      </c>
      <c r="W19" s="175"/>
      <c r="X19" s="183" t="s">
        <v>136</v>
      </c>
      <c r="Y19" s="184">
        <f>_xll.qlSettingsEvaluationDate(Trigger)</f>
        <v>41897</v>
      </c>
      <c r="Z19" s="184">
        <f>_xll.qlCalendarAdvance(Calendar,Y19,NDays&amp;"D")</f>
        <v>41897</v>
      </c>
      <c r="AA19" s="185">
        <f t="array" ref="AA19:AA3552">IFERROR(_xll.qlIndexFixing(IborIndex,Y19:Y3552,TRUE,RecalcTrigger),NA())</f>
        <v>2.6655848090410713E-2</v>
      </c>
      <c r="AB19" s="182">
        <f t="array" ref="AB19:AB3552">IFERROR(_xll.qlIndexFixing(OverNightIndex,Z19:Z3552,TRUE,RecalcTrigger),NA())</f>
        <v>2.6661404978790548E-2</v>
      </c>
    </row>
    <row r="20" spans="1:28" ht="12" thickBot="1" x14ac:dyDescent="0.25">
      <c r="J20" s="163"/>
      <c r="M20" s="183" t="str">
        <v>obj_0046e#0003</v>
      </c>
      <c r="N20" s="183" t="str">
        <f>_xll.qlRateHelperQuoteName(M20)</f>
        <v>AUD2x5F_Quote</v>
      </c>
      <c r="O20" s="181">
        <f>_xll.qlRateHelperEarliestDate(M20)</f>
        <v>41957</v>
      </c>
      <c r="P20" s="196">
        <f>_xll.qlRateHelperQuoteValue(M20,"ohTrigger(Trigger,RecalcTrigger))")</f>
        <v>2.6349999999999998E-2</v>
      </c>
      <c r="Q20" s="196"/>
      <c r="R20" s="193" t="e">
        <f>NA()</f>
        <v>#N/A</v>
      </c>
      <c r="S20" s="181">
        <f>_xll.qlInterestRateIndexFixingDate(IborIndex,O20)</f>
        <v>41957</v>
      </c>
      <c r="T20" s="196">
        <f>_xll.qlIndexFixing(IborIndex,S20,TRUE,RecalcTrigger)</f>
        <v>2.6498646747226236E-2</v>
      </c>
      <c r="U20" s="212">
        <f>T20-P20</f>
        <v>1.4864674722623802E-4</v>
      </c>
      <c r="X20" s="183" t="str">
        <f>X19</f>
        <v>1D</v>
      </c>
      <c r="Y20" s="181">
        <f>_xll.qlCalendarAdvance(Calendar,Y19,X20,"f",FALSE)</f>
        <v>41898</v>
      </c>
      <c r="Z20" s="184">
        <f>_xll.qlCalendarAdvance(Calendar,Y20,NDays&amp;"D")</f>
        <v>41898</v>
      </c>
      <c r="AA20" s="185">
        <v>2.6653444714135721E-2</v>
      </c>
      <c r="AB20" s="182">
        <v>2.6661390389163264E-2</v>
      </c>
    </row>
    <row r="21" spans="1:28" x14ac:dyDescent="0.2">
      <c r="M21" s="183" t="str">
        <v>obj_0046d#0003</v>
      </c>
      <c r="N21" s="183" t="str">
        <f>_xll.qlRateHelperQuoteName(M21)</f>
        <v>AUD3x6F_Quote</v>
      </c>
      <c r="O21" s="181">
        <f>_xll.qlRateHelperEarliestDate(M21)</f>
        <v>41988</v>
      </c>
      <c r="P21" s="196">
        <f>_xll.qlRateHelperQuoteValue(M21,"ohTrigger(Trigger,RecalcTrigger))")</f>
        <v>2.6450000000000001E-2</v>
      </c>
      <c r="Q21" s="196"/>
      <c r="R21" s="193" t="e">
        <f>NA()</f>
        <v>#N/A</v>
      </c>
      <c r="S21" s="181">
        <f>_xll.qlInterestRateIndexFixingDate(IborIndex,O21)</f>
        <v>41988</v>
      </c>
      <c r="T21" s="196">
        <f>_xll.qlIndexFixing(IborIndex,S21,TRUE,RecalcTrigger)</f>
        <v>2.6452397754503018E-2</v>
      </c>
      <c r="U21" s="212">
        <f>T21-P21</f>
        <v>2.3977545030168246E-6</v>
      </c>
      <c r="X21" s="183" t="str">
        <f t="shared" ref="X21:X84" si="6">X20</f>
        <v>1D</v>
      </c>
      <c r="Y21" s="181">
        <f>_xll.qlCalendarAdvance(Calendar,Y20,X21,"f",FALSE)</f>
        <v>41899</v>
      </c>
      <c r="Z21" s="184">
        <f>_xll.qlCalendarAdvance(Calendar,Y21,NDays&amp;"D")</f>
        <v>41899</v>
      </c>
      <c r="AA21" s="185">
        <v>2.6651000000597082E-2</v>
      </c>
      <c r="AB21" s="182">
        <v>2.6661361209989742E-2</v>
      </c>
    </row>
    <row r="22" spans="1:28" x14ac:dyDescent="0.2">
      <c r="M22" s="183" t="str">
        <v>obj_0046f#0003</v>
      </c>
      <c r="N22" s="183" t="str">
        <f>_xll.qlRateHelperQuoteName(M22)</f>
        <v>AUD4x7F_Quote</v>
      </c>
      <c r="O22" s="181">
        <f>_xll.qlRateHelperEarliestDate(M22)</f>
        <v>42019</v>
      </c>
      <c r="P22" s="196">
        <f>_xll.qlRateHelperQuoteValue(M22,"ohTrigger(Trigger,RecalcTrigger))")</f>
        <v>2.6550000000000004E-2</v>
      </c>
      <c r="Q22" s="196"/>
      <c r="R22" s="193" t="e">
        <f>NA()</f>
        <v>#N/A</v>
      </c>
      <c r="S22" s="181">
        <f>_xll.qlInterestRateIndexFixingDate(IborIndex,O22)</f>
        <v>42019</v>
      </c>
      <c r="T22" s="196">
        <f>_xll.qlIndexFixing(IborIndex,S22,TRUE,RecalcTrigger)</f>
        <v>2.6464251405701574E-2</v>
      </c>
      <c r="U22" s="212">
        <f>T22-P22</f>
        <v>-8.5748594298429986E-5</v>
      </c>
      <c r="X22" s="183" t="str">
        <f t="shared" si="6"/>
        <v>1D</v>
      </c>
      <c r="Y22" s="181">
        <f>_xll.qlCalendarAdvance(Calendar,Y21,X22,"f",FALSE)</f>
        <v>41900</v>
      </c>
      <c r="Z22" s="184">
        <f>_xll.qlCalendarAdvance(Calendar,Y22,NDays&amp;"D")</f>
        <v>41900</v>
      </c>
      <c r="AA22" s="185">
        <v>2.6648513556582286E-2</v>
      </c>
      <c r="AB22" s="182">
        <v>2.6661317441351029E-2</v>
      </c>
    </row>
    <row r="23" spans="1:28" x14ac:dyDescent="0.2">
      <c r="M23" s="183" t="str">
        <v>obj_00473#0003</v>
      </c>
      <c r="N23" s="183" t="str">
        <f>_xll.qlRateHelperQuoteName(M23)</f>
        <v>AUD5x8F_Quote</v>
      </c>
      <c r="O23" s="181">
        <f>_xll.qlRateHelperEarliestDate(M23)</f>
        <v>42048</v>
      </c>
      <c r="P23" s="196">
        <f>_xll.qlRateHelperQuoteValue(M23,"ohTrigger(Trigger,RecalcTrigger))")</f>
        <v>2.665E-2</v>
      </c>
      <c r="Q23" s="196"/>
      <c r="R23" s="193" t="e">
        <f>NA()</f>
        <v>#N/A</v>
      </c>
      <c r="S23" s="181">
        <f>_xll.qlInterestRateIndexFixingDate(IborIndex,O23)</f>
        <v>42048</v>
      </c>
      <c r="T23" s="196">
        <f>_xll.qlIndexFixing(IborIndex,S23,TRUE,RecalcTrigger)</f>
        <v>2.6530520993686149E-2</v>
      </c>
      <c r="U23" s="212">
        <f>T23-P23</f>
        <v>-1.1947900631385094E-4</v>
      </c>
      <c r="X23" s="183" t="str">
        <f t="shared" si="6"/>
        <v>1D</v>
      </c>
      <c r="Y23" s="181">
        <f>_xll.qlCalendarAdvance(Calendar,Y22,X23,"f",FALSE)</f>
        <v>41901</v>
      </c>
      <c r="Z23" s="184">
        <f>_xll.qlCalendarAdvance(Calendar,Y23,NDays&amp;"D")</f>
        <v>41901</v>
      </c>
      <c r="AA23" s="185">
        <v>2.6645986080223994E-2</v>
      </c>
      <c r="AB23" s="182">
        <v>2.6663128767751752E-2</v>
      </c>
    </row>
    <row r="24" spans="1:28" ht="12" thickBot="1" x14ac:dyDescent="0.25">
      <c r="M24" s="183" t="str">
        <v>obj_00471#0003</v>
      </c>
      <c r="N24" s="183" t="str">
        <f>_xll.qlRateHelperQuoteName(M24)</f>
        <v>AUD6x9F_Quote</v>
      </c>
      <c r="O24" s="181">
        <f>_xll.qlRateHelperEarliestDate(M24)</f>
        <v>42076</v>
      </c>
      <c r="P24" s="196">
        <f>_xll.qlRateHelperQuoteValue(M24,"ohTrigger(Trigger,RecalcTrigger))")</f>
        <v>2.6849999999999999E-2</v>
      </c>
      <c r="Q24" s="196"/>
      <c r="R24" s="193" t="e">
        <f>NA()</f>
        <v>#N/A</v>
      </c>
      <c r="S24" s="181">
        <f>_xll.qlInterestRateIndexFixingDate(IborIndex,O24)</f>
        <v>42076</v>
      </c>
      <c r="T24" s="196">
        <f>_xll.qlIndexFixing(IborIndex,S24,TRUE,RecalcTrigger)</f>
        <v>2.666106214895925E-2</v>
      </c>
      <c r="U24" s="212">
        <f>T24-P24</f>
        <v>-1.8893785104074842E-4</v>
      </c>
      <c r="X24" s="183" t="str">
        <f t="shared" si="6"/>
        <v>1D</v>
      </c>
      <c r="Y24" s="181">
        <f>_xll.qlCalendarAdvance(Calendar,Y23,X24,"f",FALSE)</f>
        <v>41904</v>
      </c>
      <c r="Z24" s="184">
        <f>_xll.qlCalendarAdvance(Calendar,Y24,NDays&amp;"D")</f>
        <v>41904</v>
      </c>
      <c r="AA24" s="185">
        <v>2.6638167166781725E-2</v>
      </c>
      <c r="AB24" s="182">
        <v>2.6660996471090659E-2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6"/>
        <v>1D</v>
      </c>
      <c r="Y25" s="181">
        <f>_xll.qlCalendarAdvance(Calendar,Y24,X25,"f",FALSE)</f>
        <v>41905</v>
      </c>
      <c r="Z25" s="184">
        <f>_xll.qlCalendarAdvance(Calendar,Y25,NDays&amp;"D")</f>
        <v>41905</v>
      </c>
      <c r="AA25" s="185">
        <v>2.6635485270735004E-2</v>
      </c>
      <c r="AB25" s="182">
        <v>2.6660879754558664E-2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6"/>
        <v>1D</v>
      </c>
      <c r="Y26" s="181">
        <f>_xll.qlCalendarAdvance(Calendar,Y25,X26,"f",FALSE)</f>
        <v>41906</v>
      </c>
      <c r="Z26" s="184">
        <f>_xll.qlCalendarAdvance(Calendar,Y26,NDays&amp;"D")</f>
        <v>41906</v>
      </c>
      <c r="AA26" s="185">
        <v>2.6632767197179105E-2</v>
      </c>
      <c r="AB26" s="182">
        <v>2.6660733807388759E-2</v>
      </c>
    </row>
    <row r="27" spans="1:28" x14ac:dyDescent="0.2">
      <c r="M27" s="208" t="str">
        <f t="array" ref="M27:M60">_xll.ohFilter(RateHelpers!B15:B56,RateHelpers!M15:M56)</f>
        <v>obj_004aa#0003</v>
      </c>
      <c r="N27" s="183" t="str">
        <f>_xll.qlRateHelperQuoteName(M27)</f>
        <v>AUDFUT3MU4_Quote</v>
      </c>
      <c r="O27" s="181">
        <f>_xll.qlRateHelperEarliestDate(M27)</f>
        <v>41899</v>
      </c>
      <c r="P27" s="265">
        <f>_xll.qlRateHelperQuoteValue(M27,_xll.ohTrigger(RecalcTrigger,Trigger))</f>
        <v>97.335000000000008</v>
      </c>
      <c r="Q27" s="196">
        <f>(100-P27)/100</f>
        <v>2.664999999999992E-2</v>
      </c>
      <c r="R27" s="185" t="e">
        <f>NA()</f>
        <v>#N/A</v>
      </c>
      <c r="S27" s="181">
        <f>_xll.qlInterestRateIndexFixingDate(IborIndex,O27)</f>
        <v>41899</v>
      </c>
      <c r="T27" s="265">
        <f>100*(1-_xll.qlIndexFixing(IborIndex,S27,TRUE,RecalcTrigger))</f>
        <v>97.334899999940291</v>
      </c>
      <c r="U27" s="267">
        <f>T27-P27</f>
        <v>-1.0000005971733117E-4</v>
      </c>
      <c r="V27" s="266">
        <f t="array" ref="V27">MAX(ABS(U27:U34))</f>
        <v>2.2168901249401074E-2</v>
      </c>
      <c r="X27" s="183" t="str">
        <f t="shared" si="6"/>
        <v>1D</v>
      </c>
      <c r="Y27" s="181">
        <f>_xll.qlCalendarAdvance(Calendar,Y26,X27,"f",FALSE)</f>
        <v>41907</v>
      </c>
      <c r="Z27" s="184">
        <f>_xll.qlCalendarAdvance(Calendar,Y27,NDays&amp;"D")</f>
        <v>41907</v>
      </c>
      <c r="AA27" s="185">
        <v>2.6627996695733822E-2</v>
      </c>
      <c r="AB27" s="182">
        <v>2.6660500064890069E-2</v>
      </c>
    </row>
    <row r="28" spans="1:28" x14ac:dyDescent="0.2">
      <c r="M28" s="208" t="str">
        <v>obj_0049d#0003</v>
      </c>
      <c r="N28" s="183" t="str">
        <f>_xll.qlRateHelperQuoteName(M28)</f>
        <v>AUDFUT3MZ4_Quote</v>
      </c>
      <c r="O28" s="181">
        <f>_xll.qlRateHelperEarliestDate(M28)</f>
        <v>41990</v>
      </c>
      <c r="P28" s="265">
        <f>_xll.qlRateHelperQuoteValue(M28,_xll.ohTrigger(RecalcTrigger,Trigger))</f>
        <v>97.35499999999999</v>
      </c>
      <c r="Q28" s="196">
        <f>(100-P28)/100</f>
        <v>2.6450000000000102E-2</v>
      </c>
      <c r="R28" s="185" t="e">
        <f>NA()</f>
        <v>#N/A</v>
      </c>
      <c r="S28" s="181">
        <f>_xll.qlInterestRateIndexFixingDate(IborIndex,O28)</f>
        <v>41990</v>
      </c>
      <c r="T28" s="265">
        <f>100*(1-_xll.qlIndexFixing(IborIndex,S28,TRUE,RecalcTrigger))</f>
        <v>97.354999999785036</v>
      </c>
      <c r="U28" s="267">
        <f>T28-P28</f>
        <v>-2.1495338842214551E-10</v>
      </c>
      <c r="X28" s="183" t="str">
        <f t="shared" si="6"/>
        <v>1D</v>
      </c>
      <c r="Y28" s="181">
        <f>_xll.qlCalendarAdvance(Calendar,Y27,X28,"f",FALSE)</f>
        <v>41908</v>
      </c>
      <c r="Z28" s="184">
        <f>_xll.qlCalendarAdvance(Calendar,Y28,NDays&amp;"D")</f>
        <v>41908</v>
      </c>
      <c r="AA28" s="185">
        <v>2.6625706107978851E-2</v>
      </c>
      <c r="AB28" s="182">
        <v>2.6661638403074527E-2</v>
      </c>
    </row>
    <row r="29" spans="1:28" x14ac:dyDescent="0.2">
      <c r="M29" s="208" t="str">
        <v>obj_004c4#0003</v>
      </c>
      <c r="N29" s="183" t="str">
        <f>_xll.qlRateHelperQuoteName(M29)</f>
        <v>AUDFUT3MH5_Quote</v>
      </c>
      <c r="O29" s="181">
        <f>_xll.qlRateHelperEarliestDate(M29)</f>
        <v>42081</v>
      </c>
      <c r="P29" s="265">
        <f>_xll.qlRateHelperQuoteValue(M29,_xll.ohTrigger(RecalcTrigger,Trigger))</f>
        <v>97.314999999999998</v>
      </c>
      <c r="Q29" s="196">
        <f>(100-P29)/100</f>
        <v>2.6850000000000023E-2</v>
      </c>
      <c r="R29" s="185" t="e">
        <f>NA()</f>
        <v>#N/A</v>
      </c>
      <c r="S29" s="181">
        <f>_xll.qlInterestRateIndexFixingDate(IborIndex,O29)</f>
        <v>42081</v>
      </c>
      <c r="T29" s="265">
        <f>100*(1-_xll.qlIndexFixing(IborIndex,S29,TRUE,RecalcTrigger))</f>
        <v>97.332185846924958</v>
      </c>
      <c r="U29" s="267">
        <f>T29-P29</f>
        <v>1.7185846924959947E-2</v>
      </c>
      <c r="X29" s="183" t="str">
        <f t="shared" si="6"/>
        <v>1D</v>
      </c>
      <c r="Y29" s="181">
        <f>_xll.qlCalendarAdvance(Calendar,Y28,X29,"f",FALSE)</f>
        <v>41911</v>
      </c>
      <c r="Z29" s="184">
        <f>_xll.qlCalendarAdvance(Calendar,Y29,NDays&amp;"D")</f>
        <v>41911</v>
      </c>
      <c r="AA29" s="185">
        <v>2.6618688393851359E-2</v>
      </c>
      <c r="AB29" s="182">
        <v>2.6658540730609692E-2</v>
      </c>
    </row>
    <row r="30" spans="1:28" x14ac:dyDescent="0.2">
      <c r="M30" s="208" t="str">
        <v>obj_004a9#0003</v>
      </c>
      <c r="N30" s="183" t="str">
        <f>_xll.qlRateHelperQuoteName(M30)</f>
        <v>AUDFUT3MM5_Quote</v>
      </c>
      <c r="O30" s="181">
        <f>_xll.qlRateHelperEarliestDate(M30)</f>
        <v>42172</v>
      </c>
      <c r="P30" s="265">
        <f>_xll.qlRateHelperQuoteValue(M30,_xll.ohTrigger(RecalcTrigger,Trigger))</f>
        <v>97.254999999999995</v>
      </c>
      <c r="Q30" s="196">
        <f>(100-P30)/100</f>
        <v>2.7450000000000044E-2</v>
      </c>
      <c r="R30" s="185" t="e">
        <f>NA()</f>
        <v>#N/A</v>
      </c>
      <c r="S30" s="181">
        <f>_xll.qlInterestRateIndexFixingDate(IborIndex,O30)</f>
        <v>42172</v>
      </c>
      <c r="T30" s="265">
        <f>100*(1-_xll.qlIndexFixing(IborIndex,S30,TRUE,RecalcTrigger))</f>
        <v>97.266412453066451</v>
      </c>
      <c r="U30" s="267">
        <f>T30-P30</f>
        <v>1.1412453066455441E-2</v>
      </c>
      <c r="X30" s="183" t="str">
        <f t="shared" si="6"/>
        <v>1D</v>
      </c>
      <c r="Y30" s="181">
        <f>_xll.qlCalendarAdvance(Calendar,Y29,X30,"f",FALSE)</f>
        <v>41912</v>
      </c>
      <c r="Z30" s="184">
        <f>_xll.qlCalendarAdvance(Calendar,Y30,NDays&amp;"D")</f>
        <v>41912</v>
      </c>
      <c r="AA30" s="185">
        <v>2.6615275735189754E-2</v>
      </c>
      <c r="AB30" s="182">
        <v>2.6657794806008717E-2</v>
      </c>
    </row>
    <row r="31" spans="1:28" x14ac:dyDescent="0.2">
      <c r="M31" s="208" t="str">
        <v>obj_0049e#0003</v>
      </c>
      <c r="N31" s="183" t="str">
        <f>_xll.qlRateHelperQuoteName(M31)</f>
        <v>AUDFUT3MU5_Quote</v>
      </c>
      <c r="O31" s="181">
        <f>_xll.qlRateHelperEarliestDate(M31)</f>
        <v>42263</v>
      </c>
      <c r="P31" s="265">
        <f>_xll.qlRateHelperQuoteValue(M31,_xll.ohTrigger(RecalcTrigger,Trigger))</f>
        <v>97.164999999999992</v>
      </c>
      <c r="Q31" s="196">
        <f>(100-P31)/100</f>
        <v>2.835000000000008E-2</v>
      </c>
      <c r="R31" s="185" t="e">
        <f>NA()</f>
        <v>#N/A</v>
      </c>
      <c r="S31" s="181">
        <f>_xll.qlInterestRateIndexFixingDate(IborIndex,O31)</f>
        <v>42263</v>
      </c>
      <c r="T31" s="265">
        <f>100*(1-_xll.qlIndexFixing(IborIndex,S31,TRUE,RecalcTrigger))</f>
        <v>97.168825889813562</v>
      </c>
      <c r="U31" s="267">
        <f>T31-P31</f>
        <v>3.8258898135694608E-3</v>
      </c>
      <c r="X31" s="183" t="str">
        <f t="shared" si="6"/>
        <v>1D</v>
      </c>
      <c r="Y31" s="181">
        <f>_xll.qlCalendarAdvance(Calendar,Y30,X31,"f",FALSE)</f>
        <v>41913</v>
      </c>
      <c r="Z31" s="184">
        <f>_xll.qlCalendarAdvance(Calendar,Y31,NDays&amp;"D")</f>
        <v>41913</v>
      </c>
      <c r="AA31" s="185">
        <v>2.6611843463623667E-2</v>
      </c>
      <c r="AB31" s="182">
        <v>2.6656911879640033E-2</v>
      </c>
    </row>
    <row r="32" spans="1:28" x14ac:dyDescent="0.2">
      <c r="M32" s="208" t="str">
        <v>obj_004ab#0003</v>
      </c>
      <c r="N32" s="183" t="str">
        <f>_xll.qlRateHelperQuoteName(M32)</f>
        <v>AUDFUT3MZ5_Quote</v>
      </c>
      <c r="O32" s="181">
        <f>_xll.qlRateHelperEarliestDate(M32)</f>
        <v>42354</v>
      </c>
      <c r="P32" s="265">
        <f>_xll.qlRateHelperQuoteValue(M32,_xll.ohTrigger(RecalcTrigger,Trigger))</f>
        <v>97.055000000000007</v>
      </c>
      <c r="Q32" s="196">
        <f>(100-P32)/100</f>
        <v>2.9449999999999931E-2</v>
      </c>
      <c r="R32" s="185" t="e">
        <f>NA()</f>
        <v>#N/A</v>
      </c>
      <c r="S32" s="181">
        <f>_xll.qlInterestRateIndexFixingDate(IborIndex,O32)</f>
        <v>42354</v>
      </c>
      <c r="T32" s="265">
        <f>100*(1-_xll.qlIndexFixing(IborIndex,S32,TRUE,RecalcTrigger))</f>
        <v>97.066789398666756</v>
      </c>
      <c r="U32" s="267">
        <f>T32-P32</f>
        <v>1.1789398666749662E-2</v>
      </c>
      <c r="X32" s="183" t="str">
        <f t="shared" si="6"/>
        <v>1D</v>
      </c>
      <c r="Y32" s="181">
        <f>_xll.qlCalendarAdvance(Calendar,Y31,X32,"f",FALSE)</f>
        <v>41914</v>
      </c>
      <c r="Z32" s="184">
        <f>_xll.qlCalendarAdvance(Calendar,Y32,NDays&amp;"D")</f>
        <v>41914</v>
      </c>
      <c r="AA32" s="185">
        <v>2.6609410234184071E-2</v>
      </c>
      <c r="AB32" s="182">
        <v>2.6655753690925099E-2</v>
      </c>
    </row>
    <row r="33" spans="10:28" x14ac:dyDescent="0.2">
      <c r="M33" s="208" t="str">
        <v>obj_004a4#0003</v>
      </c>
      <c r="N33" s="183" t="str">
        <f>_xll.qlRateHelperQuoteName(M33)</f>
        <v>AUDFUT3MH6_Quote</v>
      </c>
      <c r="O33" s="181">
        <f>_xll.qlRateHelperEarliestDate(M33)</f>
        <v>42445</v>
      </c>
      <c r="P33" s="265">
        <f>_xll.qlRateHelperQuoteValue(M33,_xll.ohTrigger(RecalcTrigger,Trigger))</f>
        <v>96.949999999999989</v>
      </c>
      <c r="Q33" s="196">
        <f>(100-P33)/100</f>
        <v>3.0500000000000114E-2</v>
      </c>
      <c r="R33" s="185" t="e">
        <f>NA()</f>
        <v>#N/A</v>
      </c>
      <c r="S33" s="181">
        <f>_xll.qlInterestRateIndexFixingDate(IborIndex,O33)</f>
        <v>42445</v>
      </c>
      <c r="T33" s="265">
        <f>100*(1-_xll.qlIndexFixing(IborIndex,S33,TRUE,RecalcTrigger))</f>
        <v>96.967462488333567</v>
      </c>
      <c r="U33" s="267">
        <f>T33-P33</f>
        <v>1.7462488333578108E-2</v>
      </c>
      <c r="X33" s="183" t="str">
        <f t="shared" si="6"/>
        <v>1D</v>
      </c>
      <c r="Y33" s="181">
        <f>_xll.qlCalendarAdvance(Calendar,Y32,X33,"f",FALSE)</f>
        <v>41915</v>
      </c>
      <c r="Z33" s="184">
        <f>_xll.qlCalendarAdvance(Calendar,Y33,NDays&amp;"D")</f>
        <v>41915</v>
      </c>
      <c r="AA33" s="185">
        <v>2.6605448696881442E-2</v>
      </c>
      <c r="AB33" s="182">
        <v>2.6654228232134425E-2</v>
      </c>
    </row>
    <row r="34" spans="10:28" x14ac:dyDescent="0.2">
      <c r="M34" s="208" t="str">
        <v>obj_004ba#0003</v>
      </c>
      <c r="N34" s="183" t="str">
        <f>_xll.qlRateHelperQuoteName(M34)</f>
        <v>AUDFUT3MM6_Quote</v>
      </c>
      <c r="O34" s="181">
        <f>_xll.qlRateHelperEarliestDate(M34)</f>
        <v>42536</v>
      </c>
      <c r="P34" s="265">
        <f>_xll.qlRateHelperQuoteValue(M34,_xll.ohTrigger(RecalcTrigger,Trigger))</f>
        <v>96.85</v>
      </c>
      <c r="Q34" s="196">
        <f>(100-P34)/100</f>
        <v>3.1500000000000056E-2</v>
      </c>
      <c r="R34" s="185" t="e">
        <f>NA()</f>
        <v>#N/A</v>
      </c>
      <c r="S34" s="181">
        <f>_xll.qlInterestRateIndexFixingDate(IborIndex,O34)</f>
        <v>42536</v>
      </c>
      <c r="T34" s="265">
        <f>100*(1-_xll.qlIndexFixing(IborIndex,S34,TRUE,RecalcTrigger))</f>
        <v>96.872168901249395</v>
      </c>
      <c r="U34" s="267">
        <f>T34-P34</f>
        <v>2.2168901249401074E-2</v>
      </c>
      <c r="X34" s="183" t="str">
        <f t="shared" si="6"/>
        <v>1D</v>
      </c>
      <c r="Y34" s="181">
        <f>_xll.qlCalendarAdvance(Calendar,Y33,X34,"f",FALSE)</f>
        <v>41919</v>
      </c>
      <c r="Z34" s="184">
        <f>_xll.qlCalendarAdvance(Calendar,Y34,NDays&amp;"D")</f>
        <v>41919</v>
      </c>
      <c r="AA34" s="185">
        <v>2.6594534061691367E-2</v>
      </c>
      <c r="AB34" s="182">
        <v>2.6645315332353148E-2</v>
      </c>
    </row>
    <row r="35" spans="10:28" x14ac:dyDescent="0.2">
      <c r="M35" s="208" t="str">
        <v>obj_004a8#0003</v>
      </c>
      <c r="N35" s="183" t="str">
        <f>_xll.qlRateHelperQuoteName(M35)</f>
        <v>AUDFUT3MU6_Quote</v>
      </c>
      <c r="O35" s="181">
        <f>_xll.qlRateHelperEarliestDate(M35)</f>
        <v>42634</v>
      </c>
      <c r="P35" s="265">
        <f>_xll.qlRateHelperQuoteValue(M35,_xll.ohTrigger(RecalcTrigger,Trigger))</f>
        <v>96.754999999999995</v>
      </c>
      <c r="Q35" s="196">
        <f>(100-P35)/100</f>
        <v>3.2450000000000048E-2</v>
      </c>
      <c r="R35" s="185" t="e">
        <f>NA()</f>
        <v>#N/A</v>
      </c>
      <c r="S35" s="181">
        <f>_xll.qlInterestRateIndexFixingDate(IborIndex,O35)</f>
        <v>42634</v>
      </c>
      <c r="T35" s="265">
        <f>100*(1-_xll.qlIndexFixing(IborIndex,S35,TRUE,RecalcTrigger))</f>
        <v>96.772820172669071</v>
      </c>
      <c r="U35" s="267">
        <f>T35-P35</f>
        <v>1.7820172669075873E-2</v>
      </c>
      <c r="X35" s="183" t="str">
        <f t="shared" si="6"/>
        <v>1D</v>
      </c>
      <c r="Y35" s="181">
        <f>_xll.qlCalendarAdvance(Calendar,Y34,X35,"f",FALSE)</f>
        <v>41920</v>
      </c>
      <c r="Z35" s="184">
        <f>_xll.qlCalendarAdvance(Calendar,Y35,NDays&amp;"D")</f>
        <v>41920</v>
      </c>
      <c r="AA35" s="185">
        <v>2.6591555776706841E-2</v>
      </c>
      <c r="AB35" s="182">
        <v>2.6642325922860977E-2</v>
      </c>
    </row>
    <row r="36" spans="10:28" x14ac:dyDescent="0.2">
      <c r="M36" s="208" t="str">
        <v>obj_004a5#0003</v>
      </c>
      <c r="N36" s="183" t="str">
        <f>_xll.qlRateHelperQuoteName(M36)</f>
        <v>AUDFUT3MZ6_Quote</v>
      </c>
      <c r="O36" s="181">
        <f>_xll.qlRateHelperEarliestDate(M36)</f>
        <v>42725</v>
      </c>
      <c r="P36" s="265">
        <f>_xll.qlRateHelperQuoteValue(M36,_xll.ohTrigger(RecalcTrigger,Trigger))</f>
        <v>96.67</v>
      </c>
      <c r="Q36" s="196">
        <f>(100-P36)/100</f>
        <v>3.3299999999999982E-2</v>
      </c>
      <c r="R36" s="185" t="e">
        <f>NA()</f>
        <v>#N/A</v>
      </c>
      <c r="S36" s="181">
        <f>_xll.qlInterestRateIndexFixingDate(IborIndex,O36)</f>
        <v>42725</v>
      </c>
      <c r="T36" s="265">
        <f>100*(1-_xll.qlIndexFixing(IborIndex,S36,TRUE,RecalcTrigger))</f>
        <v>96.679116283829785</v>
      </c>
      <c r="U36" s="267">
        <f>T36-P36</f>
        <v>9.1162838297833559E-3</v>
      </c>
      <c r="X36" s="183" t="str">
        <f t="shared" si="6"/>
        <v>1D</v>
      </c>
      <c r="Y36" s="181">
        <f>_xll.qlCalendarAdvance(Calendar,Y35,X36,"f",FALSE)</f>
        <v>41921</v>
      </c>
      <c r="Z36" s="184">
        <f>_xll.qlCalendarAdvance(Calendar,Y36,NDays&amp;"D")</f>
        <v>41921</v>
      </c>
      <c r="AA36" s="185">
        <v>2.6588585949800271E-2</v>
      </c>
      <c r="AB36" s="182">
        <v>2.6639165411540544E-2</v>
      </c>
    </row>
    <row r="37" spans="10:28" x14ac:dyDescent="0.2">
      <c r="M37" s="208" t="str">
        <v>obj_004ac#0003</v>
      </c>
      <c r="N37" s="183" t="str">
        <f>_xll.qlRateHelperQuoteName(M37)</f>
        <v>AUDFUT3MH7_Quote</v>
      </c>
      <c r="O37" s="181">
        <f>_xll.qlRateHelperEarliestDate(M37)</f>
        <v>42809</v>
      </c>
      <c r="P37" s="265">
        <f>_xll.qlRateHelperQuoteValue(M37,_xll.ohTrigger(RecalcTrigger,Trigger))</f>
        <v>96.57</v>
      </c>
      <c r="Q37" s="196">
        <f>(100-P37)/100</f>
        <v>3.4300000000000067E-2</v>
      </c>
      <c r="R37" s="185" t="e">
        <f>NA()</f>
        <v>#N/A</v>
      </c>
      <c r="S37" s="181">
        <f>_xll.qlInterestRateIndexFixingDate(IborIndex,O37)</f>
        <v>42809</v>
      </c>
      <c r="T37" s="265">
        <f>100*(1-_xll.qlIndexFixing(IborIndex,S37,TRUE,RecalcTrigger))</f>
        <v>96.588495297891896</v>
      </c>
      <c r="U37" s="267">
        <f>T37-P37</f>
        <v>1.8495297891902851E-2</v>
      </c>
      <c r="X37" s="183" t="str">
        <f t="shared" si="6"/>
        <v>1D</v>
      </c>
      <c r="Y37" s="181">
        <f>_xll.qlCalendarAdvance(Calendar,Y36,X37,"f",FALSE)</f>
        <v>41922</v>
      </c>
      <c r="Z37" s="184">
        <f>_xll.qlCalendarAdvance(Calendar,Y37,NDays&amp;"D")</f>
        <v>41922</v>
      </c>
      <c r="AA37" s="185">
        <v>2.6584727206556573E-2</v>
      </c>
      <c r="AB37" s="182">
        <v>2.6634309821498652E-2</v>
      </c>
    </row>
    <row r="38" spans="10:28" x14ac:dyDescent="0.2">
      <c r="M38" s="208" t="str">
        <v>obj_004a3#0003</v>
      </c>
      <c r="N38" s="183" t="str">
        <f>_xll.qlRateHelperQuoteName(M38)</f>
        <v>AUDFUT3MM7_Quote</v>
      </c>
      <c r="O38" s="181">
        <f>_xll.qlRateHelperEarliestDate(M38)</f>
        <v>42907</v>
      </c>
      <c r="P38" s="265">
        <f>_xll.qlRateHelperQuoteValue(M38,_xll.ohTrigger(RecalcTrigger,Trigger))</f>
        <v>96.47</v>
      </c>
      <c r="Q38" s="196">
        <f>(100-P38)/100</f>
        <v>3.5300000000000012E-2</v>
      </c>
      <c r="R38" s="185" t="e">
        <f>NA()</f>
        <v>#N/A</v>
      </c>
      <c r="S38" s="181">
        <f>_xll.qlInterestRateIndexFixingDate(IborIndex,O38)</f>
        <v>42907</v>
      </c>
      <c r="T38" s="265">
        <f>100*(1-_xll.qlIndexFixing(IborIndex,S38,TRUE,RecalcTrigger))</f>
        <v>96.481774807162211</v>
      </c>
      <c r="U38" s="267">
        <f>T38-P38</f>
        <v>1.1774807162211687E-2</v>
      </c>
      <c r="X38" s="183" t="str">
        <f t="shared" si="6"/>
        <v>1D</v>
      </c>
      <c r="Y38" s="181">
        <f>_xll.qlCalendarAdvance(Calendar,Y37,X38,"f",FALSE)</f>
        <v>41925</v>
      </c>
      <c r="Z38" s="184">
        <f>_xll.qlCalendarAdvance(Calendar,Y38,NDays&amp;"D")</f>
        <v>41925</v>
      </c>
      <c r="AA38" s="185">
        <v>2.657684164452026E-2</v>
      </c>
      <c r="AB38" s="182">
        <v>2.6625089799463542E-2</v>
      </c>
    </row>
    <row r="39" spans="10:28" x14ac:dyDescent="0.2">
      <c r="M39" s="208" t="str">
        <v>obj_004be#0003</v>
      </c>
      <c r="N39" s="183" t="str">
        <f>_xll.qlRateHelperQuoteName(M39)</f>
        <v>AUDFUT3MU7_Quote</v>
      </c>
      <c r="O39" s="181">
        <f>_xll.qlRateHelperEarliestDate(M39)</f>
        <v>42998</v>
      </c>
      <c r="P39" s="265">
        <f>_xll.qlRateHelperQuoteValue(M39,_xll.ohTrigger(RecalcTrigger,Trigger))</f>
        <v>96.385000000000005</v>
      </c>
      <c r="Q39" s="196">
        <f>(100-P39)/100</f>
        <v>3.6149999999999946E-2</v>
      </c>
      <c r="R39" s="185" t="e">
        <f>NA()</f>
        <v>#N/A</v>
      </c>
      <c r="S39" s="181">
        <f>_xll.qlInterestRateIndexFixingDate(IborIndex,O39)</f>
        <v>42998</v>
      </c>
      <c r="T39" s="265">
        <f>100*(1-_xll.qlIndexFixing(IborIndex,S39,TRUE,RecalcTrigger))</f>
        <v>96.382117354910406</v>
      </c>
      <c r="U39" s="267">
        <f>T39-P39</f>
        <v>-2.8826450895991229E-3</v>
      </c>
      <c r="X39" s="183" t="str">
        <f t="shared" si="6"/>
        <v>1D</v>
      </c>
      <c r="Y39" s="181">
        <f>_xll.qlCalendarAdvance(Calendar,Y38,X39,"f",FALSE)</f>
        <v>41926</v>
      </c>
      <c r="Z39" s="184">
        <f>_xll.qlCalendarAdvance(Calendar,Y39,NDays&amp;"D")</f>
        <v>41926</v>
      </c>
      <c r="AA39" s="185">
        <v>2.6573951165175014E-2</v>
      </c>
      <c r="AB39" s="182">
        <v>2.662121250470495E-2</v>
      </c>
    </row>
    <row r="40" spans="10:28" x14ac:dyDescent="0.2">
      <c r="M40" s="208" t="str">
        <v>obj_004b6#0003</v>
      </c>
      <c r="N40" s="183" t="str">
        <f>_xll.qlRateHelperQuoteName(M40)</f>
        <v>AUDFUT3MZ7_Quote</v>
      </c>
      <c r="O40" s="181">
        <f>_xll.qlRateHelperEarliestDate(M40)</f>
        <v>43089</v>
      </c>
      <c r="P40" s="265">
        <f>_xll.qlRateHelperQuoteValue(M40,_xll.ohTrigger(RecalcTrigger,Trigger))</f>
        <v>96.3</v>
      </c>
      <c r="Q40" s="196">
        <f>(100-P40)/100</f>
        <v>3.7000000000000026E-2</v>
      </c>
      <c r="R40" s="185" t="e">
        <f>NA()</f>
        <v>#N/A</v>
      </c>
      <c r="S40" s="181">
        <f>_xll.qlInterestRateIndexFixingDate(IborIndex,O40)</f>
        <v>43089</v>
      </c>
      <c r="T40" s="265">
        <f>100*(1-_xll.qlIndexFixing(IborIndex,S40,TRUE,RecalcTrigger))</f>
        <v>96.285658811273606</v>
      </c>
      <c r="U40" s="267">
        <f>T40-P40</f>
        <v>-1.4341188726390897E-2</v>
      </c>
      <c r="X40" s="183" t="str">
        <f t="shared" si="6"/>
        <v>1D</v>
      </c>
      <c r="Y40" s="181">
        <f>_xll.qlCalendarAdvance(Calendar,Y39,X40,"f",FALSE)</f>
        <v>41927</v>
      </c>
      <c r="Z40" s="184">
        <f>_xll.qlCalendarAdvance(Calendar,Y40,NDays&amp;"D")</f>
        <v>41927</v>
      </c>
      <c r="AA40" s="185">
        <v>2.6571083663150721E-2</v>
      </c>
      <c r="AB40" s="182">
        <v>2.6617191853420819E-2</v>
      </c>
    </row>
    <row r="41" spans="10:28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264" t="e">
        <f>_xll.qlRateHelperQuoteValue(M41,_xll.ohTrigger(RecalcTrigger,Trigger))</f>
        <v>#VALUE!</v>
      </c>
      <c r="Q41" s="196" t="e">
        <f>(100-P41)/100</f>
        <v>#VALUE!</v>
      </c>
      <c r="R41" s="185" t="e">
        <f>NA()</f>
        <v>#N/A</v>
      </c>
      <c r="S41" s="181" t="e">
        <f>_xll.qlInterestRateIndexFixingDate(IborIndex,O41)</f>
        <v>#NUM!</v>
      </c>
      <c r="T41" s="264" t="e">
        <f>100*(1-_xll.qlIndexFixing(IborIndex,S41,TRUE,RecalcTrigger))</f>
        <v>#NUM!</v>
      </c>
      <c r="U41" s="268" t="e">
        <f>T41-P41</f>
        <v>#NUM!</v>
      </c>
      <c r="V41" s="195"/>
      <c r="X41" s="183" t="str">
        <f t="shared" si="6"/>
        <v>1D</v>
      </c>
      <c r="Y41" s="181">
        <f>_xll.qlCalendarAdvance(Calendar,Y40,X41,"f",FALSE)</f>
        <v>41928</v>
      </c>
      <c r="Z41" s="184">
        <f>_xll.qlCalendarAdvance(Calendar,Y41,NDays&amp;"D")</f>
        <v>41928</v>
      </c>
      <c r="AA41" s="185">
        <v>2.6568241507702376E-2</v>
      </c>
      <c r="AB41" s="182">
        <v>2.6613027845286963E-2</v>
      </c>
    </row>
    <row r="42" spans="10:28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264" t="e">
        <f>_xll.qlRateHelperQuoteValue(M42,_xll.ohTrigger(RecalcTrigger,Trigger))</f>
        <v>#VALUE!</v>
      </c>
      <c r="Q42" s="196" t="e">
        <f>(100-P42)/100</f>
        <v>#VALUE!</v>
      </c>
      <c r="R42" s="185" t="e">
        <f>NA()</f>
        <v>#N/A</v>
      </c>
      <c r="S42" s="181" t="e">
        <f>_xll.qlInterestRateIndexFixingDate(IborIndex,O42)</f>
        <v>#NUM!</v>
      </c>
      <c r="T42" s="264" t="e">
        <f>100*(1-_xll.qlIndexFixing(IborIndex,S42,TRUE,RecalcTrigger))</f>
        <v>#NUM!</v>
      </c>
      <c r="U42" s="268" t="e">
        <f>T42-P42</f>
        <v>#NUM!</v>
      </c>
      <c r="V42" s="195"/>
      <c r="X42" s="183" t="str">
        <f t="shared" si="6"/>
        <v>1D</v>
      </c>
      <c r="Y42" s="181">
        <f>_xll.qlCalendarAdvance(Calendar,Y41,X42,"f",FALSE)</f>
        <v>41929</v>
      </c>
      <c r="Z42" s="184">
        <f>_xll.qlCalendarAdvance(Calendar,Y42,NDays&amp;"D")</f>
        <v>41929</v>
      </c>
      <c r="AA42" s="185">
        <v>2.6564692919356914E-2</v>
      </c>
      <c r="AB42" s="182">
        <v>2.660650809908368E-2</v>
      </c>
    </row>
    <row r="43" spans="10:28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264" t="e">
        <f>_xll.qlRateHelperQuoteValue(M43,_xll.ohTrigger(RecalcTrigger,Trigger))</f>
        <v>#VALUE!</v>
      </c>
      <c r="Q43" s="196" t="e">
        <f>(100-P43)/100</f>
        <v>#VALUE!</v>
      </c>
      <c r="R43" s="185" t="e">
        <f>NA()</f>
        <v>#N/A</v>
      </c>
      <c r="S43" s="181" t="e">
        <f>_xll.qlInterestRateIndexFixingDate(IborIndex,O43)</f>
        <v>#NUM!</v>
      </c>
      <c r="T43" s="264" t="e">
        <f>100*(1-_xll.qlIndexFixing(IborIndex,S43,TRUE,RecalcTrigger))</f>
        <v>#NUM!</v>
      </c>
      <c r="U43" s="268" t="e">
        <f>T43-P43</f>
        <v>#NUM!</v>
      </c>
      <c r="V43" s="195"/>
      <c r="X43" s="183" t="str">
        <f t="shared" si="6"/>
        <v>1D</v>
      </c>
      <c r="Y43" s="181">
        <f>_xll.qlCalendarAdvance(Calendar,Y42,X43,"f",FALSE)</f>
        <v>41932</v>
      </c>
      <c r="Z43" s="184">
        <f>_xll.qlCalendarAdvance(Calendar,Y43,NDays&amp;"D")</f>
        <v>41932</v>
      </c>
      <c r="AA43" s="185">
        <v>2.655716234997036E-2</v>
      </c>
      <c r="AB43" s="182">
        <v>2.6596364357061031E-2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4" t="e">
        <f>_xll.qlRateHelperQuoteValue(M44,_xll.ohTrigger(RecalcTrigger,Trigger))</f>
        <v>#VALUE!</v>
      </c>
      <c r="Q44" s="196" t="e">
        <f>(100-P44)/100</f>
        <v>#VALUE!</v>
      </c>
      <c r="R44" s="185" t="e">
        <f>NA()</f>
        <v>#N/A</v>
      </c>
      <c r="S44" s="181" t="e">
        <f>_xll.qlInterestRateIndexFixingDate(IborIndex,O44)</f>
        <v>#NUM!</v>
      </c>
      <c r="T44" s="264" t="e">
        <f>100*(1-_xll.qlIndexFixing(IborIndex,S44,TRUE,RecalcTrigger))</f>
        <v>#NUM!</v>
      </c>
      <c r="U44" s="268" t="e">
        <f>T44-P44</f>
        <v>#NUM!</v>
      </c>
      <c r="X44" s="183" t="str">
        <f t="shared" si="6"/>
        <v>1D</v>
      </c>
      <c r="Y44" s="181">
        <f>_xll.qlCalendarAdvance(Calendar,Y43,X44,"f",FALSE)</f>
        <v>41933</v>
      </c>
      <c r="Z44" s="184">
        <f>_xll.qlCalendarAdvance(Calendar,Y44,NDays&amp;"D")</f>
        <v>41933</v>
      </c>
      <c r="AA44" s="185">
        <v>2.6554466862197763E-2</v>
      </c>
      <c r="AB44" s="182">
        <v>2.659240861031309E-2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4" t="e">
        <f>_xll.qlRateHelperQuoteValue(M45,_xll.ohTrigger(RecalcTrigger,Trigger))</f>
        <v>#VALUE!</v>
      </c>
      <c r="Q45" s="196" t="e">
        <f>(100-P45)/100</f>
        <v>#VALUE!</v>
      </c>
      <c r="R45" s="185" t="e">
        <f>NA()</f>
        <v>#N/A</v>
      </c>
      <c r="S45" s="181" t="e">
        <f>_xll.qlInterestRateIndexFixingDate(IborIndex,O45)</f>
        <v>#NUM!</v>
      </c>
      <c r="T45" s="264" t="e">
        <f>100*(1-_xll.qlIndexFixing(IborIndex,S45,TRUE,RecalcTrigger))</f>
        <v>#NUM!</v>
      </c>
      <c r="U45" s="268" t="e">
        <f>T45-P45</f>
        <v>#NUM!</v>
      </c>
      <c r="X45" s="183" t="str">
        <f t="shared" si="6"/>
        <v>1D</v>
      </c>
      <c r="Y45" s="181">
        <f>_xll.qlCalendarAdvance(Calendar,Y44,X45,"f",FALSE)</f>
        <v>41934</v>
      </c>
      <c r="Z45" s="184">
        <f>_xll.qlCalendarAdvance(Calendar,Y45,NDays&amp;"D")</f>
        <v>41934</v>
      </c>
      <c r="AA45" s="185">
        <v>2.6551800815037246E-2</v>
      </c>
      <c r="AB45" s="182">
        <v>2.658854076814432E-2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4" t="e">
        <f>_xll.qlRateHelperQuoteValue(M46,_xll.ohTrigger(RecalcTrigger,Trigger))</f>
        <v>#VALUE!</v>
      </c>
      <c r="Q46" s="196" t="e">
        <f>(100-P46)/100</f>
        <v>#VALUE!</v>
      </c>
      <c r="R46" s="185" t="e">
        <f>NA()</f>
        <v>#N/A</v>
      </c>
      <c r="S46" s="181" t="e">
        <f>_xll.qlInterestRateIndexFixingDate(IborIndex,O46)</f>
        <v>#NUM!</v>
      </c>
      <c r="T46" s="264" t="e">
        <f>100*(1-_xll.qlIndexFixing(IborIndex,S46,TRUE,RecalcTrigger))</f>
        <v>#NUM!</v>
      </c>
      <c r="U46" s="268" t="e">
        <f>T46-P46</f>
        <v>#NUM!</v>
      </c>
      <c r="V46" s="195"/>
      <c r="X46" s="183" t="str">
        <f t="shared" si="6"/>
        <v>1D</v>
      </c>
      <c r="Y46" s="181">
        <f>_xll.qlCalendarAdvance(Calendar,Y45,X46,"f",FALSE)</f>
        <v>41935</v>
      </c>
      <c r="Z46" s="184">
        <f>_xll.qlCalendarAdvance(Calendar,Y46,NDays&amp;"D")</f>
        <v>41935</v>
      </c>
      <c r="AA46" s="185">
        <v>2.6549164047374979E-2</v>
      </c>
      <c r="AB46" s="182">
        <v>2.6584760830473675E-2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4" t="e">
        <f>_xll.qlRateHelperQuoteValue(M47,_xll.ohTrigger(RecalcTrigger,Trigger))</f>
        <v>#VALUE!</v>
      </c>
      <c r="Q47" s="196" t="e">
        <f>(100-P47)/100</f>
        <v>#VALUE!</v>
      </c>
      <c r="R47" s="185" t="e">
        <f>NA()</f>
        <v>#N/A</v>
      </c>
      <c r="S47" s="181" t="e">
        <f>_xll.qlInterestRateIndexFixingDate(IborIndex,O47)</f>
        <v>#NUM!</v>
      </c>
      <c r="T47" s="264" t="e">
        <f>100*(1-_xll.qlIndexFixing(IborIndex,S47,TRUE,RecalcTrigger))</f>
        <v>#NUM!</v>
      </c>
      <c r="U47" s="268" t="e">
        <f>T47-P47</f>
        <v>#NUM!</v>
      </c>
      <c r="V47" s="195"/>
      <c r="X47" s="183" t="str">
        <f t="shared" si="6"/>
        <v>1D</v>
      </c>
      <c r="Y47" s="181">
        <f>_xll.qlCalendarAdvance(Calendar,Y46,X47,"f",FALSE)</f>
        <v>41936</v>
      </c>
      <c r="Z47" s="184">
        <f>_xll.qlCalendarAdvance(Calendar,Y47,NDays&amp;"D")</f>
        <v>41936</v>
      </c>
      <c r="AA47" s="185">
        <v>2.654580084591892E-2</v>
      </c>
      <c r="AB47" s="182">
        <v>2.6579429258515311E-2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4" t="e">
        <f>_xll.qlRateHelperQuoteValue(M48,_xll.ohTrigger(RecalcTrigger,Trigger))</f>
        <v>#VALUE!</v>
      </c>
      <c r="Q48" s="196" t="e">
        <f>(100-P48)/100</f>
        <v>#VALUE!</v>
      </c>
      <c r="R48" s="185" t="e">
        <f>NA()</f>
        <v>#N/A</v>
      </c>
      <c r="S48" s="181" t="e">
        <f>_xll.qlInterestRateIndexFixingDate(IborIndex,O48)</f>
        <v>#NUM!</v>
      </c>
      <c r="T48" s="264" t="e">
        <f>100*(1-_xll.qlIndexFixing(IborIndex,S48,TRUE,RecalcTrigger))</f>
        <v>#NUM!</v>
      </c>
      <c r="U48" s="268" t="e">
        <f>T48-P48</f>
        <v>#NUM!</v>
      </c>
      <c r="V48" s="195"/>
      <c r="X48" s="183" t="str">
        <f t="shared" si="6"/>
        <v>1D</v>
      </c>
      <c r="Y48" s="181">
        <f>_xll.qlCalendarAdvance(Calendar,Y47,X48,"f",FALSE)</f>
        <v>41939</v>
      </c>
      <c r="Z48" s="184">
        <f>_xll.qlCalendarAdvance(Calendar,Y48,NDays&amp;"D")</f>
        <v>41939</v>
      </c>
      <c r="AA48" s="185">
        <v>2.6538906549527602E-2</v>
      </c>
      <c r="AB48" s="182">
        <v>2.6570520124367114E-2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4" t="e">
        <f>_xll.qlRateHelperQuoteValue(M49,_xll.ohTrigger(RecalcTrigger,Trigger))</f>
        <v>#VALUE!</v>
      </c>
      <c r="Q49" s="196" t="e">
        <f>(100-P49)/100</f>
        <v>#VALUE!</v>
      </c>
      <c r="R49" s="185" t="e">
        <f>NA()</f>
        <v>#N/A</v>
      </c>
      <c r="S49" s="181" t="e">
        <f>_xll.qlInterestRateIndexFixingDate(IborIndex,O49)</f>
        <v>#NUM!</v>
      </c>
      <c r="T49" s="264" t="e">
        <f>100*(1-_xll.qlIndexFixing(IborIndex,S49,TRUE,RecalcTrigger))</f>
        <v>#NUM!</v>
      </c>
      <c r="U49" s="268" t="e">
        <f>T49-P49</f>
        <v>#NUM!</v>
      </c>
      <c r="V49" s="195"/>
      <c r="X49" s="183" t="str">
        <f t="shared" si="6"/>
        <v>1D</v>
      </c>
      <c r="Y49" s="181">
        <f>_xll.qlCalendarAdvance(Calendar,Y48,X49,"f",FALSE)</f>
        <v>41940</v>
      </c>
      <c r="Z49" s="184">
        <f>_xll.qlCalendarAdvance(Calendar,Y49,NDays&amp;"D")</f>
        <v>41940</v>
      </c>
      <c r="AA49" s="185">
        <v>2.6536413762728257E-2</v>
      </c>
      <c r="AB49" s="182">
        <v>2.6567179709025002E-2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4" t="e">
        <f>_xll.qlRateHelperQuoteValue(M50,_xll.ohTrigger(RecalcTrigger,Trigger))</f>
        <v>#VALUE!</v>
      </c>
      <c r="Q50" s="196" t="e">
        <f>(100-P50)/100</f>
        <v>#VALUE!</v>
      </c>
      <c r="R50" s="185" t="e">
        <f>NA()</f>
        <v>#N/A</v>
      </c>
      <c r="S50" s="181" t="e">
        <f>_xll.qlInterestRateIndexFixingDate(IborIndex,O50)</f>
        <v>#NUM!</v>
      </c>
      <c r="T50" s="264" t="e">
        <f>100*(1-_xll.qlIndexFixing(IborIndex,S50,TRUE,RecalcTrigger))</f>
        <v>#NUM!</v>
      </c>
      <c r="U50" s="268" t="e">
        <f>T50-P50</f>
        <v>#NUM!</v>
      </c>
      <c r="V50" s="195"/>
      <c r="X50" s="183" t="str">
        <f t="shared" si="6"/>
        <v>1D</v>
      </c>
      <c r="Y50" s="181">
        <f>_xll.qlCalendarAdvance(Calendar,Y49,X50,"f",FALSE)</f>
        <v>41941</v>
      </c>
      <c r="Z50" s="184">
        <f>_xll.qlCalendarAdvance(Calendar,Y50,NDays&amp;"D")</f>
        <v>41941</v>
      </c>
      <c r="AA50" s="185">
        <v>2.6533949288781118E-2</v>
      </c>
      <c r="AB50" s="182">
        <v>2.6563927198181014E-2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4" t="e">
        <f>_xll.qlRateHelperQuoteValue(M51,_xll.ohTrigger(RecalcTrigger,Trigger))</f>
        <v>#VALUE!</v>
      </c>
      <c r="Q51" s="196" t="e">
        <f>(100-P51)/100</f>
        <v>#VALUE!</v>
      </c>
      <c r="R51" s="185" t="e">
        <f>NA()</f>
        <v>#N/A</v>
      </c>
      <c r="S51" s="181" t="e">
        <f>_xll.qlInterestRateIndexFixingDate(IborIndex,O51)</f>
        <v>#NUM!</v>
      </c>
      <c r="T51" s="264" t="e">
        <f>100*(1-_xll.qlIndexFixing(IborIndex,S51,TRUE,RecalcTrigger))</f>
        <v>#NUM!</v>
      </c>
      <c r="U51" s="268" t="e">
        <f>T51-P51</f>
        <v>#NUM!</v>
      </c>
      <c r="V51" s="195"/>
      <c r="X51" s="183" t="str">
        <f t="shared" si="6"/>
        <v>1D</v>
      </c>
      <c r="Y51" s="181">
        <f>_xll.qlCalendarAdvance(Calendar,Y50,X51,"f",FALSE)</f>
        <v>41942</v>
      </c>
      <c r="Z51" s="184">
        <f>_xll.qlCalendarAdvance(Calendar,Y51,NDays&amp;"D")</f>
        <v>41942</v>
      </c>
      <c r="AA51" s="185">
        <v>2.6531512966583799E-2</v>
      </c>
      <c r="AB51" s="182">
        <v>2.6560762591916198E-2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4" t="e">
        <f>_xll.qlRateHelperQuoteValue(M52,_xll.ohTrigger(RecalcTrigger,Trigger))</f>
        <v>#VALUE!</v>
      </c>
      <c r="Q52" s="196" t="e">
        <f>(100-P52)/100</f>
        <v>#VALUE!</v>
      </c>
      <c r="R52" s="185" t="e">
        <f>NA()</f>
        <v>#N/A</v>
      </c>
      <c r="S52" s="181" t="e">
        <f>_xll.qlInterestRateIndexFixingDate(IborIndex,O52)</f>
        <v>#NUM!</v>
      </c>
      <c r="T52" s="264" t="e">
        <f>100*(1-_xll.qlIndexFixing(IborIndex,S52,TRUE,RecalcTrigger))</f>
        <v>#NUM!</v>
      </c>
      <c r="U52" s="268" t="e">
        <f>T52-P52</f>
        <v>#NUM!</v>
      </c>
      <c r="V52" s="195"/>
      <c r="X52" s="183" t="str">
        <f t="shared" si="6"/>
        <v>1D</v>
      </c>
      <c r="Y52" s="181">
        <f>_xll.qlCalendarAdvance(Calendar,Y51,X52,"f",FALSE)</f>
        <v>41943</v>
      </c>
      <c r="Z52" s="184">
        <f>_xll.qlCalendarAdvance(Calendar,Y52,NDays&amp;"D")</f>
        <v>41943</v>
      </c>
      <c r="AA52" s="185">
        <v>2.652926102869398E-2</v>
      </c>
      <c r="AB52" s="182">
        <v>2.6556658368219747E-2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4" t="e">
        <f>_xll.qlRateHelperQuoteValue(M53,_xll.ohTrigger(RecalcTrigger,Trigger))</f>
        <v>#VALUE!</v>
      </c>
      <c r="Q53" s="196" t="e">
        <f>(100-P53)/100</f>
        <v>#VALUE!</v>
      </c>
      <c r="R53" s="185" t="e">
        <f>NA()</f>
        <v>#N/A</v>
      </c>
      <c r="S53" s="181" t="e">
        <f>_xll.qlInterestRateIndexFixingDate(IborIndex,O53)</f>
        <v>#NUM!</v>
      </c>
      <c r="T53" s="264" t="e">
        <f>100*(1-_xll.qlIndexFixing(IborIndex,S53,TRUE,RecalcTrigger))</f>
        <v>#NUM!</v>
      </c>
      <c r="U53" s="268" t="e">
        <f>T53-P53</f>
        <v>#NUM!</v>
      </c>
      <c r="V53" s="195"/>
      <c r="X53" s="183" t="str">
        <f t="shared" si="6"/>
        <v>1D</v>
      </c>
      <c r="Y53" s="181">
        <f>_xll.qlCalendarAdvance(Calendar,Y52,X53,"f",FALSE)</f>
        <v>41946</v>
      </c>
      <c r="Z53" s="184">
        <f>_xll.qlCalendarAdvance(Calendar,Y53,NDays&amp;"D")</f>
        <v>41946</v>
      </c>
      <c r="AA53" s="185">
        <v>2.6522045973230879E-2</v>
      </c>
      <c r="AB53" s="182">
        <v>2.6548983211027721E-2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4" t="e">
        <f>_xll.qlRateHelperQuoteValue(M54,_xll.ohTrigger(RecalcTrigger,Trigger))</f>
        <v>#VALUE!</v>
      </c>
      <c r="Q54" s="196" t="e">
        <f>(100-P54)/100</f>
        <v>#VALUE!</v>
      </c>
      <c r="R54" s="185" t="e">
        <f>NA()</f>
        <v>#N/A</v>
      </c>
      <c r="S54" s="181" t="e">
        <f>_xll.qlInterestRateIndexFixingDate(IborIndex,O54)</f>
        <v>#NUM!</v>
      </c>
      <c r="T54" s="264" t="e">
        <f>100*(1-_xll.qlIndexFixing(IborIndex,S54,TRUE,RecalcTrigger))</f>
        <v>#NUM!</v>
      </c>
      <c r="U54" s="268" t="e">
        <f>T54-P54</f>
        <v>#NUM!</v>
      </c>
      <c r="V54" s="195"/>
      <c r="X54" s="183" t="str">
        <f t="shared" si="6"/>
        <v>1D</v>
      </c>
      <c r="Y54" s="181">
        <f>_xll.qlCalendarAdvance(Calendar,Y53,X54,"f",FALSE)</f>
        <v>41947</v>
      </c>
      <c r="Z54" s="184">
        <f>_xll.qlCalendarAdvance(Calendar,Y54,NDays&amp;"D")</f>
        <v>41947</v>
      </c>
      <c r="AA54" s="185">
        <v>2.6519747993249493E-2</v>
      </c>
      <c r="AB54" s="182">
        <v>2.6546258126929345E-2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4" t="e">
        <f>_xll.qlRateHelperQuoteValue(M55,_xll.ohTrigger(RecalcTrigger,Trigger))</f>
        <v>#VALUE!</v>
      </c>
      <c r="Q55" s="196" t="e">
        <f>(100-P55)/100</f>
        <v>#VALUE!</v>
      </c>
      <c r="R55" s="185" t="e">
        <f>NA()</f>
        <v>#N/A</v>
      </c>
      <c r="S55" s="181" t="e">
        <f>_xll.qlInterestRateIndexFixingDate(IborIndex,O55)</f>
        <v>#NUM!</v>
      </c>
      <c r="T55" s="264" t="e">
        <f>100*(1-_xll.qlIndexFixing(IborIndex,S55,TRUE,RecalcTrigger))</f>
        <v>#NUM!</v>
      </c>
      <c r="U55" s="268" t="e">
        <f>T55-P55</f>
        <v>#NUM!</v>
      </c>
      <c r="V55" s="195"/>
      <c r="X55" s="183" t="str">
        <f t="shared" si="6"/>
        <v>1D</v>
      </c>
      <c r="Y55" s="181">
        <f>_xll.qlCalendarAdvance(Calendar,Y54,X55,"f",FALSE)</f>
        <v>41948</v>
      </c>
      <c r="Z55" s="184">
        <f>_xll.qlCalendarAdvance(Calendar,Y55,NDays&amp;"D")</f>
        <v>41948</v>
      </c>
      <c r="AA55" s="185">
        <v>2.6517477198412409E-2</v>
      </c>
      <c r="AB55" s="182">
        <v>2.6543620947329094E-2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4" t="e">
        <f>_xll.qlRateHelperQuoteValue(M56,_xll.ohTrigger(RecalcTrigger,Trigger))</f>
        <v>#VALUE!</v>
      </c>
      <c r="Q56" s="196" t="e">
        <f>(100-P56)/100</f>
        <v>#VALUE!</v>
      </c>
      <c r="R56" s="185" t="e">
        <f>NA()</f>
        <v>#N/A</v>
      </c>
      <c r="S56" s="181" t="e">
        <f>_xll.qlInterestRateIndexFixingDate(IborIndex,O56)</f>
        <v>#NUM!</v>
      </c>
      <c r="T56" s="264" t="e">
        <f>100*(1-_xll.qlIndexFixing(IborIndex,S56,TRUE,RecalcTrigger))</f>
        <v>#NUM!</v>
      </c>
      <c r="U56" s="268" t="e">
        <f>T56-P56</f>
        <v>#NUM!</v>
      </c>
      <c r="V56" s="195"/>
      <c r="X56" s="183" t="str">
        <f t="shared" si="6"/>
        <v>1D</v>
      </c>
      <c r="Y56" s="181">
        <f>_xll.qlCalendarAdvance(Calendar,Y55,X56,"f",FALSE)</f>
        <v>41949</v>
      </c>
      <c r="Z56" s="184">
        <f>_xll.qlCalendarAdvance(Calendar,Y56,NDays&amp;"D")</f>
        <v>41949</v>
      </c>
      <c r="AA56" s="185">
        <v>2.651523342762253E-2</v>
      </c>
      <c r="AB56" s="182">
        <v>2.6541071672226968E-2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4" t="e">
        <f>_xll.qlRateHelperQuoteValue(M57,_xll.ohTrigger(RecalcTrigger,Trigger))</f>
        <v>#VALUE!</v>
      </c>
      <c r="Q57" s="196" t="e">
        <f>(100-P57)/100</f>
        <v>#VALUE!</v>
      </c>
      <c r="R57" s="185" t="e">
        <f>NA()</f>
        <v>#N/A</v>
      </c>
      <c r="S57" s="181" t="e">
        <f>_xll.qlInterestRateIndexFixingDate(IborIndex,O57)</f>
        <v>#NUM!</v>
      </c>
      <c r="T57" s="264" t="e">
        <f>100*(1-_xll.qlIndexFixing(IborIndex,S57,TRUE,RecalcTrigger))</f>
        <v>#NUM!</v>
      </c>
      <c r="U57" s="268" t="e">
        <f>T57-P57</f>
        <v>#NUM!</v>
      </c>
      <c r="V57" s="195"/>
      <c r="X57" s="183" t="str">
        <f t="shared" si="6"/>
        <v>1D</v>
      </c>
      <c r="Y57" s="181">
        <f>_xll.qlCalendarAdvance(Calendar,Y56,X57,"f",FALSE)</f>
        <v>41950</v>
      </c>
      <c r="Z57" s="184">
        <f>_xll.qlCalendarAdvance(Calendar,Y57,NDays&amp;"D")</f>
        <v>41950</v>
      </c>
      <c r="AA57" s="185">
        <v>2.6513067871187034E-2</v>
      </c>
      <c r="AB57" s="182">
        <v>2.6538195425819627E-2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4" t="e">
        <f>_xll.qlRateHelperQuoteValue(M58,_xll.ohTrigger(RecalcTrigger,Trigger))</f>
        <v>#VALUE!</v>
      </c>
      <c r="Q58" s="196" t="e">
        <f>(100-P58)/100</f>
        <v>#VALUE!</v>
      </c>
      <c r="R58" s="185" t="e">
        <f>NA()</f>
        <v>#N/A</v>
      </c>
      <c r="S58" s="181" t="e">
        <f>_xll.qlInterestRateIndexFixingDate(IborIndex,O58)</f>
        <v>#NUM!</v>
      </c>
      <c r="T58" s="264" t="e">
        <f>100*(1-_xll.qlIndexFixing(IborIndex,S58,TRUE,RecalcTrigger))</f>
        <v>#NUM!</v>
      </c>
      <c r="U58" s="268" t="e">
        <f>T58-P58</f>
        <v>#NUM!</v>
      </c>
      <c r="V58" s="195"/>
      <c r="X58" s="183" t="str">
        <f t="shared" si="6"/>
        <v>1D</v>
      </c>
      <c r="Y58" s="181">
        <f>_xll.qlCalendarAdvance(Calendar,Y57,X58,"f",FALSE)</f>
        <v>41953</v>
      </c>
      <c r="Z58" s="184">
        <f>_xll.qlCalendarAdvance(Calendar,Y58,NDays&amp;"D")</f>
        <v>41953</v>
      </c>
      <c r="AA58" s="185">
        <v>2.6506525363015909E-2</v>
      </c>
      <c r="AB58" s="182">
        <v>2.653175361623239E-2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4" t="e">
        <f>_xll.qlRateHelperQuoteValue(M59,_xll.ohTrigger(RecalcTrigger,Trigger))</f>
        <v>#VALUE!</v>
      </c>
      <c r="Q59" s="196" t="e">
        <f>(100-P59)/100</f>
        <v>#VALUE!</v>
      </c>
      <c r="R59" s="185" t="e">
        <f>NA()</f>
        <v>#N/A</v>
      </c>
      <c r="S59" s="181" t="e">
        <f>_xll.qlInterestRateIndexFixingDate(IborIndex,O59)</f>
        <v>#NUM!</v>
      </c>
      <c r="T59" s="264" t="e">
        <f>100*(1-_xll.qlIndexFixing(IborIndex,S59,TRUE,RecalcTrigger))</f>
        <v>#NUM!</v>
      </c>
      <c r="U59" s="268" t="e">
        <f>T59-P59</f>
        <v>#NUM!</v>
      </c>
      <c r="V59" s="195"/>
      <c r="X59" s="183" t="str">
        <f t="shared" si="6"/>
        <v>1D</v>
      </c>
      <c r="Y59" s="181">
        <f>_xll.qlCalendarAdvance(Calendar,Y58,X59,"f",FALSE)</f>
        <v>41954</v>
      </c>
      <c r="Z59" s="184">
        <f>_xll.qlCalendarAdvance(Calendar,Y59,NDays&amp;"D")</f>
        <v>41954</v>
      </c>
      <c r="AA59" s="185">
        <v>2.6504414296031942E-2</v>
      </c>
      <c r="AB59" s="182">
        <v>2.6529643863296704E-2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9" t="e">
        <f>_xll.qlRateHelperQuoteValue(M60,_xll.ohTrigger(RecalcTrigger,Trigger))</f>
        <v>#VALUE!</v>
      </c>
      <c r="Q60" s="196" t="e">
        <f>(100-P60)/100</f>
        <v>#VALUE!</v>
      </c>
      <c r="R60" s="186" t="e">
        <f>NA()</f>
        <v>#N/A</v>
      </c>
      <c r="S60" s="199" t="e">
        <f>_xll.qlInterestRateIndexFixingDate(IborIndex,O60)</f>
        <v>#NUM!</v>
      </c>
      <c r="T60" s="269" t="e">
        <f>100*(1-_xll.qlIndexFixing(IborIndex,S60,TRUE,RecalcTrigger))</f>
        <v>#NUM!</v>
      </c>
      <c r="U60" s="270" t="e">
        <f>T60-P60</f>
        <v>#NUM!</v>
      </c>
      <c r="V60" s="195"/>
      <c r="X60" s="183" t="str">
        <f t="shared" si="6"/>
        <v>1D</v>
      </c>
      <c r="Y60" s="181">
        <f>_xll.qlCalendarAdvance(Calendar,Y59,X60,"f",FALSE)</f>
        <v>41955</v>
      </c>
      <c r="Z60" s="184">
        <f>_xll.qlCalendarAdvance(Calendar,Y60,NDays&amp;"D")</f>
        <v>41955</v>
      </c>
      <c r="AA60" s="185">
        <v>2.6502329286528428E-2</v>
      </c>
      <c r="AB60" s="182">
        <v>2.6527622014859142E-2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6"/>
        <v>1D</v>
      </c>
      <c r="Y61" s="181">
        <f>_xll.qlCalendarAdvance(Calendar,Y60,X61,"f",FALSE)</f>
        <v>41956</v>
      </c>
      <c r="Z61" s="184">
        <f>_xll.qlCalendarAdvance(Calendar,Y61,NDays&amp;"D")</f>
        <v>41956</v>
      </c>
      <c r="AA61" s="185">
        <v>2.6500270173415306E-2</v>
      </c>
      <c r="AB61" s="182">
        <v>2.6525688070919706E-2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6"/>
        <v>1D</v>
      </c>
      <c r="Y62" s="181">
        <f>_xll.qlCalendarAdvance(Calendar,Y61,X62,"f",FALSE)</f>
        <v>41957</v>
      </c>
      <c r="Z62" s="184">
        <f>_xll.qlCalendarAdvance(Calendar,Y62,NDays&amp;"D")</f>
        <v>41957</v>
      </c>
      <c r="AA62" s="185">
        <v>2.6498646747226236E-2</v>
      </c>
      <c r="AB62" s="182">
        <v>2.6524040429315814E-2</v>
      </c>
    </row>
    <row r="63" spans="10:28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96"/>
      <c r="R63" s="185" t="e">
        <f>NA()</f>
        <v>#N/A</v>
      </c>
      <c r="S63" s="181" t="e">
        <f>_xll.qlInterestRateIndexFixingDate(IborIndex,O63)</f>
        <v>#NUM!</v>
      </c>
      <c r="T63" s="196" t="e">
        <f>_xll.qlIndexFixing(IborIndex,S63,TRUE,RecalcTrigger)</f>
        <v>#NUM!</v>
      </c>
      <c r="U63" s="212" t="e">
        <f>T63-P63</f>
        <v>#NUM!</v>
      </c>
      <c r="V63" s="197" t="e">
        <f t="array" ref="V63">MAX(ABS(U63:U66))</f>
        <v>#NUM!</v>
      </c>
      <c r="X63" s="183" t="str">
        <f t="shared" si="6"/>
        <v>1D</v>
      </c>
      <c r="Y63" s="181">
        <f>_xll.qlCalendarAdvance(Calendar,Y62,X63,"f",FALSE)</f>
        <v>41960</v>
      </c>
      <c r="Z63" s="184">
        <f>_xll.qlCalendarAdvance(Calendar,Y63,NDays&amp;"D")</f>
        <v>41960</v>
      </c>
      <c r="AA63" s="185">
        <v>2.6492289463065678E-2</v>
      </c>
      <c r="AB63" s="182">
        <v>2.6518804220112546E-2</v>
      </c>
    </row>
    <row r="64" spans="10:28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96"/>
      <c r="R64" s="185" t="e">
        <f>NA()</f>
        <v>#N/A</v>
      </c>
      <c r="S64" s="181" t="e">
        <f>_xll.qlInterestRateIndexFixingDate(IborIndex,O64)</f>
        <v>#NUM!</v>
      </c>
      <c r="T64" s="196" t="e">
        <f>_xll.qlIndexFixing(IborIndex,S64,TRUE,RecalcTrigger)</f>
        <v>#NUM!</v>
      </c>
      <c r="U64" s="212" t="e">
        <f>T64-P64</f>
        <v>#NUM!</v>
      </c>
      <c r="X64" s="183" t="str">
        <f t="shared" si="6"/>
        <v>1D</v>
      </c>
      <c r="Y64" s="181">
        <f>_xll.qlCalendarAdvance(Calendar,Y63,X64,"f",FALSE)</f>
        <v>41961</v>
      </c>
      <c r="Z64" s="184">
        <f>_xll.qlCalendarAdvance(Calendar,Y64,NDays&amp;"D")</f>
        <v>41961</v>
      </c>
      <c r="AA64" s="185">
        <v>2.6490357712283526E-2</v>
      </c>
      <c r="AB64" s="182">
        <v>2.6517147082694148E-2</v>
      </c>
    </row>
    <row r="65" spans="10:28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96"/>
      <c r="R65" s="185" t="e">
        <f>NA()</f>
        <v>#N/A</v>
      </c>
      <c r="S65" s="181" t="e">
        <f>_xll.qlInterestRateIndexFixingDate(IborIndex,O65)</f>
        <v>#NUM!</v>
      </c>
      <c r="T65" s="196" t="e">
        <f>_xll.qlIndexFixing(IborIndex,S65,TRUE,RecalcTrigger)</f>
        <v>#NUM!</v>
      </c>
      <c r="U65" s="212" t="e">
        <f>T65-P65</f>
        <v>#NUM!</v>
      </c>
      <c r="X65" s="183" t="str">
        <f t="shared" si="6"/>
        <v>1D</v>
      </c>
      <c r="Y65" s="181">
        <f>_xll.qlCalendarAdvance(Calendar,Y64,X65,"f",FALSE)</f>
        <v>41962</v>
      </c>
      <c r="Z65" s="184">
        <f>_xll.qlCalendarAdvance(Calendar,Y65,NDays&amp;"D")</f>
        <v>41962</v>
      </c>
      <c r="AA65" s="185">
        <v>2.6488452671688929E-2</v>
      </c>
      <c r="AB65" s="182">
        <v>2.6515415134047426E-2</v>
      </c>
    </row>
    <row r="66" spans="10:28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96"/>
      <c r="R66" s="185" t="e">
        <f>NA()</f>
        <v>#N/A</v>
      </c>
      <c r="S66" s="181" t="e">
        <f>_xll.qlInterestRateIndexFixingDate(IborIndex,O66)</f>
        <v>#NUM!</v>
      </c>
      <c r="T66" s="196" t="e">
        <f>_xll.qlIndexFixing(IborIndex,S66,TRUE,RecalcTrigger)</f>
        <v>#NUM!</v>
      </c>
      <c r="U66" s="212" t="e">
        <f>T66-P66</f>
        <v>#NUM!</v>
      </c>
      <c r="X66" s="183" t="str">
        <f t="shared" si="6"/>
        <v>1D</v>
      </c>
      <c r="Y66" s="181">
        <f>_xll.qlCalendarAdvance(Calendar,Y65,X66,"f",FALSE)</f>
        <v>41963</v>
      </c>
      <c r="Z66" s="184">
        <f>_xll.qlCalendarAdvance(Calendar,Y66,NDays&amp;"D")</f>
        <v>41963</v>
      </c>
      <c r="AA66" s="185">
        <v>2.6486575960518743E-2</v>
      </c>
      <c r="AB66" s="182">
        <v>2.6513608374091335E-2</v>
      </c>
    </row>
    <row r="67" spans="10:28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>T67-P67</f>
        <v>#NUM!</v>
      </c>
      <c r="V67" s="195"/>
      <c r="X67" s="183" t="str">
        <f t="shared" si="6"/>
        <v>1D</v>
      </c>
      <c r="Y67" s="181">
        <f>_xll.qlCalendarAdvance(Calendar,Y66,X67,"f",FALSE)</f>
        <v>41964</v>
      </c>
      <c r="Z67" s="184">
        <f>_xll.qlCalendarAdvance(Calendar,Y67,NDays&amp;"D")</f>
        <v>41964</v>
      </c>
      <c r="AA67" s="185">
        <v>2.6485547676854276E-2</v>
      </c>
      <c r="AB67" s="182">
        <v>2.6511670918227447E-2</v>
      </c>
    </row>
    <row r="68" spans="10:28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>T68-P68</f>
        <v>#NUM!</v>
      </c>
      <c r="X68" s="183" t="str">
        <f t="shared" si="6"/>
        <v>1D</v>
      </c>
      <c r="Y68" s="181">
        <f>_xll.qlCalendarAdvance(Calendar,Y67,X68,"f",FALSE)</f>
        <v>41967</v>
      </c>
      <c r="Z68" s="184">
        <f>_xll.qlCalendarAdvance(Calendar,Y68,NDays&amp;"D")</f>
        <v>41967</v>
      </c>
      <c r="AA68" s="185">
        <v>2.6479384794784018E-2</v>
      </c>
      <c r="AB68" s="182">
        <v>2.6505633222470015E-2</v>
      </c>
    </row>
    <row r="69" spans="10:28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>T69-P69</f>
        <v>#NUM!</v>
      </c>
      <c r="X69" s="183" t="str">
        <f t="shared" si="6"/>
        <v>1D</v>
      </c>
      <c r="Y69" s="181">
        <f>_xll.qlCalendarAdvance(Calendar,Y68,X69,"f",FALSE)</f>
        <v>41968</v>
      </c>
      <c r="Z69" s="184">
        <f>_xll.qlCalendarAdvance(Calendar,Y69,NDays&amp;"D")</f>
        <v>41968</v>
      </c>
      <c r="AA69" s="185">
        <v>2.6477674019239422E-2</v>
      </c>
      <c r="AB69" s="182">
        <v>2.65034524065344E-2</v>
      </c>
    </row>
    <row r="70" spans="10:28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>T70-P70</f>
        <v>#NUM!</v>
      </c>
      <c r="V70" s="195"/>
      <c r="X70" s="183" t="str">
        <f t="shared" si="6"/>
        <v>1D</v>
      </c>
      <c r="Y70" s="181">
        <f>_xll.qlCalendarAdvance(Calendar,Y69,X70,"f",FALSE)</f>
        <v>41969</v>
      </c>
      <c r="Z70" s="184">
        <f>_xll.qlCalendarAdvance(Calendar,Y70,NDays&amp;"D")</f>
        <v>41969</v>
      </c>
      <c r="AA70" s="185">
        <v>2.6476001288504265E-2</v>
      </c>
      <c r="AB70" s="182">
        <v>2.6501196779370462E-2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6"/>
        <v>1D</v>
      </c>
      <c r="Y71" s="181">
        <f>_xll.qlCalendarAdvance(Calendar,Y70,X71,"f",FALSE)</f>
        <v>41970</v>
      </c>
      <c r="Z71" s="184">
        <f>_xll.qlCalendarAdvance(Calendar,Y71,NDays&amp;"D")</f>
        <v>41970</v>
      </c>
      <c r="AA71" s="185">
        <v>2.6474368221803074E-2</v>
      </c>
      <c r="AB71" s="182">
        <v>2.6498866341059246E-2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6"/>
        <v>1D</v>
      </c>
      <c r="Y72" s="181">
        <f>_xll.qlCalendarAdvance(Calendar,Y71,X72,"f",FALSE)</f>
        <v>41971</v>
      </c>
      <c r="Z72" s="184">
        <f>_xll.qlCalendarAdvance(Calendar,Y72,NDays&amp;"D")</f>
        <v>41971</v>
      </c>
      <c r="AA72" s="185">
        <v>2.647217714133503E-2</v>
      </c>
      <c r="AB72" s="182">
        <v>2.6495879235253577E-2</v>
      </c>
    </row>
    <row r="73" spans="10:28" x14ac:dyDescent="0.2">
      <c r="M73" s="183" t="str">
        <f t="array" ref="M73:M78">_xll.ohFilter(RateHelpers!B57:B62,IF(ISERROR(RateHelpers!D57:D62),FALSE,TRUE))</f>
        <v>obj_00479#0003</v>
      </c>
      <c r="N73" s="183" t="str">
        <f>_xll.qlRateHelperQuoteName(M73)</f>
        <v>AUDQM3AB1Y_Quote</v>
      </c>
      <c r="O73" s="181">
        <f>_xll.qlRateHelperLatestDate(M73,Trigger)</f>
        <v>42263</v>
      </c>
      <c r="P73" s="191">
        <f>_xll.qlRateHelperQuoteValue(M73,_xll.ohTrigger(RecalcTrigger,YieldCurve))</f>
        <v>2.6775000000000004E-2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obj_004c9#0010</v>
      </c>
      <c r="T73" s="194">
        <f>_xll.qlIndexFixing(S73,$Y$19,TRUE,Trigger)</f>
        <v>2.6774999999671006E-2</v>
      </c>
      <c r="U73" s="212">
        <f>T73-P73</f>
        <v>-3.2899724611290537E-13</v>
      </c>
      <c r="X73" s="183" t="str">
        <f t="shared" si="6"/>
        <v>1D</v>
      </c>
      <c r="Y73" s="181">
        <f>_xll.qlCalendarAdvance(Calendar,Y72,X73,"f",FALSE)</f>
        <v>41974</v>
      </c>
      <c r="Z73" s="184">
        <f>_xll.qlCalendarAdvance(Calendar,Y73,NDays&amp;"D")</f>
        <v>41974</v>
      </c>
      <c r="AA73" s="185">
        <v>2.6467563708132181E-2</v>
      </c>
      <c r="AB73" s="182">
        <v>2.6488796475531151E-2</v>
      </c>
    </row>
    <row r="74" spans="10:28" x14ac:dyDescent="0.2">
      <c r="M74" s="183" t="str">
        <v>obj_0048d#0003</v>
      </c>
      <c r="N74" s="183" t="str">
        <f>_xll.qlRateHelperQuoteName(M74)</f>
        <v>AUDQM3AB2Y_Quote</v>
      </c>
      <c r="O74" s="181">
        <f>_xll.qlRateHelperLatestDate(M74,Trigger)</f>
        <v>42629</v>
      </c>
      <c r="P74" s="191">
        <f>_xll.qlRateHelperQuoteValue(M74,_xll.ohTrigger(RecalcTrigger,YieldCurve))</f>
        <v>2.8274999999999998E-2</v>
      </c>
      <c r="Q74" s="194"/>
      <c r="R74" s="192" t="str">
        <f t="shared" ref="R74:R78" si="7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obj_004cb#0010</v>
      </c>
      <c r="T74" s="194">
        <f>_xll.qlIndexFixing(S74,$Y$19,TRUE,Trigger)</f>
        <v>2.8275000000728322E-2</v>
      </c>
      <c r="U74" s="212">
        <f>T74-P74</f>
        <v>7.2832365138886246E-13</v>
      </c>
      <c r="V74" s="172" t="s">
        <v>132</v>
      </c>
      <c r="X74" s="183" t="str">
        <f t="shared" si="6"/>
        <v>1D</v>
      </c>
      <c r="Y74" s="181">
        <f>_xll.qlCalendarAdvance(Calendar,Y73,X74,"f",FALSE)</f>
        <v>41975</v>
      </c>
      <c r="Z74" s="184">
        <f>_xll.qlCalendarAdvance(Calendar,Y74,NDays&amp;"D")</f>
        <v>41975</v>
      </c>
      <c r="AA74" s="185">
        <v>2.6465407139772301E-2</v>
      </c>
      <c r="AB74" s="182">
        <v>2.6486091981159365E-2</v>
      </c>
    </row>
    <row r="75" spans="10:28" x14ac:dyDescent="0.2">
      <c r="M75" s="183" t="str">
        <v>obj_00485#0003</v>
      </c>
      <c r="N75" s="183" t="str">
        <f>_xll.qlRateHelperQuoteName(M75)</f>
        <v>AUDQM3AB3Y_Quote</v>
      </c>
      <c r="O75" s="181">
        <f>_xll.qlRateHelperLatestDate(M75,Trigger)</f>
        <v>42996</v>
      </c>
      <c r="P75" s="191">
        <f>_xll.qlRateHelperQuoteValue(M75,_xll.ohTrigger(RecalcTrigger,YieldCurve))</f>
        <v>3.0025000000000003E-2</v>
      </c>
      <c r="Q75" s="194"/>
      <c r="R75" s="192" t="str">
        <f t="shared" si="7"/>
        <v>3Y</v>
      </c>
      <c r="S75" s="193" t="str">
        <f>_xll.qlSwapIndex(,FamilyName,R75,1,Currency,Calendar,"3M","Modified Following","actual/365 (fixed)",IborIndex,Discounting,,_xll.ohTrigger(Trigger,RecalcTrigger))</f>
        <v>obj_004ca#0010</v>
      </c>
      <c r="T75" s="194">
        <f>_xll.qlIndexFixing(S75,$Y$19,TRUE,Trigger)</f>
        <v>3.0024999999963255E-2</v>
      </c>
      <c r="U75" s="212">
        <f>T75-P75</f>
        <v>-3.6748382115092681E-14</v>
      </c>
      <c r="V75" s="197">
        <f t="array" ref="V75">MAX(ABS(U75))</f>
        <v>3.6748382115092681E-14</v>
      </c>
      <c r="X75" s="183" t="str">
        <f t="shared" si="6"/>
        <v>1D</v>
      </c>
      <c r="Y75" s="181">
        <f>_xll.qlCalendarAdvance(Calendar,Y74,X75,"f",FALSE)</f>
        <v>41976</v>
      </c>
      <c r="Z75" s="184">
        <f>_xll.qlCalendarAdvance(Calendar,Y75,NDays&amp;"D")</f>
        <v>41976</v>
      </c>
      <c r="AA75" s="185">
        <v>2.6463976383968222E-2</v>
      </c>
      <c r="AB75" s="182">
        <v>2.6483312675559256E-2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7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>T76-P76</f>
        <v>#VALUE!</v>
      </c>
      <c r="V76" s="195"/>
      <c r="X76" s="183" t="str">
        <f t="shared" si="6"/>
        <v>1D</v>
      </c>
      <c r="Y76" s="181">
        <f>_xll.qlCalendarAdvance(Calendar,Y75,X76,"f",FALSE)</f>
        <v>41977</v>
      </c>
      <c r="Z76" s="184">
        <f>_xll.qlCalendarAdvance(Calendar,Y76,NDays&amp;"D")</f>
        <v>41977</v>
      </c>
      <c r="AA76" s="185">
        <v>2.6462596115707931E-2</v>
      </c>
      <c r="AB76" s="182">
        <v>2.648045855881187E-2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7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>T77-P77</f>
        <v>#VALUE!</v>
      </c>
      <c r="X77" s="183" t="str">
        <f t="shared" si="6"/>
        <v>1D</v>
      </c>
      <c r="Y77" s="181">
        <f>_xll.qlCalendarAdvance(Calendar,Y76,X77,"f",FALSE)</f>
        <v>41978</v>
      </c>
      <c r="Z77" s="184">
        <f>_xll.qlCalendarAdvance(Calendar,Y77,NDays&amp;"D")</f>
        <v>41978</v>
      </c>
      <c r="AA77" s="185">
        <v>2.6461267989949275E-2</v>
      </c>
      <c r="AB77" s="182">
        <v>2.6476421272832638E-2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7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>T78-P78</f>
        <v>#VALUE!</v>
      </c>
      <c r="X78" s="183" t="str">
        <f t="shared" si="6"/>
        <v>1D</v>
      </c>
      <c r="Y78" s="181">
        <f>_xll.qlCalendarAdvance(Calendar,Y77,X78,"f",FALSE)</f>
        <v>41981</v>
      </c>
      <c r="Z78" s="184">
        <f>_xll.qlCalendarAdvance(Calendar,Y78,NDays&amp;"D")</f>
        <v>41981</v>
      </c>
      <c r="AA78" s="185">
        <v>2.6458536939656298E-2</v>
      </c>
      <c r="AB78" s="182">
        <v>2.6468293979863278E-2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6"/>
        <v>1D</v>
      </c>
      <c r="Y79" s="181">
        <f>_xll.qlCalendarAdvance(Calendar,Y78,X79,"f",FALSE)</f>
        <v>41982</v>
      </c>
      <c r="Z79" s="184">
        <f>_xll.qlCalendarAdvance(Calendar,Y79,NDays&amp;"D")</f>
        <v>41982</v>
      </c>
      <c r="AA79" s="185">
        <v>2.6456510011154667E-2</v>
      </c>
      <c r="AB79" s="182">
        <v>2.6465065807055321E-2</v>
      </c>
    </row>
    <row r="80" spans="10:28" x14ac:dyDescent="0.2">
      <c r="Q80" s="141"/>
      <c r="T80" s="141"/>
      <c r="X80" s="183" t="str">
        <f t="shared" si="6"/>
        <v>1D</v>
      </c>
      <c r="Y80" s="181">
        <f>_xll.qlCalendarAdvance(Calendar,Y79,X80,"f",FALSE)</f>
        <v>41983</v>
      </c>
      <c r="Z80" s="184">
        <f>_xll.qlCalendarAdvance(Calendar,Y80,NDays&amp;"D")</f>
        <v>41983</v>
      </c>
      <c r="AA80" s="185">
        <v>2.6455467422320574E-2</v>
      </c>
      <c r="AB80" s="182">
        <v>2.6461762823181134E-2</v>
      </c>
    </row>
    <row r="81" spans="17:28" x14ac:dyDescent="0.2">
      <c r="Q81" s="141"/>
      <c r="T81" s="141"/>
      <c r="X81" s="183" t="str">
        <f t="shared" si="6"/>
        <v>1D</v>
      </c>
      <c r="Y81" s="181">
        <f>_xll.qlCalendarAdvance(Calendar,Y80,X81,"f",FALSE)</f>
        <v>41984</v>
      </c>
      <c r="Z81" s="184">
        <f>_xll.qlCalendarAdvance(Calendar,Y81,NDays&amp;"D")</f>
        <v>41984</v>
      </c>
      <c r="AA81" s="185">
        <v>2.6454486905755928E-2</v>
      </c>
      <c r="AB81" s="182">
        <v>2.6458385028078624E-2</v>
      </c>
    </row>
    <row r="82" spans="17:28" x14ac:dyDescent="0.2">
      <c r="Q82" s="141"/>
      <c r="T82" s="141"/>
      <c r="X82" s="183" t="str">
        <f t="shared" si="6"/>
        <v>1D</v>
      </c>
      <c r="Y82" s="181">
        <f>_xll.qlCalendarAdvance(Calendar,Y81,X82,"f",FALSE)</f>
        <v>41985</v>
      </c>
      <c r="Z82" s="184">
        <f>_xll.qlCalendarAdvance(Calendar,Y82,NDays&amp;"D")</f>
        <v>41985</v>
      </c>
      <c r="AA82" s="185">
        <v>2.6453570116427585E-2</v>
      </c>
      <c r="AB82" s="182">
        <v>2.6453297032774662E-2</v>
      </c>
    </row>
    <row r="83" spans="17:28" x14ac:dyDescent="0.2">
      <c r="Q83" s="141"/>
      <c r="T83" s="141"/>
      <c r="X83" s="183" t="str">
        <f t="shared" si="6"/>
        <v>1D</v>
      </c>
      <c r="Y83" s="181">
        <f>_xll.qlCalendarAdvance(Calendar,Y82,X83,"f",FALSE)</f>
        <v>41988</v>
      </c>
      <c r="Z83" s="184">
        <f>_xll.qlCalendarAdvance(Calendar,Y83,NDays&amp;"D")</f>
        <v>41988</v>
      </c>
      <c r="AA83" s="185">
        <v>2.6452397754503018E-2</v>
      </c>
      <c r="AB83" s="182">
        <v>2.6444125735871626E-2</v>
      </c>
    </row>
    <row r="84" spans="17:28" x14ac:dyDescent="0.2">
      <c r="Q84" s="141"/>
      <c r="T84" s="141"/>
      <c r="X84" s="183" t="str">
        <f t="shared" si="6"/>
        <v>1D</v>
      </c>
      <c r="Y84" s="181">
        <f>_xll.qlCalendarAdvance(Calendar,Y83,X84,"f",FALSE)</f>
        <v>41989</v>
      </c>
      <c r="Z84" s="184">
        <f>_xll.qlCalendarAdvance(Calendar,Y84,NDays&amp;"D")</f>
        <v>41989</v>
      </c>
      <c r="AA84" s="185">
        <v>2.6450573330787326E-2</v>
      </c>
      <c r="AB84" s="182">
        <v>2.6440373884870638E-2</v>
      </c>
    </row>
    <row r="85" spans="17:28" x14ac:dyDescent="0.2">
      <c r="Q85" s="141"/>
      <c r="T85" s="141"/>
      <c r="X85" s="183" t="str">
        <f t="shared" ref="X85:X148" si="8">X84</f>
        <v>1D</v>
      </c>
      <c r="Y85" s="181">
        <f>_xll.qlCalendarAdvance(Calendar,Y84,X85,"f",FALSE)</f>
        <v>41990</v>
      </c>
      <c r="Z85" s="184">
        <f>_xll.qlCalendarAdvance(Calendar,Y85,NDays&amp;"D")</f>
        <v>41990</v>
      </c>
      <c r="AA85" s="185">
        <v>2.6450000002149626E-2</v>
      </c>
      <c r="AB85" s="182">
        <v>2.6436571888833749E-2</v>
      </c>
    </row>
    <row r="86" spans="17:28" x14ac:dyDescent="0.2">
      <c r="Q86" s="141"/>
      <c r="T86" s="141"/>
      <c r="X86" s="183" t="str">
        <f t="shared" si="8"/>
        <v>1D</v>
      </c>
      <c r="Y86" s="181">
        <f>_xll.qlCalendarAdvance(Calendar,Y85,X86,"f",FALSE)</f>
        <v>41991</v>
      </c>
      <c r="Z86" s="184">
        <f>_xll.qlCalendarAdvance(Calendar,Y86,NDays&amp;"D")</f>
        <v>41991</v>
      </c>
      <c r="AA86" s="185">
        <v>2.6449500007381815E-2</v>
      </c>
      <c r="AB86" s="182">
        <v>2.6432818411720183E-2</v>
      </c>
    </row>
    <row r="87" spans="17:28" x14ac:dyDescent="0.2">
      <c r="Q87" s="141"/>
      <c r="T87" s="141"/>
      <c r="X87" s="183" t="str">
        <f t="shared" si="8"/>
        <v>1D</v>
      </c>
      <c r="Y87" s="181">
        <f>_xll.qlCalendarAdvance(Calendar,Y86,X87,"f",FALSE)</f>
        <v>41992</v>
      </c>
      <c r="Z87" s="184">
        <f>_xll.qlCalendarAdvance(Calendar,Y87,NDays&amp;"D")</f>
        <v>41992</v>
      </c>
      <c r="AA87" s="185">
        <v>2.6449073385530191E-2</v>
      </c>
      <c r="AB87" s="182">
        <v>2.6427468631850342E-2</v>
      </c>
    </row>
    <row r="88" spans="17:28" x14ac:dyDescent="0.2">
      <c r="Q88" s="141"/>
      <c r="T88" s="141"/>
      <c r="X88" s="183" t="str">
        <f t="shared" si="8"/>
        <v>1D</v>
      </c>
      <c r="Y88" s="181">
        <f>_xll.qlCalendarAdvance(Calendar,Y87,X88,"f",FALSE)</f>
        <v>41995</v>
      </c>
      <c r="Z88" s="184">
        <f>_xll.qlCalendarAdvance(Calendar,Y88,NDays&amp;"D")</f>
        <v>41995</v>
      </c>
      <c r="AA88" s="185">
        <v>2.6449663389868056E-2</v>
      </c>
      <c r="AB88" s="182">
        <v>2.6418536353775002E-2</v>
      </c>
    </row>
    <row r="89" spans="17:28" x14ac:dyDescent="0.2">
      <c r="Q89" s="141"/>
      <c r="T89" s="141"/>
      <c r="X89" s="183" t="str">
        <f t="shared" si="8"/>
        <v>1D</v>
      </c>
      <c r="Y89" s="181">
        <f>_xll.qlCalendarAdvance(Calendar,Y88,X89,"f",FALSE)</f>
        <v>41996</v>
      </c>
      <c r="Z89" s="184">
        <f>_xll.qlCalendarAdvance(Calendar,Y89,NDays&amp;"D")</f>
        <v>41996</v>
      </c>
      <c r="AA89" s="185">
        <v>2.6448094944570705E-2</v>
      </c>
      <c r="AB89" s="182">
        <v>2.6415148801915977E-2</v>
      </c>
    </row>
    <row r="90" spans="17:28" x14ac:dyDescent="0.2">
      <c r="Q90" s="141"/>
      <c r="T90" s="141"/>
      <c r="X90" s="183" t="str">
        <f t="shared" si="8"/>
        <v>1D</v>
      </c>
      <c r="Y90" s="181">
        <f>_xll.qlCalendarAdvance(Calendar,Y89,X90,"f",FALSE)</f>
        <v>41997</v>
      </c>
      <c r="Z90" s="184">
        <f>_xll.qlCalendarAdvance(Calendar,Y90,NDays&amp;"D")</f>
        <v>41997</v>
      </c>
      <c r="AA90" s="185">
        <v>2.6448030925300337E-2</v>
      </c>
      <c r="AB90" s="182">
        <v>2.6409319267862941E-2</v>
      </c>
    </row>
    <row r="91" spans="17:28" x14ac:dyDescent="0.2">
      <c r="Q91" s="141"/>
      <c r="T91" s="141"/>
      <c r="X91" s="183" t="str">
        <f t="shared" si="8"/>
        <v>1D</v>
      </c>
      <c r="Y91" s="181">
        <f>_xll.qlCalendarAdvance(Calendar,Y90,X91,"f",FALSE)</f>
        <v>42002</v>
      </c>
      <c r="Z91" s="184">
        <f>_xll.qlCalendarAdvance(Calendar,Y91,NDays&amp;"D")</f>
        <v>42002</v>
      </c>
      <c r="AA91" s="185">
        <v>2.6450453630746371E-2</v>
      </c>
      <c r="AB91" s="182">
        <v>2.6396360376571559E-2</v>
      </c>
    </row>
    <row r="92" spans="17:28" x14ac:dyDescent="0.2">
      <c r="Q92" s="141"/>
      <c r="T92" s="141"/>
      <c r="X92" s="183" t="str">
        <f t="shared" si="8"/>
        <v>1D</v>
      </c>
      <c r="Y92" s="181">
        <f>_xll.qlCalendarAdvance(Calendar,Y91,X92,"f",FALSE)</f>
        <v>42003</v>
      </c>
      <c r="Z92" s="184">
        <f>_xll.qlCalendarAdvance(Calendar,Y92,NDays&amp;"D")</f>
        <v>42003</v>
      </c>
      <c r="AA92" s="185">
        <v>2.6449141896818587E-2</v>
      </c>
      <c r="AB92" s="182">
        <v>2.6393485119955429E-2</v>
      </c>
    </row>
    <row r="93" spans="17:28" x14ac:dyDescent="0.2">
      <c r="Q93" s="141"/>
      <c r="T93" s="141"/>
      <c r="X93" s="183" t="str">
        <f t="shared" si="8"/>
        <v>1D</v>
      </c>
      <c r="Y93" s="181">
        <f>_xll.qlCalendarAdvance(Calendar,Y92,X93,"f",FALSE)</f>
        <v>42004</v>
      </c>
      <c r="Z93" s="184">
        <f>_xll.qlCalendarAdvance(Calendar,Y93,NDays&amp;"D")</f>
        <v>42004</v>
      </c>
      <c r="AA93" s="185">
        <v>2.6449573588274464E-2</v>
      </c>
      <c r="AB93" s="182">
        <v>2.6390272572424656E-2</v>
      </c>
    </row>
    <row r="94" spans="17:28" x14ac:dyDescent="0.2">
      <c r="Q94" s="141"/>
      <c r="T94" s="141"/>
      <c r="X94" s="183" t="str">
        <f t="shared" si="8"/>
        <v>1D</v>
      </c>
      <c r="Y94" s="181">
        <f>_xll.qlCalendarAdvance(Calendar,Y93,X94,"f",FALSE)</f>
        <v>42006</v>
      </c>
      <c r="Z94" s="184">
        <f>_xll.qlCalendarAdvance(Calendar,Y94,NDays&amp;"D")</f>
        <v>42006</v>
      </c>
      <c r="AA94" s="185">
        <v>2.6450645725344332E-2</v>
      </c>
      <c r="AB94" s="182">
        <v>2.6384647368318619E-2</v>
      </c>
    </row>
    <row r="95" spans="17:28" x14ac:dyDescent="0.2">
      <c r="Q95" s="141"/>
      <c r="T95" s="141"/>
      <c r="X95" s="183" t="str">
        <f t="shared" si="8"/>
        <v>1D</v>
      </c>
      <c r="Y95" s="181">
        <f>_xll.qlCalendarAdvance(Calendar,Y94,X95,"f",FALSE)</f>
        <v>42009</v>
      </c>
      <c r="Z95" s="184">
        <f>_xll.qlCalendarAdvance(Calendar,Y95,NDays&amp;"D")</f>
        <v>42009</v>
      </c>
      <c r="AA95" s="185">
        <v>2.6456597350216514E-2</v>
      </c>
      <c r="AB95" s="182">
        <v>2.6377770465906281E-2</v>
      </c>
    </row>
    <row r="96" spans="17:28" x14ac:dyDescent="0.2">
      <c r="Q96" s="141"/>
      <c r="T96" s="141"/>
      <c r="X96" s="183" t="str">
        <f t="shared" si="8"/>
        <v>1D</v>
      </c>
      <c r="Y96" s="181">
        <f>_xll.qlCalendarAdvance(Calendar,Y95,X96,"f",FALSE)</f>
        <v>42010</v>
      </c>
      <c r="Z96" s="184">
        <f>_xll.qlCalendarAdvance(Calendar,Y96,NDays&amp;"D")</f>
        <v>42010</v>
      </c>
      <c r="AA96" s="185">
        <v>2.6455551693494651E-2</v>
      </c>
      <c r="AB96" s="182">
        <v>2.6375407504451998E-2</v>
      </c>
    </row>
    <row r="97" spans="17:28" x14ac:dyDescent="0.2">
      <c r="Q97" s="141"/>
      <c r="T97" s="141"/>
      <c r="X97" s="183" t="str">
        <f t="shared" si="8"/>
        <v>1D</v>
      </c>
      <c r="Y97" s="181">
        <f>_xll.qlCalendarAdvance(Calendar,Y96,X97,"f",FALSE)</f>
        <v>42011</v>
      </c>
      <c r="Z97" s="184">
        <f>_xll.qlCalendarAdvance(Calendar,Y97,NDays&amp;"D")</f>
        <v>42011</v>
      </c>
      <c r="AA97" s="185">
        <v>2.6454530543323893E-2</v>
      </c>
      <c r="AB97" s="182">
        <v>2.6373117728032414E-2</v>
      </c>
    </row>
    <row r="98" spans="17:28" x14ac:dyDescent="0.2">
      <c r="Q98" s="141"/>
      <c r="T98" s="141"/>
      <c r="X98" s="183" t="str">
        <f t="shared" si="8"/>
        <v>1D</v>
      </c>
      <c r="Y98" s="181">
        <f>_xll.qlCalendarAdvance(Calendar,Y97,X98,"f",FALSE)</f>
        <v>42012</v>
      </c>
      <c r="Z98" s="184">
        <f>_xll.qlCalendarAdvance(Calendar,Y98,NDays&amp;"D")</f>
        <v>42012</v>
      </c>
      <c r="AA98" s="185">
        <v>2.6455511715779881E-2</v>
      </c>
      <c r="AB98" s="182">
        <v>2.6370901136647529E-2</v>
      </c>
    </row>
    <row r="99" spans="17:28" x14ac:dyDescent="0.2">
      <c r="Q99" s="141"/>
      <c r="T99" s="141"/>
      <c r="X99" s="183" t="str">
        <f t="shared" si="8"/>
        <v>1D</v>
      </c>
      <c r="Y99" s="181">
        <f>_xll.qlCalendarAdvance(Calendar,Y98,X99,"f",FALSE)</f>
        <v>42013</v>
      </c>
      <c r="Z99" s="184">
        <f>_xll.qlCalendarAdvance(Calendar,Y99,NDays&amp;"D")</f>
        <v>42013</v>
      </c>
      <c r="AA99" s="185">
        <v>2.6456560295026448E-2</v>
      </c>
      <c r="AB99" s="182">
        <v>2.6368616616862704E-2</v>
      </c>
    </row>
    <row r="100" spans="17:28" x14ac:dyDescent="0.2">
      <c r="Q100" s="141"/>
      <c r="T100" s="141"/>
      <c r="X100" s="183" t="str">
        <f t="shared" si="8"/>
        <v>1D</v>
      </c>
      <c r="Y100" s="181">
        <f>_xll.qlCalendarAdvance(Calendar,Y99,X100,"f",FALSE)</f>
        <v>42016</v>
      </c>
      <c r="Z100" s="184">
        <f>_xll.qlCalendarAdvance(Calendar,Y100,NDays&amp;"D")</f>
        <v>42016</v>
      </c>
      <c r="AA100" s="185">
        <v>2.6462229082995652E-2</v>
      </c>
      <c r="AB100" s="182">
        <v>2.6362766621211842E-2</v>
      </c>
    </row>
    <row r="101" spans="17:28" x14ac:dyDescent="0.2">
      <c r="Q101" s="141"/>
      <c r="T101" s="141"/>
      <c r="X101" s="183" t="str">
        <f t="shared" si="8"/>
        <v>1D</v>
      </c>
      <c r="Y101" s="181">
        <f>_xll.qlCalendarAdvance(Calendar,Y100,X101,"f",FALSE)</f>
        <v>42017</v>
      </c>
      <c r="Z101" s="184">
        <f>_xll.qlCalendarAdvance(Calendar,Y101,NDays&amp;"D")</f>
        <v>42017</v>
      </c>
      <c r="AA101" s="185">
        <v>2.6461422998668802E-2</v>
      </c>
      <c r="AB101" s="182">
        <v>2.636091595483836E-2</v>
      </c>
    </row>
    <row r="102" spans="17:28" x14ac:dyDescent="0.2">
      <c r="Q102" s="141"/>
      <c r="T102" s="141"/>
      <c r="X102" s="183" t="str">
        <f t="shared" si="8"/>
        <v>1D</v>
      </c>
      <c r="Y102" s="181">
        <f>_xll.qlCalendarAdvance(Calendar,Y101,X102,"f",FALSE)</f>
        <v>42018</v>
      </c>
      <c r="Z102" s="184">
        <f>_xll.qlCalendarAdvance(Calendar,Y102,NDays&amp;"D")</f>
        <v>42018</v>
      </c>
      <c r="AA102" s="185">
        <v>2.6462804350960021E-2</v>
      </c>
      <c r="AB102" s="182">
        <v>2.6359138473499577E-2</v>
      </c>
    </row>
    <row r="103" spans="17:28" x14ac:dyDescent="0.2">
      <c r="Q103" s="141"/>
      <c r="T103" s="141"/>
      <c r="X103" s="183" t="str">
        <f t="shared" si="8"/>
        <v>1D</v>
      </c>
      <c r="Y103" s="181">
        <f>_xll.qlCalendarAdvance(Calendar,Y102,X103,"f",FALSE)</f>
        <v>42019</v>
      </c>
      <c r="Z103" s="184">
        <f>_xll.qlCalendarAdvance(Calendar,Y103,NDays&amp;"D")</f>
        <v>42019</v>
      </c>
      <c r="AA103" s="185">
        <v>2.6464251405701574E-2</v>
      </c>
      <c r="AB103" s="182">
        <v>2.6357434177195493E-2</v>
      </c>
    </row>
    <row r="104" spans="17:28" x14ac:dyDescent="0.2">
      <c r="Q104" s="141"/>
      <c r="T104" s="141"/>
      <c r="X104" s="183" t="str">
        <f t="shared" si="8"/>
        <v>1D</v>
      </c>
      <c r="Y104" s="181">
        <f>_xll.qlCalendarAdvance(Calendar,Y103,X104,"f",FALSE)</f>
        <v>42020</v>
      </c>
      <c r="Z104" s="184">
        <f>_xll.qlCalendarAdvance(Calendar,Y104,NDays&amp;"D")</f>
        <v>42020</v>
      </c>
      <c r="AA104" s="185">
        <v>2.6465763878845153E-2</v>
      </c>
      <c r="AB104" s="182">
        <v>2.6356172450262932E-2</v>
      </c>
    </row>
    <row r="105" spans="17:28" x14ac:dyDescent="0.2">
      <c r="Q105" s="141"/>
      <c r="T105" s="141"/>
      <c r="X105" s="183" t="str">
        <f t="shared" si="8"/>
        <v>1D</v>
      </c>
      <c r="Y105" s="181">
        <f>_xll.qlCalendarAdvance(Calendar,Y104,X105,"f",FALSE)</f>
        <v>42023</v>
      </c>
      <c r="Z105" s="184">
        <f>_xll.qlCalendarAdvance(Calendar,Y105,NDays&amp;"D")</f>
        <v>42023</v>
      </c>
      <c r="AA105" s="185">
        <v>2.6473021547672018E-2</v>
      </c>
      <c r="AB105" s="182">
        <v>2.6351348842001965E-2</v>
      </c>
    </row>
    <row r="106" spans="17:28" x14ac:dyDescent="0.2">
      <c r="Q106" s="141"/>
      <c r="T106" s="141"/>
      <c r="X106" s="183" t="str">
        <f t="shared" si="8"/>
        <v>1D</v>
      </c>
      <c r="Y106" s="181">
        <f>_xll.qlCalendarAdvance(Calendar,Y105,X106,"f",FALSE)</f>
        <v>42024</v>
      </c>
      <c r="Z106" s="184">
        <f>_xll.qlCalendarAdvance(Calendar,Y106,NDays&amp;"D")</f>
        <v>42024</v>
      </c>
      <c r="AA106" s="185">
        <v>2.6472462274602464E-2</v>
      </c>
      <c r="AB106" s="182">
        <v>2.6350010470628238E-2</v>
      </c>
    </row>
    <row r="107" spans="17:28" x14ac:dyDescent="0.2">
      <c r="Q107" s="141"/>
      <c r="T107" s="141"/>
      <c r="X107" s="183" t="str">
        <f t="shared" si="8"/>
        <v>1D</v>
      </c>
      <c r="Y107" s="181">
        <f>_xll.qlCalendarAdvance(Calendar,Y106,X107,"f",FALSE)</f>
        <v>42025</v>
      </c>
      <c r="Z107" s="184">
        <f>_xll.qlCalendarAdvance(Calendar,Y107,NDays&amp;"D")</f>
        <v>42025</v>
      </c>
      <c r="AA107" s="185">
        <v>2.6474297579151405E-2</v>
      </c>
      <c r="AB107" s="182">
        <v>2.6348745284370256E-2</v>
      </c>
    </row>
    <row r="108" spans="17:28" x14ac:dyDescent="0.2">
      <c r="Q108" s="141"/>
      <c r="T108" s="141"/>
      <c r="X108" s="183" t="str">
        <f t="shared" si="8"/>
        <v>1D</v>
      </c>
      <c r="Y108" s="181">
        <f>_xll.qlCalendarAdvance(Calendar,Y107,X108,"f",FALSE)</f>
        <v>42026</v>
      </c>
      <c r="Z108" s="184">
        <f>_xll.qlCalendarAdvance(Calendar,Y108,NDays&amp;"D")</f>
        <v>42026</v>
      </c>
      <c r="AA108" s="185">
        <v>2.6476196597877394E-2</v>
      </c>
      <c r="AB108" s="182">
        <v>2.6347553283065928E-2</v>
      </c>
    </row>
    <row r="109" spans="17:28" x14ac:dyDescent="0.2">
      <c r="Q109" s="141"/>
      <c r="T109" s="141"/>
      <c r="X109" s="183" t="str">
        <f t="shared" si="8"/>
        <v>1D</v>
      </c>
      <c r="Y109" s="181">
        <f>_xll.qlCalendarAdvance(Calendar,Y108,X109,"f",FALSE)</f>
        <v>42027</v>
      </c>
      <c r="Z109" s="184">
        <f>_xll.qlCalendarAdvance(Calendar,Y109,NDays&amp;"D")</f>
        <v>42027</v>
      </c>
      <c r="AA109" s="185">
        <v>2.6478159046752832E-2</v>
      </c>
      <c r="AB109" s="182">
        <v>2.6347791626298578E-2</v>
      </c>
    </row>
    <row r="110" spans="17:28" x14ac:dyDescent="0.2">
      <c r="Q110" s="141"/>
      <c r="T110" s="141"/>
      <c r="X110" s="183" t="str">
        <f t="shared" si="8"/>
        <v>1D</v>
      </c>
      <c r="Y110" s="181">
        <f>_xll.qlCalendarAdvance(Calendar,Y109,X110,"f",FALSE)</f>
        <v>42031</v>
      </c>
      <c r="Z110" s="184">
        <f>_xll.qlCalendarAdvance(Calendar,Y110,NDays&amp;"D")</f>
        <v>42031</v>
      </c>
      <c r="AA110" s="185">
        <v>2.6486637463262137E-2</v>
      </c>
      <c r="AB110" s="182">
        <v>2.6342691051659539E-2</v>
      </c>
    </row>
    <row r="111" spans="17:28" x14ac:dyDescent="0.2">
      <c r="Q111" s="141"/>
      <c r="T111" s="141"/>
      <c r="X111" s="183" t="str">
        <f t="shared" si="8"/>
        <v>1D</v>
      </c>
      <c r="Y111" s="181">
        <f>_xll.qlCalendarAdvance(Calendar,Y110,X111,"f",FALSE)</f>
        <v>42032</v>
      </c>
      <c r="Z111" s="184">
        <f>_xll.qlCalendarAdvance(Calendar,Y111,NDays&amp;"D")</f>
        <v>42032</v>
      </c>
      <c r="AA111" s="185">
        <v>2.6488912802539413E-2</v>
      </c>
      <c r="AB111" s="182">
        <v>2.6341938160320266E-2</v>
      </c>
    </row>
    <row r="112" spans="17:28" x14ac:dyDescent="0.2">
      <c r="Q112" s="141"/>
      <c r="T112" s="141"/>
      <c r="U112" s="162"/>
      <c r="X112" s="183" t="str">
        <f t="shared" si="8"/>
        <v>1D</v>
      </c>
      <c r="Y112" s="181">
        <f>_xll.qlCalendarAdvance(Calendar,Y111,X112,"f",FALSE)</f>
        <v>42033</v>
      </c>
      <c r="Z112" s="184">
        <f>_xll.qlCalendarAdvance(Calendar,Y112,NDays&amp;"D")</f>
        <v>42033</v>
      </c>
      <c r="AA112" s="185">
        <v>2.6491249867842917E-2</v>
      </c>
      <c r="AB112" s="182">
        <v>2.6341258454015692E-2</v>
      </c>
    </row>
    <row r="113" spans="17:28" x14ac:dyDescent="0.2">
      <c r="Q113" s="141"/>
      <c r="T113" s="141"/>
      <c r="U113" s="162"/>
      <c r="X113" s="183" t="str">
        <f t="shared" si="8"/>
        <v>1D</v>
      </c>
      <c r="Y113" s="181">
        <f>_xll.qlCalendarAdvance(Calendar,Y112,X113,"f",FALSE)</f>
        <v>42034</v>
      </c>
      <c r="Z113" s="184">
        <f>_xll.qlCalendarAdvance(Calendar,Y113,NDays&amp;"D")</f>
        <v>42034</v>
      </c>
      <c r="AA113" s="185">
        <v>2.6493648375162167E-2</v>
      </c>
      <c r="AB113" s="182">
        <v>2.6342043867660557E-2</v>
      </c>
    </row>
    <row r="114" spans="17:28" x14ac:dyDescent="0.2">
      <c r="Q114" s="141"/>
      <c r="T114" s="141"/>
      <c r="U114" s="162"/>
      <c r="X114" s="183" t="str">
        <f t="shared" si="8"/>
        <v>1D</v>
      </c>
      <c r="Y114" s="181">
        <f>_xll.qlCalendarAdvance(Calendar,Y113,X114,"f",FALSE)</f>
        <v>42037</v>
      </c>
      <c r="Z114" s="184">
        <f>_xll.qlCalendarAdvance(Calendar,Y114,NDays&amp;"D")</f>
        <v>42037</v>
      </c>
      <c r="AA114" s="185">
        <v>2.6503934140459203E-2</v>
      </c>
      <c r="AB114" s="182">
        <v>2.6339271478820203E-2</v>
      </c>
    </row>
    <row r="115" spans="17:28" x14ac:dyDescent="0.2">
      <c r="Q115" s="141"/>
      <c r="T115" s="141"/>
      <c r="U115" s="162"/>
      <c r="X115" s="183" t="str">
        <f t="shared" si="8"/>
        <v>1D</v>
      </c>
      <c r="Y115" s="181">
        <f>_xll.qlCalendarAdvance(Calendar,Y114,X115,"f",FALSE)</f>
        <v>42038</v>
      </c>
      <c r="Z115" s="184">
        <f>_xll.qlCalendarAdvance(Calendar,Y115,NDays&amp;"D")</f>
        <v>42038</v>
      </c>
      <c r="AA115" s="185">
        <v>2.6503851144408615E-2</v>
      </c>
      <c r="AB115" s="182">
        <v>2.6338957697527032E-2</v>
      </c>
    </row>
    <row r="116" spans="17:28" x14ac:dyDescent="0.2">
      <c r="Q116" s="141"/>
      <c r="T116" s="141"/>
      <c r="U116" s="162"/>
      <c r="X116" s="183" t="str">
        <f t="shared" si="8"/>
        <v>1D</v>
      </c>
      <c r="Y116" s="181">
        <f>_xll.qlCalendarAdvance(Calendar,Y115,X116,"f",FALSE)</f>
        <v>42039</v>
      </c>
      <c r="Z116" s="184">
        <f>_xll.qlCalendarAdvance(Calendar,Y116,NDays&amp;"D")</f>
        <v>42039</v>
      </c>
      <c r="AA116" s="185">
        <v>2.6503791325689315E-2</v>
      </c>
      <c r="AB116" s="182">
        <v>2.6338717101187514E-2</v>
      </c>
    </row>
    <row r="117" spans="17:28" x14ac:dyDescent="0.2">
      <c r="Q117" s="141"/>
      <c r="T117" s="141"/>
      <c r="U117" s="162"/>
      <c r="X117" s="183" t="str">
        <f t="shared" si="8"/>
        <v>1D</v>
      </c>
      <c r="Y117" s="181">
        <f>_xll.qlCalendarAdvance(Calendar,Y116,X117,"f",FALSE)</f>
        <v>42040</v>
      </c>
      <c r="Z117" s="184">
        <f>_xll.qlCalendarAdvance(Calendar,Y117,NDays&amp;"D")</f>
        <v>42040</v>
      </c>
      <c r="AA117" s="185">
        <v>2.6506525659906601E-2</v>
      </c>
      <c r="AB117" s="182">
        <v>2.6338549689882695E-2</v>
      </c>
    </row>
    <row r="118" spans="17:28" x14ac:dyDescent="0.2">
      <c r="Q118" s="141"/>
      <c r="T118" s="141"/>
      <c r="U118" s="162"/>
      <c r="X118" s="183" t="str">
        <f t="shared" si="8"/>
        <v>1D</v>
      </c>
      <c r="Y118" s="181">
        <f>_xll.qlCalendarAdvance(Calendar,Y117,X118,"f",FALSE)</f>
        <v>42041</v>
      </c>
      <c r="Z118" s="184">
        <f>_xll.qlCalendarAdvance(Calendar,Y118,NDays&amp;"D")</f>
        <v>42041</v>
      </c>
      <c r="AA118" s="185">
        <v>2.6509319571406082E-2</v>
      </c>
      <c r="AB118" s="182">
        <v>2.6340359450388227E-2</v>
      </c>
    </row>
    <row r="119" spans="17:28" x14ac:dyDescent="0.2">
      <c r="Q119" s="141"/>
      <c r="T119" s="141"/>
      <c r="U119" s="162"/>
      <c r="X119" s="183" t="str">
        <f t="shared" si="8"/>
        <v>1D</v>
      </c>
      <c r="Y119" s="181">
        <f>_xll.qlCalendarAdvance(Calendar,Y118,X119,"f",FALSE)</f>
        <v>42044</v>
      </c>
      <c r="Z119" s="184">
        <f>_xll.qlCalendarAdvance(Calendar,Y119,NDays&amp;"D")</f>
        <v>42044</v>
      </c>
      <c r="AA119" s="185">
        <v>2.652386156112943E-2</v>
      </c>
      <c r="AB119" s="182">
        <v>2.6338611894524133E-2</v>
      </c>
    </row>
    <row r="120" spans="17:28" x14ac:dyDescent="0.2">
      <c r="Q120" s="141"/>
      <c r="T120" s="141"/>
      <c r="U120" s="162"/>
      <c r="X120" s="183" t="str">
        <f t="shared" si="8"/>
        <v>1D</v>
      </c>
      <c r="Y120" s="181">
        <f>_xll.qlCalendarAdvance(Calendar,Y119,X120,"f",FALSE)</f>
        <v>42045</v>
      </c>
      <c r="Z120" s="184">
        <f>_xll.qlCalendarAdvance(Calendar,Y120,NDays&amp;"D")</f>
        <v>42045</v>
      </c>
      <c r="AA120" s="185">
        <v>2.6524005903094106E-2</v>
      </c>
      <c r="AB120" s="182">
        <v>2.6338810408230717E-2</v>
      </c>
    </row>
    <row r="121" spans="17:28" x14ac:dyDescent="0.2">
      <c r="Q121" s="141"/>
      <c r="T121" s="141"/>
      <c r="U121" s="162"/>
      <c r="X121" s="183" t="str">
        <f t="shared" si="8"/>
        <v>1D</v>
      </c>
      <c r="Y121" s="181">
        <f>_xll.qlCalendarAdvance(Calendar,Y120,X121,"f",FALSE)</f>
        <v>42046</v>
      </c>
      <c r="Z121" s="184">
        <f>_xll.qlCalendarAdvance(Calendar,Y121,NDays&amp;"D")</f>
        <v>42046</v>
      </c>
      <c r="AA121" s="185">
        <v>2.6524172737222906E-2</v>
      </c>
      <c r="AB121" s="182">
        <v>2.6339082106890954E-2</v>
      </c>
    </row>
    <row r="122" spans="17:28" x14ac:dyDescent="0.2">
      <c r="Q122" s="141"/>
      <c r="T122" s="141"/>
      <c r="U122" s="162"/>
      <c r="X122" s="183" t="str">
        <f t="shared" si="8"/>
        <v>1D</v>
      </c>
      <c r="Y122" s="181">
        <f>_xll.qlCalendarAdvance(Calendar,Y121,X122,"f",FALSE)</f>
        <v>42047</v>
      </c>
      <c r="Z122" s="184">
        <f>_xll.qlCalendarAdvance(Calendar,Y122,NDays&amp;"D")</f>
        <v>42047</v>
      </c>
      <c r="AA122" s="185">
        <v>2.6527318081892032E-2</v>
      </c>
      <c r="AB122" s="182">
        <v>2.6339426990504844E-2</v>
      </c>
    </row>
    <row r="123" spans="17:28" x14ac:dyDescent="0.2">
      <c r="Q123" s="141"/>
      <c r="T123" s="141"/>
      <c r="U123" s="162"/>
      <c r="X123" s="183" t="str">
        <f t="shared" si="8"/>
        <v>1D</v>
      </c>
      <c r="Y123" s="181">
        <f>_xll.qlCalendarAdvance(Calendar,Y122,X123,"f",FALSE)</f>
        <v>42048</v>
      </c>
      <c r="Z123" s="184">
        <f>_xll.qlCalendarAdvance(Calendar,Y123,NDays&amp;"D")</f>
        <v>42048</v>
      </c>
      <c r="AA123" s="185">
        <v>2.6530520993686149E-2</v>
      </c>
      <c r="AB123" s="182">
        <v>2.6342261615486622E-2</v>
      </c>
    </row>
    <row r="124" spans="17:28" x14ac:dyDescent="0.2">
      <c r="Q124" s="141"/>
      <c r="T124" s="141"/>
      <c r="U124" s="162"/>
      <c r="X124" s="183" t="str">
        <f t="shared" si="8"/>
        <v>1D</v>
      </c>
      <c r="Y124" s="181">
        <f>_xll.qlCalendarAdvance(Calendar,Y123,X124,"f",FALSE)</f>
        <v>42051</v>
      </c>
      <c r="Z124" s="184">
        <f>_xll.qlCalendarAdvance(Calendar,Y124,NDays&amp;"D")</f>
        <v>42051</v>
      </c>
      <c r="AA124" s="185">
        <v>2.6546641268002793E-2</v>
      </c>
      <c r="AB124" s="182">
        <v>2.6341538375145301E-2</v>
      </c>
    </row>
    <row r="125" spans="17:28" x14ac:dyDescent="0.2">
      <c r="Q125" s="141"/>
      <c r="T125" s="141"/>
      <c r="U125" s="162"/>
      <c r="X125" s="183" t="str">
        <f t="shared" si="8"/>
        <v>1D</v>
      </c>
      <c r="Y125" s="181">
        <f>_xll.qlCalendarAdvance(Calendar,Y124,X125,"f",FALSE)</f>
        <v>42052</v>
      </c>
      <c r="Z125" s="184">
        <f>_xll.qlCalendarAdvance(Calendar,Y125,NDays&amp;"D")</f>
        <v>42052</v>
      </c>
      <c r="AA125" s="185">
        <v>2.6547004328943635E-2</v>
      </c>
      <c r="AB125" s="182">
        <v>2.6342249183770594E-2</v>
      </c>
    </row>
    <row r="126" spans="17:28" x14ac:dyDescent="0.2">
      <c r="Q126" s="141"/>
      <c r="T126" s="141"/>
      <c r="U126" s="162"/>
      <c r="X126" s="183" t="str">
        <f t="shared" si="8"/>
        <v>1D</v>
      </c>
      <c r="Y126" s="181">
        <f>_xll.qlCalendarAdvance(Calendar,Y125,X126,"f",FALSE)</f>
        <v>42053</v>
      </c>
      <c r="Z126" s="184">
        <f>_xll.qlCalendarAdvance(Calendar,Y126,NDays&amp;"D")</f>
        <v>42053</v>
      </c>
      <c r="AA126" s="185">
        <v>2.6547389009000454E-2</v>
      </c>
      <c r="AB126" s="182">
        <v>2.6343033177430586E-2</v>
      </c>
    </row>
    <row r="127" spans="17:28" x14ac:dyDescent="0.2">
      <c r="Q127" s="141"/>
      <c r="T127" s="141"/>
      <c r="U127" s="162"/>
      <c r="X127" s="183" t="str">
        <f t="shared" si="8"/>
        <v>1D</v>
      </c>
      <c r="Y127" s="181">
        <f>_xll.qlCalendarAdvance(Calendar,Y126,X127,"f",FALSE)</f>
        <v>42054</v>
      </c>
      <c r="Z127" s="184">
        <f>_xll.qlCalendarAdvance(Calendar,Y127,NDays&amp;"D")</f>
        <v>42054</v>
      </c>
      <c r="AA127" s="185">
        <v>2.6550931293250434E-2</v>
      </c>
      <c r="AB127" s="182">
        <v>2.6343890355963184E-2</v>
      </c>
    </row>
    <row r="128" spans="17:28" x14ac:dyDescent="0.2">
      <c r="Q128" s="141"/>
      <c r="T128" s="141"/>
      <c r="U128" s="162"/>
      <c r="X128" s="183" t="str">
        <f t="shared" si="8"/>
        <v>1D</v>
      </c>
      <c r="Y128" s="181">
        <f>_xll.qlCalendarAdvance(Calendar,Y127,X128,"f",FALSE)</f>
        <v>42055</v>
      </c>
      <c r="Z128" s="184">
        <f>_xll.qlCalendarAdvance(Calendar,Y128,NDays&amp;"D")</f>
        <v>42055</v>
      </c>
      <c r="AA128" s="185">
        <v>2.6554529134541045E-2</v>
      </c>
      <c r="AB128" s="182">
        <v>2.6347750363117838E-2</v>
      </c>
    </row>
    <row r="129" spans="17:28" x14ac:dyDescent="0.2">
      <c r="Q129" s="141"/>
      <c r="T129" s="141"/>
      <c r="U129" s="162"/>
      <c r="X129" s="183" t="str">
        <f t="shared" si="8"/>
        <v>1D</v>
      </c>
      <c r="Y129" s="181">
        <f>_xll.qlCalendarAdvance(Calendar,Y128,X129,"f",FALSE)</f>
        <v>42058</v>
      </c>
      <c r="Z129" s="184">
        <f>_xll.qlCalendarAdvance(Calendar,Y129,NDays&amp;"D")</f>
        <v>42058</v>
      </c>
      <c r="AA129" s="185">
        <v>2.6572176918774497E-2</v>
      </c>
      <c r="AB129" s="182">
        <v>2.6348050920521615E-2</v>
      </c>
    </row>
    <row r="130" spans="17:28" x14ac:dyDescent="0.2">
      <c r="Q130" s="141"/>
      <c r="T130" s="141"/>
      <c r="U130" s="162"/>
      <c r="X130" s="183" t="str">
        <f t="shared" si="8"/>
        <v>1D</v>
      </c>
      <c r="Y130" s="181">
        <f>_xll.qlCalendarAdvance(Calendar,Y129,X130,"f",FALSE)</f>
        <v>42059</v>
      </c>
      <c r="Z130" s="184">
        <f>_xll.qlCalendarAdvance(Calendar,Y130,NDays&amp;"D")</f>
        <v>42059</v>
      </c>
      <c r="AA130" s="185">
        <v>2.657274901546795E-2</v>
      </c>
      <c r="AB130" s="182">
        <v>2.6349274024146663E-2</v>
      </c>
    </row>
    <row r="131" spans="17:28" x14ac:dyDescent="0.2">
      <c r="Q131" s="141"/>
      <c r="T131" s="141"/>
      <c r="U131" s="162"/>
      <c r="X131" s="183" t="str">
        <f t="shared" si="8"/>
        <v>1D</v>
      </c>
      <c r="Y131" s="181">
        <f>_xll.qlCalendarAdvance(Calendar,Y130,X131,"f",FALSE)</f>
        <v>42060</v>
      </c>
      <c r="Z131" s="184">
        <f>_xll.qlCalendarAdvance(Calendar,Y131,NDays&amp;"D")</f>
        <v>42060</v>
      </c>
      <c r="AA131" s="185">
        <v>2.657334164642396E-2</v>
      </c>
      <c r="AB131" s="182">
        <v>2.6350570312806409E-2</v>
      </c>
    </row>
    <row r="132" spans="17:28" x14ac:dyDescent="0.2">
      <c r="Q132" s="141"/>
      <c r="T132" s="141"/>
      <c r="U132" s="162"/>
      <c r="X132" s="183" t="str">
        <f t="shared" si="8"/>
        <v>1D</v>
      </c>
      <c r="Y132" s="181">
        <f>_xll.qlCalendarAdvance(Calendar,Y131,X132,"f",FALSE)</f>
        <v>42061</v>
      </c>
      <c r="Z132" s="184">
        <f>_xll.qlCalendarAdvance(Calendar,Y132,NDays&amp;"D")</f>
        <v>42061</v>
      </c>
      <c r="AA132" s="185">
        <v>2.6577266799864625E-2</v>
      </c>
      <c r="AB132" s="182">
        <v>2.6351939786419809E-2</v>
      </c>
    </row>
    <row r="133" spans="17:28" x14ac:dyDescent="0.2">
      <c r="Q133" s="141"/>
      <c r="T133" s="141"/>
      <c r="U133" s="162"/>
      <c r="X133" s="183" t="str">
        <f t="shared" si="8"/>
        <v>1D</v>
      </c>
      <c r="Y133" s="181">
        <f>_xll.qlCalendarAdvance(Calendar,Y132,X133,"f",FALSE)</f>
        <v>42062</v>
      </c>
      <c r="Z133" s="184">
        <f>_xll.qlCalendarAdvance(Calendar,Y133,NDays&amp;"D")</f>
        <v>42062</v>
      </c>
      <c r="AA133" s="185">
        <v>2.6587969006610757E-2</v>
      </c>
      <c r="AB133" s="182">
        <v>2.6356825693795164E-2</v>
      </c>
    </row>
    <row r="134" spans="17:28" x14ac:dyDescent="0.2">
      <c r="Q134" s="141"/>
      <c r="T134" s="141"/>
      <c r="U134" s="162"/>
      <c r="X134" s="183" t="str">
        <f t="shared" si="8"/>
        <v>1D</v>
      </c>
      <c r="Y134" s="181">
        <f>_xll.qlCalendarAdvance(Calendar,Y133,X134,"f",FALSE)</f>
        <v>42065</v>
      </c>
      <c r="Z134" s="184">
        <f>_xll.qlCalendarAdvance(Calendar,Y134,NDays&amp;"D")</f>
        <v>42065</v>
      </c>
      <c r="AA134" s="185">
        <v>2.6603832971727491E-2</v>
      </c>
      <c r="AB134" s="182">
        <v>2.6358149531058306E-2</v>
      </c>
    </row>
    <row r="135" spans="17:28" x14ac:dyDescent="0.2">
      <c r="Q135" s="141"/>
      <c r="T135" s="141"/>
      <c r="U135" s="162"/>
      <c r="X135" s="183" t="str">
        <f t="shared" si="8"/>
        <v>1D</v>
      </c>
      <c r="Y135" s="181">
        <f>_xll.qlCalendarAdvance(Calendar,Y134,X135,"f",FALSE)</f>
        <v>42066</v>
      </c>
      <c r="Z135" s="184">
        <f>_xll.qlCalendarAdvance(Calendar,Y135,NDays&amp;"D")</f>
        <v>42066</v>
      </c>
      <c r="AA135" s="185">
        <v>2.6608097038298476E-2</v>
      </c>
      <c r="AB135" s="182">
        <v>2.6359884929764155E-2</v>
      </c>
    </row>
    <row r="136" spans="17:28" x14ac:dyDescent="0.2">
      <c r="Q136" s="141"/>
      <c r="T136" s="141"/>
      <c r="U136" s="162"/>
      <c r="X136" s="183" t="str">
        <f t="shared" si="8"/>
        <v>1D</v>
      </c>
      <c r="Y136" s="181">
        <f>_xll.qlCalendarAdvance(Calendar,Y135,X136,"f",FALSE)</f>
        <v>42067</v>
      </c>
      <c r="Z136" s="184">
        <f>_xll.qlCalendarAdvance(Calendar,Y136,NDays&amp;"D")</f>
        <v>42067</v>
      </c>
      <c r="AA136" s="185">
        <v>2.6612413096758054E-2</v>
      </c>
      <c r="AB136" s="182">
        <v>2.6361693513423656E-2</v>
      </c>
    </row>
    <row r="137" spans="17:28" x14ac:dyDescent="0.2">
      <c r="Q137" s="141"/>
      <c r="T137" s="141"/>
      <c r="U137" s="162"/>
      <c r="X137" s="183" t="str">
        <f t="shared" si="8"/>
        <v>1D</v>
      </c>
      <c r="Y137" s="181">
        <f>_xll.qlCalendarAdvance(Calendar,Y136,X137,"f",FALSE)</f>
        <v>42068</v>
      </c>
      <c r="Z137" s="184">
        <f>_xll.qlCalendarAdvance(Calendar,Y137,NDays&amp;"D")</f>
        <v>42068</v>
      </c>
      <c r="AA137" s="185">
        <v>2.6616780869284866E-2</v>
      </c>
      <c r="AB137" s="182">
        <v>2.6363575282117857E-2</v>
      </c>
    </row>
    <row r="138" spans="17:28" x14ac:dyDescent="0.2">
      <c r="Q138" s="141"/>
      <c r="T138" s="141"/>
      <c r="U138" s="162"/>
      <c r="X138" s="183" t="str">
        <f t="shared" si="8"/>
        <v>1D</v>
      </c>
      <c r="Y138" s="181">
        <f>_xll.qlCalendarAdvance(Calendar,Y137,X138,"f",FALSE)</f>
        <v>42069</v>
      </c>
      <c r="Z138" s="184">
        <f>_xll.qlCalendarAdvance(Calendar,Y138,NDays&amp;"D")</f>
        <v>42069</v>
      </c>
      <c r="AA138" s="185">
        <v>2.6631976812262342E-2</v>
      </c>
      <c r="AB138" s="182">
        <v>2.6369487608302048E-2</v>
      </c>
    </row>
    <row r="139" spans="17:28" x14ac:dyDescent="0.2">
      <c r="Q139" s="141"/>
      <c r="T139" s="141"/>
      <c r="U139" s="162"/>
      <c r="X139" s="183" t="str">
        <f t="shared" si="8"/>
        <v>1D</v>
      </c>
      <c r="Y139" s="181">
        <f>_xll.qlCalendarAdvance(Calendar,Y138,X139,"f",FALSE)</f>
        <v>42072</v>
      </c>
      <c r="Z139" s="184">
        <f>_xll.qlCalendarAdvance(Calendar,Y139,NDays&amp;"D")</f>
        <v>42072</v>
      </c>
      <c r="AA139" s="185">
        <v>2.6634763543643292E-2</v>
      </c>
      <c r="AB139" s="182">
        <v>2.6371834206917466E-2</v>
      </c>
    </row>
    <row r="140" spans="17:28" x14ac:dyDescent="0.2">
      <c r="Q140" s="141"/>
      <c r="T140" s="141"/>
      <c r="U140" s="162"/>
      <c r="X140" s="183" t="str">
        <f t="shared" si="8"/>
        <v>1D</v>
      </c>
      <c r="Y140" s="181">
        <f>_xll.qlCalendarAdvance(Calendar,Y139,X140,"f",FALSE)</f>
        <v>42073</v>
      </c>
      <c r="Z140" s="184">
        <f>_xll.qlCalendarAdvance(Calendar,Y140,NDays&amp;"D")</f>
        <v>42073</v>
      </c>
      <c r="AA140" s="185">
        <v>2.6639385719198119E-2</v>
      </c>
      <c r="AB140" s="182">
        <v>2.6374081900704116E-2</v>
      </c>
    </row>
    <row r="141" spans="17:28" x14ac:dyDescent="0.2">
      <c r="Q141" s="141"/>
      <c r="T141" s="141"/>
      <c r="U141" s="162"/>
      <c r="X141" s="183" t="str">
        <f t="shared" si="8"/>
        <v>1D</v>
      </c>
      <c r="Y141" s="181">
        <f>_xll.qlCalendarAdvance(Calendar,Y140,X141,"f",FALSE)</f>
        <v>42074</v>
      </c>
      <c r="Z141" s="184">
        <f>_xll.qlCalendarAdvance(Calendar,Y141,NDays&amp;"D")</f>
        <v>42074</v>
      </c>
      <c r="AA141" s="185">
        <v>2.6644057941901677E-2</v>
      </c>
      <c r="AB141" s="182">
        <v>2.6376402779525465E-2</v>
      </c>
    </row>
    <row r="142" spans="17:28" x14ac:dyDescent="0.2">
      <c r="Q142" s="141"/>
      <c r="T142" s="141"/>
      <c r="U142" s="162"/>
      <c r="X142" s="183" t="str">
        <f t="shared" si="8"/>
        <v>1D</v>
      </c>
      <c r="Y142" s="181">
        <f>_xll.qlCalendarAdvance(Calendar,Y141,X142,"f",FALSE)</f>
        <v>42075</v>
      </c>
      <c r="Z142" s="184">
        <f>_xll.qlCalendarAdvance(Calendar,Y142,NDays&amp;"D")</f>
        <v>42075</v>
      </c>
      <c r="AA142" s="185">
        <v>2.6648779933937009E-2</v>
      </c>
      <c r="AB142" s="182">
        <v>2.6378796843219421E-2</v>
      </c>
    </row>
    <row r="143" spans="17:28" x14ac:dyDescent="0.2">
      <c r="Q143" s="141"/>
      <c r="T143" s="141"/>
      <c r="U143" s="162"/>
      <c r="X143" s="183" t="str">
        <f t="shared" si="8"/>
        <v>1D</v>
      </c>
      <c r="Y143" s="181">
        <f>_xll.qlCalendarAdvance(Calendar,Y142,X143,"f",FALSE)</f>
        <v>42076</v>
      </c>
      <c r="Z143" s="184">
        <f>_xll.qlCalendarAdvance(Calendar,Y143,NDays&amp;"D")</f>
        <v>42076</v>
      </c>
      <c r="AA143" s="185">
        <v>2.666106214895925E-2</v>
      </c>
      <c r="AB143" s="182">
        <v>2.6385736107773138E-2</v>
      </c>
    </row>
    <row r="144" spans="17:28" x14ac:dyDescent="0.2">
      <c r="Q144" s="141"/>
      <c r="T144" s="141"/>
      <c r="U144" s="162"/>
      <c r="X144" s="183" t="str">
        <f t="shared" si="8"/>
        <v>1D</v>
      </c>
      <c r="Y144" s="181">
        <f>_xll.qlCalendarAdvance(Calendar,Y143,X144,"f",FALSE)</f>
        <v>42079</v>
      </c>
      <c r="Z144" s="184">
        <f>_xll.qlCalendarAdvance(Calendar,Y144,NDays&amp;"D")</f>
        <v>42079</v>
      </c>
      <c r="AA144" s="185">
        <v>2.66681600390727E-2</v>
      </c>
      <c r="AB144" s="182">
        <v>2.638910494866642E-2</v>
      </c>
    </row>
    <row r="145" spans="17:28" x14ac:dyDescent="0.2">
      <c r="Q145" s="141"/>
      <c r="T145" s="141"/>
      <c r="U145" s="162"/>
      <c r="X145" s="183" t="str">
        <f t="shared" si="8"/>
        <v>1D</v>
      </c>
      <c r="Y145" s="181">
        <f>_xll.qlCalendarAdvance(Calendar,Y144,X145,"f",FALSE)</f>
        <v>42080</v>
      </c>
      <c r="Z145" s="184">
        <f>_xll.qlCalendarAdvance(Calendar,Y145,NDays&amp;"D")</f>
        <v>42080</v>
      </c>
      <c r="AA145" s="185">
        <v>2.6673126710525699E-2</v>
      </c>
      <c r="AB145" s="182">
        <v>2.6391860703108838E-2</v>
      </c>
    </row>
    <row r="146" spans="17:28" x14ac:dyDescent="0.2">
      <c r="Q146" s="141"/>
      <c r="T146" s="141"/>
      <c r="U146" s="162"/>
      <c r="X146" s="183" t="str">
        <f t="shared" si="8"/>
        <v>1D</v>
      </c>
      <c r="Y146" s="181">
        <f>_xll.qlCalendarAdvance(Calendar,Y145,X146,"f",FALSE)</f>
        <v>42081</v>
      </c>
      <c r="Z146" s="184">
        <f>_xll.qlCalendarAdvance(Calendar,Y146,NDays&amp;"D")</f>
        <v>42081</v>
      </c>
      <c r="AA146" s="185">
        <v>2.6678141530750443E-2</v>
      </c>
      <c r="AB146" s="182">
        <v>2.6394668470541838E-2</v>
      </c>
    </row>
    <row r="147" spans="17:28" x14ac:dyDescent="0.2">
      <c r="Q147" s="141"/>
      <c r="T147" s="141"/>
      <c r="U147" s="162"/>
      <c r="X147" s="183" t="str">
        <f t="shared" si="8"/>
        <v>1D</v>
      </c>
      <c r="Y147" s="181">
        <f>_xll.qlCalendarAdvance(Calendar,Y146,X147,"f",FALSE)</f>
        <v>42082</v>
      </c>
      <c r="Z147" s="184">
        <f>_xll.qlCalendarAdvance(Calendar,Y147,NDays&amp;"D")</f>
        <v>42082</v>
      </c>
      <c r="AA147" s="185">
        <v>2.6683204453594598E-2</v>
      </c>
      <c r="AB147" s="182">
        <v>2.6397524016378293E-2</v>
      </c>
    </row>
    <row r="148" spans="17:28" x14ac:dyDescent="0.2">
      <c r="Q148" s="141"/>
      <c r="T148" s="141"/>
      <c r="U148" s="162"/>
      <c r="X148" s="183" t="str">
        <f t="shared" si="8"/>
        <v>1D</v>
      </c>
      <c r="Y148" s="181">
        <f>_xll.qlCalendarAdvance(Calendar,Y147,X148,"f",FALSE)</f>
        <v>42083</v>
      </c>
      <c r="Z148" s="184">
        <f>_xll.qlCalendarAdvance(Calendar,Y148,NDays&amp;"D")</f>
        <v>42083</v>
      </c>
      <c r="AA148" s="185">
        <v>2.6696168111459459E-2</v>
      </c>
      <c r="AB148" s="182">
        <v>2.6405304386312171E-2</v>
      </c>
    </row>
    <row r="149" spans="17:28" x14ac:dyDescent="0.2">
      <c r="Q149" s="141"/>
      <c r="T149" s="141"/>
      <c r="U149" s="162"/>
      <c r="X149" s="183" t="str">
        <f t="shared" ref="X149:X212" si="9">X148</f>
        <v>1D</v>
      </c>
      <c r="Y149" s="181">
        <f>_xll.qlCalendarAdvance(Calendar,Y148,X149,"f",FALSE)</f>
        <v>42086</v>
      </c>
      <c r="Z149" s="184">
        <f>_xll.qlCalendarAdvance(Calendar,Y149,NDays&amp;"D")</f>
        <v>42086</v>
      </c>
      <c r="AA149" s="185">
        <v>2.6703937174852949E-2</v>
      </c>
      <c r="AB149" s="182">
        <v>2.6409423984731228E-2</v>
      </c>
    </row>
    <row r="150" spans="17:28" x14ac:dyDescent="0.2">
      <c r="Q150" s="141"/>
      <c r="T150" s="141"/>
      <c r="U150" s="162"/>
      <c r="X150" s="183" t="str">
        <f t="shared" si="9"/>
        <v>1D</v>
      </c>
      <c r="Y150" s="181">
        <f>_xll.qlCalendarAdvance(Calendar,Y149,X150,"f",FALSE)</f>
        <v>42087</v>
      </c>
      <c r="Z150" s="184">
        <f>_xll.qlCalendarAdvance(Calendar,Y150,NDays&amp;"D")</f>
        <v>42087</v>
      </c>
      <c r="AA150" s="185">
        <v>2.6709240613574402E-2</v>
      </c>
      <c r="AB150" s="182">
        <v>2.6412518422990194E-2</v>
      </c>
    </row>
    <row r="151" spans="17:28" x14ac:dyDescent="0.2">
      <c r="Q151" s="141"/>
      <c r="T151" s="141"/>
      <c r="U151" s="162"/>
      <c r="X151" s="183" t="str">
        <f t="shared" si="9"/>
        <v>1D</v>
      </c>
      <c r="Y151" s="181">
        <f>_xll.qlCalendarAdvance(Calendar,Y150,X151,"f",FALSE)</f>
        <v>42088</v>
      </c>
      <c r="Z151" s="184">
        <f>_xll.qlCalendarAdvance(Calendar,Y151,NDays&amp;"D")</f>
        <v>42088</v>
      </c>
      <c r="AA151" s="185">
        <v>2.6714592156038466E-2</v>
      </c>
      <c r="AB151" s="182">
        <v>2.6415660639814709E-2</v>
      </c>
    </row>
    <row r="152" spans="17:28" x14ac:dyDescent="0.2">
      <c r="Q152" s="141"/>
      <c r="T152" s="141"/>
      <c r="U152" s="162"/>
      <c r="X152" s="183" t="str">
        <f t="shared" si="9"/>
        <v>1D</v>
      </c>
      <c r="Y152" s="181">
        <f>_xll.qlCalendarAdvance(Calendar,Y151,X152,"f",FALSE)</f>
        <v>42089</v>
      </c>
      <c r="Z152" s="184">
        <f>_xll.qlCalendarAdvance(Calendar,Y152,NDays&amp;"D")</f>
        <v>42089</v>
      </c>
      <c r="AA152" s="185">
        <v>2.6719991802439825E-2</v>
      </c>
      <c r="AB152" s="182">
        <v>2.6418850635123725E-2</v>
      </c>
    </row>
    <row r="153" spans="17:28" x14ac:dyDescent="0.2">
      <c r="Q153" s="141"/>
      <c r="T153" s="141"/>
      <c r="U153" s="162"/>
      <c r="X153" s="183" t="str">
        <f t="shared" si="9"/>
        <v>1D</v>
      </c>
      <c r="Y153" s="181">
        <f>_xll.qlCalendarAdvance(Calendar,Y152,X153,"f",FALSE)</f>
        <v>42090</v>
      </c>
      <c r="Z153" s="184">
        <f>_xll.qlCalendarAdvance(Calendar,Y153,NDays&amp;"D")</f>
        <v>42090</v>
      </c>
      <c r="AA153" s="185">
        <v>2.6733634383656377E-2</v>
      </c>
      <c r="AB153" s="182">
        <v>2.6427303087527648E-2</v>
      </c>
    </row>
    <row r="154" spans="17:28" x14ac:dyDescent="0.2">
      <c r="Q154" s="141"/>
      <c r="T154" s="141"/>
      <c r="U154" s="162"/>
      <c r="X154" s="183" t="str">
        <f t="shared" si="9"/>
        <v>1D</v>
      </c>
      <c r="Y154" s="181">
        <f>_xll.qlCalendarAdvance(Calendar,Y153,X154,"f",FALSE)</f>
        <v>42093</v>
      </c>
      <c r="Z154" s="184">
        <f>_xll.qlCalendarAdvance(Calendar,Y154,NDays&amp;"D")</f>
        <v>42093</v>
      </c>
      <c r="AA154" s="185">
        <v>2.6742071431336615E-2</v>
      </c>
      <c r="AB154" s="182">
        <v>2.6432088401204812E-2</v>
      </c>
    </row>
    <row r="155" spans="17:28" x14ac:dyDescent="0.2">
      <c r="Q155" s="141"/>
      <c r="T155" s="141"/>
      <c r="U155" s="162"/>
      <c r="X155" s="183" t="str">
        <f t="shared" si="9"/>
        <v>1D</v>
      </c>
      <c r="Y155" s="181">
        <f>_xll.qlCalendarAdvance(Calendar,Y154,X155,"f",FALSE)</f>
        <v>42094</v>
      </c>
      <c r="Z155" s="184">
        <f>_xll.qlCalendarAdvance(Calendar,Y155,NDays&amp;"D")</f>
        <v>42094</v>
      </c>
      <c r="AA155" s="185">
        <v>2.6743541159784567E-2</v>
      </c>
      <c r="AB155" s="182">
        <v>2.6435517288936339E-2</v>
      </c>
    </row>
    <row r="156" spans="17:28" x14ac:dyDescent="0.2">
      <c r="Q156" s="141"/>
      <c r="T156" s="141"/>
      <c r="U156" s="162"/>
      <c r="X156" s="183" t="str">
        <f t="shared" si="9"/>
        <v>1D</v>
      </c>
      <c r="Y156" s="181">
        <f>_xll.qlCalendarAdvance(Calendar,Y155,X156,"f",FALSE)</f>
        <v>42095</v>
      </c>
      <c r="Z156" s="184">
        <f>_xll.qlCalendarAdvance(Calendar,Y156,NDays&amp;"D")</f>
        <v>42095</v>
      </c>
      <c r="AA156" s="185">
        <v>2.6749204967181618E-2</v>
      </c>
      <c r="AB156" s="182">
        <v>2.6438993955233414E-2</v>
      </c>
    </row>
    <row r="157" spans="17:28" x14ac:dyDescent="0.2">
      <c r="Q157" s="141"/>
      <c r="T157" s="141"/>
      <c r="U157" s="162"/>
      <c r="X157" s="183" t="str">
        <f t="shared" si="9"/>
        <v>1D</v>
      </c>
      <c r="Y157" s="181">
        <f>_xll.qlCalendarAdvance(Calendar,Y156,X157,"f",FALSE)</f>
        <v>42096</v>
      </c>
      <c r="Z157" s="184">
        <f>_xll.qlCalendarAdvance(Calendar,Y157,NDays&amp;"D")</f>
        <v>42096</v>
      </c>
      <c r="AA157" s="185">
        <v>2.6754916876208051E-2</v>
      </c>
      <c r="AB157" s="182">
        <v>2.6453592049600738E-2</v>
      </c>
    </row>
    <row r="158" spans="17:28" x14ac:dyDescent="0.2">
      <c r="Q158" s="141"/>
      <c r="T158" s="141"/>
      <c r="U158" s="162"/>
      <c r="X158" s="183" t="str">
        <f t="shared" si="9"/>
        <v>1D</v>
      </c>
      <c r="Y158" s="181">
        <f>_xll.qlCalendarAdvance(Calendar,Y157,X158,"f",FALSE)</f>
        <v>42101</v>
      </c>
      <c r="Z158" s="184">
        <f>_xll.qlCalendarAdvance(Calendar,Y158,NDays&amp;"D")</f>
        <v>42101</v>
      </c>
      <c r="AA158" s="185">
        <v>2.6784197952989631E-2</v>
      </c>
      <c r="AB158" s="182">
        <v>2.6460857301352503E-2</v>
      </c>
    </row>
    <row r="159" spans="17:28" x14ac:dyDescent="0.2">
      <c r="Q159" s="141"/>
      <c r="T159" s="141"/>
      <c r="U159" s="162"/>
      <c r="X159" s="183" t="str">
        <f t="shared" si="9"/>
        <v>1D</v>
      </c>
      <c r="Y159" s="181">
        <f>_xll.qlCalendarAdvance(Calendar,Y158,X159,"f",FALSE)</f>
        <v>42102</v>
      </c>
      <c r="Z159" s="184">
        <f>_xll.qlCalendarAdvance(Calendar,Y159,NDays&amp;"D")</f>
        <v>42102</v>
      </c>
      <c r="AA159" s="185">
        <v>2.6790198476140361E-2</v>
      </c>
      <c r="AB159" s="182">
        <v>2.6464668417122139E-2</v>
      </c>
    </row>
    <row r="160" spans="17:28" x14ac:dyDescent="0.2">
      <c r="Q160" s="141"/>
      <c r="T160" s="141"/>
      <c r="U160" s="162"/>
      <c r="X160" s="183" t="str">
        <f t="shared" si="9"/>
        <v>1D</v>
      </c>
      <c r="Y160" s="181">
        <f>_xll.qlCalendarAdvance(Calendar,Y159,X160,"f",FALSE)</f>
        <v>42103</v>
      </c>
      <c r="Z160" s="184">
        <f>_xll.qlCalendarAdvance(Calendar,Y160,NDays&amp;"D")</f>
        <v>42103</v>
      </c>
      <c r="AA160" s="185">
        <v>2.6796247102385543E-2</v>
      </c>
      <c r="AB160" s="182">
        <v>2.6468527311457324E-2</v>
      </c>
    </row>
    <row r="161" spans="17:28" x14ac:dyDescent="0.2">
      <c r="Q161" s="141"/>
      <c r="T161" s="141"/>
      <c r="U161" s="162"/>
      <c r="X161" s="183" t="str">
        <f t="shared" si="9"/>
        <v>1D</v>
      </c>
      <c r="Y161" s="181">
        <f>_xll.qlCalendarAdvance(Calendar,Y160,X161,"f",FALSE)</f>
        <v>42104</v>
      </c>
      <c r="Z161" s="184">
        <f>_xll.qlCalendarAdvance(Calendar,Y161,NDays&amp;"D")</f>
        <v>42104</v>
      </c>
      <c r="AA161" s="185">
        <v>2.6802343831941595E-2</v>
      </c>
      <c r="AB161" s="182">
        <v>2.6478324956116982E-2</v>
      </c>
    </row>
    <row r="162" spans="17:28" x14ac:dyDescent="0.2">
      <c r="Q162" s="141"/>
      <c r="T162" s="141"/>
      <c r="U162" s="162"/>
      <c r="X162" s="183" t="str">
        <f t="shared" si="9"/>
        <v>1D</v>
      </c>
      <c r="Y162" s="181">
        <f>_xll.qlCalendarAdvance(Calendar,Y161,X162,"f",FALSE)</f>
        <v>42107</v>
      </c>
      <c r="Z162" s="184">
        <f>_xll.qlCalendarAdvance(Calendar,Y162,NDays&amp;"D")</f>
        <v>42107</v>
      </c>
      <c r="AA162" s="185">
        <v>2.682092264266055E-2</v>
      </c>
      <c r="AB162" s="182">
        <v>2.6484440673805176E-2</v>
      </c>
    </row>
    <row r="163" spans="17:28" x14ac:dyDescent="0.2">
      <c r="Q163" s="141"/>
      <c r="T163" s="141"/>
      <c r="U163" s="162"/>
      <c r="X163" s="183" t="str">
        <f t="shared" si="9"/>
        <v>1D</v>
      </c>
      <c r="Y163" s="181">
        <f>_xll.qlCalendarAdvance(Calendar,Y162,X163,"f",FALSE)</f>
        <v>42108</v>
      </c>
      <c r="Z163" s="184">
        <f>_xll.qlCalendarAdvance(Calendar,Y163,NDays&amp;"D")</f>
        <v>42108</v>
      </c>
      <c r="AA163" s="185">
        <v>2.682721178765457E-2</v>
      </c>
      <c r="AB163" s="182">
        <v>2.6488538460724964E-2</v>
      </c>
    </row>
    <row r="164" spans="17:28" x14ac:dyDescent="0.2">
      <c r="Q164" s="141"/>
      <c r="T164" s="141"/>
      <c r="U164" s="162"/>
      <c r="X164" s="183" t="str">
        <f t="shared" si="9"/>
        <v>1D</v>
      </c>
      <c r="Y164" s="181">
        <f>_xll.qlCalendarAdvance(Calendar,Y163,X164,"f",FALSE)</f>
        <v>42109</v>
      </c>
      <c r="Z164" s="184">
        <f>_xll.qlCalendarAdvance(Calendar,Y164,NDays&amp;"D")</f>
        <v>42109</v>
      </c>
      <c r="AA164" s="185">
        <v>2.6833549037066497E-2</v>
      </c>
      <c r="AB164" s="182">
        <v>2.6492684026129254E-2</v>
      </c>
    </row>
    <row r="165" spans="17:28" x14ac:dyDescent="0.2">
      <c r="Q165" s="141"/>
      <c r="T165" s="141"/>
      <c r="U165" s="162"/>
      <c r="X165" s="183" t="str">
        <f t="shared" si="9"/>
        <v>1D</v>
      </c>
      <c r="Y165" s="181">
        <f>_xll.qlCalendarAdvance(Calendar,Y164,X165,"f",FALSE)</f>
        <v>42110</v>
      </c>
      <c r="Z165" s="184">
        <f>_xll.qlCalendarAdvance(Calendar,Y165,NDays&amp;"D")</f>
        <v>42110</v>
      </c>
      <c r="AA165" s="185">
        <v>2.6839934391120767E-2</v>
      </c>
      <c r="AB165" s="182">
        <v>2.6496877370018046E-2</v>
      </c>
    </row>
    <row r="166" spans="17:28" x14ac:dyDescent="0.2">
      <c r="Q166" s="141"/>
      <c r="T166" s="141"/>
      <c r="U166" s="162"/>
      <c r="X166" s="183" t="str">
        <f t="shared" si="9"/>
        <v>1D</v>
      </c>
      <c r="Y166" s="181">
        <f>_xll.qlCalendarAdvance(Calendar,Y165,X166,"f",FALSE)</f>
        <v>42111</v>
      </c>
      <c r="Z166" s="184">
        <f>_xll.qlCalendarAdvance(Calendar,Y166,NDays&amp;"D")</f>
        <v>42111</v>
      </c>
      <c r="AA166" s="185">
        <v>2.6846367850048056E-2</v>
      </c>
      <c r="AB166" s="182">
        <v>2.6507348126381485E-2</v>
      </c>
    </row>
    <row r="167" spans="17:28" x14ac:dyDescent="0.2">
      <c r="Q167" s="141"/>
      <c r="T167" s="141"/>
      <c r="U167" s="162"/>
      <c r="X167" s="183" t="str">
        <f t="shared" si="9"/>
        <v>1D</v>
      </c>
      <c r="Y167" s="181">
        <f>_xll.qlCalendarAdvance(Calendar,Y166,X167,"f",FALSE)</f>
        <v>42114</v>
      </c>
      <c r="Z167" s="184">
        <f>_xll.qlCalendarAdvance(Calendar,Y167,NDays&amp;"D")</f>
        <v>42114</v>
      </c>
      <c r="AA167" s="185">
        <v>2.6865956858367589E-2</v>
      </c>
      <c r="AB167" s="182">
        <v>2.6514128530985559E-2</v>
      </c>
    </row>
    <row r="168" spans="17:28" x14ac:dyDescent="0.2">
      <c r="Q168" s="141"/>
      <c r="T168" s="141"/>
      <c r="U168" s="162"/>
      <c r="X168" s="183" t="str">
        <f t="shared" si="9"/>
        <v>1D</v>
      </c>
      <c r="Y168" s="181">
        <f>_xll.qlCalendarAdvance(Calendar,Y167,X168,"f",FALSE)</f>
        <v>42115</v>
      </c>
      <c r="Z168" s="184">
        <f>_xll.qlCalendarAdvance(Calendar,Y168,NDays&amp;"D")</f>
        <v>42115</v>
      </c>
      <c r="AA168" s="185">
        <v>2.6872582739098094E-2</v>
      </c>
      <c r="AB168" s="182">
        <v>2.651856076754E-2</v>
      </c>
    </row>
    <row r="169" spans="17:28" x14ac:dyDescent="0.2">
      <c r="Q169" s="141"/>
      <c r="T169" s="141"/>
      <c r="U169" s="162"/>
      <c r="X169" s="183" t="str">
        <f t="shared" si="9"/>
        <v>1D</v>
      </c>
      <c r="Y169" s="181">
        <f>_xll.qlCalendarAdvance(Calendar,Y168,X169,"f",FALSE)</f>
        <v>42116</v>
      </c>
      <c r="Z169" s="184">
        <f>_xll.qlCalendarAdvance(Calendar,Y169,NDays&amp;"D")</f>
        <v>42116</v>
      </c>
      <c r="AA169" s="185">
        <v>2.6879256725866541E-2</v>
      </c>
      <c r="AB169" s="182">
        <v>2.652304078265999E-2</v>
      </c>
    </row>
    <row r="170" spans="17:28" x14ac:dyDescent="0.2">
      <c r="Q170" s="141"/>
      <c r="T170" s="141"/>
      <c r="U170" s="162"/>
      <c r="X170" s="183" t="str">
        <f t="shared" si="9"/>
        <v>1D</v>
      </c>
      <c r="Y170" s="181">
        <f>_xll.qlCalendarAdvance(Calendar,Y169,X170,"f",FALSE)</f>
        <v>42117</v>
      </c>
      <c r="Z170" s="184">
        <f>_xll.qlCalendarAdvance(Calendar,Y170,NDays&amp;"D")</f>
        <v>42117</v>
      </c>
      <c r="AA170" s="185">
        <v>2.6885978818913404E-2</v>
      </c>
      <c r="AB170" s="182">
        <v>2.6527568576264482E-2</v>
      </c>
    </row>
    <row r="171" spans="17:28" x14ac:dyDescent="0.2">
      <c r="Q171" s="141"/>
      <c r="T171" s="141"/>
      <c r="U171" s="162"/>
      <c r="X171" s="183" t="str">
        <f t="shared" si="9"/>
        <v>1D</v>
      </c>
      <c r="Y171" s="181">
        <f>_xll.qlCalendarAdvance(Calendar,Y170,X171,"f",FALSE)</f>
        <v>42118</v>
      </c>
      <c r="Z171" s="184">
        <f>_xll.qlCalendarAdvance(Calendar,Y171,NDays&amp;"D")</f>
        <v>42118</v>
      </c>
      <c r="AA171" s="185">
        <v>2.6892749018476471E-2</v>
      </c>
      <c r="AB171" s="182">
        <v>2.6538712789507816E-2</v>
      </c>
    </row>
    <row r="172" spans="17:28" x14ac:dyDescent="0.2">
      <c r="Q172" s="141"/>
      <c r="T172" s="141"/>
      <c r="U172" s="162"/>
      <c r="X172" s="183" t="str">
        <f t="shared" si="9"/>
        <v>1D</v>
      </c>
      <c r="Y172" s="181">
        <f>_xll.qlCalendarAdvance(Calendar,Y171,X172,"f",FALSE)</f>
        <v>42121</v>
      </c>
      <c r="Z172" s="184">
        <f>_xll.qlCalendarAdvance(Calendar,Y172,NDays&amp;"D")</f>
        <v>42121</v>
      </c>
      <c r="AA172" s="185">
        <v>2.6913348258697858E-2</v>
      </c>
      <c r="AB172" s="182">
        <v>2.6546157536175841E-2</v>
      </c>
    </row>
    <row r="173" spans="17:28" x14ac:dyDescent="0.2">
      <c r="Q173" s="141"/>
      <c r="T173" s="141"/>
      <c r="U173" s="162"/>
      <c r="X173" s="183" t="str">
        <f t="shared" si="9"/>
        <v>1D</v>
      </c>
      <c r="Y173" s="181">
        <f>_xll.qlCalendarAdvance(Calendar,Y172,X173,"f",FALSE)</f>
        <v>42122</v>
      </c>
      <c r="Z173" s="184">
        <f>_xll.qlCalendarAdvance(Calendar,Y173,NDays&amp;"D")</f>
        <v>42122</v>
      </c>
      <c r="AA173" s="185">
        <v>2.6920310886766937E-2</v>
      </c>
      <c r="AB173" s="182">
        <v>2.6550924222527028E-2</v>
      </c>
    </row>
    <row r="174" spans="17:28" x14ac:dyDescent="0.2">
      <c r="Q174" s="141"/>
      <c r="T174" s="141"/>
      <c r="U174" s="162"/>
      <c r="X174" s="183" t="str">
        <f t="shared" si="9"/>
        <v>1D</v>
      </c>
      <c r="Y174" s="181">
        <f>_xll.qlCalendarAdvance(Calendar,Y173,X174,"f",FALSE)</f>
        <v>42123</v>
      </c>
      <c r="Z174" s="184">
        <f>_xll.qlCalendarAdvance(Calendar,Y174,NDays&amp;"D")</f>
        <v>42123</v>
      </c>
      <c r="AA174" s="185">
        <v>2.6927321622579492E-2</v>
      </c>
      <c r="AB174" s="182">
        <v>2.6555738687362718E-2</v>
      </c>
    </row>
    <row r="175" spans="17:28" x14ac:dyDescent="0.2">
      <c r="Q175" s="141"/>
      <c r="T175" s="141"/>
      <c r="U175" s="162"/>
      <c r="X175" s="183" t="str">
        <f t="shared" si="9"/>
        <v>1D</v>
      </c>
      <c r="Y175" s="181">
        <f>_xll.qlCalendarAdvance(Calendar,Y174,X175,"f",FALSE)</f>
        <v>42124</v>
      </c>
      <c r="Z175" s="184">
        <f>_xll.qlCalendarAdvance(Calendar,Y175,NDays&amp;"D")</f>
        <v>42124</v>
      </c>
      <c r="AA175" s="185">
        <v>2.6939286537045793E-2</v>
      </c>
      <c r="AB175" s="182">
        <v>2.6560600930763956E-2</v>
      </c>
    </row>
    <row r="176" spans="17:28" x14ac:dyDescent="0.2">
      <c r="Q176" s="141"/>
      <c r="T176" s="141"/>
      <c r="U176" s="162"/>
      <c r="X176" s="183" t="str">
        <f t="shared" si="9"/>
        <v>1D</v>
      </c>
      <c r="Y176" s="181">
        <f>_xll.qlCalendarAdvance(Calendar,Y175,X176,"f",FALSE)</f>
        <v>42125</v>
      </c>
      <c r="Z176" s="184">
        <f>_xll.qlCalendarAdvance(Calendar,Y176,NDays&amp;"D")</f>
        <v>42125</v>
      </c>
      <c r="AA176" s="185">
        <v>2.6961310033261663E-2</v>
      </c>
      <c r="AB176" s="182">
        <v>2.6572418947278985E-2</v>
      </c>
    </row>
    <row r="177" spans="17:28" x14ac:dyDescent="0.2">
      <c r="Q177" s="141"/>
      <c r="T177" s="141"/>
      <c r="U177" s="162"/>
      <c r="X177" s="183" t="str">
        <f t="shared" si="9"/>
        <v>1D</v>
      </c>
      <c r="Y177" s="181">
        <f>_xll.qlCalendarAdvance(Calendar,Y176,X177,"f",FALSE)</f>
        <v>42128</v>
      </c>
      <c r="Z177" s="184">
        <f>_xll.qlCalendarAdvance(Calendar,Y177,NDays&amp;"D")</f>
        <v>42128</v>
      </c>
      <c r="AA177" s="185">
        <v>2.6968101338131656E-2</v>
      </c>
      <c r="AB177" s="182">
        <v>2.6580527689943345E-2</v>
      </c>
    </row>
    <row r="178" spans="17:28" x14ac:dyDescent="0.2">
      <c r="Q178" s="141"/>
      <c r="T178" s="141"/>
      <c r="U178" s="162"/>
      <c r="X178" s="183" t="str">
        <f t="shared" si="9"/>
        <v>1D</v>
      </c>
      <c r="Y178" s="181">
        <f>_xll.qlCalendarAdvance(Calendar,Y177,X178,"f",FALSE)</f>
        <v>42129</v>
      </c>
      <c r="Z178" s="184">
        <f>_xll.qlCalendarAdvance(Calendar,Y178,NDays&amp;"D")</f>
        <v>42129</v>
      </c>
      <c r="AA178" s="185">
        <v>2.6975425320486076E-2</v>
      </c>
      <c r="AB178" s="182">
        <v>2.6585628826091279E-2</v>
      </c>
    </row>
    <row r="179" spans="17:28" x14ac:dyDescent="0.2">
      <c r="Q179" s="141"/>
      <c r="T179" s="141"/>
      <c r="U179" s="162"/>
      <c r="X179" s="183" t="str">
        <f t="shared" si="9"/>
        <v>1D</v>
      </c>
      <c r="Y179" s="181">
        <f>_xll.qlCalendarAdvance(Calendar,Y178,X179,"f",FALSE)</f>
        <v>42130</v>
      </c>
      <c r="Z179" s="184">
        <f>_xll.qlCalendarAdvance(Calendar,Y179,NDays&amp;"D")</f>
        <v>42130</v>
      </c>
      <c r="AA179" s="185">
        <v>2.698279741620118E-2</v>
      </c>
      <c r="AB179" s="182">
        <v>2.6590777740804761E-2</v>
      </c>
    </row>
    <row r="180" spans="17:28" x14ac:dyDescent="0.2">
      <c r="Q180" s="141"/>
      <c r="T180" s="141"/>
      <c r="U180" s="162"/>
      <c r="X180" s="183" t="str">
        <f t="shared" si="9"/>
        <v>1D</v>
      </c>
      <c r="Y180" s="181">
        <f>_xll.qlCalendarAdvance(Calendar,Y179,X180,"f",FALSE)</f>
        <v>42131</v>
      </c>
      <c r="Z180" s="184">
        <f>_xll.qlCalendarAdvance(Calendar,Y180,NDays&amp;"D")</f>
        <v>42131</v>
      </c>
      <c r="AA180" s="185">
        <v>2.6990217625543017E-2</v>
      </c>
      <c r="AB180" s="182">
        <v>2.6595974434083791E-2</v>
      </c>
    </row>
    <row r="181" spans="17:28" x14ac:dyDescent="0.2">
      <c r="Q181" s="141"/>
      <c r="T181" s="141"/>
      <c r="U181" s="162"/>
      <c r="X181" s="183" t="str">
        <f t="shared" si="9"/>
        <v>1D</v>
      </c>
      <c r="Y181" s="181">
        <f>_xll.qlCalendarAdvance(Calendar,Y180,X181,"f",FALSE)</f>
        <v>42132</v>
      </c>
      <c r="Z181" s="184">
        <f>_xll.qlCalendarAdvance(Calendar,Y181,NDays&amp;"D")</f>
        <v>42132</v>
      </c>
      <c r="AA181" s="185">
        <v>2.7007941659369029E-2</v>
      </c>
      <c r="AB181" s="182">
        <v>2.660846660169414E-2</v>
      </c>
    </row>
    <row r="182" spans="17:28" x14ac:dyDescent="0.2">
      <c r="Q182" s="141"/>
      <c r="T182" s="141"/>
      <c r="U182" s="162"/>
      <c r="X182" s="183" t="str">
        <f t="shared" si="9"/>
        <v>1D</v>
      </c>
      <c r="Y182" s="181">
        <f>_xll.qlCalendarAdvance(Calendar,Y181,X182,"f",FALSE)</f>
        <v>42135</v>
      </c>
      <c r="Z182" s="184">
        <f>_xll.qlCalendarAdvance(Calendar,Y182,NDays&amp;"D")</f>
        <v>42135</v>
      </c>
      <c r="AA182" s="185">
        <v>2.7020379604560191E-2</v>
      </c>
      <c r="AB182" s="182">
        <v>2.6617238992936443E-2</v>
      </c>
    </row>
    <row r="183" spans="17:28" x14ac:dyDescent="0.2">
      <c r="Q183" s="141"/>
      <c r="T183" s="141"/>
      <c r="U183" s="162"/>
      <c r="X183" s="183" t="str">
        <f t="shared" si="9"/>
        <v>1D</v>
      </c>
      <c r="Y183" s="181">
        <f>_xll.qlCalendarAdvance(Calendar,Y182,X183,"f",FALSE)</f>
        <v>42136</v>
      </c>
      <c r="Z183" s="184">
        <f>_xll.qlCalendarAdvance(Calendar,Y183,NDays&amp;"D")</f>
        <v>42136</v>
      </c>
      <c r="AA183" s="185">
        <v>2.702804038608975E-2</v>
      </c>
      <c r="AB183" s="182">
        <v>2.6622674579043215E-2</v>
      </c>
    </row>
    <row r="184" spans="17:28" x14ac:dyDescent="0.2">
      <c r="Q184" s="141"/>
      <c r="T184" s="141"/>
      <c r="U184" s="162"/>
      <c r="X184" s="183" t="str">
        <f t="shared" si="9"/>
        <v>1D</v>
      </c>
      <c r="Y184" s="181">
        <f>_xll.qlCalendarAdvance(Calendar,Y183,X184,"f",FALSE)</f>
        <v>42137</v>
      </c>
      <c r="Z184" s="184">
        <f>_xll.qlCalendarAdvance(Calendar,Y184,NDays&amp;"D")</f>
        <v>42137</v>
      </c>
      <c r="AA184" s="185">
        <v>2.7035749282879301E-2</v>
      </c>
      <c r="AB184" s="182">
        <v>2.6628157943796582E-2</v>
      </c>
    </row>
    <row r="185" spans="17:28" x14ac:dyDescent="0.2">
      <c r="Q185" s="141"/>
      <c r="T185" s="141"/>
      <c r="U185" s="162"/>
      <c r="X185" s="183" t="str">
        <f t="shared" si="9"/>
        <v>1D</v>
      </c>
      <c r="Y185" s="181">
        <f>_xll.qlCalendarAdvance(Calendar,Y184,X185,"f",FALSE)</f>
        <v>42138</v>
      </c>
      <c r="Z185" s="184">
        <f>_xll.qlCalendarAdvance(Calendar,Y185,NDays&amp;"D")</f>
        <v>42138</v>
      </c>
      <c r="AA185" s="185">
        <v>2.7043506295209862E-2</v>
      </c>
      <c r="AB185" s="182">
        <v>2.6633689087034451E-2</v>
      </c>
    </row>
    <row r="186" spans="17:28" x14ac:dyDescent="0.2">
      <c r="Q186" s="141"/>
      <c r="T186" s="141"/>
      <c r="U186" s="162"/>
      <c r="X186" s="183" t="str">
        <f t="shared" si="9"/>
        <v>1D</v>
      </c>
      <c r="Y186" s="181">
        <f>_xll.qlCalendarAdvance(Calendar,Y185,X186,"f",FALSE)</f>
        <v>42139</v>
      </c>
      <c r="Z186" s="184">
        <f>_xll.qlCalendarAdvance(Calendar,Y186,NDays&amp;"D")</f>
        <v>42139</v>
      </c>
      <c r="AA186" s="185">
        <v>2.7061911917550464E-2</v>
      </c>
      <c r="AB186" s="182">
        <v>2.6646855754752417E-2</v>
      </c>
    </row>
    <row r="187" spans="17:28" x14ac:dyDescent="0.2">
      <c r="Q187" s="141"/>
      <c r="T187" s="141"/>
      <c r="U187" s="162"/>
      <c r="X187" s="183" t="str">
        <f t="shared" si="9"/>
        <v>1D</v>
      </c>
      <c r="Y187" s="181">
        <f>_xll.qlCalendarAdvance(Calendar,Y186,X187,"f",FALSE)</f>
        <v>42142</v>
      </c>
      <c r="Z187" s="184">
        <f>_xll.qlCalendarAdvance(Calendar,Y187,NDays&amp;"D")</f>
        <v>42142</v>
      </c>
      <c r="AA187" s="185">
        <v>2.7075015505555512E-2</v>
      </c>
      <c r="AB187" s="182">
        <v>2.6656291445965596E-2</v>
      </c>
    </row>
    <row r="188" spans="17:28" x14ac:dyDescent="0.2">
      <c r="Q188" s="141"/>
      <c r="T188" s="141"/>
      <c r="U188" s="162"/>
      <c r="X188" s="183" t="str">
        <f t="shared" si="9"/>
        <v>1D</v>
      </c>
      <c r="Y188" s="181">
        <f>_xll.qlCalendarAdvance(Calendar,Y187,X188,"f",FALSE)</f>
        <v>42143</v>
      </c>
      <c r="Z188" s="184">
        <f>_xll.qlCalendarAdvance(Calendar,Y188,NDays&amp;"D")</f>
        <v>42143</v>
      </c>
      <c r="AA188" s="185">
        <v>2.7083013099821376E-2</v>
      </c>
      <c r="AB188" s="182">
        <v>2.6662061482031207E-2</v>
      </c>
    </row>
    <row r="189" spans="17:28" x14ac:dyDescent="0.2">
      <c r="Q189" s="141"/>
      <c r="T189" s="141"/>
      <c r="U189" s="162"/>
      <c r="X189" s="183" t="str">
        <f t="shared" si="9"/>
        <v>1D</v>
      </c>
      <c r="Y189" s="181">
        <f>_xll.qlCalendarAdvance(Calendar,Y188,X189,"f",FALSE)</f>
        <v>42144</v>
      </c>
      <c r="Z189" s="184">
        <f>_xll.qlCalendarAdvance(Calendar,Y189,NDays&amp;"D")</f>
        <v>42144</v>
      </c>
      <c r="AA189" s="185">
        <v>2.7091058811334622E-2</v>
      </c>
      <c r="AB189" s="182">
        <v>2.6667879296905506E-2</v>
      </c>
    </row>
    <row r="190" spans="17:28" x14ac:dyDescent="0.2">
      <c r="Q190" s="141"/>
      <c r="T190" s="141"/>
      <c r="U190" s="162"/>
      <c r="X190" s="183" t="str">
        <f t="shared" si="9"/>
        <v>1D</v>
      </c>
      <c r="Y190" s="181">
        <f>_xll.qlCalendarAdvance(Calendar,Y189,X190,"f",FALSE)</f>
        <v>42145</v>
      </c>
      <c r="Z190" s="184">
        <f>_xll.qlCalendarAdvance(Calendar,Y190,NDays&amp;"D")</f>
        <v>42145</v>
      </c>
      <c r="AA190" s="185">
        <v>2.7099152640385964E-2</v>
      </c>
      <c r="AB190" s="182">
        <v>2.6673744890264306E-2</v>
      </c>
    </row>
    <row r="191" spans="17:28" x14ac:dyDescent="0.2">
      <c r="Q191" s="141"/>
      <c r="T191" s="141"/>
      <c r="U191" s="162"/>
      <c r="X191" s="183" t="str">
        <f t="shared" si="9"/>
        <v>1D</v>
      </c>
      <c r="Y191" s="181">
        <f>_xll.qlCalendarAdvance(Calendar,Y190,X191,"f",FALSE)</f>
        <v>42146</v>
      </c>
      <c r="Z191" s="184">
        <f>_xll.qlCalendarAdvance(Calendar,Y191,NDays&amp;"D")</f>
        <v>42146</v>
      </c>
      <c r="AA191" s="185">
        <v>2.7118240244383411E-2</v>
      </c>
      <c r="AB191" s="182">
        <v>2.6687586408723117E-2</v>
      </c>
    </row>
    <row r="192" spans="17:28" x14ac:dyDescent="0.2">
      <c r="Q192" s="141"/>
      <c r="T192" s="141"/>
      <c r="U192" s="162"/>
      <c r="X192" s="183" t="str">
        <f t="shared" si="9"/>
        <v>1D</v>
      </c>
      <c r="Y192" s="181">
        <f>_xll.qlCalendarAdvance(Calendar,Y191,X192,"f",FALSE)</f>
        <v>42149</v>
      </c>
      <c r="Z192" s="184">
        <f>_xll.qlCalendarAdvance(Calendar,Y192,NDays&amp;"D")</f>
        <v>42149</v>
      </c>
      <c r="AA192" s="185">
        <v>2.7132009137841955E-2</v>
      </c>
      <c r="AB192" s="182">
        <v>2.669768504959813E-2</v>
      </c>
    </row>
    <row r="193" spans="17:28" x14ac:dyDescent="0.2">
      <c r="Q193" s="141"/>
      <c r="T193" s="141"/>
      <c r="U193" s="162"/>
      <c r="X193" s="183" t="str">
        <f t="shared" si="9"/>
        <v>1D</v>
      </c>
      <c r="Y193" s="181">
        <f>_xll.qlCalendarAdvance(Calendar,Y192,X193,"f",FALSE)</f>
        <v>42150</v>
      </c>
      <c r="Z193" s="184">
        <f>_xll.qlCalendarAdvance(Calendar,Y193,NDays&amp;"D")</f>
        <v>42150</v>
      </c>
      <c r="AA193" s="185">
        <v>2.7140343559003431E-2</v>
      </c>
      <c r="AB193" s="182">
        <v>2.6703789535946765E-2</v>
      </c>
    </row>
    <row r="194" spans="17:28" x14ac:dyDescent="0.2">
      <c r="Q194" s="141"/>
      <c r="T194" s="141"/>
      <c r="U194" s="162"/>
      <c r="X194" s="183" t="str">
        <f t="shared" si="9"/>
        <v>1D</v>
      </c>
      <c r="Y194" s="181">
        <f>_xll.qlCalendarAdvance(Calendar,Y193,X194,"f",FALSE)</f>
        <v>42151</v>
      </c>
      <c r="Z194" s="184">
        <f>_xll.qlCalendarAdvance(Calendar,Y194,NDays&amp;"D")</f>
        <v>42151</v>
      </c>
      <c r="AA194" s="185">
        <v>2.7148726099482497E-2</v>
      </c>
      <c r="AB194" s="182">
        <v>2.6709941800941994E-2</v>
      </c>
    </row>
    <row r="195" spans="17:28" x14ac:dyDescent="0.2">
      <c r="Q195" s="141"/>
      <c r="T195" s="141"/>
      <c r="U195" s="162"/>
      <c r="X195" s="183" t="str">
        <f t="shared" si="9"/>
        <v>1D</v>
      </c>
      <c r="Y195" s="181">
        <f>_xll.qlCalendarAdvance(Calendar,Y194,X195,"f",FALSE)</f>
        <v>42152</v>
      </c>
      <c r="Z195" s="184">
        <f>_xll.qlCalendarAdvance(Calendar,Y195,NDays&amp;"D")</f>
        <v>42152</v>
      </c>
      <c r="AA195" s="185">
        <v>2.7157156759583957E-2</v>
      </c>
      <c r="AB195" s="182">
        <v>2.6716141844502772E-2</v>
      </c>
    </row>
    <row r="196" spans="17:28" x14ac:dyDescent="0.2">
      <c r="Q196" s="141"/>
      <c r="T196" s="141"/>
      <c r="U196" s="162"/>
      <c r="X196" s="183" t="str">
        <f t="shared" si="9"/>
        <v>1D</v>
      </c>
      <c r="Y196" s="181">
        <f>_xll.qlCalendarAdvance(Calendar,Y195,X196,"f",FALSE)</f>
        <v>42153</v>
      </c>
      <c r="Z196" s="184">
        <f>_xll.qlCalendarAdvance(Calendar,Y196,NDays&amp;"D")</f>
        <v>42153</v>
      </c>
      <c r="AA196" s="185">
        <v>2.7176926741757704E-2</v>
      </c>
      <c r="AB196" s="182">
        <v>2.6730658565956581E-2</v>
      </c>
    </row>
    <row r="197" spans="17:28" x14ac:dyDescent="0.2">
      <c r="Q197" s="141"/>
      <c r="T197" s="141"/>
      <c r="U197" s="162"/>
      <c r="X197" s="183" t="str">
        <f t="shared" si="9"/>
        <v>1D</v>
      </c>
      <c r="Y197" s="181">
        <f>_xll.qlCalendarAdvance(Calendar,Y196,X197,"f",FALSE)</f>
        <v>42156</v>
      </c>
      <c r="Z197" s="184">
        <f>_xll.qlCalendarAdvance(Calendar,Y197,NDays&amp;"D")</f>
        <v>42156</v>
      </c>
      <c r="AA197" s="185">
        <v>2.7191360602320379E-2</v>
      </c>
      <c r="AB197" s="182">
        <v>2.6741419804887645E-2</v>
      </c>
    </row>
    <row r="198" spans="17:28" x14ac:dyDescent="0.2">
      <c r="Q198" s="141"/>
      <c r="T198" s="141"/>
      <c r="U198" s="162"/>
      <c r="X198" s="183" t="str">
        <f t="shared" si="9"/>
        <v>1D</v>
      </c>
      <c r="Y198" s="181">
        <f>_xll.qlCalendarAdvance(Calendar,Y197,X198,"f",FALSE)</f>
        <v>42157</v>
      </c>
      <c r="Z198" s="184">
        <f>_xll.qlCalendarAdvance(Calendar,Y198,NDays&amp;"D")</f>
        <v>42157</v>
      </c>
      <c r="AA198" s="185">
        <v>2.7200031865130533E-2</v>
      </c>
      <c r="AB198" s="182">
        <v>2.6747858741438257E-2</v>
      </c>
    </row>
    <row r="199" spans="17:28" x14ac:dyDescent="0.2">
      <c r="Q199" s="141"/>
      <c r="T199" s="141"/>
      <c r="U199" s="162"/>
      <c r="X199" s="183" t="str">
        <f t="shared" si="9"/>
        <v>1D</v>
      </c>
      <c r="Y199" s="181">
        <f>_xll.qlCalendarAdvance(Calendar,Y198,X199,"f",FALSE)</f>
        <v>42158</v>
      </c>
      <c r="Z199" s="184">
        <f>_xll.qlCalendarAdvance(Calendar,Y199,NDays&amp;"D")</f>
        <v>42158</v>
      </c>
      <c r="AA199" s="185">
        <v>2.7208751249417459E-2</v>
      </c>
      <c r="AB199" s="182">
        <v>2.6754345456716511E-2</v>
      </c>
    </row>
    <row r="200" spans="17:28" x14ac:dyDescent="0.2">
      <c r="Q200" s="141"/>
      <c r="T200" s="141"/>
      <c r="U200" s="162"/>
      <c r="X200" s="183" t="str">
        <f t="shared" si="9"/>
        <v>1D</v>
      </c>
      <c r="Y200" s="181">
        <f>_xll.qlCalendarAdvance(Calendar,Y199,X200,"f",FALSE)</f>
        <v>42159</v>
      </c>
      <c r="Z200" s="184">
        <f>_xll.qlCalendarAdvance(Calendar,Y200,NDays&amp;"D")</f>
        <v>42159</v>
      </c>
      <c r="AA200" s="185">
        <v>2.7217518755494764E-2</v>
      </c>
      <c r="AB200" s="182">
        <v>2.6760879950641359E-2</v>
      </c>
    </row>
    <row r="201" spans="17:28" x14ac:dyDescent="0.2">
      <c r="Q201" s="141"/>
      <c r="T201" s="141"/>
      <c r="U201" s="162"/>
      <c r="X201" s="183" t="str">
        <f t="shared" si="9"/>
        <v>1D</v>
      </c>
      <c r="Y201" s="181">
        <f>_xll.qlCalendarAdvance(Calendar,Y200,X201,"f",FALSE)</f>
        <v>42160</v>
      </c>
      <c r="Z201" s="184">
        <f>_xll.qlCalendarAdvance(Calendar,Y201,NDays&amp;"D")</f>
        <v>42160</v>
      </c>
      <c r="AA201" s="185">
        <v>2.7237971515829313E-2</v>
      </c>
      <c r="AB201" s="182">
        <v>2.6780401929783759E-2</v>
      </c>
    </row>
    <row r="202" spans="17:28" x14ac:dyDescent="0.2">
      <c r="Q202" s="141"/>
      <c r="T202" s="141"/>
      <c r="U202" s="162"/>
      <c r="X202" s="183" t="str">
        <f t="shared" si="9"/>
        <v>1D</v>
      </c>
      <c r="Y202" s="181">
        <f>_xll.qlCalendarAdvance(Calendar,Y201,X202,"f",FALSE)</f>
        <v>42164</v>
      </c>
      <c r="Z202" s="184">
        <f>_xll.qlCalendarAdvance(Calendar,Y202,NDays&amp;"D")</f>
        <v>42164</v>
      </c>
      <c r="AA202" s="185">
        <v>2.726207812387646E-2</v>
      </c>
      <c r="AB202" s="182">
        <v>2.6794269099478241E-2</v>
      </c>
    </row>
    <row r="203" spans="17:28" x14ac:dyDescent="0.2">
      <c r="Q203" s="141"/>
      <c r="T203" s="141"/>
      <c r="U203" s="162"/>
      <c r="X203" s="183" t="str">
        <f t="shared" si="9"/>
        <v>1D</v>
      </c>
      <c r="Y203" s="181">
        <f>_xll.qlCalendarAdvance(Calendar,Y202,X203,"f",FALSE)</f>
        <v>42165</v>
      </c>
      <c r="Z203" s="184">
        <f>_xll.qlCalendarAdvance(Calendar,Y203,NDays&amp;"D")</f>
        <v>42165</v>
      </c>
      <c r="AA203" s="185">
        <v>2.7271134367407034E-2</v>
      </c>
      <c r="AB203" s="182">
        <v>2.6801090265120564E-2</v>
      </c>
    </row>
    <row r="204" spans="17:28" x14ac:dyDescent="0.2">
      <c r="Q204" s="141"/>
      <c r="T204" s="141"/>
      <c r="U204" s="162"/>
      <c r="X204" s="183" t="str">
        <f t="shared" si="9"/>
        <v>1D</v>
      </c>
      <c r="Y204" s="181">
        <f>_xll.qlCalendarAdvance(Calendar,Y203,X204,"f",FALSE)</f>
        <v>42166</v>
      </c>
      <c r="Z204" s="184">
        <f>_xll.qlCalendarAdvance(Calendar,Y204,NDays&amp;"D")</f>
        <v>42166</v>
      </c>
      <c r="AA204" s="185">
        <v>2.7280238734980547E-2</v>
      </c>
      <c r="AB204" s="182">
        <v>2.6807959209490528E-2</v>
      </c>
    </row>
    <row r="205" spans="17:28" x14ac:dyDescent="0.2">
      <c r="Q205" s="141"/>
      <c r="T205" s="141"/>
      <c r="U205" s="162"/>
      <c r="X205" s="183" t="str">
        <f t="shared" si="9"/>
        <v>1D</v>
      </c>
      <c r="Y205" s="181">
        <f>_xll.qlCalendarAdvance(Calendar,Y204,X205,"f",FALSE)</f>
        <v>42167</v>
      </c>
      <c r="Z205" s="184">
        <f>_xll.qlCalendarAdvance(Calendar,Y205,NDays&amp;"D")</f>
        <v>42167</v>
      </c>
      <c r="AA205" s="185">
        <v>2.7301374677021206E-2</v>
      </c>
      <c r="AB205" s="182">
        <v>2.6823827400261534E-2</v>
      </c>
    </row>
    <row r="206" spans="17:28" x14ac:dyDescent="0.2">
      <c r="Q206" s="141"/>
      <c r="T206" s="141"/>
      <c r="U206" s="162"/>
      <c r="X206" s="183" t="str">
        <f t="shared" si="9"/>
        <v>1D</v>
      </c>
      <c r="Y206" s="181">
        <f>_xll.qlCalendarAdvance(Calendar,Y205,X206,"f",FALSE)</f>
        <v>42170</v>
      </c>
      <c r="Z206" s="184">
        <f>_xll.qlCalendarAdvance(Calendar,Y206,NDays&amp;"D")</f>
        <v>42170</v>
      </c>
      <c r="AA206" s="185">
        <v>2.731713745232248E-2</v>
      </c>
      <c r="AB206" s="182">
        <v>2.683591277327424E-2</v>
      </c>
    </row>
    <row r="207" spans="17:28" x14ac:dyDescent="0.2">
      <c r="Q207" s="141"/>
      <c r="T207" s="141"/>
      <c r="U207" s="162"/>
      <c r="X207" s="183" t="str">
        <f t="shared" si="9"/>
        <v>1D</v>
      </c>
      <c r="Y207" s="181">
        <f>_xll.qlCalendarAdvance(Calendar,Y206,X207,"f",FALSE)</f>
        <v>42171</v>
      </c>
      <c r="Z207" s="184">
        <f>_xll.qlCalendarAdvance(Calendar,Y207,NDays&amp;"D")</f>
        <v>42171</v>
      </c>
      <c r="AA207" s="185">
        <v>2.7326482445086227E-2</v>
      </c>
      <c r="AB207" s="182">
        <v>2.6843020610796131E-2</v>
      </c>
    </row>
    <row r="208" spans="17:28" x14ac:dyDescent="0.2">
      <c r="Q208" s="141"/>
      <c r="T208" s="141"/>
      <c r="U208" s="162"/>
      <c r="X208" s="183" t="str">
        <f t="shared" si="9"/>
        <v>1D</v>
      </c>
      <c r="Y208" s="181">
        <f>_xll.qlCalendarAdvance(Calendar,Y207,X208,"f",FALSE)</f>
        <v>42172</v>
      </c>
      <c r="Z208" s="184">
        <f>_xll.qlCalendarAdvance(Calendar,Y208,NDays&amp;"D")</f>
        <v>42172</v>
      </c>
      <c r="AA208" s="185">
        <v>2.7335875469335417E-2</v>
      </c>
      <c r="AB208" s="182">
        <v>2.685017622712671E-2</v>
      </c>
    </row>
    <row r="209" spans="17:28" x14ac:dyDescent="0.2">
      <c r="Q209" s="141"/>
      <c r="T209" s="141"/>
      <c r="U209" s="162"/>
      <c r="X209" s="183" t="str">
        <f t="shared" si="9"/>
        <v>1D</v>
      </c>
      <c r="Y209" s="181">
        <f>_xll.qlCalendarAdvance(Calendar,Y208,X209,"f",FALSE)</f>
        <v>42173</v>
      </c>
      <c r="Z209" s="184">
        <f>_xll.qlCalendarAdvance(Calendar,Y209,NDays&amp;"D")</f>
        <v>42173</v>
      </c>
      <c r="AA209" s="185">
        <v>2.7345316052616923E-2</v>
      </c>
      <c r="AB209" s="182">
        <v>2.685737962194179E-2</v>
      </c>
    </row>
    <row r="210" spans="17:28" x14ac:dyDescent="0.2">
      <c r="Q210" s="141"/>
      <c r="T210" s="141"/>
      <c r="U210" s="162"/>
      <c r="X210" s="183" t="str">
        <f t="shared" si="9"/>
        <v>1D</v>
      </c>
      <c r="Y210" s="181">
        <f>_xll.qlCalendarAdvance(Calendar,Y209,X210,"f",FALSE)</f>
        <v>42174</v>
      </c>
      <c r="Z210" s="184">
        <f>_xll.qlCalendarAdvance(Calendar,Y210,NDays&amp;"D")</f>
        <v>42174</v>
      </c>
      <c r="AA210" s="185">
        <v>2.7367124769937357E-2</v>
      </c>
      <c r="AB210" s="182">
        <v>2.687392408268208E-2</v>
      </c>
    </row>
    <row r="211" spans="17:28" x14ac:dyDescent="0.2">
      <c r="Q211" s="141"/>
      <c r="T211" s="141"/>
      <c r="U211" s="162"/>
      <c r="X211" s="183" t="str">
        <f t="shared" si="9"/>
        <v>1D</v>
      </c>
      <c r="Y211" s="181">
        <f>_xll.qlCalendarAdvance(Calendar,Y210,X211,"f",FALSE)</f>
        <v>42177</v>
      </c>
      <c r="Z211" s="184">
        <f>_xll.qlCalendarAdvance(Calendar,Y211,NDays&amp;"D")</f>
        <v>42177</v>
      </c>
      <c r="AA211" s="185">
        <v>2.7383542635741026E-2</v>
      </c>
      <c r="AB211" s="182">
        <v>2.688667098831643E-2</v>
      </c>
    </row>
    <row r="212" spans="17:28" x14ac:dyDescent="0.2">
      <c r="Q212" s="141"/>
      <c r="T212" s="141"/>
      <c r="U212" s="162"/>
      <c r="X212" s="183" t="str">
        <f t="shared" si="9"/>
        <v>1D</v>
      </c>
      <c r="Y212" s="181">
        <f>_xll.qlCalendarAdvance(Calendar,Y211,X212,"f",FALSE)</f>
        <v>42178</v>
      </c>
      <c r="Z212" s="184">
        <f>_xll.qlCalendarAdvance(Calendar,Y212,NDays&amp;"D")</f>
        <v>42178</v>
      </c>
      <c r="AA212" s="185">
        <v>2.7393212508902864E-2</v>
      </c>
      <c r="AB212" s="182">
        <v>2.6894113276526577E-2</v>
      </c>
    </row>
    <row r="213" spans="17:28" x14ac:dyDescent="0.2">
      <c r="Q213" s="141"/>
      <c r="T213" s="141"/>
      <c r="U213" s="162"/>
      <c r="X213" s="183" t="str">
        <f t="shared" ref="X213:X276" si="10">X212</f>
        <v>1D</v>
      </c>
      <c r="Y213" s="181">
        <f>_xll.qlCalendarAdvance(Calendar,Y212,X213,"f",FALSE)</f>
        <v>42179</v>
      </c>
      <c r="Z213" s="184">
        <f>_xll.qlCalendarAdvance(Calendar,Y213,NDays&amp;"D")</f>
        <v>42179</v>
      </c>
      <c r="AA213" s="185">
        <v>2.7402926538957387E-2</v>
      </c>
      <c r="AB213" s="182">
        <v>2.6901603343464364E-2</v>
      </c>
    </row>
    <row r="214" spans="17:28" x14ac:dyDescent="0.2">
      <c r="Q214" s="141"/>
      <c r="T214" s="141"/>
      <c r="U214" s="162"/>
      <c r="X214" s="183" t="str">
        <f t="shared" si="10"/>
        <v>1D</v>
      </c>
      <c r="Y214" s="181">
        <f>_xll.qlCalendarAdvance(Calendar,Y213,X214,"f",FALSE)</f>
        <v>42180</v>
      </c>
      <c r="Z214" s="184">
        <f>_xll.qlCalendarAdvance(Calendar,Y214,NDays&amp;"D")</f>
        <v>42180</v>
      </c>
      <c r="AA214" s="185">
        <v>2.741268415886693E-2</v>
      </c>
      <c r="AB214" s="182">
        <v>2.6909141189048746E-2</v>
      </c>
    </row>
    <row r="215" spans="17:28" x14ac:dyDescent="0.2">
      <c r="Q215" s="141"/>
      <c r="T215" s="141"/>
      <c r="U215" s="162"/>
      <c r="X215" s="183" t="str">
        <f t="shared" si="10"/>
        <v>1D</v>
      </c>
      <c r="Y215" s="181">
        <f>_xll.qlCalendarAdvance(Calendar,Y214,X215,"f",FALSE)</f>
        <v>42181</v>
      </c>
      <c r="Z215" s="184">
        <f>_xll.qlCalendarAdvance(Calendar,Y215,NDays&amp;"D")</f>
        <v>42181</v>
      </c>
      <c r="AA215" s="185">
        <v>2.7435096676135622E-2</v>
      </c>
      <c r="AB215" s="182">
        <v>2.6926362279117527E-2</v>
      </c>
    </row>
    <row r="216" spans="17:28" x14ac:dyDescent="0.2">
      <c r="Q216" s="141"/>
      <c r="T216" s="141"/>
      <c r="U216" s="162"/>
      <c r="X216" s="183" t="str">
        <f t="shared" si="10"/>
        <v>1D</v>
      </c>
      <c r="Y216" s="181">
        <f>_xll.qlCalendarAdvance(Calendar,Y215,X216,"f",FALSE)</f>
        <v>42184</v>
      </c>
      <c r="Z216" s="184">
        <f>_xll.qlCalendarAdvance(Calendar,Y216,NDays&amp;"D")</f>
        <v>42184</v>
      </c>
      <c r="AA216" s="185">
        <v>2.7452139196165567E-2</v>
      </c>
      <c r="AB216" s="182">
        <v>2.6939770358419546E-2</v>
      </c>
    </row>
    <row r="217" spans="17:28" x14ac:dyDescent="0.2">
      <c r="Q217" s="141"/>
      <c r="T217" s="141"/>
      <c r="U217" s="162"/>
      <c r="X217" s="183" t="str">
        <f t="shared" si="10"/>
        <v>1D</v>
      </c>
      <c r="Y217" s="181">
        <f>_xll.qlCalendarAdvance(Calendar,Y216,X217,"f",FALSE)</f>
        <v>42185</v>
      </c>
      <c r="Z217" s="184">
        <f>_xll.qlCalendarAdvance(Calendar,Y217,NDays&amp;"D")</f>
        <v>42185</v>
      </c>
      <c r="AA217" s="185">
        <v>2.7462106259644362E-2</v>
      </c>
      <c r="AB217" s="182">
        <v>2.694754709748004E-2</v>
      </c>
    </row>
    <row r="218" spans="17:28" x14ac:dyDescent="0.2">
      <c r="Q218" s="141"/>
      <c r="T218" s="141"/>
      <c r="U218" s="162"/>
      <c r="X218" s="183" t="str">
        <f t="shared" si="10"/>
        <v>1D</v>
      </c>
      <c r="Y218" s="181">
        <f>_xll.qlCalendarAdvance(Calendar,Y217,X218,"f",FALSE)</f>
        <v>42186</v>
      </c>
      <c r="Z218" s="184">
        <f>_xll.qlCalendarAdvance(Calendar,Y218,NDays&amp;"D")</f>
        <v>42186</v>
      </c>
      <c r="AA218" s="185">
        <v>2.7472113510667643E-2</v>
      </c>
      <c r="AB218" s="182">
        <v>2.6955371615268175E-2</v>
      </c>
    </row>
    <row r="219" spans="17:28" x14ac:dyDescent="0.2">
      <c r="Q219" s="141"/>
      <c r="T219" s="141"/>
      <c r="U219" s="162"/>
      <c r="X219" s="183" t="str">
        <f t="shared" si="10"/>
        <v>1D</v>
      </c>
      <c r="Y219" s="181">
        <f>_xll.qlCalendarAdvance(Calendar,Y218,X219,"f",FALSE)</f>
        <v>42187</v>
      </c>
      <c r="Z219" s="184">
        <f>_xll.qlCalendarAdvance(Calendar,Y219,NDays&amp;"D")</f>
        <v>42187</v>
      </c>
      <c r="AA219" s="185">
        <v>2.7482160382166918E-2</v>
      </c>
      <c r="AB219" s="182">
        <v>2.6963243911783952E-2</v>
      </c>
    </row>
    <row r="220" spans="17:28" x14ac:dyDescent="0.2">
      <c r="Q220" s="141"/>
      <c r="T220" s="141"/>
      <c r="U220" s="162"/>
      <c r="X220" s="183" t="str">
        <f t="shared" si="10"/>
        <v>1D</v>
      </c>
      <c r="Y220" s="181">
        <f>_xll.qlCalendarAdvance(Calendar,Y219,X220,"f",FALSE)</f>
        <v>42188</v>
      </c>
      <c r="Z220" s="184">
        <f>_xll.qlCalendarAdvance(Calendar,Y220,NDays&amp;"D")</f>
        <v>42188</v>
      </c>
      <c r="AA220" s="185">
        <v>2.7511540641863307E-2</v>
      </c>
      <c r="AB220" s="182">
        <v>2.6981141992620621E-2</v>
      </c>
    </row>
    <row r="221" spans="17:28" x14ac:dyDescent="0.2">
      <c r="Q221" s="141"/>
      <c r="T221" s="141"/>
      <c r="U221" s="162"/>
      <c r="X221" s="183" t="str">
        <f t="shared" si="10"/>
        <v>1D</v>
      </c>
      <c r="Y221" s="181">
        <f>_xll.qlCalendarAdvance(Calendar,Y220,X221,"f",FALSE)</f>
        <v>42191</v>
      </c>
      <c r="Z221" s="184">
        <f>_xll.qlCalendarAdvance(Calendar,Y221,NDays&amp;"D")</f>
        <v>42191</v>
      </c>
      <c r="AA221" s="185">
        <v>2.7522732731416668E-2</v>
      </c>
      <c r="AB221" s="182">
        <v>2.6995210884718235E-2</v>
      </c>
    </row>
    <row r="222" spans="17:28" x14ac:dyDescent="0.2">
      <c r="Q222" s="141"/>
      <c r="T222" s="141"/>
      <c r="U222" s="162"/>
      <c r="X222" s="183" t="str">
        <f t="shared" si="10"/>
        <v>1D</v>
      </c>
      <c r="Y222" s="181">
        <f>_xll.qlCalendarAdvance(Calendar,Y221,X222,"f",FALSE)</f>
        <v>42192</v>
      </c>
      <c r="Z222" s="184">
        <f>_xll.qlCalendarAdvance(Calendar,Y222,NDays&amp;"D")</f>
        <v>42192</v>
      </c>
      <c r="AA222" s="185">
        <v>2.7532969199126681E-2</v>
      </c>
      <c r="AB222" s="182">
        <v>2.700332207479117E-2</v>
      </c>
    </row>
    <row r="223" spans="17:28" x14ac:dyDescent="0.2">
      <c r="Q223" s="141"/>
      <c r="T223" s="141"/>
      <c r="U223" s="162"/>
      <c r="X223" s="183" t="str">
        <f t="shared" si="10"/>
        <v>1D</v>
      </c>
      <c r="Y223" s="181">
        <f>_xll.qlCalendarAdvance(Calendar,Y222,X223,"f",FALSE)</f>
        <v>42193</v>
      </c>
      <c r="Z223" s="184">
        <f>_xll.qlCalendarAdvance(Calendar,Y223,NDays&amp;"D")</f>
        <v>42193</v>
      </c>
      <c r="AA223" s="185">
        <v>2.7543241884811869E-2</v>
      </c>
      <c r="AB223" s="182">
        <v>2.7011481043510699E-2</v>
      </c>
    </row>
    <row r="224" spans="17:28" x14ac:dyDescent="0.2">
      <c r="Q224" s="141"/>
      <c r="T224" s="141"/>
      <c r="U224" s="162"/>
      <c r="X224" s="183" t="str">
        <f t="shared" si="10"/>
        <v>1D</v>
      </c>
      <c r="Y224" s="181">
        <f>_xll.qlCalendarAdvance(Calendar,Y223,X224,"f",FALSE)</f>
        <v>42194</v>
      </c>
      <c r="Z224" s="184">
        <f>_xll.qlCalendarAdvance(Calendar,Y224,NDays&amp;"D")</f>
        <v>42194</v>
      </c>
      <c r="AA224" s="185">
        <v>2.7553550221372909E-2</v>
      </c>
      <c r="AB224" s="182">
        <v>2.7019687791038915E-2</v>
      </c>
    </row>
    <row r="225" spans="17:28" x14ac:dyDescent="0.2">
      <c r="Q225" s="141"/>
      <c r="T225" s="141"/>
      <c r="U225" s="162"/>
      <c r="X225" s="183" t="str">
        <f t="shared" si="10"/>
        <v>1D</v>
      </c>
      <c r="Y225" s="181">
        <f>_xll.qlCalendarAdvance(Calendar,Y224,X225,"f",FALSE)</f>
        <v>42195</v>
      </c>
      <c r="Z225" s="184">
        <f>_xll.qlCalendarAdvance(Calendar,Y225,NDays&amp;"D")</f>
        <v>42195</v>
      </c>
      <c r="AA225" s="185">
        <v>2.7576946616460603E-2</v>
      </c>
      <c r="AB225" s="182">
        <v>2.7038263226298136E-2</v>
      </c>
    </row>
    <row r="226" spans="17:28" x14ac:dyDescent="0.2">
      <c r="Q226" s="141"/>
      <c r="T226" s="141"/>
      <c r="U226" s="162"/>
      <c r="X226" s="183" t="str">
        <f t="shared" si="10"/>
        <v>1D</v>
      </c>
      <c r="Y226" s="181">
        <f>_xll.qlCalendarAdvance(Calendar,Y225,X226,"f",FALSE)</f>
        <v>42198</v>
      </c>
      <c r="Z226" s="184">
        <f>_xll.qlCalendarAdvance(Calendar,Y226,NDays&amp;"D")</f>
        <v>42198</v>
      </c>
      <c r="AA226" s="185">
        <v>2.7595128734200523E-2</v>
      </c>
      <c r="AB226" s="182">
        <v>2.7052992568347145E-2</v>
      </c>
    </row>
    <row r="227" spans="17:28" x14ac:dyDescent="0.2">
      <c r="Q227" s="141"/>
      <c r="T227" s="141"/>
      <c r="U227" s="162"/>
      <c r="X227" s="183" t="str">
        <f t="shared" si="10"/>
        <v>1D</v>
      </c>
      <c r="Y227" s="181">
        <f>_xll.qlCalendarAdvance(Calendar,Y226,X227,"f",FALSE)</f>
        <v>42199</v>
      </c>
      <c r="Z227" s="184">
        <f>_xll.qlCalendarAdvance(Calendar,Y227,NDays&amp;"D")</f>
        <v>42199</v>
      </c>
      <c r="AA227" s="185">
        <v>2.7605606818466803E-2</v>
      </c>
      <c r="AB227" s="182">
        <v>2.7061438209513566E-2</v>
      </c>
    </row>
    <row r="228" spans="17:28" x14ac:dyDescent="0.2">
      <c r="Q228" s="141"/>
      <c r="T228" s="141"/>
      <c r="U228" s="162"/>
      <c r="X228" s="183" t="str">
        <f t="shared" si="10"/>
        <v>1D</v>
      </c>
      <c r="Y228" s="181">
        <f>_xll.qlCalendarAdvance(Calendar,Y227,X228,"f",FALSE)</f>
        <v>42200</v>
      </c>
      <c r="Z228" s="184">
        <f>_xll.qlCalendarAdvance(Calendar,Y228,NDays&amp;"D")</f>
        <v>42200</v>
      </c>
      <c r="AA228" s="185">
        <v>2.761611715090374E-2</v>
      </c>
      <c r="AB228" s="182">
        <v>2.7069931629407629E-2</v>
      </c>
    </row>
    <row r="229" spans="17:28" x14ac:dyDescent="0.2">
      <c r="Q229" s="141"/>
      <c r="T229" s="141"/>
      <c r="U229" s="162"/>
      <c r="X229" s="183" t="str">
        <f t="shared" si="10"/>
        <v>1D</v>
      </c>
      <c r="Y229" s="181">
        <f>_xll.qlCalendarAdvance(Calendar,Y228,X229,"f",FALSE)</f>
        <v>42201</v>
      </c>
      <c r="Z229" s="184">
        <f>_xll.qlCalendarAdvance(Calendar,Y229,NDays&amp;"D")</f>
        <v>42201</v>
      </c>
      <c r="AA229" s="185">
        <v>2.7626659164376767E-2</v>
      </c>
      <c r="AB229" s="182">
        <v>2.7078472828029332E-2</v>
      </c>
    </row>
    <row r="230" spans="17:28" x14ac:dyDescent="0.2">
      <c r="Q230" s="141"/>
      <c r="T230" s="141"/>
      <c r="U230" s="162"/>
      <c r="X230" s="183" t="str">
        <f t="shared" si="10"/>
        <v>1D</v>
      </c>
      <c r="Y230" s="181">
        <f>_xll.qlCalendarAdvance(Calendar,Y229,X230,"f",FALSE)</f>
        <v>42202</v>
      </c>
      <c r="Z230" s="184">
        <f>_xll.qlCalendarAdvance(Calendar,Y230,NDays&amp;"D")</f>
        <v>42202</v>
      </c>
      <c r="AA230" s="185">
        <v>2.7650443857310657E-2</v>
      </c>
      <c r="AB230" s="182">
        <v>2.7097725983472969E-2</v>
      </c>
    </row>
    <row r="231" spans="17:28" x14ac:dyDescent="0.2">
      <c r="Q231" s="141"/>
      <c r="T231" s="141"/>
      <c r="U231" s="162"/>
      <c r="X231" s="183" t="str">
        <f t="shared" si="10"/>
        <v>1D</v>
      </c>
      <c r="Y231" s="181">
        <f>_xll.qlCalendarAdvance(Calendar,Y230,X231,"f",FALSE)</f>
        <v>42205</v>
      </c>
      <c r="Z231" s="184">
        <f>_xll.qlCalendarAdvance(Calendar,Y231,NDays&amp;"D")</f>
        <v>42205</v>
      </c>
      <c r="AA231" s="185">
        <v>2.7669132685739419E-2</v>
      </c>
      <c r="AB231" s="182">
        <v>2.7113115410278832E-2</v>
      </c>
    </row>
    <row r="232" spans="17:28" x14ac:dyDescent="0.2">
      <c r="Q232" s="141"/>
      <c r="T232" s="141"/>
      <c r="U232" s="162"/>
      <c r="X232" s="183" t="str">
        <f t="shared" si="10"/>
        <v>1D</v>
      </c>
      <c r="Y232" s="181">
        <f>_xll.qlCalendarAdvance(Calendar,Y231,X232,"f",FALSE)</f>
        <v>42206</v>
      </c>
      <c r="Z232" s="184">
        <f>_xll.qlCalendarAdvance(Calendar,Y232,NDays&amp;"D")</f>
        <v>42206</v>
      </c>
      <c r="AA232" s="185">
        <v>2.7679824597177997E-2</v>
      </c>
      <c r="AB232" s="182">
        <v>2.7121895502700832E-2</v>
      </c>
    </row>
    <row r="233" spans="17:28" x14ac:dyDescent="0.2">
      <c r="Q233" s="141"/>
      <c r="T233" s="141"/>
      <c r="U233" s="162"/>
      <c r="X233" s="183" t="str">
        <f t="shared" si="10"/>
        <v>1D</v>
      </c>
      <c r="Y233" s="181">
        <f>_xll.qlCalendarAdvance(Calendar,Y232,X233,"f",FALSE)</f>
        <v>42207</v>
      </c>
      <c r="Z233" s="184">
        <f>_xll.qlCalendarAdvance(Calendar,Y233,NDays&amp;"D")</f>
        <v>42207</v>
      </c>
      <c r="AA233" s="185">
        <v>2.7690544786730758E-2</v>
      </c>
      <c r="AB233" s="182">
        <v>2.713072337393152E-2</v>
      </c>
    </row>
    <row r="234" spans="17:28" x14ac:dyDescent="0.2">
      <c r="Q234" s="141"/>
      <c r="T234" s="141"/>
      <c r="U234" s="162"/>
      <c r="X234" s="183" t="str">
        <f t="shared" si="10"/>
        <v>1D</v>
      </c>
      <c r="Y234" s="181">
        <f>_xll.qlCalendarAdvance(Calendar,Y233,X234,"f",FALSE)</f>
        <v>42208</v>
      </c>
      <c r="Z234" s="184">
        <f>_xll.qlCalendarAdvance(Calendar,Y234,NDays&amp;"D")</f>
        <v>42208</v>
      </c>
      <c r="AA234" s="185">
        <v>2.7701292687222621E-2</v>
      </c>
      <c r="AB234" s="182">
        <v>2.7139599023970895E-2</v>
      </c>
    </row>
    <row r="235" spans="17:28" x14ac:dyDescent="0.2">
      <c r="Q235" s="141"/>
      <c r="T235" s="141"/>
      <c r="U235" s="162"/>
      <c r="X235" s="183" t="str">
        <f t="shared" si="10"/>
        <v>1D</v>
      </c>
      <c r="Y235" s="181">
        <f>_xll.qlCalendarAdvance(Calendar,Y234,X235,"f",FALSE)</f>
        <v>42209</v>
      </c>
      <c r="Z235" s="184">
        <f>_xll.qlCalendarAdvance(Calendar,Y235,NDays&amp;"D")</f>
        <v>42209</v>
      </c>
      <c r="AA235" s="185">
        <v>2.7725402063569441E-2</v>
      </c>
      <c r="AB235" s="182">
        <v>2.7159530267576081E-2</v>
      </c>
    </row>
    <row r="236" spans="17:28" x14ac:dyDescent="0.2">
      <c r="Q236" s="141"/>
      <c r="T236" s="141"/>
      <c r="U236" s="162"/>
      <c r="X236" s="183" t="str">
        <f t="shared" si="10"/>
        <v>1D</v>
      </c>
      <c r="Y236" s="181">
        <f>_xll.qlCalendarAdvance(Calendar,Y235,X236,"f",FALSE)</f>
        <v>42212</v>
      </c>
      <c r="Z236" s="184">
        <f>_xll.qlCalendarAdvance(Calendar,Y236,NDays&amp;"D")</f>
        <v>42212</v>
      </c>
      <c r="AA236" s="185">
        <v>2.7744550054944531E-2</v>
      </c>
      <c r="AB236" s="182">
        <v>2.7175579411728989E-2</v>
      </c>
    </row>
    <row r="237" spans="17:28" x14ac:dyDescent="0.2">
      <c r="Q237" s="141"/>
      <c r="T237" s="141"/>
      <c r="U237" s="162"/>
      <c r="X237" s="183" t="str">
        <f t="shared" si="10"/>
        <v>1D</v>
      </c>
      <c r="Y237" s="181">
        <f>_xll.qlCalendarAdvance(Calendar,Y236,X237,"f",FALSE)</f>
        <v>42213</v>
      </c>
      <c r="Z237" s="184">
        <f>_xll.qlCalendarAdvance(Calendar,Y237,NDays&amp;"D")</f>
        <v>42213</v>
      </c>
      <c r="AA237" s="185">
        <v>2.7755428002351416E-2</v>
      </c>
      <c r="AB237" s="182">
        <v>2.7184693955568662E-2</v>
      </c>
    </row>
    <row r="238" spans="17:28" x14ac:dyDescent="0.2">
      <c r="Q238" s="141"/>
      <c r="T238" s="141"/>
      <c r="U238" s="162"/>
      <c r="X238" s="183" t="str">
        <f t="shared" si="10"/>
        <v>1D</v>
      </c>
      <c r="Y238" s="181">
        <f>_xll.qlCalendarAdvance(Calendar,Y237,X238,"f",FALSE)</f>
        <v>42214</v>
      </c>
      <c r="Z238" s="184">
        <f>_xll.qlCalendarAdvance(Calendar,Y238,NDays&amp;"D")</f>
        <v>42214</v>
      </c>
      <c r="AA238" s="185">
        <v>2.776633025754557E-2</v>
      </c>
      <c r="AB238" s="182">
        <v>2.7193856278298068E-2</v>
      </c>
    </row>
    <row r="239" spans="17:28" x14ac:dyDescent="0.2">
      <c r="Q239" s="141"/>
      <c r="T239" s="141"/>
      <c r="U239" s="162"/>
      <c r="X239" s="183" t="str">
        <f t="shared" si="10"/>
        <v>1D</v>
      </c>
      <c r="Y239" s="181">
        <f>_xll.qlCalendarAdvance(Calendar,Y238,X239,"f",FALSE)</f>
        <v>42215</v>
      </c>
      <c r="Z239" s="184">
        <f>_xll.qlCalendarAdvance(Calendar,Y239,NDays&amp;"D")</f>
        <v>42215</v>
      </c>
      <c r="AA239" s="185">
        <v>2.7777256253313145E-2</v>
      </c>
      <c r="AB239" s="182">
        <v>2.7203066379755114E-2</v>
      </c>
    </row>
    <row r="240" spans="17:28" x14ac:dyDescent="0.2">
      <c r="Q240" s="141"/>
      <c r="T240" s="141"/>
      <c r="U240" s="162"/>
      <c r="X240" s="183" t="str">
        <f t="shared" si="10"/>
        <v>1D</v>
      </c>
      <c r="Y240" s="181">
        <f>_xll.qlCalendarAdvance(Calendar,Y239,X240,"f",FALSE)</f>
        <v>42216</v>
      </c>
      <c r="Z240" s="184">
        <f>_xll.qlCalendarAdvance(Calendar,Y240,NDays&amp;"D")</f>
        <v>42216</v>
      </c>
      <c r="AA240" s="185">
        <v>2.7781495506481371E-2</v>
      </c>
      <c r="AB240" s="182">
        <v>2.7229377006603994E-2</v>
      </c>
    </row>
    <row r="241" spans="17:28" x14ac:dyDescent="0.2">
      <c r="Q241" s="141"/>
      <c r="T241" s="141"/>
      <c r="U241" s="162"/>
      <c r="X241" s="183" t="str">
        <f t="shared" si="10"/>
        <v>1D</v>
      </c>
      <c r="Y241" s="181">
        <f>_xll.qlCalendarAdvance(Calendar,Y240,X241,"f",FALSE)</f>
        <v>42220</v>
      </c>
      <c r="Z241" s="184">
        <f>_xll.qlCalendarAdvance(Calendar,Y241,NDays&amp;"D")</f>
        <v>42220</v>
      </c>
      <c r="AA241" s="185">
        <v>2.7832222487929346E-2</v>
      </c>
      <c r="AB241" s="182">
        <v>2.7249833569332749E-2</v>
      </c>
    </row>
    <row r="242" spans="17:28" x14ac:dyDescent="0.2">
      <c r="Q242" s="141"/>
      <c r="T242" s="141"/>
      <c r="U242" s="162"/>
      <c r="X242" s="183" t="str">
        <f t="shared" si="10"/>
        <v>1D</v>
      </c>
      <c r="Y242" s="181">
        <f>_xll.qlCalendarAdvance(Calendar,Y241,X242,"f",FALSE)</f>
        <v>42221</v>
      </c>
      <c r="Z242" s="184">
        <f>_xll.qlCalendarAdvance(Calendar,Y242,NDays&amp;"D")</f>
        <v>42221</v>
      </c>
      <c r="AA242" s="185">
        <v>2.7843279015360323E-2</v>
      </c>
      <c r="AB242" s="182">
        <v>2.7259330343722965E-2</v>
      </c>
    </row>
    <row r="243" spans="17:28" x14ac:dyDescent="0.2">
      <c r="Q243" s="141"/>
      <c r="T243" s="141"/>
      <c r="U243" s="162"/>
      <c r="X243" s="183" t="str">
        <f t="shared" si="10"/>
        <v>1D</v>
      </c>
      <c r="Y243" s="181">
        <f>_xll.qlCalendarAdvance(Calendar,Y242,X243,"f",FALSE)</f>
        <v>42222</v>
      </c>
      <c r="Z243" s="184">
        <f>_xll.qlCalendarAdvance(Calendar,Y243,NDays&amp;"D")</f>
        <v>42222</v>
      </c>
      <c r="AA243" s="185">
        <v>2.7854355312715379E-2</v>
      </c>
      <c r="AB243" s="182">
        <v>2.7268874896921869E-2</v>
      </c>
    </row>
    <row r="244" spans="17:28" x14ac:dyDescent="0.2">
      <c r="Q244" s="141"/>
      <c r="T244" s="141"/>
      <c r="U244" s="162"/>
      <c r="X244" s="183" t="str">
        <f t="shared" si="10"/>
        <v>1D</v>
      </c>
      <c r="Y244" s="181">
        <f>_xll.qlCalendarAdvance(Calendar,Y243,X244,"f",FALSE)</f>
        <v>42223</v>
      </c>
      <c r="Z244" s="184">
        <f>_xll.qlCalendarAdvance(Calendar,Y244,NDays&amp;"D")</f>
        <v>42223</v>
      </c>
      <c r="AA244" s="185">
        <v>2.7878939650360864E-2</v>
      </c>
      <c r="AB244" s="182">
        <v>2.7290163430939339E-2</v>
      </c>
    </row>
    <row r="245" spans="17:28" x14ac:dyDescent="0.2">
      <c r="Q245" s="141"/>
      <c r="T245" s="141"/>
      <c r="U245" s="162"/>
      <c r="X245" s="183" t="str">
        <f t="shared" si="10"/>
        <v>1D</v>
      </c>
      <c r="Y245" s="181">
        <f>_xll.qlCalendarAdvance(Calendar,Y244,X245,"f",FALSE)</f>
        <v>42226</v>
      </c>
      <c r="Z245" s="184">
        <f>_xll.qlCalendarAdvance(Calendar,Y245,NDays&amp;"D")</f>
        <v>42226</v>
      </c>
      <c r="AA245" s="185">
        <v>2.7898846856112772E-2</v>
      </c>
      <c r="AB245" s="182">
        <v>2.7307530897885401E-2</v>
      </c>
    </row>
    <row r="246" spans="17:28" x14ac:dyDescent="0.2">
      <c r="Q246" s="141"/>
      <c r="T246" s="141"/>
      <c r="U246" s="162"/>
      <c r="X246" s="183" t="str">
        <f t="shared" si="10"/>
        <v>1D</v>
      </c>
      <c r="Y246" s="181">
        <f>_xll.qlCalendarAdvance(Calendar,Y245,X246,"f",FALSE)</f>
        <v>42227</v>
      </c>
      <c r="Z246" s="184">
        <f>_xll.qlCalendarAdvance(Calendar,Y246,NDays&amp;"D")</f>
        <v>42227</v>
      </c>
      <c r="AA246" s="185">
        <v>2.7910013494084132E-2</v>
      </c>
      <c r="AB246" s="182">
        <v>2.7317314345289834E-2</v>
      </c>
    </row>
    <row r="247" spans="17:28" x14ac:dyDescent="0.2">
      <c r="Q247" s="141"/>
      <c r="T247" s="141"/>
      <c r="U247" s="162"/>
      <c r="X247" s="183" t="str">
        <f t="shared" si="10"/>
        <v>1D</v>
      </c>
      <c r="Y247" s="181">
        <f>_xll.qlCalendarAdvance(Calendar,Y246,X247,"f",FALSE)</f>
        <v>42228</v>
      </c>
      <c r="Z247" s="184">
        <f>_xll.qlCalendarAdvance(Calendar,Y247,NDays&amp;"D")</f>
        <v>42228</v>
      </c>
      <c r="AA247" s="185">
        <v>2.7921196498332655E-2</v>
      </c>
      <c r="AB247" s="182">
        <v>2.7327145571421907E-2</v>
      </c>
    </row>
    <row r="248" spans="17:28" x14ac:dyDescent="0.2">
      <c r="Q248" s="141"/>
      <c r="T248" s="141"/>
      <c r="U248" s="162"/>
      <c r="X248" s="183" t="str">
        <f t="shared" si="10"/>
        <v>1D</v>
      </c>
      <c r="Y248" s="181">
        <f>_xll.qlCalendarAdvance(Calendar,Y247,X248,"f",FALSE)</f>
        <v>42229</v>
      </c>
      <c r="Z248" s="184">
        <f>_xll.qlCalendarAdvance(Calendar,Y248,NDays&amp;"D")</f>
        <v>42229</v>
      </c>
      <c r="AA248" s="185">
        <v>2.7932395301565206E-2</v>
      </c>
      <c r="AB248" s="182">
        <v>2.733702457652476E-2</v>
      </c>
    </row>
    <row r="249" spans="17:28" x14ac:dyDescent="0.2">
      <c r="Q249" s="141"/>
      <c r="T249" s="141"/>
      <c r="U249" s="162"/>
      <c r="X249" s="183" t="str">
        <f t="shared" si="10"/>
        <v>1D</v>
      </c>
      <c r="Y249" s="181">
        <f>_xll.qlCalendarAdvance(Calendar,Y248,X249,"f",FALSE)</f>
        <v>42230</v>
      </c>
      <c r="Z249" s="184">
        <f>_xll.qlCalendarAdvance(Calendar,Y249,NDays&amp;"D")</f>
        <v>42230</v>
      </c>
      <c r="AA249" s="185">
        <v>2.7957138135635617E-2</v>
      </c>
      <c r="AB249" s="182">
        <v>2.7358992317763807E-2</v>
      </c>
    </row>
    <row r="250" spans="17:28" x14ac:dyDescent="0.2">
      <c r="Q250" s="141"/>
      <c r="T250" s="141"/>
      <c r="U250" s="162"/>
      <c r="X250" s="183" t="str">
        <f t="shared" si="10"/>
        <v>1D</v>
      </c>
      <c r="Y250" s="181">
        <f>_xll.qlCalendarAdvance(Calendar,Y249,X250,"f",FALSE)</f>
        <v>42233</v>
      </c>
      <c r="Z250" s="184">
        <f>_xll.qlCalendarAdvance(Calendar,Y250,NDays&amp;"D")</f>
        <v>42233</v>
      </c>
      <c r="AA250" s="185">
        <v>2.7977337158186736E-2</v>
      </c>
      <c r="AB250" s="182">
        <v>2.7377018385266183E-2</v>
      </c>
    </row>
    <row r="251" spans="17:28" x14ac:dyDescent="0.2">
      <c r="Q251" s="141"/>
      <c r="T251" s="141"/>
      <c r="U251" s="162"/>
      <c r="X251" s="183" t="str">
        <f t="shared" si="10"/>
        <v>1D</v>
      </c>
      <c r="Y251" s="181">
        <f>_xll.qlCalendarAdvance(Calendar,Y250,X251,"f",FALSE)</f>
        <v>42234</v>
      </c>
      <c r="Z251" s="184">
        <f>_xll.qlCalendarAdvance(Calendar,Y251,NDays&amp;"D")</f>
        <v>42234</v>
      </c>
      <c r="AA251" s="185">
        <v>2.7988606446678162E-2</v>
      </c>
      <c r="AB251" s="182">
        <v>2.7387136284655611E-2</v>
      </c>
    </row>
    <row r="252" spans="17:28" x14ac:dyDescent="0.2">
      <c r="Q252" s="141"/>
      <c r="T252" s="141"/>
      <c r="U252" s="162"/>
      <c r="X252" s="183" t="str">
        <f t="shared" si="10"/>
        <v>1D</v>
      </c>
      <c r="Y252" s="181">
        <f>_xll.qlCalendarAdvance(Calendar,Y251,X252,"f",FALSE)</f>
        <v>42235</v>
      </c>
      <c r="Z252" s="184">
        <f>_xll.qlCalendarAdvance(Calendar,Y252,NDays&amp;"D")</f>
        <v>42235</v>
      </c>
      <c r="AA252" s="185">
        <v>2.7999888130246821E-2</v>
      </c>
      <c r="AB252" s="182">
        <v>2.7397301962853726E-2</v>
      </c>
    </row>
    <row r="253" spans="17:28" x14ac:dyDescent="0.2">
      <c r="Q253" s="141"/>
      <c r="T253" s="141"/>
      <c r="U253" s="162"/>
      <c r="X253" s="183" t="str">
        <f t="shared" si="10"/>
        <v>1D</v>
      </c>
      <c r="Y253" s="181">
        <f>_xll.qlCalendarAdvance(Calendar,Y252,X253,"f",FALSE)</f>
        <v>42236</v>
      </c>
      <c r="Z253" s="184">
        <f>_xll.qlCalendarAdvance(Calendar,Y253,NDays&amp;"D")</f>
        <v>42236</v>
      </c>
      <c r="AA253" s="185">
        <v>2.801118164155289E-2</v>
      </c>
      <c r="AB253" s="182">
        <v>2.7407515419941575E-2</v>
      </c>
    </row>
    <row r="254" spans="17:28" x14ac:dyDescent="0.2">
      <c r="Q254" s="141"/>
      <c r="T254" s="141"/>
      <c r="U254" s="162"/>
      <c r="X254" s="183" t="str">
        <f t="shared" si="10"/>
        <v>1D</v>
      </c>
      <c r="Y254" s="181">
        <f>_xll.qlCalendarAdvance(Calendar,Y253,X254,"f",FALSE)</f>
        <v>42237</v>
      </c>
      <c r="Z254" s="184">
        <f>_xll.qlCalendarAdvance(Calendar,Y254,NDays&amp;"D")</f>
        <v>42237</v>
      </c>
      <c r="AA254" s="185">
        <v>2.8036035794754898E-2</v>
      </c>
      <c r="AB254" s="182">
        <v>2.7430162746591161E-2</v>
      </c>
    </row>
    <row r="255" spans="17:28" x14ac:dyDescent="0.2">
      <c r="Q255" s="141"/>
      <c r="T255" s="141"/>
      <c r="U255" s="162"/>
      <c r="X255" s="183" t="str">
        <f t="shared" si="10"/>
        <v>1D</v>
      </c>
      <c r="Y255" s="181">
        <f>_xll.qlCalendarAdvance(Calendar,Y254,X255,"f",FALSE)</f>
        <v>42240</v>
      </c>
      <c r="Z255" s="184">
        <f>_xll.qlCalendarAdvance(Calendar,Y255,NDays&amp;"D")</f>
        <v>42240</v>
      </c>
      <c r="AA255" s="185">
        <v>2.8056462617150477E-2</v>
      </c>
      <c r="AB255" s="182">
        <v>2.7448847037271351E-2</v>
      </c>
    </row>
    <row r="256" spans="17:28" x14ac:dyDescent="0.2">
      <c r="Q256" s="141"/>
      <c r="T256" s="141"/>
      <c r="U256" s="162"/>
      <c r="X256" s="183" t="str">
        <f t="shared" si="10"/>
        <v>1D</v>
      </c>
      <c r="Y256" s="181">
        <f>_xll.qlCalendarAdvance(Calendar,Y255,X256,"f",FALSE)</f>
        <v>42241</v>
      </c>
      <c r="Z256" s="184">
        <f>_xll.qlCalendarAdvance(Calendar,Y256,NDays&amp;"D")</f>
        <v>42241</v>
      </c>
      <c r="AA256" s="185">
        <v>2.8067806756833971E-2</v>
      </c>
      <c r="AB256" s="182">
        <v>2.7459299388726821E-2</v>
      </c>
    </row>
    <row r="257" spans="17:28" x14ac:dyDescent="0.2">
      <c r="Q257" s="141"/>
      <c r="T257" s="141"/>
      <c r="U257" s="162"/>
      <c r="X257" s="183" t="str">
        <f t="shared" si="10"/>
        <v>1D</v>
      </c>
      <c r="Y257" s="181">
        <f>_xll.qlCalendarAdvance(Calendar,Y256,X257,"f",FALSE)</f>
        <v>42242</v>
      </c>
      <c r="Z257" s="184">
        <f>_xll.qlCalendarAdvance(Calendar,Y257,NDays&amp;"D")</f>
        <v>42242</v>
      </c>
      <c r="AA257" s="185">
        <v>2.8079159320086443E-2</v>
      </c>
      <c r="AB257" s="182">
        <v>2.7469799519234117E-2</v>
      </c>
    </row>
    <row r="258" spans="17:28" x14ac:dyDescent="0.2">
      <c r="Q258" s="141"/>
      <c r="T258" s="141"/>
      <c r="U258" s="162"/>
      <c r="X258" s="183" t="str">
        <f t="shared" si="10"/>
        <v>1D</v>
      </c>
      <c r="Y258" s="181">
        <f>_xll.qlCalendarAdvance(Calendar,Y257,X258,"f",FALSE)</f>
        <v>42243</v>
      </c>
      <c r="Z258" s="184">
        <f>_xll.qlCalendarAdvance(Calendar,Y258,NDays&amp;"D")</f>
        <v>42243</v>
      </c>
      <c r="AA258" s="185">
        <v>2.8090519739522261E-2</v>
      </c>
      <c r="AB258" s="182">
        <v>2.7480347428631147E-2</v>
      </c>
    </row>
    <row r="259" spans="17:28" x14ac:dyDescent="0.2">
      <c r="Q259" s="141"/>
      <c r="T259" s="141"/>
      <c r="U259" s="162"/>
      <c r="X259" s="183" t="str">
        <f t="shared" si="10"/>
        <v>1D</v>
      </c>
      <c r="Y259" s="181">
        <f>_xll.qlCalendarAdvance(Calendar,Y258,X259,"f",FALSE)</f>
        <v>42244</v>
      </c>
      <c r="Z259" s="184">
        <f>_xll.qlCalendarAdvance(Calendar,Y259,NDays&amp;"D")</f>
        <v>42244</v>
      </c>
      <c r="AA259" s="185">
        <v>2.8115442143605143E-2</v>
      </c>
      <c r="AB259" s="182">
        <v>2.7503674721554759E-2</v>
      </c>
    </row>
    <row r="260" spans="17:28" x14ac:dyDescent="0.2">
      <c r="Q260" s="141"/>
      <c r="T260" s="141"/>
      <c r="U260" s="162"/>
      <c r="X260" s="183" t="str">
        <f t="shared" si="10"/>
        <v>1D</v>
      </c>
      <c r="Y260" s="181">
        <f>_xll.qlCalendarAdvance(Calendar,Y259,X260,"f",FALSE)</f>
        <v>42247</v>
      </c>
      <c r="Z260" s="184">
        <f>_xll.qlCalendarAdvance(Calendar,Y260,NDays&amp;"D")</f>
        <v>42247</v>
      </c>
      <c r="AA260" s="185">
        <v>2.8129251469287148E-2</v>
      </c>
      <c r="AB260" s="182">
        <v>2.7523016855197646E-2</v>
      </c>
    </row>
    <row r="261" spans="17:28" x14ac:dyDescent="0.2">
      <c r="Q261" s="141"/>
      <c r="T261" s="141"/>
      <c r="U261" s="162"/>
      <c r="X261" s="183" t="str">
        <f t="shared" si="10"/>
        <v>1D</v>
      </c>
      <c r="Y261" s="181">
        <f>_xll.qlCalendarAdvance(Calendar,Y260,X261,"f",FALSE)</f>
        <v>42248</v>
      </c>
      <c r="Z261" s="184">
        <f>_xll.qlCalendarAdvance(Calendar,Y261,NDays&amp;"D")</f>
        <v>42248</v>
      </c>
      <c r="AA261" s="185">
        <v>2.814064306437189E-2</v>
      </c>
      <c r="AB261" s="182">
        <v>2.7533803659043343E-2</v>
      </c>
    </row>
    <row r="262" spans="17:28" x14ac:dyDescent="0.2">
      <c r="Q262" s="141"/>
      <c r="T262" s="141"/>
      <c r="U262" s="162"/>
      <c r="X262" s="183" t="str">
        <f t="shared" si="10"/>
        <v>1D</v>
      </c>
      <c r="Y262" s="181">
        <f>_xll.qlCalendarAdvance(Calendar,Y261,X262,"f",FALSE)</f>
        <v>42249</v>
      </c>
      <c r="Z262" s="184">
        <f>_xll.qlCalendarAdvance(Calendar,Y262,NDays&amp;"D")</f>
        <v>42249</v>
      </c>
      <c r="AA262" s="185">
        <v>2.8152039204039546E-2</v>
      </c>
      <c r="AB262" s="182">
        <v>2.7544638241940866E-2</v>
      </c>
    </row>
    <row r="263" spans="17:28" x14ac:dyDescent="0.2">
      <c r="Q263" s="141"/>
      <c r="T263" s="141"/>
      <c r="U263" s="162"/>
      <c r="X263" s="183" t="str">
        <f t="shared" si="10"/>
        <v>1D</v>
      </c>
      <c r="Y263" s="181">
        <f>_xll.qlCalendarAdvance(Calendar,Y262,X263,"f",FALSE)</f>
        <v>42250</v>
      </c>
      <c r="Z263" s="184">
        <f>_xll.qlCalendarAdvance(Calendar,Y263,NDays&amp;"D")</f>
        <v>42250</v>
      </c>
      <c r="AA263" s="185">
        <v>2.8163439314670368E-2</v>
      </c>
      <c r="AB263" s="182">
        <v>2.7555520603809169E-2</v>
      </c>
    </row>
    <row r="264" spans="17:28" x14ac:dyDescent="0.2">
      <c r="Q264" s="141"/>
      <c r="T264" s="141"/>
      <c r="U264" s="162"/>
      <c r="X264" s="183" t="str">
        <f t="shared" si="10"/>
        <v>1D</v>
      </c>
      <c r="Y264" s="181">
        <f>_xll.qlCalendarAdvance(Calendar,Y263,X264,"f",FALSE)</f>
        <v>42251</v>
      </c>
      <c r="Z264" s="184">
        <f>_xll.qlCalendarAdvance(Calendar,Y264,NDays&amp;"D")</f>
        <v>42251</v>
      </c>
      <c r="AA264" s="185">
        <v>2.8174842822638376E-2</v>
      </c>
      <c r="AB264" s="182">
        <v>2.7579528246841994E-2</v>
      </c>
    </row>
    <row r="265" spans="17:28" x14ac:dyDescent="0.2">
      <c r="Q265" s="141"/>
      <c r="T265" s="141"/>
      <c r="U265" s="162"/>
      <c r="X265" s="183" t="str">
        <f t="shared" si="10"/>
        <v>1D</v>
      </c>
      <c r="Y265" s="181">
        <f>_xll.qlCalendarAdvance(Calendar,Y264,X265,"f",FALSE)</f>
        <v>42254</v>
      </c>
      <c r="Z265" s="184">
        <f>_xll.qlCalendarAdvance(Calendar,Y265,NDays&amp;"D")</f>
        <v>42254</v>
      </c>
      <c r="AA265" s="185">
        <v>2.8209067994209511E-2</v>
      </c>
      <c r="AB265" s="182">
        <v>2.7599527840503901E-2</v>
      </c>
    </row>
    <row r="266" spans="17:28" x14ac:dyDescent="0.2">
      <c r="Q266" s="141"/>
      <c r="T266" s="141"/>
      <c r="U266" s="162"/>
      <c r="X266" s="183" t="str">
        <f t="shared" si="10"/>
        <v>1D</v>
      </c>
      <c r="Y266" s="181">
        <f>_xll.qlCalendarAdvance(Calendar,Y265,X266,"f",FALSE)</f>
        <v>42255</v>
      </c>
      <c r="Z266" s="184">
        <f>_xll.qlCalendarAdvance(Calendar,Y266,NDays&amp;"D")</f>
        <v>42255</v>
      </c>
      <c r="AA266" s="185">
        <v>2.8220479355137301E-2</v>
      </c>
      <c r="AB266" s="182">
        <v>2.7610649096982964E-2</v>
      </c>
    </row>
    <row r="267" spans="17:28" x14ac:dyDescent="0.2">
      <c r="Q267" s="141"/>
      <c r="T267" s="141"/>
      <c r="U267" s="162"/>
      <c r="X267" s="183" t="str">
        <f t="shared" si="10"/>
        <v>1D</v>
      </c>
      <c r="Y267" s="181">
        <f>_xll.qlCalendarAdvance(Calendar,Y266,X267,"f",FALSE)</f>
        <v>42256</v>
      </c>
      <c r="Z267" s="184">
        <f>_xll.qlCalendarAdvance(Calendar,Y267,NDays&amp;"D")</f>
        <v>42256</v>
      </c>
      <c r="AA267" s="185">
        <v>2.8231891245175295E-2</v>
      </c>
      <c r="AB267" s="182">
        <v>2.7621818132513853E-2</v>
      </c>
    </row>
    <row r="268" spans="17:28" x14ac:dyDescent="0.2">
      <c r="Q268" s="141"/>
      <c r="T268" s="141"/>
      <c r="U268" s="162"/>
      <c r="X268" s="183" t="str">
        <f t="shared" si="10"/>
        <v>1D</v>
      </c>
      <c r="Y268" s="181">
        <f>_xll.qlCalendarAdvance(Calendar,Y267,X268,"f",FALSE)</f>
        <v>42257</v>
      </c>
      <c r="Z268" s="184">
        <f>_xll.qlCalendarAdvance(Calendar,Y268,NDays&amp;"D")</f>
        <v>42257</v>
      </c>
      <c r="AA268" s="185">
        <v>2.8243303090659207E-2</v>
      </c>
      <c r="AB268" s="182">
        <v>2.7633034946934476E-2</v>
      </c>
    </row>
    <row r="269" spans="17:28" x14ac:dyDescent="0.2">
      <c r="Q269" s="141"/>
      <c r="T269" s="141"/>
      <c r="U269" s="162"/>
      <c r="X269" s="183" t="str">
        <f t="shared" si="10"/>
        <v>1D</v>
      </c>
      <c r="Y269" s="181">
        <f>_xll.qlCalendarAdvance(Calendar,Y268,X269,"f",FALSE)</f>
        <v>42258</v>
      </c>
      <c r="Z269" s="184">
        <f>_xll.qlCalendarAdvance(Calendar,Y269,NDays&amp;"D")</f>
        <v>42258</v>
      </c>
      <c r="AA269" s="185">
        <v>2.8254714317917637E-2</v>
      </c>
      <c r="AB269" s="182">
        <v>2.7657723326910414E-2</v>
      </c>
    </row>
    <row r="270" spans="17:28" x14ac:dyDescent="0.2">
      <c r="Q270" s="141"/>
      <c r="T270" s="141"/>
      <c r="U270" s="162"/>
      <c r="X270" s="183" t="str">
        <f t="shared" si="10"/>
        <v>1D</v>
      </c>
      <c r="Y270" s="181">
        <f>_xll.qlCalendarAdvance(Calendar,Y269,X270,"f",FALSE)</f>
        <v>42261</v>
      </c>
      <c r="Z270" s="184">
        <f>_xll.qlCalendarAdvance(Calendar,Y270,NDays&amp;"D")</f>
        <v>42261</v>
      </c>
      <c r="AA270" s="185">
        <v>2.828893855352357E-2</v>
      </c>
      <c r="AB270" s="182">
        <v>2.7678379994648949E-2</v>
      </c>
    </row>
    <row r="271" spans="17:28" x14ac:dyDescent="0.2">
      <c r="Q271" s="141"/>
      <c r="T271" s="141"/>
      <c r="U271" s="162"/>
      <c r="X271" s="183" t="str">
        <f t="shared" si="10"/>
        <v>1D</v>
      </c>
      <c r="Y271" s="181">
        <f>_xll.qlCalendarAdvance(Calendar,Y270,X271,"f",FALSE)</f>
        <v>42262</v>
      </c>
      <c r="Z271" s="184">
        <f>_xll.qlCalendarAdvance(Calendar,Y271,NDays&amp;"D")</f>
        <v>42262</v>
      </c>
      <c r="AA271" s="185">
        <v>2.830034157103422E-2</v>
      </c>
      <c r="AB271" s="182">
        <v>2.7689835704004517E-2</v>
      </c>
    </row>
    <row r="272" spans="17:28" x14ac:dyDescent="0.2">
      <c r="Q272" s="141"/>
      <c r="T272" s="141"/>
      <c r="U272" s="162"/>
      <c r="X272" s="183" t="str">
        <f t="shared" si="10"/>
        <v>1D</v>
      </c>
      <c r="Y272" s="181">
        <f>_xll.qlCalendarAdvance(Calendar,Y271,X272,"f",FALSE)</f>
        <v>42263</v>
      </c>
      <c r="Z272" s="184">
        <f>_xll.qlCalendarAdvance(Calendar,Y272,NDays&amp;"D")</f>
        <v>42263</v>
      </c>
      <c r="AA272" s="185">
        <v>2.8311741101864404E-2</v>
      </c>
      <c r="AB272" s="182">
        <v>2.7701330551905823E-2</v>
      </c>
    </row>
    <row r="273" spans="17:28" x14ac:dyDescent="0.2">
      <c r="Q273" s="141"/>
      <c r="T273" s="141"/>
      <c r="U273" s="162"/>
      <c r="X273" s="183" t="str">
        <f t="shared" si="10"/>
        <v>1D</v>
      </c>
      <c r="Y273" s="181">
        <f>_xll.qlCalendarAdvance(Calendar,Y272,X273,"f",FALSE)</f>
        <v>42264</v>
      </c>
      <c r="Z273" s="184">
        <f>_xll.qlCalendarAdvance(Calendar,Y273,NDays&amp;"D")</f>
        <v>42264</v>
      </c>
      <c r="AA273" s="185">
        <v>2.8323136667918546E-2</v>
      </c>
      <c r="AB273" s="182">
        <v>2.7712829976409559E-2</v>
      </c>
    </row>
    <row r="274" spans="17:28" x14ac:dyDescent="0.2">
      <c r="Q274" s="141"/>
      <c r="T274" s="141"/>
      <c r="U274" s="162"/>
      <c r="X274" s="183" t="str">
        <f t="shared" si="10"/>
        <v>1D</v>
      </c>
      <c r="Y274" s="181">
        <f>_xll.qlCalendarAdvance(Calendar,Y273,X274,"f",FALSE)</f>
        <v>42265</v>
      </c>
      <c r="Z274" s="184">
        <f>_xll.qlCalendarAdvance(Calendar,Y274,NDays&amp;"D")</f>
        <v>42265</v>
      </c>
      <c r="AA274" s="185">
        <v>2.8334528173548677E-2</v>
      </c>
      <c r="AB274" s="182">
        <v>2.7737922936717695E-2</v>
      </c>
    </row>
    <row r="275" spans="17:28" x14ac:dyDescent="0.2">
      <c r="Q275" s="141"/>
      <c r="T275" s="141"/>
      <c r="U275" s="162"/>
      <c r="X275" s="183" t="str">
        <f t="shared" si="10"/>
        <v>1D</v>
      </c>
      <c r="Y275" s="181">
        <f>_xll.qlCalendarAdvance(Calendar,Y274,X275,"f",FALSE)</f>
        <v>42268</v>
      </c>
      <c r="Z275" s="184">
        <f>_xll.qlCalendarAdvance(Calendar,Y275,NDays&amp;"D")</f>
        <v>42268</v>
      </c>
      <c r="AA275" s="185">
        <v>2.8368678327547657E-2</v>
      </c>
      <c r="AB275" s="182">
        <v>2.775878703652257E-2</v>
      </c>
    </row>
    <row r="276" spans="17:28" x14ac:dyDescent="0.2">
      <c r="Q276" s="141"/>
      <c r="T276" s="141"/>
      <c r="U276" s="162"/>
      <c r="X276" s="183" t="str">
        <f t="shared" si="10"/>
        <v>1D</v>
      </c>
      <c r="Y276" s="181">
        <f>_xll.qlCalendarAdvance(Calendar,Y275,X276,"f",FALSE)</f>
        <v>42269</v>
      </c>
      <c r="Z276" s="184">
        <f>_xll.qlCalendarAdvance(Calendar,Y276,NDays&amp;"D")</f>
        <v>42269</v>
      </c>
      <c r="AA276" s="185">
        <v>2.8380053591136181E-2</v>
      </c>
      <c r="AB276" s="182">
        <v>2.7770266141994293E-2</v>
      </c>
    </row>
    <row r="277" spans="17:28" x14ac:dyDescent="0.2">
      <c r="Q277" s="141"/>
      <c r="T277" s="141"/>
      <c r="U277" s="162"/>
      <c r="X277" s="183" t="str">
        <f t="shared" ref="X277:X340" si="11">X276</f>
        <v>1D</v>
      </c>
      <c r="Y277" s="181">
        <f>_xll.qlCalendarAdvance(Calendar,Y276,X277,"f",FALSE)</f>
        <v>42270</v>
      </c>
      <c r="Z277" s="184">
        <f>_xll.qlCalendarAdvance(Calendar,Y277,NDays&amp;"D")</f>
        <v>42270</v>
      </c>
      <c r="AA277" s="185">
        <v>2.8391424794127911E-2</v>
      </c>
      <c r="AB277" s="182">
        <v>2.7781741183643405E-2</v>
      </c>
    </row>
    <row r="278" spans="17:28" x14ac:dyDescent="0.2">
      <c r="Q278" s="141"/>
      <c r="T278" s="141"/>
      <c r="U278" s="162"/>
      <c r="X278" s="183" t="str">
        <f t="shared" si="11"/>
        <v>1D</v>
      </c>
      <c r="Y278" s="181">
        <f>_xll.qlCalendarAdvance(Calendar,Y277,X278,"f",FALSE)</f>
        <v>42271</v>
      </c>
      <c r="Z278" s="184">
        <f>_xll.qlCalendarAdvance(Calendar,Y278,NDays&amp;"D")</f>
        <v>42271</v>
      </c>
      <c r="AA278" s="185">
        <v>2.8402791936488116E-2</v>
      </c>
      <c r="AB278" s="182">
        <v>2.7793212161469905E-2</v>
      </c>
    </row>
    <row r="279" spans="17:28" x14ac:dyDescent="0.2">
      <c r="Q279" s="141"/>
      <c r="T279" s="141"/>
      <c r="U279" s="162"/>
      <c r="X279" s="183" t="str">
        <f t="shared" si="11"/>
        <v>1D</v>
      </c>
      <c r="Y279" s="181">
        <f>_xll.qlCalendarAdvance(Calendar,Y278,X279,"f",FALSE)</f>
        <v>42272</v>
      </c>
      <c r="Z279" s="184">
        <f>_xll.qlCalendarAdvance(Calendar,Y279,NDays&amp;"D")</f>
        <v>42272</v>
      </c>
      <c r="AA279" s="185">
        <v>2.8441163099531295E-2</v>
      </c>
      <c r="AB279" s="182">
        <v>2.7818260454173981E-2</v>
      </c>
    </row>
    <row r="280" spans="17:28" x14ac:dyDescent="0.2">
      <c r="Q280" s="141"/>
      <c r="T280" s="141"/>
      <c r="U280" s="162"/>
      <c r="X280" s="183" t="str">
        <f t="shared" si="11"/>
        <v>1D</v>
      </c>
      <c r="Y280" s="181">
        <f>_xll.qlCalendarAdvance(Calendar,Y279,X280,"f",FALSE)</f>
        <v>42275</v>
      </c>
      <c r="Z280" s="184">
        <f>_xll.qlCalendarAdvance(Calendar,Y280,NDays&amp;"D")</f>
        <v>42275</v>
      </c>
      <c r="AA280" s="185">
        <v>2.8454969106080554E-2</v>
      </c>
      <c r="AB280" s="182">
        <v>2.7839055434873972E-2</v>
      </c>
    </row>
    <row r="281" spans="17:28" x14ac:dyDescent="0.2">
      <c r="Q281" s="141"/>
      <c r="T281" s="141"/>
      <c r="U281" s="162"/>
      <c r="X281" s="183" t="str">
        <f t="shared" si="11"/>
        <v>1D</v>
      </c>
      <c r="Y281" s="181">
        <f>_xll.qlCalendarAdvance(Calendar,Y280,X281,"f",FALSE)</f>
        <v>42276</v>
      </c>
      <c r="Z281" s="184">
        <f>_xll.qlCalendarAdvance(Calendar,Y281,NDays&amp;"D")</f>
        <v>42276</v>
      </c>
      <c r="AA281" s="185">
        <v>2.845956673761749E-2</v>
      </c>
      <c r="AB281" s="182">
        <v>2.7850506093587413E-2</v>
      </c>
    </row>
    <row r="282" spans="17:28" x14ac:dyDescent="0.2">
      <c r="Q282" s="141"/>
      <c r="T282" s="141"/>
      <c r="U282" s="162"/>
      <c r="X282" s="183" t="str">
        <f t="shared" si="11"/>
        <v>1D</v>
      </c>
      <c r="Y282" s="181">
        <f>_xll.qlCalendarAdvance(Calendar,Y281,X282,"f",FALSE)</f>
        <v>42277</v>
      </c>
      <c r="Z282" s="184">
        <f>_xll.qlCalendarAdvance(Calendar,Y282,NDays&amp;"D")</f>
        <v>42277</v>
      </c>
      <c r="AA282" s="185">
        <v>2.8477656424592785E-2</v>
      </c>
      <c r="AB282" s="182">
        <v>2.7861952688559288E-2</v>
      </c>
    </row>
    <row r="283" spans="17:28" x14ac:dyDescent="0.2">
      <c r="Q283" s="141"/>
      <c r="T283" s="141"/>
      <c r="U283" s="162"/>
      <c r="X283" s="183" t="str">
        <f t="shared" si="11"/>
        <v>1D</v>
      </c>
      <c r="Y283" s="181">
        <f>_xll.qlCalendarAdvance(Calendar,Y282,X283,"f",FALSE)</f>
        <v>42278</v>
      </c>
      <c r="Z283" s="184">
        <f>_xll.qlCalendarAdvance(Calendar,Y283,NDays&amp;"D")</f>
        <v>42278</v>
      </c>
      <c r="AA283" s="185">
        <v>2.8509228740347437E-2</v>
      </c>
      <c r="AB283" s="182">
        <v>2.7873395219789598E-2</v>
      </c>
    </row>
    <row r="284" spans="17:28" x14ac:dyDescent="0.2">
      <c r="Q284" s="141"/>
      <c r="T284" s="141"/>
      <c r="U284" s="162"/>
      <c r="X284" s="183" t="str">
        <f t="shared" si="11"/>
        <v>1D</v>
      </c>
      <c r="Y284" s="181">
        <f>_xll.qlCalendarAdvance(Calendar,Y283,X284,"f",FALSE)</f>
        <v>42279</v>
      </c>
      <c r="Z284" s="184">
        <f>_xll.qlCalendarAdvance(Calendar,Y284,NDays&amp;"D")</f>
        <v>42279</v>
      </c>
      <c r="AA284" s="185">
        <v>2.8513815455921309E-2</v>
      </c>
      <c r="AB284" s="182">
        <v>2.7905180790906148E-2</v>
      </c>
    </row>
    <row r="285" spans="17:28" x14ac:dyDescent="0.2">
      <c r="Q285" s="141"/>
      <c r="T285" s="141"/>
      <c r="U285" s="162"/>
      <c r="X285" s="183" t="str">
        <f t="shared" si="11"/>
        <v>1D</v>
      </c>
      <c r="Y285" s="181">
        <f>_xll.qlCalendarAdvance(Calendar,Y284,X285,"f",FALSE)</f>
        <v>42283</v>
      </c>
      <c r="Z285" s="184">
        <f>_xll.qlCalendarAdvance(Calendar,Y285,NDays&amp;"D")</f>
        <v>42283</v>
      </c>
      <c r="AA285" s="185">
        <v>2.8545620918493587E-2</v>
      </c>
      <c r="AB285" s="182">
        <v>2.7930546918196741E-2</v>
      </c>
    </row>
    <row r="286" spans="17:28" x14ac:dyDescent="0.2">
      <c r="Q286" s="141"/>
      <c r="T286" s="141"/>
      <c r="U286" s="162"/>
      <c r="X286" s="183" t="str">
        <f t="shared" si="11"/>
        <v>1D</v>
      </c>
      <c r="Y286" s="181">
        <f>_xll.qlCalendarAdvance(Calendar,Y285,X286,"f",FALSE)</f>
        <v>42284</v>
      </c>
      <c r="Z286" s="184">
        <f>_xll.qlCalendarAdvance(Calendar,Y286,NDays&amp;"D")</f>
        <v>42284</v>
      </c>
      <c r="AA286" s="185">
        <v>2.8556934120623451E-2</v>
      </c>
      <c r="AB286" s="182">
        <v>2.7941965066491381E-2</v>
      </c>
    </row>
    <row r="287" spans="17:28" x14ac:dyDescent="0.2">
      <c r="Q287" s="141"/>
      <c r="T287" s="141"/>
      <c r="U287" s="162"/>
      <c r="X287" s="183" t="str">
        <f t="shared" si="11"/>
        <v>1D</v>
      </c>
      <c r="Y287" s="181">
        <f>_xll.qlCalendarAdvance(Calendar,Y286,X287,"f",FALSE)</f>
        <v>42285</v>
      </c>
      <c r="Z287" s="184">
        <f>_xll.qlCalendarAdvance(Calendar,Y287,NDays&amp;"D")</f>
        <v>42285</v>
      </c>
      <c r="AA287" s="185">
        <v>2.856824326165544E-2</v>
      </c>
      <c r="AB287" s="182">
        <v>2.7953379150963409E-2</v>
      </c>
    </row>
    <row r="288" spans="17:28" x14ac:dyDescent="0.2">
      <c r="Q288" s="141"/>
      <c r="T288" s="141"/>
      <c r="U288" s="162"/>
      <c r="X288" s="183" t="str">
        <f t="shared" si="11"/>
        <v>1D</v>
      </c>
      <c r="Y288" s="181">
        <f>_xll.qlCalendarAdvance(Calendar,Y287,X288,"f",FALSE)</f>
        <v>42286</v>
      </c>
      <c r="Z288" s="184">
        <f>_xll.qlCalendarAdvance(Calendar,Y288,NDays&amp;"D")</f>
        <v>42286</v>
      </c>
      <c r="AA288" s="185">
        <v>2.8593020214933554E-2</v>
      </c>
      <c r="AB288" s="182">
        <v>2.7978338122696494E-2</v>
      </c>
    </row>
    <row r="289" spans="17:28" x14ac:dyDescent="0.2">
      <c r="Q289" s="141"/>
      <c r="T289" s="141"/>
      <c r="U289" s="162"/>
      <c r="X289" s="183" t="str">
        <f t="shared" si="11"/>
        <v>1D</v>
      </c>
      <c r="Y289" s="181">
        <f>_xll.qlCalendarAdvance(Calendar,Y288,X289,"f",FALSE)</f>
        <v>42289</v>
      </c>
      <c r="Z289" s="184">
        <f>_xll.qlCalendarAdvance(Calendar,Y289,NDays&amp;"D")</f>
        <v>42289</v>
      </c>
      <c r="AA289" s="185">
        <v>2.8613439214108752E-2</v>
      </c>
      <c r="AB289" s="182">
        <v>2.799899485046331E-2</v>
      </c>
    </row>
    <row r="290" spans="17:28" x14ac:dyDescent="0.2">
      <c r="Q290" s="141"/>
      <c r="T290" s="141"/>
      <c r="U290" s="162"/>
      <c r="X290" s="183" t="str">
        <f t="shared" si="11"/>
        <v>1D</v>
      </c>
      <c r="Y290" s="181">
        <f>_xll.qlCalendarAdvance(Calendar,Y289,X290,"f",FALSE)</f>
        <v>42290</v>
      </c>
      <c r="Z290" s="184">
        <f>_xll.qlCalendarAdvance(Calendar,Y290,NDays&amp;"D")</f>
        <v>42290</v>
      </c>
      <c r="AA290" s="185">
        <v>2.8624728049130757E-2</v>
      </c>
      <c r="AB290" s="182">
        <v>2.8010388615741233E-2</v>
      </c>
    </row>
    <row r="291" spans="17:28" x14ac:dyDescent="0.2">
      <c r="Q291" s="141"/>
      <c r="T291" s="141"/>
      <c r="U291" s="162"/>
      <c r="X291" s="183" t="str">
        <f t="shared" si="11"/>
        <v>1D</v>
      </c>
      <c r="Y291" s="181">
        <f>_xll.qlCalendarAdvance(Calendar,Y290,X291,"f",FALSE)</f>
        <v>42291</v>
      </c>
      <c r="Z291" s="184">
        <f>_xll.qlCalendarAdvance(Calendar,Y291,NDays&amp;"D")</f>
        <v>42291</v>
      </c>
      <c r="AA291" s="185">
        <v>2.8636012822846103E-2</v>
      </c>
      <c r="AB291" s="182">
        <v>2.802177831727759E-2</v>
      </c>
    </row>
    <row r="292" spans="17:28" x14ac:dyDescent="0.2">
      <c r="Q292" s="141"/>
      <c r="T292" s="141"/>
      <c r="U292" s="162"/>
      <c r="X292" s="183" t="str">
        <f t="shared" si="11"/>
        <v>1D</v>
      </c>
      <c r="Y292" s="181">
        <f>_xll.qlCalendarAdvance(Calendar,Y291,X292,"f",FALSE)</f>
        <v>42292</v>
      </c>
      <c r="Z292" s="184">
        <f>_xll.qlCalendarAdvance(Calendar,Y292,NDays&amp;"D")</f>
        <v>42292</v>
      </c>
      <c r="AA292" s="185">
        <v>2.8647293535220442E-2</v>
      </c>
      <c r="AB292" s="182">
        <v>2.8033163954991336E-2</v>
      </c>
    </row>
    <row r="293" spans="17:28" x14ac:dyDescent="0.2">
      <c r="Q293" s="141"/>
      <c r="T293" s="141"/>
      <c r="U293" s="162"/>
      <c r="X293" s="183" t="str">
        <f t="shared" si="11"/>
        <v>1D</v>
      </c>
      <c r="Y293" s="181">
        <f>_xll.qlCalendarAdvance(Calendar,Y292,X293,"f",FALSE)</f>
        <v>42293</v>
      </c>
      <c r="Z293" s="184">
        <f>_xll.qlCalendarAdvance(Calendar,Y293,NDays&amp;"D")</f>
        <v>42293</v>
      </c>
      <c r="AA293" s="185">
        <v>2.8672025978018153E-2</v>
      </c>
      <c r="AB293" s="182">
        <v>2.8058078272952262E-2</v>
      </c>
    </row>
    <row r="294" spans="17:28" x14ac:dyDescent="0.2">
      <c r="Q294" s="141"/>
      <c r="T294" s="141"/>
      <c r="U294" s="162"/>
      <c r="X294" s="183" t="str">
        <f t="shared" si="11"/>
        <v>1D</v>
      </c>
      <c r="Y294" s="181">
        <f>_xll.qlCalendarAdvance(Calendar,Y293,X294,"f",FALSE)</f>
        <v>42296</v>
      </c>
      <c r="Z294" s="184">
        <f>_xll.qlCalendarAdvance(Calendar,Y294,NDays&amp;"D")</f>
        <v>42296</v>
      </c>
      <c r="AA294" s="185">
        <v>2.8692375770623207E-2</v>
      </c>
      <c r="AB294" s="182">
        <v>2.8078665867458108E-2</v>
      </c>
    </row>
    <row r="295" spans="17:28" x14ac:dyDescent="0.2">
      <c r="Q295" s="141"/>
      <c r="T295" s="141"/>
      <c r="U295" s="162"/>
      <c r="X295" s="183" t="str">
        <f t="shared" si="11"/>
        <v>1D</v>
      </c>
      <c r="Y295" s="181">
        <f>_xll.qlCalendarAdvance(Calendar,Y294,X295,"f",FALSE)</f>
        <v>42297</v>
      </c>
      <c r="Z295" s="184">
        <f>_xll.qlCalendarAdvance(Calendar,Y295,NDays&amp;"D")</f>
        <v>42297</v>
      </c>
      <c r="AA295" s="185">
        <v>2.8703636175777147E-2</v>
      </c>
      <c r="AB295" s="182">
        <v>2.8090031186058795E-2</v>
      </c>
    </row>
    <row r="296" spans="17:28" x14ac:dyDescent="0.2">
      <c r="Q296" s="141"/>
      <c r="T296" s="141"/>
      <c r="U296" s="162"/>
      <c r="X296" s="183" t="str">
        <f t="shared" si="11"/>
        <v>1D</v>
      </c>
      <c r="Y296" s="181">
        <f>_xll.qlCalendarAdvance(Calendar,Y295,X296,"f",FALSE)</f>
        <v>42298</v>
      </c>
      <c r="Z296" s="184">
        <f>_xll.qlCalendarAdvance(Calendar,Y296,NDays&amp;"D")</f>
        <v>42298</v>
      </c>
      <c r="AA296" s="185">
        <v>2.8714892519383937E-2</v>
      </c>
      <c r="AB296" s="182">
        <v>2.810139244083687E-2</v>
      </c>
    </row>
    <row r="297" spans="17:28" x14ac:dyDescent="0.2">
      <c r="Q297" s="141"/>
      <c r="T297" s="141"/>
      <c r="U297" s="162"/>
      <c r="X297" s="183" t="str">
        <f t="shared" si="11"/>
        <v>1D</v>
      </c>
      <c r="Y297" s="181">
        <f>_xll.qlCalendarAdvance(Calendar,Y296,X297,"f",FALSE)</f>
        <v>42299</v>
      </c>
      <c r="Z297" s="184">
        <f>_xll.qlCalendarAdvance(Calendar,Y297,NDays&amp;"D")</f>
        <v>42299</v>
      </c>
      <c r="AA297" s="185">
        <v>2.8726144801407463E-2</v>
      </c>
      <c r="AB297" s="182">
        <v>2.8112749631711287E-2</v>
      </c>
    </row>
    <row r="298" spans="17:28" x14ac:dyDescent="0.2">
      <c r="Q298" s="141"/>
      <c r="T298" s="141"/>
      <c r="U298" s="162"/>
      <c r="X298" s="183" t="str">
        <f t="shared" si="11"/>
        <v>1D</v>
      </c>
      <c r="Y298" s="181">
        <f>_xll.qlCalendarAdvance(Calendar,Y297,X298,"f",FALSE)</f>
        <v>42300</v>
      </c>
      <c r="Z298" s="184">
        <f>_xll.qlCalendarAdvance(Calendar,Y298,NDays&amp;"D")</f>
        <v>42300</v>
      </c>
      <c r="AA298" s="185">
        <v>2.8750832733052654E-2</v>
      </c>
      <c r="AB298" s="182">
        <v>2.8137619300006394E-2</v>
      </c>
    </row>
    <row r="299" spans="17:28" x14ac:dyDescent="0.2">
      <c r="Q299" s="141"/>
      <c r="T299" s="141"/>
      <c r="U299" s="162"/>
      <c r="X299" s="183" t="str">
        <f t="shared" si="11"/>
        <v>1D</v>
      </c>
      <c r="Y299" s="181">
        <f>_xll.qlCalendarAdvance(Calendar,Y298,X299,"f",FALSE)</f>
        <v>42303</v>
      </c>
      <c r="Z299" s="184">
        <f>_xll.qlCalendarAdvance(Calendar,Y299,NDays&amp;"D")</f>
        <v>42303</v>
      </c>
      <c r="AA299" s="185">
        <v>2.8777829932869845E-2</v>
      </c>
      <c r="AB299" s="182">
        <v>2.8158137757225976E-2</v>
      </c>
    </row>
    <row r="300" spans="17:28" x14ac:dyDescent="0.2">
      <c r="Q300" s="141"/>
      <c r="T300" s="141"/>
      <c r="U300" s="162"/>
      <c r="X300" s="183" t="str">
        <f t="shared" si="11"/>
        <v>1D</v>
      </c>
      <c r="Y300" s="181">
        <f>_xll.qlCalendarAdvance(Calendar,Y299,X300,"f",FALSE)</f>
        <v>42304</v>
      </c>
      <c r="Z300" s="184">
        <f>_xll.qlCalendarAdvance(Calendar,Y300,NDays&amp;"D")</f>
        <v>42304</v>
      </c>
      <c r="AA300" s="185">
        <v>2.8782345286583272E-2</v>
      </c>
      <c r="AB300" s="182">
        <v>2.8169474628987334E-2</v>
      </c>
    </row>
    <row r="301" spans="17:28" x14ac:dyDescent="0.2">
      <c r="Q301" s="141"/>
      <c r="T301" s="141"/>
      <c r="U301" s="162"/>
      <c r="X301" s="183" t="str">
        <f t="shared" si="11"/>
        <v>1D</v>
      </c>
      <c r="Y301" s="181">
        <f>_xll.qlCalendarAdvance(Calendar,Y300,X301,"f",FALSE)</f>
        <v>42305</v>
      </c>
      <c r="Z301" s="184">
        <f>_xll.qlCalendarAdvance(Calendar,Y301,NDays&amp;"D")</f>
        <v>42305</v>
      </c>
      <c r="AA301" s="185">
        <v>2.8793573198390102E-2</v>
      </c>
      <c r="AB301" s="182">
        <v>2.8180807436926081E-2</v>
      </c>
    </row>
    <row r="302" spans="17:28" x14ac:dyDescent="0.2">
      <c r="Q302" s="141"/>
      <c r="T302" s="141"/>
      <c r="U302" s="162"/>
      <c r="X302" s="183" t="str">
        <f t="shared" si="11"/>
        <v>1D</v>
      </c>
      <c r="Y302" s="181">
        <f>_xll.qlCalendarAdvance(Calendar,Y301,X302,"f",FALSE)</f>
        <v>42306</v>
      </c>
      <c r="Z302" s="184">
        <f>_xll.qlCalendarAdvance(Calendar,Y302,NDays&amp;"D")</f>
        <v>42306</v>
      </c>
      <c r="AA302" s="185">
        <v>2.8804797048372292E-2</v>
      </c>
      <c r="AB302" s="182">
        <v>2.8192136181123262E-2</v>
      </c>
    </row>
    <row r="303" spans="17:28" x14ac:dyDescent="0.2">
      <c r="Q303" s="141"/>
      <c r="T303" s="141"/>
      <c r="U303" s="162"/>
      <c r="X303" s="183" t="str">
        <f t="shared" si="11"/>
        <v>1D</v>
      </c>
      <c r="Y303" s="181">
        <f>_xll.qlCalendarAdvance(Calendar,Y302,X303,"f",FALSE)</f>
        <v>42307</v>
      </c>
      <c r="Z303" s="184">
        <f>_xll.qlCalendarAdvance(Calendar,Y303,NDays&amp;"D")</f>
        <v>42307</v>
      </c>
      <c r="AA303" s="185">
        <v>2.8809304391313077E-2</v>
      </c>
      <c r="AB303" s="182">
        <v>2.8216961203507699E-2</v>
      </c>
    </row>
    <row r="304" spans="17:28" x14ac:dyDescent="0.2">
      <c r="Q304" s="141"/>
      <c r="T304" s="141"/>
      <c r="U304" s="162"/>
      <c r="X304" s="183" t="str">
        <f t="shared" si="11"/>
        <v>1D</v>
      </c>
      <c r="Y304" s="181">
        <f>_xll.qlCalendarAdvance(Calendar,Y303,X304,"f",FALSE)</f>
        <v>42310</v>
      </c>
      <c r="Z304" s="184">
        <f>_xll.qlCalendarAdvance(Calendar,Y304,NDays&amp;"D")</f>
        <v>42310</v>
      </c>
      <c r="AA304" s="185">
        <v>2.884965182937892E-2</v>
      </c>
      <c r="AB304" s="182">
        <v>2.8237410519361683E-2</v>
      </c>
    </row>
    <row r="305" spans="17:28" x14ac:dyDescent="0.2">
      <c r="Q305" s="141"/>
      <c r="T305" s="141"/>
      <c r="U305" s="162"/>
      <c r="X305" s="183" t="str">
        <f t="shared" si="11"/>
        <v>1D</v>
      </c>
      <c r="Y305" s="181">
        <f>_xll.qlCalendarAdvance(Calendar,Y304,X305,"f",FALSE)</f>
        <v>42311</v>
      </c>
      <c r="Z305" s="184">
        <f>_xll.qlCalendarAdvance(Calendar,Y305,NDays&amp;"D")</f>
        <v>42311</v>
      </c>
      <c r="AA305" s="185">
        <v>2.88608553697287E-2</v>
      </c>
      <c r="AB305" s="182">
        <v>2.8248718944364759E-2</v>
      </c>
    </row>
    <row r="306" spans="17:28" x14ac:dyDescent="0.2">
      <c r="Q306" s="141"/>
      <c r="T306" s="141"/>
      <c r="U306" s="162"/>
      <c r="X306" s="183" t="str">
        <f t="shared" si="11"/>
        <v>1D</v>
      </c>
      <c r="Y306" s="181">
        <f>_xll.qlCalendarAdvance(Calendar,Y305,X306,"f",FALSE)</f>
        <v>42312</v>
      </c>
      <c r="Z306" s="184">
        <f>_xll.qlCalendarAdvance(Calendar,Y306,NDays&amp;"D")</f>
        <v>42312</v>
      </c>
      <c r="AA306" s="185">
        <v>2.8872054848047699E-2</v>
      </c>
      <c r="AB306" s="182">
        <v>2.8260023305545223E-2</v>
      </c>
    </row>
    <row r="307" spans="17:28" x14ac:dyDescent="0.2">
      <c r="Q307" s="141"/>
      <c r="T307" s="141"/>
      <c r="U307" s="162"/>
      <c r="X307" s="183" t="str">
        <f t="shared" si="11"/>
        <v>1D</v>
      </c>
      <c r="Y307" s="181">
        <f>_xll.qlCalendarAdvance(Calendar,Y306,X307,"f",FALSE)</f>
        <v>42313</v>
      </c>
      <c r="Z307" s="184">
        <f>_xll.qlCalendarAdvance(Calendar,Y307,NDays&amp;"D")</f>
        <v>42313</v>
      </c>
      <c r="AA307" s="185">
        <v>2.8883250264303318E-2</v>
      </c>
      <c r="AB307" s="182">
        <v>2.8271323602903076E-2</v>
      </c>
    </row>
    <row r="308" spans="17:28" x14ac:dyDescent="0.2">
      <c r="Q308" s="141"/>
      <c r="T308" s="141"/>
      <c r="U308" s="162"/>
      <c r="X308" s="183" t="str">
        <f t="shared" si="11"/>
        <v>1D</v>
      </c>
      <c r="Y308" s="181">
        <f>_xll.qlCalendarAdvance(Calendar,Y307,X308,"f",FALSE)</f>
        <v>42314</v>
      </c>
      <c r="Z308" s="184">
        <f>_xll.qlCalendarAdvance(Calendar,Y308,NDays&amp;"D")</f>
        <v>42314</v>
      </c>
      <c r="AA308" s="185">
        <v>2.8907849170634155E-2</v>
      </c>
      <c r="AB308" s="182">
        <v>2.8296103983077952E-2</v>
      </c>
    </row>
    <row r="309" spans="17:28" x14ac:dyDescent="0.2">
      <c r="Q309" s="141"/>
      <c r="T309" s="141"/>
      <c r="U309" s="162"/>
      <c r="X309" s="183" t="str">
        <f t="shared" si="11"/>
        <v>1D</v>
      </c>
      <c r="Y309" s="181">
        <f>_xll.qlCalendarAdvance(Calendar,Y308,X309,"f",FALSE)</f>
        <v>42317</v>
      </c>
      <c r="Z309" s="184">
        <f>_xll.qlCalendarAdvance(Calendar,Y309,NDays&amp;"D")</f>
        <v>42317</v>
      </c>
      <c r="AA309" s="185">
        <v>2.892799130799871E-2</v>
      </c>
      <c r="AB309" s="182">
        <v>2.8316484153946275E-2</v>
      </c>
    </row>
    <row r="310" spans="17:28" x14ac:dyDescent="0.2">
      <c r="Q310" s="141"/>
      <c r="T310" s="141"/>
      <c r="U310" s="162"/>
      <c r="X310" s="183" t="str">
        <f t="shared" si="11"/>
        <v>1D</v>
      </c>
      <c r="Y310" s="181">
        <f>_xll.qlCalendarAdvance(Calendar,Y309,X310,"f",FALSE)</f>
        <v>42318</v>
      </c>
      <c r="Z310" s="184">
        <f>_xll.qlCalendarAdvance(Calendar,Y310,NDays&amp;"D")</f>
        <v>42318</v>
      </c>
      <c r="AA310" s="185">
        <v>2.8939166413420325E-2</v>
      </c>
      <c r="AB310" s="182">
        <v>2.8327764132191069E-2</v>
      </c>
    </row>
    <row r="311" spans="17:28" x14ac:dyDescent="0.2">
      <c r="Q311" s="141"/>
      <c r="T311" s="141"/>
      <c r="U311" s="162"/>
      <c r="X311" s="183" t="str">
        <f t="shared" si="11"/>
        <v>1D</v>
      </c>
      <c r="Y311" s="181">
        <f>_xll.qlCalendarAdvance(Calendar,Y310,X311,"f",FALSE)</f>
        <v>42319</v>
      </c>
      <c r="Z311" s="184">
        <f>_xll.qlCalendarAdvance(Calendar,Y311,NDays&amp;"D")</f>
        <v>42319</v>
      </c>
      <c r="AA311" s="185">
        <v>2.8950337456570659E-2</v>
      </c>
      <c r="AB311" s="182">
        <v>2.8339040046532205E-2</v>
      </c>
    </row>
    <row r="312" spans="17:28" x14ac:dyDescent="0.2">
      <c r="Q312" s="141"/>
      <c r="T312" s="141"/>
      <c r="U312" s="162"/>
      <c r="X312" s="183" t="str">
        <f t="shared" si="11"/>
        <v>1D</v>
      </c>
      <c r="Y312" s="181">
        <f>_xll.qlCalendarAdvance(Calendar,Y311,X312,"f",FALSE)</f>
        <v>42320</v>
      </c>
      <c r="Z312" s="184">
        <f>_xll.qlCalendarAdvance(Calendar,Y312,NDays&amp;"D")</f>
        <v>42320</v>
      </c>
      <c r="AA312" s="185">
        <v>2.8961504437417997E-2</v>
      </c>
      <c r="AB312" s="182">
        <v>2.8350311897050728E-2</v>
      </c>
    </row>
    <row r="313" spans="17:28" x14ac:dyDescent="0.2">
      <c r="Q313" s="141"/>
      <c r="T313" s="141"/>
      <c r="U313" s="162"/>
      <c r="X313" s="183" t="str">
        <f t="shared" si="11"/>
        <v>1D</v>
      </c>
      <c r="Y313" s="181">
        <f>_xll.qlCalendarAdvance(Calendar,Y312,X313,"f",FALSE)</f>
        <v>42321</v>
      </c>
      <c r="Z313" s="184">
        <f>_xll.qlCalendarAdvance(Calendar,Y313,NDays&amp;"D")</f>
        <v>42321</v>
      </c>
      <c r="AA313" s="185">
        <v>2.8986058829087991E-2</v>
      </c>
      <c r="AB313" s="182">
        <v>2.8375047638230882E-2</v>
      </c>
    </row>
    <row r="314" spans="17:28" x14ac:dyDescent="0.2">
      <c r="Q314" s="141"/>
      <c r="T314" s="141"/>
      <c r="U314" s="162"/>
      <c r="X314" s="183" t="str">
        <f t="shared" si="11"/>
        <v>1D</v>
      </c>
      <c r="Y314" s="181">
        <f>_xll.qlCalendarAdvance(Calendar,Y313,X314,"f",FALSE)</f>
        <v>42324</v>
      </c>
      <c r="Z314" s="184">
        <f>_xll.qlCalendarAdvance(Calendar,Y314,NDays&amp;"D")</f>
        <v>42324</v>
      </c>
      <c r="AA314" s="185">
        <v>2.9006131737082358E-2</v>
      </c>
      <c r="AB314" s="182">
        <v>2.839535866081766E-2</v>
      </c>
    </row>
    <row r="315" spans="17:28" x14ac:dyDescent="0.2">
      <c r="Q315" s="141"/>
      <c r="T315" s="141"/>
      <c r="U315" s="162"/>
      <c r="X315" s="183" t="str">
        <f t="shared" si="11"/>
        <v>1D</v>
      </c>
      <c r="Y315" s="181">
        <f>_xll.qlCalendarAdvance(Calendar,Y314,X315,"f",FALSE)</f>
        <v>42325</v>
      </c>
      <c r="Z315" s="184">
        <f>_xll.qlCalendarAdvance(Calendar,Y315,NDays&amp;"D")</f>
        <v>42325</v>
      </c>
      <c r="AA315" s="185">
        <v>2.9017278405896737E-2</v>
      </c>
      <c r="AB315" s="182">
        <v>2.8406610192223125E-2</v>
      </c>
    </row>
    <row r="316" spans="17:28" x14ac:dyDescent="0.2">
      <c r="Q316" s="141"/>
      <c r="T316" s="141"/>
      <c r="U316" s="162"/>
      <c r="X316" s="183" t="str">
        <f t="shared" si="11"/>
        <v>1D</v>
      </c>
      <c r="Y316" s="181">
        <f>_xll.qlCalendarAdvance(Calendar,Y315,X316,"f",FALSE)</f>
        <v>42326</v>
      </c>
      <c r="Z316" s="184">
        <f>_xll.qlCalendarAdvance(Calendar,Y316,NDays&amp;"D")</f>
        <v>42326</v>
      </c>
      <c r="AA316" s="185">
        <v>2.9028421012201103E-2</v>
      </c>
      <c r="AB316" s="182">
        <v>2.8417857659724932E-2</v>
      </c>
    </row>
    <row r="317" spans="17:28" x14ac:dyDescent="0.2">
      <c r="Q317" s="141"/>
      <c r="T317" s="141"/>
      <c r="U317" s="162"/>
      <c r="X317" s="183" t="str">
        <f t="shared" si="11"/>
        <v>1D</v>
      </c>
      <c r="Y317" s="181">
        <f>_xll.qlCalendarAdvance(Calendar,Y316,X317,"f",FALSE)</f>
        <v>42327</v>
      </c>
      <c r="Z317" s="184">
        <f>_xll.qlCalendarAdvance(Calendar,Y317,NDays&amp;"D")</f>
        <v>42327</v>
      </c>
      <c r="AA317" s="185">
        <v>2.9039559555962859E-2</v>
      </c>
      <c r="AB317" s="182">
        <v>2.8429101063404127E-2</v>
      </c>
    </row>
    <row r="318" spans="17:28" x14ac:dyDescent="0.2">
      <c r="Q318" s="141"/>
      <c r="T318" s="141"/>
      <c r="U318" s="162"/>
      <c r="X318" s="183" t="str">
        <f t="shared" si="11"/>
        <v>1D</v>
      </c>
      <c r="Y318" s="181">
        <f>_xll.qlCalendarAdvance(Calendar,Y317,X318,"f",FALSE)</f>
        <v>42328</v>
      </c>
      <c r="Z318" s="184">
        <f>_xll.qlCalendarAdvance(Calendar,Y318,NDays&amp;"D")</f>
        <v>42328</v>
      </c>
      <c r="AA318" s="185">
        <v>2.9064069431305403E-2</v>
      </c>
      <c r="AB318" s="182">
        <v>2.8453792168696333E-2</v>
      </c>
    </row>
    <row r="319" spans="17:28" x14ac:dyDescent="0.2">
      <c r="Q319" s="141"/>
      <c r="T319" s="141"/>
      <c r="U319" s="162"/>
      <c r="X319" s="183" t="str">
        <f t="shared" si="11"/>
        <v>1D</v>
      </c>
      <c r="Y319" s="181">
        <f>_xll.qlCalendarAdvance(Calendar,Y318,X319,"f",FALSE)</f>
        <v>42331</v>
      </c>
      <c r="Z319" s="184">
        <f>_xll.qlCalendarAdvance(Calendar,Y319,NDays&amp;"D")</f>
        <v>42331</v>
      </c>
      <c r="AA319" s="185">
        <v>2.9084073104894016E-2</v>
      </c>
      <c r="AB319" s="182">
        <v>2.8474034039813745E-2</v>
      </c>
    </row>
    <row r="320" spans="17:28" x14ac:dyDescent="0.2">
      <c r="Q320" s="141"/>
      <c r="T320" s="141"/>
      <c r="U320" s="162"/>
      <c r="X320" s="183" t="str">
        <f t="shared" si="11"/>
        <v>1D</v>
      </c>
      <c r="Y320" s="181">
        <f>_xll.qlCalendarAdvance(Calendar,Y319,X320,"f",FALSE)</f>
        <v>42332</v>
      </c>
      <c r="Z320" s="184">
        <f>_xll.qlCalendarAdvance(Calendar,Y320,NDays&amp;"D")</f>
        <v>42332</v>
      </c>
      <c r="AA320" s="185">
        <v>2.9095191335426495E-2</v>
      </c>
      <c r="AB320" s="182">
        <v>2.8485257124298835E-2</v>
      </c>
    </row>
    <row r="321" spans="17:28" x14ac:dyDescent="0.2">
      <c r="Q321" s="141"/>
      <c r="T321" s="141"/>
      <c r="U321" s="162"/>
      <c r="X321" s="183" t="str">
        <f t="shared" si="11"/>
        <v>1D</v>
      </c>
      <c r="Y321" s="181">
        <f>_xll.qlCalendarAdvance(Calendar,Y320,X321,"f",FALSE)</f>
        <v>42333</v>
      </c>
      <c r="Z321" s="184">
        <f>_xll.qlCalendarAdvance(Calendar,Y321,NDays&amp;"D")</f>
        <v>42333</v>
      </c>
      <c r="AA321" s="185">
        <v>2.9106305503211988E-2</v>
      </c>
      <c r="AB321" s="182">
        <v>2.8496476144961314E-2</v>
      </c>
    </row>
    <row r="322" spans="17:28" x14ac:dyDescent="0.2">
      <c r="Q322" s="141"/>
      <c r="T322" s="141"/>
      <c r="U322" s="162"/>
      <c r="X322" s="183" t="str">
        <f t="shared" si="11"/>
        <v>1D</v>
      </c>
      <c r="Y322" s="181">
        <f>_xll.qlCalendarAdvance(Calendar,Y321,X322,"f",FALSE)</f>
        <v>42334</v>
      </c>
      <c r="Z322" s="184">
        <f>_xll.qlCalendarAdvance(Calendar,Y322,NDays&amp;"D")</f>
        <v>42334</v>
      </c>
      <c r="AA322" s="185">
        <v>2.9117415608215257E-2</v>
      </c>
      <c r="AB322" s="182">
        <v>2.850769110180118E-2</v>
      </c>
    </row>
    <row r="323" spans="17:28" x14ac:dyDescent="0.2">
      <c r="Q323" s="141"/>
      <c r="T323" s="141"/>
      <c r="U323" s="162"/>
      <c r="X323" s="183" t="str">
        <f t="shared" si="11"/>
        <v>1D</v>
      </c>
      <c r="Y323" s="181">
        <f>_xll.qlCalendarAdvance(Calendar,Y322,X323,"f",FALSE)</f>
        <v>42335</v>
      </c>
      <c r="Z323" s="184">
        <f>_xll.qlCalendarAdvance(Calendar,Y323,NDays&amp;"D")</f>
        <v>42335</v>
      </c>
      <c r="AA323" s="185">
        <v>2.9141880965314823E-2</v>
      </c>
      <c r="AB323" s="182">
        <v>2.8532337574015042E-2</v>
      </c>
    </row>
    <row r="324" spans="17:28" x14ac:dyDescent="0.2">
      <c r="Q324" s="141"/>
      <c r="T324" s="141"/>
      <c r="U324" s="162"/>
      <c r="X324" s="183" t="str">
        <f t="shared" si="11"/>
        <v>1D</v>
      </c>
      <c r="Y324" s="181">
        <f>_xll.qlCalendarAdvance(Calendar,Y323,X324,"f",FALSE)</f>
        <v>42338</v>
      </c>
      <c r="Z324" s="184">
        <f>_xll.qlCalendarAdvance(Calendar,Y324,NDays&amp;"D")</f>
        <v>42338</v>
      </c>
      <c r="AA324" s="185">
        <v>2.9155138561934576E-2</v>
      </c>
      <c r="AB324" s="182">
        <v>2.8552510290772437E-2</v>
      </c>
    </row>
    <row r="325" spans="17:28" x14ac:dyDescent="0.2">
      <c r="Q325" s="141"/>
      <c r="T325" s="141"/>
      <c r="U325" s="162"/>
      <c r="X325" s="183" t="str">
        <f t="shared" si="11"/>
        <v>1D</v>
      </c>
      <c r="Y325" s="181">
        <f>_xll.qlCalendarAdvance(Calendar,Y324,X325,"f",FALSE)</f>
        <v>42339</v>
      </c>
      <c r="Z325" s="184">
        <f>_xll.qlCalendarAdvance(Calendar,Y325,NDays&amp;"D")</f>
        <v>42339</v>
      </c>
      <c r="AA325" s="185">
        <v>2.9166229501173993E-2</v>
      </c>
      <c r="AB325" s="182">
        <v>2.8563704928418199E-2</v>
      </c>
    </row>
    <row r="326" spans="17:28" x14ac:dyDescent="0.2">
      <c r="Q326" s="141"/>
      <c r="T326" s="141"/>
      <c r="U326" s="162"/>
      <c r="X326" s="183" t="str">
        <f t="shared" si="11"/>
        <v>1D</v>
      </c>
      <c r="Y326" s="181">
        <f>_xll.qlCalendarAdvance(Calendar,Y325,X326,"f",FALSE)</f>
        <v>42340</v>
      </c>
      <c r="Z326" s="184">
        <f>_xll.qlCalendarAdvance(Calendar,Y326,NDays&amp;"D")</f>
        <v>42340</v>
      </c>
      <c r="AA326" s="185">
        <v>2.9177316377432431E-2</v>
      </c>
      <c r="AB326" s="182">
        <v>2.8574895502241349E-2</v>
      </c>
    </row>
    <row r="327" spans="17:28" x14ac:dyDescent="0.2">
      <c r="Q327" s="141"/>
      <c r="T327" s="141"/>
      <c r="U327" s="162"/>
      <c r="X327" s="183" t="str">
        <f t="shared" si="11"/>
        <v>1D</v>
      </c>
      <c r="Y327" s="181">
        <f>_xll.qlCalendarAdvance(Calendar,Y326,X327,"f",FALSE)</f>
        <v>42341</v>
      </c>
      <c r="Z327" s="184">
        <f>_xll.qlCalendarAdvance(Calendar,Y327,NDays&amp;"D")</f>
        <v>42341</v>
      </c>
      <c r="AA327" s="185">
        <v>2.9188399190677831E-2</v>
      </c>
      <c r="AB327" s="182">
        <v>2.8586082012160841E-2</v>
      </c>
    </row>
    <row r="328" spans="17:28" x14ac:dyDescent="0.2">
      <c r="Q328" s="141"/>
      <c r="T328" s="141"/>
      <c r="U328" s="162"/>
      <c r="X328" s="183" t="str">
        <f t="shared" si="11"/>
        <v>1D</v>
      </c>
      <c r="Y328" s="181">
        <f>_xll.qlCalendarAdvance(Calendar,Y327,X328,"f",FALSE)</f>
        <v>42342</v>
      </c>
      <c r="Z328" s="184">
        <f>_xll.qlCalendarAdvance(Calendar,Y328,NDays&amp;"D")</f>
        <v>42342</v>
      </c>
      <c r="AA328" s="185">
        <v>2.9199477940875455E-2</v>
      </c>
      <c r="AB328" s="182">
        <v>2.8610683853808792E-2</v>
      </c>
    </row>
    <row r="329" spans="17:28" x14ac:dyDescent="0.2">
      <c r="Q329" s="141"/>
      <c r="T329" s="141"/>
      <c r="U329" s="162"/>
      <c r="X329" s="183" t="str">
        <f t="shared" si="11"/>
        <v>1D</v>
      </c>
      <c r="Y329" s="181">
        <f>_xll.qlCalendarAdvance(Calendar,Y328,X329,"f",FALSE)</f>
        <v>42345</v>
      </c>
      <c r="Z329" s="184">
        <f>_xll.qlCalendarAdvance(Calendar,Y329,NDays&amp;"D")</f>
        <v>42345</v>
      </c>
      <c r="AA329" s="185">
        <v>2.9232689812847708E-2</v>
      </c>
      <c r="AB329" s="182">
        <v>2.8630787413612691E-2</v>
      </c>
    </row>
    <row r="330" spans="17:28" x14ac:dyDescent="0.2">
      <c r="Q330" s="141"/>
      <c r="T330" s="141"/>
      <c r="U330" s="162"/>
      <c r="X330" s="183" t="str">
        <f t="shared" si="11"/>
        <v>1D</v>
      </c>
      <c r="Y330" s="181">
        <f>_xll.qlCalendarAdvance(Calendar,Y329,X330,"f",FALSE)</f>
        <v>42346</v>
      </c>
      <c r="Z330" s="184">
        <f>_xll.qlCalendarAdvance(Calendar,Y330,NDays&amp;"D")</f>
        <v>42346</v>
      </c>
      <c r="AA330" s="185">
        <v>2.924375231052026E-2</v>
      </c>
      <c r="AB330" s="182">
        <v>2.8641953604419124E-2</v>
      </c>
    </row>
    <row r="331" spans="17:28" x14ac:dyDescent="0.2">
      <c r="Q331" s="141"/>
      <c r="T331" s="141"/>
      <c r="U331" s="162"/>
      <c r="X331" s="183" t="str">
        <f t="shared" si="11"/>
        <v>1D</v>
      </c>
      <c r="Y331" s="181">
        <f>_xll.qlCalendarAdvance(Calendar,Y330,X331,"f",FALSE)</f>
        <v>42347</v>
      </c>
      <c r="Z331" s="184">
        <f>_xll.qlCalendarAdvance(Calendar,Y331,NDays&amp;"D")</f>
        <v>42347</v>
      </c>
      <c r="AA331" s="185">
        <v>2.9254810744976708E-2</v>
      </c>
      <c r="AB331" s="182">
        <v>2.8653115731321899E-2</v>
      </c>
    </row>
    <row r="332" spans="17:28" x14ac:dyDescent="0.2">
      <c r="Q332" s="141"/>
      <c r="T332" s="141"/>
      <c r="U332" s="162"/>
      <c r="X332" s="183" t="str">
        <f t="shared" si="11"/>
        <v>1D</v>
      </c>
      <c r="Y332" s="181">
        <f>_xll.qlCalendarAdvance(Calendar,Y331,X332,"f",FALSE)</f>
        <v>42348</v>
      </c>
      <c r="Z332" s="184">
        <f>_xll.qlCalendarAdvance(Calendar,Y332,NDays&amp;"D")</f>
        <v>42348</v>
      </c>
      <c r="AA332" s="185">
        <v>2.9265865116184994E-2</v>
      </c>
      <c r="AB332" s="182">
        <v>2.8664273794321016E-2</v>
      </c>
    </row>
    <row r="333" spans="17:28" x14ac:dyDescent="0.2">
      <c r="Q333" s="141"/>
      <c r="T333" s="141"/>
      <c r="U333" s="162"/>
      <c r="X333" s="183" t="str">
        <f t="shared" si="11"/>
        <v>1D</v>
      </c>
      <c r="Y333" s="181">
        <f>_xll.qlCalendarAdvance(Calendar,Y332,X333,"f",FALSE)</f>
        <v>42349</v>
      </c>
      <c r="Z333" s="184">
        <f>_xll.qlCalendarAdvance(Calendar,Y333,NDays&amp;"D")</f>
        <v>42349</v>
      </c>
      <c r="AA333" s="185">
        <v>2.9276915424110383E-2</v>
      </c>
      <c r="AB333" s="182">
        <v>2.8688831007726383E-2</v>
      </c>
    </row>
    <row r="334" spans="17:28" x14ac:dyDescent="0.2">
      <c r="Q334" s="141"/>
      <c r="T334" s="141"/>
      <c r="U334" s="162"/>
      <c r="X334" s="183" t="str">
        <f t="shared" si="11"/>
        <v>1D</v>
      </c>
      <c r="Y334" s="181">
        <f>_xll.qlCalendarAdvance(Calendar,Y333,X334,"f",FALSE)</f>
        <v>42352</v>
      </c>
      <c r="Z334" s="184">
        <f>_xll.qlCalendarAdvance(Calendar,Y334,NDays&amp;"D")</f>
        <v>42352</v>
      </c>
      <c r="AA334" s="185">
        <v>2.9310041967859638E-2</v>
      </c>
      <c r="AB334" s="182">
        <v>2.8708865408253459E-2</v>
      </c>
    </row>
    <row r="335" spans="17:28" x14ac:dyDescent="0.2">
      <c r="Q335" s="141"/>
      <c r="T335" s="141"/>
      <c r="U335" s="162"/>
      <c r="X335" s="183" t="str">
        <f t="shared" si="11"/>
        <v>1D</v>
      </c>
      <c r="Y335" s="181">
        <f>_xll.qlCalendarAdvance(Calendar,Y334,X335,"f",FALSE)</f>
        <v>42353</v>
      </c>
      <c r="Z335" s="184">
        <f>_xll.qlCalendarAdvance(Calendar,Y335,NDays&amp;"D")</f>
        <v>42353</v>
      </c>
      <c r="AA335" s="185">
        <v>2.9321076022321237E-2</v>
      </c>
      <c r="AB335" s="182">
        <v>2.8720003152058471E-2</v>
      </c>
    </row>
    <row r="336" spans="17:28" x14ac:dyDescent="0.2">
      <c r="Q336" s="141"/>
      <c r="T336" s="141"/>
      <c r="U336" s="162"/>
      <c r="X336" s="183" t="str">
        <f t="shared" si="11"/>
        <v>1D</v>
      </c>
      <c r="Y336" s="181">
        <f>_xll.qlCalendarAdvance(Calendar,Y335,X336,"f",FALSE)</f>
        <v>42354</v>
      </c>
      <c r="Z336" s="184">
        <f>_xll.qlCalendarAdvance(Calendar,Y336,NDays&amp;"D")</f>
        <v>42354</v>
      </c>
      <c r="AA336" s="185">
        <v>2.9332106013332505E-2</v>
      </c>
      <c r="AB336" s="182">
        <v>2.8731136832040871E-2</v>
      </c>
    </row>
    <row r="337" spans="17:28" x14ac:dyDescent="0.2">
      <c r="Q337" s="141"/>
      <c r="T337" s="141"/>
      <c r="U337" s="162"/>
      <c r="X337" s="183" t="str">
        <f t="shared" si="11"/>
        <v>1D</v>
      </c>
      <c r="Y337" s="181">
        <f>_xll.qlCalendarAdvance(Calendar,Y336,X337,"f",FALSE)</f>
        <v>42355</v>
      </c>
      <c r="Z337" s="184">
        <f>_xll.qlCalendarAdvance(Calendar,Y337,NDays&amp;"D")</f>
        <v>42355</v>
      </c>
      <c r="AA337" s="185">
        <v>2.9343131940861376E-2</v>
      </c>
      <c r="AB337" s="182">
        <v>2.874226644820066E-2</v>
      </c>
    </row>
    <row r="338" spans="17:28" x14ac:dyDescent="0.2">
      <c r="Q338" s="141"/>
      <c r="T338" s="141"/>
      <c r="U338" s="162"/>
      <c r="X338" s="183" t="str">
        <f t="shared" si="11"/>
        <v>1D</v>
      </c>
      <c r="Y338" s="181">
        <f>_xll.qlCalendarAdvance(Calendar,Y337,X338,"f",FALSE)</f>
        <v>42356</v>
      </c>
      <c r="Z338" s="184">
        <f>_xll.qlCalendarAdvance(Calendar,Y338,NDays&amp;"D")</f>
        <v>42356</v>
      </c>
      <c r="AA338" s="185">
        <v>2.9354153804873117E-2</v>
      </c>
      <c r="AB338" s="182">
        <v>2.8766779035335571E-2</v>
      </c>
    </row>
    <row r="339" spans="17:28" x14ac:dyDescent="0.2">
      <c r="Q339" s="141"/>
      <c r="T339" s="141"/>
      <c r="U339" s="162"/>
      <c r="X339" s="183" t="str">
        <f t="shared" si="11"/>
        <v>1D</v>
      </c>
      <c r="Y339" s="181">
        <f>_xll.qlCalendarAdvance(Calendar,Y338,X339,"f",FALSE)</f>
        <v>42359</v>
      </c>
      <c r="Z339" s="184">
        <f>_xll.qlCalendarAdvance(Calendar,Y339,NDays&amp;"D")</f>
        <v>42359</v>
      </c>
      <c r="AA339" s="185">
        <v>2.9387195015476927E-2</v>
      </c>
      <c r="AB339" s="182">
        <v>2.8786744274370557E-2</v>
      </c>
    </row>
    <row r="340" spans="17:28" x14ac:dyDescent="0.2">
      <c r="Q340" s="141"/>
      <c r="T340" s="141"/>
      <c r="U340" s="162"/>
      <c r="X340" s="183" t="str">
        <f t="shared" si="11"/>
        <v>1D</v>
      </c>
      <c r="Y340" s="181">
        <f>_xll.qlCalendarAdvance(Calendar,Y339,X340,"f",FALSE)</f>
        <v>42360</v>
      </c>
      <c r="Z340" s="184">
        <f>_xll.qlCalendarAdvance(Calendar,Y340,NDays&amp;"D")</f>
        <v>42360</v>
      </c>
      <c r="AA340" s="185">
        <v>2.9398200625088841E-2</v>
      </c>
      <c r="AB340" s="182">
        <v>2.879785357133624E-2</v>
      </c>
    </row>
    <row r="341" spans="17:28" x14ac:dyDescent="0.2">
      <c r="Q341" s="141"/>
      <c r="T341" s="141"/>
      <c r="U341" s="162"/>
      <c r="X341" s="183" t="str">
        <f t="shared" ref="X341:X404" si="12">X340</f>
        <v>1D</v>
      </c>
      <c r="Y341" s="181">
        <f>_xll.qlCalendarAdvance(Calendar,Y340,X341,"f",FALSE)</f>
        <v>42361</v>
      </c>
      <c r="Z341" s="184">
        <f>_xll.qlCalendarAdvance(Calendar,Y341,NDays&amp;"D")</f>
        <v>42361</v>
      </c>
      <c r="AA341" s="185">
        <v>2.940920217101619E-2</v>
      </c>
      <c r="AB341" s="182">
        <v>2.8808958804398266E-2</v>
      </c>
    </row>
    <row r="342" spans="17:28" x14ac:dyDescent="0.2">
      <c r="Q342" s="141"/>
      <c r="T342" s="141"/>
      <c r="U342" s="162"/>
      <c r="X342" s="183" t="str">
        <f t="shared" si="12"/>
        <v>1D</v>
      </c>
      <c r="Y342" s="181">
        <f>_xll.qlCalendarAdvance(Calendar,Y341,X342,"f",FALSE)</f>
        <v>42362</v>
      </c>
      <c r="Z342" s="184">
        <f>_xll.qlCalendarAdvance(Calendar,Y342,NDays&amp;"D")</f>
        <v>42362</v>
      </c>
      <c r="AA342" s="185">
        <v>2.9420199653227799E-2</v>
      </c>
      <c r="AB342" s="182">
        <v>2.8846804636622148E-2</v>
      </c>
    </row>
    <row r="343" spans="17:28" x14ac:dyDescent="0.2">
      <c r="Q343" s="141"/>
      <c r="T343" s="141"/>
      <c r="U343" s="162"/>
      <c r="X343" s="183" t="str">
        <f t="shared" si="12"/>
        <v>1D</v>
      </c>
      <c r="Y343" s="181">
        <f>_xll.qlCalendarAdvance(Calendar,Y342,X343,"f",FALSE)</f>
        <v>42367</v>
      </c>
      <c r="Z343" s="184">
        <f>_xll.qlCalendarAdvance(Calendar,Y343,NDays&amp;"D")</f>
        <v>42367</v>
      </c>
      <c r="AA343" s="185">
        <v>2.947512610736348E-2</v>
      </c>
      <c r="AB343" s="182">
        <v>2.8875504862009294E-2</v>
      </c>
    </row>
    <row r="344" spans="17:28" x14ac:dyDescent="0.2">
      <c r="Q344" s="141"/>
      <c r="T344" s="141"/>
      <c r="U344" s="162"/>
      <c r="X344" s="183" t="str">
        <f t="shared" si="12"/>
        <v>1D</v>
      </c>
      <c r="Y344" s="181">
        <f>_xll.qlCalendarAdvance(Calendar,Y343,X344,"f",FALSE)</f>
        <v>42368</v>
      </c>
      <c r="Z344" s="184">
        <f>_xll.qlCalendarAdvance(Calendar,Y344,NDays&amp;"D")</f>
        <v>42368</v>
      </c>
      <c r="AA344" s="185">
        <v>2.9486099206573513E-2</v>
      </c>
      <c r="AB344" s="182">
        <v>2.888658164823199E-2</v>
      </c>
    </row>
    <row r="345" spans="17:28" x14ac:dyDescent="0.2">
      <c r="Q345" s="141"/>
      <c r="T345" s="141"/>
      <c r="U345" s="162"/>
      <c r="X345" s="183" t="str">
        <f t="shared" si="12"/>
        <v>1D</v>
      </c>
      <c r="Y345" s="181">
        <f>_xll.qlCalendarAdvance(Calendar,Y344,X345,"f",FALSE)</f>
        <v>42369</v>
      </c>
      <c r="Z345" s="184">
        <f>_xll.qlCalendarAdvance(Calendar,Y345,NDays&amp;"D")</f>
        <v>42369</v>
      </c>
      <c r="AA345" s="185">
        <v>2.9497068241833579E-2</v>
      </c>
      <c r="AB345" s="182">
        <v>2.8917689231893751E-2</v>
      </c>
    </row>
    <row r="346" spans="17:28" x14ac:dyDescent="0.2">
      <c r="Q346" s="141"/>
      <c r="T346" s="141"/>
      <c r="U346" s="162"/>
      <c r="X346" s="183" t="str">
        <f t="shared" si="12"/>
        <v>1D</v>
      </c>
      <c r="Y346" s="181">
        <f>_xll.qlCalendarAdvance(Calendar,Y345,X346,"f",FALSE)</f>
        <v>42373</v>
      </c>
      <c r="Z346" s="184">
        <f>_xll.qlCalendarAdvance(Calendar,Y346,NDays&amp;"D")</f>
        <v>42373</v>
      </c>
      <c r="AA346" s="185">
        <v>2.9540903742706164E-2</v>
      </c>
      <c r="AB346" s="182">
        <v>2.8941904621114789E-2</v>
      </c>
    </row>
    <row r="347" spans="17:28" x14ac:dyDescent="0.2">
      <c r="Q347" s="141"/>
      <c r="T347" s="141"/>
      <c r="U347" s="162"/>
      <c r="X347" s="183" t="str">
        <f t="shared" si="12"/>
        <v>1D</v>
      </c>
      <c r="Y347" s="181">
        <f>_xll.qlCalendarAdvance(Calendar,Y346,X347,"f",FALSE)</f>
        <v>42374</v>
      </c>
      <c r="Z347" s="184">
        <f>_xll.qlCalendarAdvance(Calendar,Y347,NDays&amp;"D")</f>
        <v>42374</v>
      </c>
      <c r="AA347" s="185">
        <v>2.9551852457717631E-2</v>
      </c>
      <c r="AB347" s="182">
        <v>2.8952957024158676E-2</v>
      </c>
    </row>
    <row r="348" spans="17:28" x14ac:dyDescent="0.2">
      <c r="Q348" s="141"/>
      <c r="T348" s="141"/>
      <c r="U348" s="162"/>
      <c r="X348" s="183" t="str">
        <f t="shared" si="12"/>
        <v>1D</v>
      </c>
      <c r="Y348" s="181">
        <f>_xll.qlCalendarAdvance(Calendar,Y347,X348,"f",FALSE)</f>
        <v>42375</v>
      </c>
      <c r="Z348" s="184">
        <f>_xll.qlCalendarAdvance(Calendar,Y348,NDays&amp;"D")</f>
        <v>42375</v>
      </c>
      <c r="AA348" s="185">
        <v>2.9562797108578738E-2</v>
      </c>
      <c r="AB348" s="182">
        <v>2.8964005363298906E-2</v>
      </c>
    </row>
    <row r="349" spans="17:28" x14ac:dyDescent="0.2">
      <c r="Q349" s="141"/>
      <c r="T349" s="141"/>
      <c r="U349" s="162"/>
      <c r="X349" s="183" t="str">
        <f t="shared" si="12"/>
        <v>1D</v>
      </c>
      <c r="Y349" s="181">
        <f>_xll.qlCalendarAdvance(Calendar,Y348,X349,"f",FALSE)</f>
        <v>42376</v>
      </c>
      <c r="Z349" s="184">
        <f>_xll.qlCalendarAdvance(Calendar,Y349,NDays&amp;"D")</f>
        <v>42376</v>
      </c>
      <c r="AA349" s="185">
        <v>2.9573737695257424E-2</v>
      </c>
      <c r="AB349" s="182">
        <v>2.897504963869757E-2</v>
      </c>
    </row>
    <row r="350" spans="17:28" x14ac:dyDescent="0.2">
      <c r="Q350" s="141"/>
      <c r="T350" s="141"/>
      <c r="U350" s="162"/>
      <c r="X350" s="183" t="str">
        <f t="shared" si="12"/>
        <v>1D</v>
      </c>
      <c r="Y350" s="181">
        <f>_xll.qlCalendarAdvance(Calendar,Y349,X350,"f",FALSE)</f>
        <v>42377</v>
      </c>
      <c r="Z350" s="184">
        <f>_xll.qlCalendarAdvance(Calendar,Y350,NDays&amp;"D")</f>
        <v>42377</v>
      </c>
      <c r="AA350" s="185">
        <v>2.9584674217719844E-2</v>
      </c>
      <c r="AB350" s="182">
        <v>2.8999428356719651E-2</v>
      </c>
    </row>
    <row r="351" spans="17:28" x14ac:dyDescent="0.2">
      <c r="Q351" s="141"/>
      <c r="T351" s="141"/>
      <c r="U351" s="162"/>
      <c r="X351" s="183" t="str">
        <f t="shared" si="12"/>
        <v>1D</v>
      </c>
      <c r="Y351" s="181">
        <f>_xll.qlCalendarAdvance(Calendar,Y350,X351,"f",FALSE)</f>
        <v>42380</v>
      </c>
      <c r="Z351" s="184">
        <f>_xll.qlCalendarAdvance(Calendar,Y351,NDays&amp;"D")</f>
        <v>42380</v>
      </c>
      <c r="AA351" s="185">
        <v>2.9617459399481762E-2</v>
      </c>
      <c r="AB351" s="182">
        <v>2.9019186101417738E-2</v>
      </c>
    </row>
    <row r="352" spans="17:28" x14ac:dyDescent="0.2">
      <c r="Q352" s="141"/>
      <c r="T352" s="141"/>
      <c r="U352" s="162"/>
      <c r="X352" s="183" t="str">
        <f t="shared" si="12"/>
        <v>1D</v>
      </c>
      <c r="Y352" s="181">
        <f>_xll.qlCalendarAdvance(Calendar,Y351,X352,"f",FALSE)</f>
        <v>42381</v>
      </c>
      <c r="Z352" s="184">
        <f>_xll.qlCalendarAdvance(Calendar,Y352,NDays&amp;"D")</f>
        <v>42381</v>
      </c>
      <c r="AA352" s="185">
        <v>2.9628379664750484E-2</v>
      </c>
      <c r="AB352" s="182">
        <v>2.9030210057460204E-2</v>
      </c>
    </row>
    <row r="353" spans="17:28" x14ac:dyDescent="0.2">
      <c r="Q353" s="141"/>
      <c r="T353" s="141"/>
      <c r="U353" s="162"/>
      <c r="X353" s="183" t="str">
        <f t="shared" si="12"/>
        <v>1D</v>
      </c>
      <c r="Y353" s="181">
        <f>_xll.qlCalendarAdvance(Calendar,Y352,X353,"f",FALSE)</f>
        <v>42382</v>
      </c>
      <c r="Z353" s="184">
        <f>_xll.qlCalendarAdvance(Calendar,Y353,NDays&amp;"D")</f>
        <v>42382</v>
      </c>
      <c r="AA353" s="185">
        <v>2.9639295865636395E-2</v>
      </c>
      <c r="AB353" s="182">
        <v>2.9041229949680059E-2</v>
      </c>
    </row>
    <row r="354" spans="17:28" x14ac:dyDescent="0.2">
      <c r="Q354" s="141"/>
      <c r="T354" s="141"/>
      <c r="U354" s="162"/>
      <c r="X354" s="183" t="str">
        <f t="shared" si="12"/>
        <v>1D</v>
      </c>
      <c r="Y354" s="181">
        <f>_xll.qlCalendarAdvance(Calendar,Y353,X354,"f",FALSE)</f>
        <v>42383</v>
      </c>
      <c r="Z354" s="184">
        <f>_xll.qlCalendarAdvance(Calendar,Y354,NDays&amp;"D")</f>
        <v>42383</v>
      </c>
      <c r="AA354" s="185">
        <v>2.9650208002108325E-2</v>
      </c>
      <c r="AB354" s="182">
        <v>2.9052245777996255E-2</v>
      </c>
    </row>
    <row r="355" spans="17:28" x14ac:dyDescent="0.2">
      <c r="Q355" s="141"/>
      <c r="T355" s="141"/>
      <c r="U355" s="162"/>
      <c r="X355" s="183" t="str">
        <f t="shared" si="12"/>
        <v>1D</v>
      </c>
      <c r="Y355" s="181">
        <f>_xll.qlCalendarAdvance(Calendar,Y354,X355,"f",FALSE)</f>
        <v>42384</v>
      </c>
      <c r="Z355" s="184">
        <f>_xll.qlCalendarAdvance(Calendar,Y355,NDays&amp;"D")</f>
        <v>42384</v>
      </c>
      <c r="AA355" s="185">
        <v>2.9661116074132427E-2</v>
      </c>
      <c r="AB355" s="182">
        <v>2.9076579875421119E-2</v>
      </c>
    </row>
    <row r="356" spans="17:28" x14ac:dyDescent="0.2">
      <c r="Q356" s="141"/>
      <c r="T356" s="141"/>
      <c r="U356" s="162"/>
      <c r="X356" s="183" t="str">
        <f t="shared" si="12"/>
        <v>1D</v>
      </c>
      <c r="Y356" s="181">
        <f>_xll.qlCalendarAdvance(Calendar,Y355,X356,"f",FALSE)</f>
        <v>42387</v>
      </c>
      <c r="Z356" s="184">
        <f>_xll.qlCalendarAdvance(Calendar,Y356,NDays&amp;"D")</f>
        <v>42387</v>
      </c>
      <c r="AA356" s="185">
        <v>2.9693815903188248E-2</v>
      </c>
      <c r="AB356" s="182">
        <v>2.9096268452791785E-2</v>
      </c>
    </row>
    <row r="357" spans="17:28" x14ac:dyDescent="0.2">
      <c r="Q357" s="141"/>
      <c r="T357" s="141"/>
      <c r="U357" s="162"/>
      <c r="X357" s="183" t="str">
        <f t="shared" si="12"/>
        <v>1D</v>
      </c>
      <c r="Y357" s="181">
        <f>_xll.qlCalendarAdvance(Calendar,Y356,X357,"f",FALSE)</f>
        <v>42388</v>
      </c>
      <c r="Z357" s="184">
        <f>_xll.qlCalendarAdvance(Calendar,Y357,NDays&amp;"D")</f>
        <v>42388</v>
      </c>
      <c r="AA357" s="185">
        <v>2.9704707717090627E-2</v>
      </c>
      <c r="AB357" s="182">
        <v>2.910726396183283E-2</v>
      </c>
    </row>
    <row r="358" spans="17:28" x14ac:dyDescent="0.2">
      <c r="Q358" s="141"/>
      <c r="T358" s="141"/>
      <c r="U358" s="162"/>
      <c r="X358" s="183" t="str">
        <f t="shared" si="12"/>
        <v>1D</v>
      </c>
      <c r="Y358" s="181">
        <f>_xll.qlCalendarAdvance(Calendar,Y357,X358,"f",FALSE)</f>
        <v>42389</v>
      </c>
      <c r="Z358" s="184">
        <f>_xll.qlCalendarAdvance(Calendar,Y358,NDays&amp;"D")</f>
        <v>42389</v>
      </c>
      <c r="AA358" s="185">
        <v>2.9715595466380414E-2</v>
      </c>
      <c r="AB358" s="182">
        <v>2.9118255407051263E-2</v>
      </c>
    </row>
    <row r="359" spans="17:28" x14ac:dyDescent="0.2">
      <c r="Q359" s="141"/>
      <c r="T359" s="141"/>
      <c r="U359" s="162"/>
      <c r="X359" s="183" t="str">
        <f t="shared" si="12"/>
        <v>1D</v>
      </c>
      <c r="Y359" s="181">
        <f>_xll.qlCalendarAdvance(Calendar,Y358,X359,"f",FALSE)</f>
        <v>42390</v>
      </c>
      <c r="Z359" s="184">
        <f>_xll.qlCalendarAdvance(Calendar,Y359,NDays&amp;"D")</f>
        <v>42390</v>
      </c>
      <c r="AA359" s="185">
        <v>2.972647915102377E-2</v>
      </c>
      <c r="AB359" s="182">
        <v>2.9129242788366039E-2</v>
      </c>
    </row>
    <row r="360" spans="17:28" x14ac:dyDescent="0.2">
      <c r="Q360" s="141"/>
      <c r="T360" s="141"/>
      <c r="U360" s="162"/>
      <c r="X360" s="183" t="str">
        <f t="shared" si="12"/>
        <v>1D</v>
      </c>
      <c r="Y360" s="181">
        <f>_xll.qlCalendarAdvance(Calendar,Y359,X360,"f",FALSE)</f>
        <v>42391</v>
      </c>
      <c r="Z360" s="184">
        <f>_xll.qlCalendarAdvance(Calendar,Y360,NDays&amp;"D")</f>
        <v>42391</v>
      </c>
      <c r="AA360" s="185">
        <v>2.9737358770988629E-2</v>
      </c>
      <c r="AB360" s="182">
        <v>2.9153532265923102E-2</v>
      </c>
    </row>
    <row r="361" spans="17:28" x14ac:dyDescent="0.2">
      <c r="Q361" s="141"/>
      <c r="T361" s="141"/>
      <c r="U361" s="162"/>
      <c r="X361" s="183" t="str">
        <f t="shared" si="12"/>
        <v>1D</v>
      </c>
      <c r="Y361" s="181">
        <f>_xll.qlCalendarAdvance(Calendar,Y360,X361,"f",FALSE)</f>
        <v>42394</v>
      </c>
      <c r="Z361" s="184">
        <f>_xll.qlCalendarAdvance(Calendar,Y361,NDays&amp;"D")</f>
        <v>42394</v>
      </c>
      <c r="AA361" s="185">
        <v>2.9776585736208224E-2</v>
      </c>
      <c r="AB361" s="182">
        <v>2.9179801497573599E-2</v>
      </c>
    </row>
    <row r="362" spans="17:28" x14ac:dyDescent="0.2">
      <c r="Q362" s="141"/>
      <c r="T362" s="141"/>
      <c r="U362" s="162"/>
      <c r="X362" s="183" t="str">
        <f t="shared" si="12"/>
        <v>1D</v>
      </c>
      <c r="Y362" s="181">
        <f>_xll.qlCalendarAdvance(Calendar,Y361,X362,"f",FALSE)</f>
        <v>42396</v>
      </c>
      <c r="Z362" s="184">
        <f>_xll.qlCalendarAdvance(Calendar,Y362,NDays&amp;"D")</f>
        <v>42396</v>
      </c>
      <c r="AA362" s="185">
        <v>2.9791695899475005E-2</v>
      </c>
      <c r="AB362" s="182">
        <v>2.919508173541252E-2</v>
      </c>
    </row>
    <row r="363" spans="17:28" x14ac:dyDescent="0.2">
      <c r="Q363" s="141"/>
      <c r="T363" s="141"/>
      <c r="U363" s="162"/>
      <c r="X363" s="183" t="str">
        <f t="shared" si="12"/>
        <v>1D</v>
      </c>
      <c r="Y363" s="181">
        <f>_xll.qlCalendarAdvance(Calendar,Y362,X363,"f",FALSE)</f>
        <v>42397</v>
      </c>
      <c r="Z363" s="184">
        <f>_xll.qlCalendarAdvance(Calendar,Y363,NDays&amp;"D")</f>
        <v>42397</v>
      </c>
      <c r="AA363" s="185">
        <v>2.9802551130673316E-2</v>
      </c>
      <c r="AB363" s="182">
        <v>2.9206040669725875E-2</v>
      </c>
    </row>
    <row r="364" spans="17:28" x14ac:dyDescent="0.2">
      <c r="Q364" s="141"/>
      <c r="T364" s="141"/>
      <c r="U364" s="162"/>
      <c r="X364" s="183" t="str">
        <f t="shared" si="12"/>
        <v>1D</v>
      </c>
      <c r="Y364" s="181">
        <f>_xll.qlCalendarAdvance(Calendar,Y363,X364,"f",FALSE)</f>
        <v>42398</v>
      </c>
      <c r="Z364" s="184">
        <f>_xll.qlCalendarAdvance(Calendar,Y364,NDays&amp;"D")</f>
        <v>42398</v>
      </c>
      <c r="AA364" s="185">
        <v>2.9813402296961566E-2</v>
      </c>
      <c r="AB364" s="182">
        <v>2.9230285527847382E-2</v>
      </c>
    </row>
    <row r="365" spans="17:28" x14ac:dyDescent="0.2">
      <c r="Q365" s="141"/>
      <c r="T365" s="141"/>
      <c r="U365" s="162"/>
      <c r="X365" s="183" t="str">
        <f t="shared" si="12"/>
        <v>1D</v>
      </c>
      <c r="Y365" s="181">
        <f>_xll.qlCalendarAdvance(Calendar,Y364,X365,"f",FALSE)</f>
        <v>42401</v>
      </c>
      <c r="Z365" s="184">
        <f>_xll.qlCalendarAdvance(Calendar,Y365,NDays&amp;"D")</f>
        <v>42401</v>
      </c>
      <c r="AA365" s="185">
        <v>2.9845931406042688E-2</v>
      </c>
      <c r="AB365" s="182">
        <v>2.9249835768428989E-2</v>
      </c>
    </row>
    <row r="366" spans="17:28" x14ac:dyDescent="0.2">
      <c r="Q366" s="141"/>
      <c r="T366" s="141"/>
      <c r="U366" s="162"/>
      <c r="X366" s="183" t="str">
        <f t="shared" si="12"/>
        <v>1D</v>
      </c>
      <c r="Y366" s="181">
        <f>_xll.qlCalendarAdvance(Calendar,Y365,X366,"f",FALSE)</f>
        <v>42402</v>
      </c>
      <c r="Z366" s="184">
        <f>_xll.qlCalendarAdvance(Calendar,Y366,NDays&amp;"D")</f>
        <v>42402</v>
      </c>
      <c r="AA366" s="185">
        <v>2.9850162602264845E-2</v>
      </c>
      <c r="AB366" s="182">
        <v>2.9260774383386146E-2</v>
      </c>
    </row>
    <row r="367" spans="17:28" x14ac:dyDescent="0.2">
      <c r="Q367" s="141"/>
      <c r="T367" s="141"/>
      <c r="U367" s="162"/>
      <c r="X367" s="183" t="str">
        <f t="shared" si="12"/>
        <v>1D</v>
      </c>
      <c r="Y367" s="181">
        <f>_xll.qlCalendarAdvance(Calendar,Y366,X367,"f",FALSE)</f>
        <v>42403</v>
      </c>
      <c r="Z367" s="184">
        <f>_xll.qlCalendarAdvance(Calendar,Y367,NDays&amp;"D")</f>
        <v>42403</v>
      </c>
      <c r="AA367" s="185">
        <v>2.9860994593331126E-2</v>
      </c>
      <c r="AB367" s="182">
        <v>2.9271708934601737E-2</v>
      </c>
    </row>
    <row r="368" spans="17:28" x14ac:dyDescent="0.2">
      <c r="Q368" s="141"/>
      <c r="T368" s="141"/>
      <c r="U368" s="162"/>
      <c r="X368" s="183" t="str">
        <f t="shared" si="12"/>
        <v>1D</v>
      </c>
      <c r="Y368" s="181">
        <f>_xll.qlCalendarAdvance(Calendar,Y367,X368,"f",FALSE)</f>
        <v>42404</v>
      </c>
      <c r="Z368" s="184">
        <f>_xll.qlCalendarAdvance(Calendar,Y368,NDays&amp;"D")</f>
        <v>42404</v>
      </c>
      <c r="AA368" s="185">
        <v>2.9871822519318577E-2</v>
      </c>
      <c r="AB368" s="182">
        <v>2.9282639421832624E-2</v>
      </c>
    </row>
    <row r="369" spans="17:28" x14ac:dyDescent="0.2">
      <c r="Q369" s="141"/>
      <c r="T369" s="141"/>
      <c r="U369" s="162"/>
      <c r="X369" s="183" t="str">
        <f t="shared" si="12"/>
        <v>1D</v>
      </c>
      <c r="Y369" s="181">
        <f>_xll.qlCalendarAdvance(Calendar,Y368,X369,"f",FALSE)</f>
        <v>42405</v>
      </c>
      <c r="Z369" s="184">
        <f>_xll.qlCalendarAdvance(Calendar,Y369,NDays&amp;"D")</f>
        <v>42405</v>
      </c>
      <c r="AA369" s="185">
        <v>2.9882646380195679E-2</v>
      </c>
      <c r="AB369" s="182">
        <v>2.9306839660842764E-2</v>
      </c>
    </row>
    <row r="370" spans="17:28" x14ac:dyDescent="0.2">
      <c r="Q370" s="141"/>
      <c r="T370" s="141"/>
      <c r="U370" s="162"/>
      <c r="X370" s="183" t="str">
        <f t="shared" si="12"/>
        <v>1D</v>
      </c>
      <c r="Y370" s="181">
        <f>_xll.qlCalendarAdvance(Calendar,Y369,X370,"f",FALSE)</f>
        <v>42408</v>
      </c>
      <c r="Z370" s="184">
        <f>_xll.qlCalendarAdvance(Calendar,Y370,NDays&amp;"D")</f>
        <v>42408</v>
      </c>
      <c r="AA370" s="185">
        <v>2.9921690382588528E-2</v>
      </c>
      <c r="AB370" s="182">
        <v>2.9326320732367961E-2</v>
      </c>
    </row>
    <row r="371" spans="17:28" x14ac:dyDescent="0.2">
      <c r="Q371" s="141"/>
      <c r="T371" s="141"/>
      <c r="U371" s="162"/>
      <c r="X371" s="183" t="str">
        <f t="shared" si="12"/>
        <v>1D</v>
      </c>
      <c r="Y371" s="181">
        <f>_xll.qlCalendarAdvance(Calendar,Y370,X371,"f",FALSE)</f>
        <v>42409</v>
      </c>
      <c r="Z371" s="184">
        <f>_xll.qlCalendarAdvance(Calendar,Y371,NDays&amp;"D")</f>
        <v>42409</v>
      </c>
      <c r="AA371" s="185">
        <v>2.9925901171948651E-2</v>
      </c>
      <c r="AB371" s="182">
        <v>2.9337230900323696E-2</v>
      </c>
    </row>
    <row r="372" spans="17:28" x14ac:dyDescent="0.2">
      <c r="Q372" s="141"/>
      <c r="T372" s="141"/>
      <c r="U372" s="162"/>
      <c r="X372" s="183" t="str">
        <f t="shared" si="12"/>
        <v>1D</v>
      </c>
      <c r="Y372" s="181">
        <f>_xll.qlCalendarAdvance(Calendar,Y371,X372,"f",FALSE)</f>
        <v>42410</v>
      </c>
      <c r="Z372" s="184">
        <f>_xll.qlCalendarAdvance(Calendar,Y372,NDays&amp;"D")</f>
        <v>42410</v>
      </c>
      <c r="AA372" s="185">
        <v>2.9936704706786839E-2</v>
      </c>
      <c r="AB372" s="182">
        <v>2.9348137004375774E-2</v>
      </c>
    </row>
    <row r="373" spans="17:28" x14ac:dyDescent="0.2">
      <c r="Q373" s="141"/>
      <c r="T373" s="141"/>
      <c r="U373" s="162"/>
      <c r="X373" s="183" t="str">
        <f t="shared" si="12"/>
        <v>1D</v>
      </c>
      <c r="Y373" s="181">
        <f>_xll.qlCalendarAdvance(Calendar,Y372,X373,"f",FALSE)</f>
        <v>42411</v>
      </c>
      <c r="Z373" s="184">
        <f>_xll.qlCalendarAdvance(Calendar,Y373,NDays&amp;"D")</f>
        <v>42411</v>
      </c>
      <c r="AA373" s="185">
        <v>2.9947504176319271E-2</v>
      </c>
      <c r="AB373" s="182">
        <v>2.935903904460524E-2</v>
      </c>
    </row>
    <row r="374" spans="17:28" x14ac:dyDescent="0.2">
      <c r="Q374" s="141"/>
      <c r="T374" s="141"/>
      <c r="U374" s="162"/>
      <c r="X374" s="183" t="str">
        <f t="shared" si="12"/>
        <v>1D</v>
      </c>
      <c r="Y374" s="181">
        <f>_xll.qlCalendarAdvance(Calendar,Y373,X374,"f",FALSE)</f>
        <v>42412</v>
      </c>
      <c r="Z374" s="184">
        <f>_xll.qlCalendarAdvance(Calendar,Y374,NDays&amp;"D")</f>
        <v>42412</v>
      </c>
      <c r="AA374" s="185">
        <v>2.9958299580513523E-2</v>
      </c>
      <c r="AB374" s="182">
        <v>2.9383194664558042E-2</v>
      </c>
    </row>
    <row r="375" spans="17:28" x14ac:dyDescent="0.2">
      <c r="Q375" s="141"/>
      <c r="T375" s="141"/>
      <c r="U375" s="162"/>
      <c r="X375" s="183" t="str">
        <f t="shared" si="12"/>
        <v>1D</v>
      </c>
      <c r="Y375" s="181">
        <f>_xll.qlCalendarAdvance(Calendar,Y374,X375,"f",FALSE)</f>
        <v>42415</v>
      </c>
      <c r="Z375" s="184">
        <f>_xll.qlCalendarAdvance(Calendar,Y375,NDays&amp;"D")</f>
        <v>42415</v>
      </c>
      <c r="AA375" s="185">
        <v>2.999725016086191E-2</v>
      </c>
      <c r="AB375" s="182">
        <v>2.9402606566891754E-2</v>
      </c>
    </row>
    <row r="376" spans="17:28" x14ac:dyDescent="0.2">
      <c r="Q376" s="141"/>
      <c r="T376" s="141"/>
      <c r="U376" s="162"/>
      <c r="X376" s="183" t="str">
        <f t="shared" si="12"/>
        <v>1D</v>
      </c>
      <c r="Y376" s="181">
        <f>_xll.qlCalendarAdvance(Calendar,Y375,X376,"f",FALSE)</f>
        <v>42416</v>
      </c>
      <c r="Z376" s="184">
        <f>_xll.qlCalendarAdvance(Calendar,Y376,NDays&amp;"D")</f>
        <v>42416</v>
      </c>
      <c r="AA376" s="185">
        <v>3.0001440543268504E-2</v>
      </c>
      <c r="AB376" s="182">
        <v>2.9413488287765022E-2</v>
      </c>
    </row>
    <row r="377" spans="17:28" x14ac:dyDescent="0.2">
      <c r="Q377" s="141"/>
      <c r="T377" s="141"/>
      <c r="U377" s="162"/>
      <c r="X377" s="183" t="str">
        <f t="shared" si="12"/>
        <v>1D</v>
      </c>
      <c r="Y377" s="181">
        <f>_xll.qlCalendarAdvance(Calendar,Y376,X377,"f",FALSE)</f>
        <v>42417</v>
      </c>
      <c r="Z377" s="184">
        <f>_xll.qlCalendarAdvance(Calendar,Y377,NDays&amp;"D")</f>
        <v>42417</v>
      </c>
      <c r="AA377" s="185">
        <v>3.0012215620290095E-2</v>
      </c>
      <c r="AB377" s="182">
        <v>2.9424365944815678E-2</v>
      </c>
    </row>
    <row r="378" spans="17:28" x14ac:dyDescent="0.2">
      <c r="Q378" s="141"/>
      <c r="T378" s="141"/>
      <c r="U378" s="162"/>
      <c r="X378" s="183" t="str">
        <f t="shared" si="12"/>
        <v>1D</v>
      </c>
      <c r="Y378" s="181">
        <f>_xll.qlCalendarAdvance(Calendar,Y377,X378,"f",FALSE)</f>
        <v>42418</v>
      </c>
      <c r="Z378" s="184">
        <f>_xll.qlCalendarAdvance(Calendar,Y378,NDays&amp;"D")</f>
        <v>42418</v>
      </c>
      <c r="AA378" s="185">
        <v>3.0022986631778999E-2</v>
      </c>
      <c r="AB378" s="182">
        <v>2.9435239537962676E-2</v>
      </c>
    </row>
    <row r="379" spans="17:28" x14ac:dyDescent="0.2">
      <c r="Q379" s="141"/>
      <c r="T379" s="141"/>
      <c r="U379" s="162"/>
      <c r="X379" s="183" t="str">
        <f t="shared" si="12"/>
        <v>1D</v>
      </c>
      <c r="Y379" s="181">
        <f>_xll.qlCalendarAdvance(Calendar,Y378,X379,"f",FALSE)</f>
        <v>42419</v>
      </c>
      <c r="Z379" s="184">
        <f>_xll.qlCalendarAdvance(Calendar,Y379,NDays&amp;"D")</f>
        <v>42419</v>
      </c>
      <c r="AA379" s="185">
        <v>3.0033753577704599E-2</v>
      </c>
      <c r="AB379" s="182">
        <v>2.9459350538533956E-2</v>
      </c>
    </row>
    <row r="380" spans="17:28" x14ac:dyDescent="0.2">
      <c r="Q380" s="141"/>
      <c r="T380" s="141"/>
      <c r="U380" s="162"/>
      <c r="X380" s="183" t="str">
        <f t="shared" si="12"/>
        <v>1D</v>
      </c>
      <c r="Y380" s="181">
        <f>_xll.qlCalendarAdvance(Calendar,Y379,X380,"f",FALSE)</f>
        <v>42422</v>
      </c>
      <c r="Z380" s="184">
        <f>_xll.qlCalendarAdvance(Calendar,Y380,NDays&amp;"D")</f>
        <v>42422</v>
      </c>
      <c r="AA380" s="185">
        <v>3.0072610729634811E-2</v>
      </c>
      <c r="AB380" s="182">
        <v>2.9478693271919321E-2</v>
      </c>
    </row>
    <row r="381" spans="17:28" x14ac:dyDescent="0.2">
      <c r="Q381" s="141"/>
      <c r="T381" s="141"/>
      <c r="U381" s="162"/>
      <c r="X381" s="183" t="str">
        <f t="shared" si="12"/>
        <v>1D</v>
      </c>
      <c r="Y381" s="181">
        <f>_xll.qlCalendarAdvance(Calendar,Y380,X381,"f",FALSE)</f>
        <v>42423</v>
      </c>
      <c r="Z381" s="184">
        <f>_xll.qlCalendarAdvance(Calendar,Y381,NDays&amp;"D")</f>
        <v>42423</v>
      </c>
      <c r="AA381" s="185">
        <v>3.0076780705120161E-2</v>
      </c>
      <c r="AB381" s="182">
        <v>2.9489546545710121E-2</v>
      </c>
    </row>
    <row r="382" spans="17:28" x14ac:dyDescent="0.2">
      <c r="Q382" s="141"/>
      <c r="T382" s="141"/>
      <c r="U382" s="162"/>
      <c r="X382" s="183" t="str">
        <f t="shared" si="12"/>
        <v>1D</v>
      </c>
      <c r="Y382" s="181">
        <f>_xll.qlCalendarAdvance(Calendar,Y381,X382,"f",FALSE)</f>
        <v>42424</v>
      </c>
      <c r="Z382" s="184">
        <f>_xll.qlCalendarAdvance(Calendar,Y382,NDays&amp;"D")</f>
        <v>42424</v>
      </c>
      <c r="AA382" s="185">
        <v>3.0087527322742055E-2</v>
      </c>
      <c r="AB382" s="182">
        <v>2.950039575567831E-2</v>
      </c>
    </row>
    <row r="383" spans="17:28" x14ac:dyDescent="0.2">
      <c r="Q383" s="141"/>
      <c r="T383" s="141"/>
      <c r="U383" s="162"/>
      <c r="X383" s="183" t="str">
        <f t="shared" si="12"/>
        <v>1D</v>
      </c>
      <c r="Y383" s="181">
        <f>_xll.qlCalendarAdvance(Calendar,Y382,X383,"f",FALSE)</f>
        <v>42425</v>
      </c>
      <c r="Z383" s="184">
        <f>_xll.qlCalendarAdvance(Calendar,Y383,NDays&amp;"D")</f>
        <v>42425</v>
      </c>
      <c r="AA383" s="185">
        <v>3.0098269874605229E-2</v>
      </c>
      <c r="AB383" s="182">
        <v>2.9511240901742841E-2</v>
      </c>
    </row>
    <row r="384" spans="17:28" x14ac:dyDescent="0.2">
      <c r="Q384" s="141"/>
      <c r="T384" s="141"/>
      <c r="U384" s="162"/>
      <c r="X384" s="183" t="str">
        <f t="shared" si="12"/>
        <v>1D</v>
      </c>
      <c r="Y384" s="181">
        <f>_xll.qlCalendarAdvance(Calendar,Y383,X384,"f",FALSE)</f>
        <v>42426</v>
      </c>
      <c r="Z384" s="184">
        <f>_xll.qlCalendarAdvance(Calendar,Y384,NDays&amp;"D")</f>
        <v>42426</v>
      </c>
      <c r="AA384" s="185">
        <v>3.0109008360679968E-2</v>
      </c>
      <c r="AB384" s="182">
        <v>2.9535307282473337E-2</v>
      </c>
    </row>
    <row r="385" spans="17:28" x14ac:dyDescent="0.2">
      <c r="Q385" s="141"/>
      <c r="T385" s="141"/>
      <c r="U385" s="162"/>
      <c r="X385" s="183" t="str">
        <f t="shared" si="12"/>
        <v>1D</v>
      </c>
      <c r="Y385" s="181">
        <f>_xll.qlCalendarAdvance(Calendar,Y384,X385,"f",FALSE)</f>
        <v>42429</v>
      </c>
      <c r="Z385" s="184">
        <f>_xll.qlCalendarAdvance(Calendar,Y385,NDays&amp;"D")</f>
        <v>42429</v>
      </c>
      <c r="AA385" s="185">
        <v>3.0154344319252277E-2</v>
      </c>
      <c r="AB385" s="182">
        <v>2.955458084728857E-2</v>
      </c>
    </row>
    <row r="386" spans="17:28" x14ac:dyDescent="0.2">
      <c r="Q386" s="141"/>
      <c r="T386" s="141"/>
      <c r="U386" s="162"/>
      <c r="X386" s="183" t="str">
        <f t="shared" si="12"/>
        <v>1D</v>
      </c>
      <c r="Y386" s="181">
        <f>_xll.qlCalendarAdvance(Calendar,Y385,X386,"f",FALSE)</f>
        <v>42430</v>
      </c>
      <c r="Z386" s="184">
        <f>_xll.qlCalendarAdvance(Calendar,Y386,NDays&amp;"D")</f>
        <v>42430</v>
      </c>
      <c r="AA386" s="185">
        <v>3.016506424044671E-2</v>
      </c>
      <c r="AB386" s="182">
        <v>2.9565405674077949E-2</v>
      </c>
    </row>
    <row r="387" spans="17:28" x14ac:dyDescent="0.2">
      <c r="Q387" s="141"/>
      <c r="T387" s="141"/>
      <c r="U387" s="162"/>
      <c r="X387" s="183" t="str">
        <f t="shared" si="12"/>
        <v>1D</v>
      </c>
      <c r="Y387" s="181">
        <f>_xll.qlCalendarAdvance(Calendar,Y386,X387,"f",FALSE)</f>
        <v>42431</v>
      </c>
      <c r="Z387" s="184">
        <f>_xll.qlCalendarAdvance(Calendar,Y387,NDays&amp;"D")</f>
        <v>42431</v>
      </c>
      <c r="AA387" s="185">
        <v>3.0175780095612659E-2</v>
      </c>
      <c r="AB387" s="182">
        <v>2.9576226436882624E-2</v>
      </c>
    </row>
    <row r="388" spans="17:28" x14ac:dyDescent="0.2">
      <c r="Q388" s="141"/>
      <c r="T388" s="141"/>
      <c r="U388" s="162"/>
      <c r="X388" s="183" t="str">
        <f t="shared" si="12"/>
        <v>1D</v>
      </c>
      <c r="Y388" s="181">
        <f>_xll.qlCalendarAdvance(Calendar,Y387,X388,"f",FALSE)</f>
        <v>42432</v>
      </c>
      <c r="Z388" s="184">
        <f>_xll.qlCalendarAdvance(Calendar,Y388,NDays&amp;"D")</f>
        <v>42432</v>
      </c>
      <c r="AA388" s="185">
        <v>3.0186491884718419E-2</v>
      </c>
      <c r="AB388" s="182">
        <v>2.9587043135783642E-2</v>
      </c>
    </row>
    <row r="389" spans="17:28" x14ac:dyDescent="0.2">
      <c r="Q389" s="141"/>
      <c r="T389" s="141"/>
      <c r="U389" s="162"/>
      <c r="X389" s="183" t="str">
        <f t="shared" si="12"/>
        <v>1D</v>
      </c>
      <c r="Y389" s="181">
        <f>_xll.qlCalendarAdvance(Calendar,Y388,X389,"f",FALSE)</f>
        <v>42433</v>
      </c>
      <c r="Z389" s="184">
        <f>_xll.qlCalendarAdvance(Calendar,Y389,NDays&amp;"D")</f>
        <v>42433</v>
      </c>
      <c r="AA389" s="185">
        <v>3.0210333648409308E-2</v>
      </c>
      <c r="AB389" s="182">
        <v>2.961106489597095E-2</v>
      </c>
    </row>
    <row r="390" spans="17:28" x14ac:dyDescent="0.2">
      <c r="Q390" s="141"/>
      <c r="T390" s="141"/>
      <c r="U390" s="162"/>
      <c r="X390" s="183" t="str">
        <f t="shared" si="12"/>
        <v>1D</v>
      </c>
      <c r="Y390" s="181">
        <f>_xll.qlCalendarAdvance(Calendar,Y389,X390,"f",FALSE)</f>
        <v>42436</v>
      </c>
      <c r="Z390" s="184">
        <f>_xll.qlCalendarAdvance(Calendar,Y390,NDays&amp;"D")</f>
        <v>42436</v>
      </c>
      <c r="AA390" s="185">
        <v>3.0229298379881451E-2</v>
      </c>
      <c r="AB390" s="182">
        <v>2.9630269292918454E-2</v>
      </c>
    </row>
    <row r="391" spans="17:28" x14ac:dyDescent="0.2">
      <c r="Q391" s="141"/>
      <c r="T391" s="141"/>
      <c r="U391" s="162"/>
      <c r="X391" s="183" t="str">
        <f t="shared" si="12"/>
        <v>1D</v>
      </c>
      <c r="Y391" s="181">
        <f>_xll.qlCalendarAdvance(Calendar,Y390,X391,"f",FALSE)</f>
        <v>42437</v>
      </c>
      <c r="Z391" s="184">
        <f>_xll.qlCalendarAdvance(Calendar,Y391,NDays&amp;"D")</f>
        <v>42437</v>
      </c>
      <c r="AA391" s="185">
        <v>3.0239989838192035E-2</v>
      </c>
      <c r="AB391" s="182">
        <v>2.964106567254432E-2</v>
      </c>
    </row>
    <row r="392" spans="17:28" x14ac:dyDescent="0.2">
      <c r="Q392" s="141"/>
      <c r="T392" s="141"/>
      <c r="U392" s="162"/>
      <c r="X392" s="183" t="str">
        <f t="shared" si="12"/>
        <v>1D</v>
      </c>
      <c r="Y392" s="181">
        <f>_xll.qlCalendarAdvance(Calendar,Y391,X392,"f",FALSE)</f>
        <v>42438</v>
      </c>
      <c r="Z392" s="184">
        <f>_xll.qlCalendarAdvance(Calendar,Y392,NDays&amp;"D")</f>
        <v>42438</v>
      </c>
      <c r="AA392" s="185">
        <v>3.0250677230245972E-2</v>
      </c>
      <c r="AB392" s="182">
        <v>2.9651857988185482E-2</v>
      </c>
    </row>
    <row r="393" spans="17:28" x14ac:dyDescent="0.2">
      <c r="Q393" s="141"/>
      <c r="T393" s="141"/>
      <c r="U393" s="162"/>
      <c r="X393" s="183" t="str">
        <f t="shared" si="12"/>
        <v>1D</v>
      </c>
      <c r="Y393" s="181">
        <f>_xll.qlCalendarAdvance(Calendar,Y392,X393,"f",FALSE)</f>
        <v>42439</v>
      </c>
      <c r="Z393" s="184">
        <f>_xll.qlCalendarAdvance(Calendar,Y393,NDays&amp;"D")</f>
        <v>42439</v>
      </c>
      <c r="AA393" s="185">
        <v>3.0261360556009795E-2</v>
      </c>
      <c r="AB393" s="182">
        <v>2.9662646240085078E-2</v>
      </c>
    </row>
    <row r="394" spans="17:28" x14ac:dyDescent="0.2">
      <c r="Q394" s="141"/>
      <c r="T394" s="141"/>
      <c r="U394" s="162"/>
      <c r="X394" s="183" t="str">
        <f t="shared" si="12"/>
        <v>1D</v>
      </c>
      <c r="Y394" s="181">
        <f>_xll.qlCalendarAdvance(Calendar,Y393,X394,"f",FALSE)</f>
        <v>42440</v>
      </c>
      <c r="Z394" s="184">
        <f>_xll.qlCalendarAdvance(Calendar,Y394,NDays&amp;"D")</f>
        <v>42440</v>
      </c>
      <c r="AA394" s="185">
        <v>3.0291716089650221E-2</v>
      </c>
      <c r="AB394" s="182">
        <v>2.9686623378648583E-2</v>
      </c>
    </row>
    <row r="395" spans="17:28" x14ac:dyDescent="0.2">
      <c r="Q395" s="141"/>
      <c r="T395" s="141"/>
      <c r="U395" s="162"/>
      <c r="X395" s="183" t="str">
        <f t="shared" si="12"/>
        <v>1D</v>
      </c>
      <c r="Y395" s="181">
        <f>_xll.qlCalendarAdvance(Calendar,Y394,X395,"f",FALSE)</f>
        <v>42443</v>
      </c>
      <c r="Z395" s="184">
        <f>_xll.qlCalendarAdvance(Calendar,Y395,NDays&amp;"D")</f>
        <v>42443</v>
      </c>
      <c r="AA395" s="185">
        <v>3.0304053195506712E-2</v>
      </c>
      <c r="AB395" s="182">
        <v>2.9705758608646882E-2</v>
      </c>
    </row>
    <row r="396" spans="17:28" x14ac:dyDescent="0.2">
      <c r="Q396" s="141"/>
      <c r="T396" s="141"/>
      <c r="U396" s="162"/>
      <c r="X396" s="183" t="str">
        <f t="shared" si="12"/>
        <v>1D</v>
      </c>
      <c r="Y396" s="181">
        <f>_xll.qlCalendarAdvance(Calendar,Y395,X396,"f",FALSE)</f>
        <v>42444</v>
      </c>
      <c r="Z396" s="184">
        <f>_xll.qlCalendarAdvance(Calendar,Y396,NDays&amp;"D")</f>
        <v>42444</v>
      </c>
      <c r="AA396" s="185">
        <v>3.0314716189329259E-2</v>
      </c>
      <c r="AB396" s="182">
        <v>2.9716526541109234E-2</v>
      </c>
    </row>
    <row r="397" spans="17:28" x14ac:dyDescent="0.2">
      <c r="Q397" s="141"/>
      <c r="T397" s="141"/>
      <c r="U397" s="162"/>
      <c r="X397" s="183" t="str">
        <f t="shared" si="12"/>
        <v>1D</v>
      </c>
      <c r="Y397" s="181">
        <f>_xll.qlCalendarAdvance(Calendar,Y396,X397,"f",FALSE)</f>
        <v>42445</v>
      </c>
      <c r="Z397" s="184">
        <f>_xll.qlCalendarAdvance(Calendar,Y397,NDays&amp;"D")</f>
        <v>42445</v>
      </c>
      <c r="AA397" s="185">
        <v>3.0325375116664353E-2</v>
      </c>
      <c r="AB397" s="182">
        <v>2.9727290409667928E-2</v>
      </c>
    </row>
    <row r="398" spans="17:28" x14ac:dyDescent="0.2">
      <c r="Q398" s="141"/>
      <c r="T398" s="141"/>
      <c r="U398" s="162"/>
      <c r="X398" s="183" t="str">
        <f t="shared" si="12"/>
        <v>1D</v>
      </c>
      <c r="Y398" s="181">
        <f>_xll.qlCalendarAdvance(Calendar,Y397,X398,"f",FALSE)</f>
        <v>42446</v>
      </c>
      <c r="Z398" s="184">
        <f>_xll.qlCalendarAdvance(Calendar,Y398,NDays&amp;"D")</f>
        <v>42446</v>
      </c>
      <c r="AA398" s="185">
        <v>3.0336029977480288E-2</v>
      </c>
      <c r="AB398" s="182">
        <v>2.9738050214322964E-2</v>
      </c>
    </row>
    <row r="399" spans="17:28" x14ac:dyDescent="0.2">
      <c r="Q399" s="141"/>
      <c r="T399" s="141"/>
      <c r="U399" s="162"/>
      <c r="X399" s="183" t="str">
        <f t="shared" si="12"/>
        <v>1D</v>
      </c>
      <c r="Y399" s="181">
        <f>_xll.qlCalendarAdvance(Calendar,Y398,X399,"f",FALSE)</f>
        <v>42447</v>
      </c>
      <c r="Z399" s="184">
        <f>_xll.qlCalendarAdvance(Calendar,Y399,NDays&amp;"D")</f>
        <v>42447</v>
      </c>
      <c r="AA399" s="185">
        <v>3.0359782582968457E-2</v>
      </c>
      <c r="AB399" s="182">
        <v>2.9761982730155033E-2</v>
      </c>
    </row>
    <row r="400" spans="17:28" x14ac:dyDescent="0.2">
      <c r="Q400" s="141"/>
      <c r="T400" s="141"/>
      <c r="U400" s="162"/>
      <c r="X400" s="183" t="str">
        <f t="shared" si="12"/>
        <v>1D</v>
      </c>
      <c r="Y400" s="181">
        <f>_xll.qlCalendarAdvance(Calendar,Y399,X400,"f",FALSE)</f>
        <v>42450</v>
      </c>
      <c r="Z400" s="184">
        <f>_xll.qlCalendarAdvance(Calendar,Y400,NDays&amp;"D")</f>
        <v>42450</v>
      </c>
      <c r="AA400" s="185">
        <v>3.0378608754900508E-2</v>
      </c>
      <c r="AB400" s="182">
        <v>2.9781048794392806E-2</v>
      </c>
    </row>
    <row r="401" spans="17:28" x14ac:dyDescent="0.2">
      <c r="Q401" s="141"/>
      <c r="T401" s="141"/>
      <c r="U401" s="162"/>
      <c r="X401" s="183" t="str">
        <f t="shared" si="12"/>
        <v>1D</v>
      </c>
      <c r="Y401" s="181">
        <f>_xll.qlCalendarAdvance(Calendar,Y400,X401,"f",FALSE)</f>
        <v>42451</v>
      </c>
      <c r="Z401" s="184">
        <f>_xll.qlCalendarAdvance(Calendar,Y401,NDays&amp;"D")</f>
        <v>42451</v>
      </c>
      <c r="AA401" s="185">
        <v>3.038924328263171E-2</v>
      </c>
      <c r="AB401" s="182">
        <v>2.9791788279691644E-2</v>
      </c>
    </row>
    <row r="402" spans="17:28" x14ac:dyDescent="0.2">
      <c r="Q402" s="141"/>
      <c r="T402" s="141"/>
      <c r="U402" s="162"/>
      <c r="X402" s="183" t="str">
        <f t="shared" si="12"/>
        <v>1D</v>
      </c>
      <c r="Y402" s="181">
        <f>_xll.qlCalendarAdvance(Calendar,Y401,X402,"f",FALSE)</f>
        <v>42452</v>
      </c>
      <c r="Z402" s="184">
        <f>_xll.qlCalendarAdvance(Calendar,Y402,NDays&amp;"D")</f>
        <v>42452</v>
      </c>
      <c r="AA402" s="185">
        <v>3.0399873743646416E-2</v>
      </c>
      <c r="AB402" s="182">
        <v>2.9802523701086825E-2</v>
      </c>
    </row>
    <row r="403" spans="17:28" x14ac:dyDescent="0.2">
      <c r="Q403" s="141"/>
      <c r="T403" s="141"/>
      <c r="U403" s="162"/>
      <c r="X403" s="183" t="str">
        <f t="shared" si="12"/>
        <v>1D</v>
      </c>
      <c r="Y403" s="181">
        <f>_xll.qlCalendarAdvance(Calendar,Y402,X403,"f",FALSE)</f>
        <v>42453</v>
      </c>
      <c r="Z403" s="184">
        <f>_xll.qlCalendarAdvance(Calendar,Y403,NDays&amp;"D")</f>
        <v>42453</v>
      </c>
      <c r="AA403" s="185">
        <v>3.0410500137915564E-2</v>
      </c>
      <c r="AB403" s="182">
        <v>2.9839579228366109E-2</v>
      </c>
    </row>
    <row r="404" spans="17:28" x14ac:dyDescent="0.2">
      <c r="Q404" s="141"/>
      <c r="T404" s="141"/>
      <c r="U404" s="162"/>
      <c r="X404" s="183" t="str">
        <f t="shared" si="12"/>
        <v>1D</v>
      </c>
      <c r="Y404" s="181">
        <f>_xll.qlCalendarAdvance(Calendar,Y403,X404,"f",FALSE)</f>
        <v>42458</v>
      </c>
      <c r="Z404" s="184">
        <f>_xll.qlCalendarAdvance(Calendar,Y404,NDays&amp;"D")</f>
        <v>42458</v>
      </c>
      <c r="AA404" s="185">
        <v>3.0463571106903547E-2</v>
      </c>
      <c r="AB404" s="182">
        <v>2.9866850888048413E-2</v>
      </c>
    </row>
    <row r="405" spans="17:28" x14ac:dyDescent="0.2">
      <c r="Q405" s="141"/>
      <c r="T405" s="141"/>
      <c r="U405" s="162"/>
      <c r="X405" s="183" t="str">
        <f t="shared" ref="X405:X468" si="13">X404</f>
        <v>1D</v>
      </c>
      <c r="Y405" s="181">
        <f>_xll.qlCalendarAdvance(Calendar,Y404,X405,"f",FALSE)</f>
        <v>42459</v>
      </c>
      <c r="Z405" s="184">
        <f>_xll.qlCalendarAdvance(Calendar,Y405,NDays&amp;"D")</f>
        <v>42459</v>
      </c>
      <c r="AA405" s="185">
        <v>3.0474173100002489E-2</v>
      </c>
      <c r="AB405" s="182">
        <v>2.987755786228008E-2</v>
      </c>
    </row>
    <row r="406" spans="17:28" x14ac:dyDescent="0.2">
      <c r="Q406" s="141"/>
      <c r="T406" s="141"/>
      <c r="U406" s="162"/>
      <c r="X406" s="183" t="str">
        <f t="shared" si="13"/>
        <v>1D</v>
      </c>
      <c r="Y406" s="181">
        <f>_xll.qlCalendarAdvance(Calendar,Y405,X406,"f",FALSE)</f>
        <v>42460</v>
      </c>
      <c r="Z406" s="184">
        <f>_xll.qlCalendarAdvance(Calendar,Y406,NDays&amp;"D")</f>
        <v>42460</v>
      </c>
      <c r="AA406" s="185">
        <v>3.0478234475202939E-2</v>
      </c>
      <c r="AB406" s="182">
        <v>2.9888260772689135E-2</v>
      </c>
    </row>
    <row r="407" spans="17:28" x14ac:dyDescent="0.2">
      <c r="Q407" s="141"/>
      <c r="T407" s="141"/>
      <c r="U407" s="162"/>
      <c r="X407" s="183" t="str">
        <f t="shared" si="13"/>
        <v>1D</v>
      </c>
      <c r="Y407" s="181">
        <f>_xll.qlCalendarAdvance(Calendar,Y406,X407,"f",FALSE)</f>
        <v>42461</v>
      </c>
      <c r="Z407" s="184">
        <f>_xll.qlCalendarAdvance(Calendar,Y407,NDays&amp;"D")</f>
        <v>42461</v>
      </c>
      <c r="AA407" s="185">
        <v>3.0488829486360496E-2</v>
      </c>
      <c r="AB407" s="182">
        <v>2.9912104038141527E-2</v>
      </c>
    </row>
    <row r="408" spans="17:28" x14ac:dyDescent="0.2">
      <c r="Q408" s="141"/>
      <c r="T408" s="141"/>
      <c r="U408" s="162"/>
      <c r="X408" s="183" t="str">
        <f t="shared" si="13"/>
        <v>1D</v>
      </c>
      <c r="Y408" s="181">
        <f>_xll.qlCalendarAdvance(Calendar,Y407,X408,"f",FALSE)</f>
        <v>42464</v>
      </c>
      <c r="Z408" s="184">
        <f>_xll.qlCalendarAdvance(Calendar,Y408,NDays&amp;"D")</f>
        <v>42464</v>
      </c>
      <c r="AA408" s="185">
        <v>3.0520590117758099E-2</v>
      </c>
      <c r="AB408" s="182">
        <v>2.9931031775288774E-2</v>
      </c>
    </row>
    <row r="409" spans="17:28" x14ac:dyDescent="0.2">
      <c r="Q409" s="141"/>
      <c r="T409" s="141"/>
      <c r="U409" s="162"/>
      <c r="X409" s="183" t="str">
        <f t="shared" si="13"/>
        <v>1D</v>
      </c>
      <c r="Y409" s="181">
        <f>_xll.qlCalendarAdvance(Calendar,Y408,X409,"f",FALSE)</f>
        <v>42465</v>
      </c>
      <c r="Z409" s="184">
        <f>_xll.qlCalendarAdvance(Calendar,Y409,NDays&amp;"D")</f>
        <v>42465</v>
      </c>
      <c r="AA409" s="185">
        <v>3.0531168860759333E-2</v>
      </c>
      <c r="AB409" s="182">
        <v>2.9941714366179539E-2</v>
      </c>
    </row>
    <row r="410" spans="17:28" x14ac:dyDescent="0.2">
      <c r="Q410" s="141"/>
      <c r="T410" s="141"/>
      <c r="U410" s="162"/>
      <c r="X410" s="183" t="str">
        <f t="shared" si="13"/>
        <v>1D</v>
      </c>
      <c r="Y410" s="181">
        <f>_xll.qlCalendarAdvance(Calendar,Y409,X410,"f",FALSE)</f>
        <v>42466</v>
      </c>
      <c r="Z410" s="184">
        <f>_xll.qlCalendarAdvance(Calendar,Y410,NDays&amp;"D")</f>
        <v>42466</v>
      </c>
      <c r="AA410" s="185">
        <v>3.0541743536641776E-2</v>
      </c>
      <c r="AB410" s="182">
        <v>2.9952392893247692E-2</v>
      </c>
    </row>
    <row r="411" spans="17:28" x14ac:dyDescent="0.2">
      <c r="Q411" s="141"/>
      <c r="T411" s="141"/>
      <c r="U411" s="162"/>
      <c r="X411" s="183" t="str">
        <f t="shared" si="13"/>
        <v>1D</v>
      </c>
      <c r="Y411" s="181">
        <f>_xll.qlCalendarAdvance(Calendar,Y410,X411,"f",FALSE)</f>
        <v>42467</v>
      </c>
      <c r="Z411" s="184">
        <f>_xll.qlCalendarAdvance(Calendar,Y411,NDays&amp;"D")</f>
        <v>42467</v>
      </c>
      <c r="AA411" s="185">
        <v>3.0552314145372478E-2</v>
      </c>
      <c r="AB411" s="182">
        <v>2.9963067356331141E-2</v>
      </c>
    </row>
    <row r="412" spans="17:28" x14ac:dyDescent="0.2">
      <c r="Q412" s="141"/>
      <c r="T412" s="141"/>
      <c r="U412" s="162"/>
      <c r="X412" s="183" t="str">
        <f t="shared" si="13"/>
        <v>1D</v>
      </c>
      <c r="Y412" s="181">
        <f>_xll.qlCalendarAdvance(Calendar,Y411,X412,"f",FALSE)</f>
        <v>42468</v>
      </c>
      <c r="Z412" s="184">
        <f>_xll.qlCalendarAdvance(Calendar,Y412,NDays&amp;"D")</f>
        <v>42468</v>
      </c>
      <c r="AA412" s="185">
        <v>3.0562880686920261E-2</v>
      </c>
      <c r="AB412" s="182">
        <v>2.9986865993892151E-2</v>
      </c>
    </row>
    <row r="413" spans="17:28" x14ac:dyDescent="0.2">
      <c r="Q413" s="141"/>
      <c r="T413" s="141"/>
      <c r="U413" s="162"/>
      <c r="X413" s="183" t="str">
        <f t="shared" si="13"/>
        <v>1D</v>
      </c>
      <c r="Y413" s="181">
        <f>_xll.qlCalendarAdvance(Calendar,Y412,X413,"f",FALSE)</f>
        <v>42471</v>
      </c>
      <c r="Z413" s="184">
        <f>_xll.qlCalendarAdvance(Calendar,Y413,NDays&amp;"D")</f>
        <v>42471</v>
      </c>
      <c r="AA413" s="185">
        <v>3.0594555908142831E-2</v>
      </c>
      <c r="AB413" s="182">
        <v>3.000572457019568E-2</v>
      </c>
    </row>
    <row r="414" spans="17:28" x14ac:dyDescent="0.2">
      <c r="Q414" s="141"/>
      <c r="T414" s="141"/>
      <c r="U414" s="162"/>
      <c r="X414" s="183" t="str">
        <f t="shared" si="13"/>
        <v>1D</v>
      </c>
      <c r="Y414" s="181">
        <f>_xll.qlCalendarAdvance(Calendar,Y413,X414,"f",FALSE)</f>
        <v>42472</v>
      </c>
      <c r="Z414" s="184">
        <f>_xll.qlCalendarAdvance(Calendar,Y414,NDays&amp;"D")</f>
        <v>42472</v>
      </c>
      <c r="AA414" s="185">
        <v>3.0605106180635659E-2</v>
      </c>
      <c r="AB414" s="182">
        <v>3.0016378713841885E-2</v>
      </c>
    </row>
    <row r="415" spans="17:28" x14ac:dyDescent="0.2">
      <c r="Q415" s="141"/>
      <c r="T415" s="141"/>
      <c r="U415" s="162"/>
      <c r="X415" s="183" t="str">
        <f t="shared" si="13"/>
        <v>1D</v>
      </c>
      <c r="Y415" s="181">
        <f>_xll.qlCalendarAdvance(Calendar,Y414,X415,"f",FALSE)</f>
        <v>42473</v>
      </c>
      <c r="Z415" s="184">
        <f>_xll.qlCalendarAdvance(Calendar,Y415,NDays&amp;"D")</f>
        <v>42473</v>
      </c>
      <c r="AA415" s="185">
        <v>3.0615652385786153E-2</v>
      </c>
      <c r="AB415" s="182">
        <v>3.0027028793665478E-2</v>
      </c>
    </row>
    <row r="416" spans="17:28" x14ac:dyDescent="0.2">
      <c r="Q416" s="141"/>
      <c r="T416" s="141"/>
      <c r="U416" s="162"/>
      <c r="X416" s="183" t="str">
        <f t="shared" si="13"/>
        <v>1D</v>
      </c>
      <c r="Y416" s="181">
        <f>_xll.qlCalendarAdvance(Calendar,Y415,X416,"f",FALSE)</f>
        <v>42474</v>
      </c>
      <c r="Z416" s="184">
        <f>_xll.qlCalendarAdvance(Calendar,Y416,NDays&amp;"D")</f>
        <v>42474</v>
      </c>
      <c r="AA416" s="185">
        <v>3.0626194523561356E-2</v>
      </c>
      <c r="AB416" s="182">
        <v>3.0037674809666459E-2</v>
      </c>
    </row>
    <row r="417" spans="17:28" x14ac:dyDescent="0.2">
      <c r="Q417" s="141"/>
      <c r="T417" s="141"/>
      <c r="U417" s="162"/>
      <c r="X417" s="183" t="str">
        <f t="shared" si="13"/>
        <v>1D</v>
      </c>
      <c r="Y417" s="181">
        <f>_xll.qlCalendarAdvance(Calendar,Y416,X417,"f",FALSE)</f>
        <v>42475</v>
      </c>
      <c r="Z417" s="184">
        <f>_xll.qlCalendarAdvance(Calendar,Y417,NDays&amp;"D")</f>
        <v>42475</v>
      </c>
      <c r="AA417" s="185">
        <v>3.0636732593929211E-2</v>
      </c>
      <c r="AB417" s="182">
        <v>3.0061428816985744E-2</v>
      </c>
    </row>
    <row r="418" spans="17:28" x14ac:dyDescent="0.2">
      <c r="Q418" s="141"/>
      <c r="T418" s="141"/>
      <c r="U418" s="162"/>
      <c r="X418" s="183" t="str">
        <f t="shared" si="13"/>
        <v>1D</v>
      </c>
      <c r="Y418" s="181">
        <f>_xll.qlCalendarAdvance(Calendar,Y417,X418,"f",FALSE)</f>
        <v>42478</v>
      </c>
      <c r="Z418" s="184">
        <f>_xll.qlCalendarAdvance(Calendar,Y418,NDays&amp;"D")</f>
        <v>42478</v>
      </c>
      <c r="AA418" s="185">
        <v>3.0668322400268042E-2</v>
      </c>
      <c r="AB418" s="182">
        <v>3.0080218234552758E-2</v>
      </c>
    </row>
    <row r="419" spans="17:28" x14ac:dyDescent="0.2">
      <c r="Q419" s="141"/>
      <c r="T419" s="141"/>
      <c r="U419" s="162"/>
      <c r="X419" s="183" t="str">
        <f t="shared" si="13"/>
        <v>1D</v>
      </c>
      <c r="Y419" s="181">
        <f>_xll.qlCalendarAdvance(Calendar,Y418,X419,"f",FALSE)</f>
        <v>42479</v>
      </c>
      <c r="Z419" s="184">
        <f>_xll.qlCalendarAdvance(Calendar,Y419,NDays&amp;"D")</f>
        <v>42479</v>
      </c>
      <c r="AA419" s="185">
        <v>3.0678844200686759E-2</v>
      </c>
      <c r="AB419" s="182">
        <v>3.0090843931035449E-2</v>
      </c>
    </row>
    <row r="420" spans="17:28" x14ac:dyDescent="0.2">
      <c r="Q420" s="141"/>
      <c r="T420" s="141"/>
      <c r="U420" s="162"/>
      <c r="X420" s="183" t="str">
        <f t="shared" si="13"/>
        <v>1D</v>
      </c>
      <c r="Y420" s="181">
        <f>_xll.qlCalendarAdvance(Calendar,Y419,X420,"f",FALSE)</f>
        <v>42480</v>
      </c>
      <c r="Z420" s="184">
        <f>_xll.qlCalendarAdvance(Calendar,Y420,NDays&amp;"D")</f>
        <v>42480</v>
      </c>
      <c r="AA420" s="185">
        <v>3.0689361933538703E-2</v>
      </c>
      <c r="AB420" s="182">
        <v>3.0101465563695529E-2</v>
      </c>
    </row>
    <row r="421" spans="17:28" x14ac:dyDescent="0.2">
      <c r="Q421" s="141"/>
      <c r="T421" s="141"/>
      <c r="U421" s="162"/>
      <c r="X421" s="183" t="str">
        <f t="shared" si="13"/>
        <v>1D</v>
      </c>
      <c r="Y421" s="181">
        <f>_xll.qlCalendarAdvance(Calendar,Y420,X421,"f",FALSE)</f>
        <v>42481</v>
      </c>
      <c r="Z421" s="184">
        <f>_xll.qlCalendarAdvance(Calendar,Y421,NDays&amp;"D")</f>
        <v>42481</v>
      </c>
      <c r="AA421" s="185">
        <v>3.0699875598790925E-2</v>
      </c>
      <c r="AB421" s="182">
        <v>3.0112083132370904E-2</v>
      </c>
    </row>
    <row r="422" spans="17:28" x14ac:dyDescent="0.2">
      <c r="Q422" s="141"/>
      <c r="T422" s="141"/>
      <c r="U422" s="162"/>
      <c r="X422" s="183" t="str">
        <f t="shared" si="13"/>
        <v>1D</v>
      </c>
      <c r="Y422" s="181">
        <f>_xll.qlCalendarAdvance(Calendar,Y421,X422,"f",FALSE)</f>
        <v>42482</v>
      </c>
      <c r="Z422" s="184">
        <f>_xll.qlCalendarAdvance(Calendar,Y422,NDays&amp;"D")</f>
        <v>42482</v>
      </c>
      <c r="AA422" s="185">
        <v>3.0710385196413139E-2</v>
      </c>
      <c r="AB422" s="182">
        <v>3.014233982610387E-2</v>
      </c>
    </row>
    <row r="423" spans="17:28" x14ac:dyDescent="0.2">
      <c r="Q423" s="141"/>
      <c r="T423" s="141"/>
      <c r="U423" s="162"/>
      <c r="X423" s="183" t="str">
        <f t="shared" si="13"/>
        <v>1D</v>
      </c>
      <c r="Y423" s="181">
        <f>_xll.qlCalendarAdvance(Calendar,Y422,X423,"f",FALSE)</f>
        <v>42486</v>
      </c>
      <c r="Z423" s="184">
        <f>_xll.qlCalendarAdvance(Calendar,Y423,NDays&amp;"D")</f>
        <v>42486</v>
      </c>
      <c r="AA423" s="185">
        <v>3.0752382909954461E-2</v>
      </c>
      <c r="AB423" s="182">
        <v>3.016511001759814E-2</v>
      </c>
    </row>
    <row r="424" spans="17:28" x14ac:dyDescent="0.2">
      <c r="Q424" s="141"/>
      <c r="T424" s="141"/>
      <c r="U424" s="162"/>
      <c r="X424" s="183" t="str">
        <f t="shared" si="13"/>
        <v>1D</v>
      </c>
      <c r="Y424" s="181">
        <f>_xll.qlCalendarAdvance(Calendar,Y423,X424,"f",FALSE)</f>
        <v>42487</v>
      </c>
      <c r="Z424" s="184">
        <f>_xll.qlCalendarAdvance(Calendar,Y424,NDays&amp;"D")</f>
        <v>42487</v>
      </c>
      <c r="AA424" s="185">
        <v>3.0762872168943932E-2</v>
      </c>
      <c r="AB424" s="182">
        <v>3.0175703202932613E-2</v>
      </c>
    </row>
    <row r="425" spans="17:28" x14ac:dyDescent="0.2">
      <c r="Q425" s="141"/>
      <c r="T425" s="141"/>
      <c r="U425" s="162"/>
      <c r="X425" s="183" t="str">
        <f t="shared" si="13"/>
        <v>1D</v>
      </c>
      <c r="Y425" s="181">
        <f>_xll.qlCalendarAdvance(Calendar,Y424,X425,"f",FALSE)</f>
        <v>42488</v>
      </c>
      <c r="Z425" s="184">
        <f>_xll.qlCalendarAdvance(Calendar,Y425,NDays&amp;"D")</f>
        <v>42488</v>
      </c>
      <c r="AA425" s="185">
        <v>3.0773357360112802E-2</v>
      </c>
      <c r="AB425" s="182">
        <v>3.0186292324444475E-2</v>
      </c>
    </row>
    <row r="426" spans="17:28" x14ac:dyDescent="0.2">
      <c r="Q426" s="141"/>
      <c r="T426" s="141"/>
      <c r="U426" s="162"/>
      <c r="X426" s="183" t="str">
        <f t="shared" si="13"/>
        <v>1D</v>
      </c>
      <c r="Y426" s="181">
        <f>_xll.qlCalendarAdvance(Calendar,Y425,X426,"f",FALSE)</f>
        <v>42489</v>
      </c>
      <c r="Z426" s="184">
        <f>_xll.qlCalendarAdvance(Calendar,Y426,NDays&amp;"D")</f>
        <v>42489</v>
      </c>
      <c r="AA426" s="185">
        <v>3.0783838483427233E-2</v>
      </c>
      <c r="AB426" s="182">
        <v>3.0209957063797036E-2</v>
      </c>
    </row>
    <row r="427" spans="17:28" x14ac:dyDescent="0.2">
      <c r="Q427" s="141"/>
      <c r="T427" s="141"/>
      <c r="U427" s="162"/>
      <c r="X427" s="183" t="str">
        <f t="shared" si="13"/>
        <v>1D</v>
      </c>
      <c r="Y427" s="181">
        <f>_xll.qlCalendarAdvance(Calendar,Y426,X427,"f",FALSE)</f>
        <v>42492</v>
      </c>
      <c r="Z427" s="184">
        <f>_xll.qlCalendarAdvance(Calendar,Y427,NDays&amp;"D")</f>
        <v>42492</v>
      </c>
      <c r="AA427" s="185">
        <v>3.0821757105251119E-2</v>
      </c>
      <c r="AB427" s="182">
        <v>3.0228608171374294E-2</v>
      </c>
    </row>
    <row r="428" spans="17:28" x14ac:dyDescent="0.2">
      <c r="Q428" s="141"/>
      <c r="T428" s="141"/>
      <c r="U428" s="162"/>
      <c r="X428" s="183" t="str">
        <f t="shared" si="13"/>
        <v>1D</v>
      </c>
      <c r="Y428" s="181">
        <f>_xll.qlCalendarAdvance(Calendar,Y427,X428,"f",FALSE)</f>
        <v>42493</v>
      </c>
      <c r="Z428" s="184">
        <f>_xll.qlCalendarAdvance(Calendar,Y428,NDays&amp;"D")</f>
        <v>42493</v>
      </c>
      <c r="AA428" s="185">
        <v>3.0832220803034379E-2</v>
      </c>
      <c r="AB428" s="182">
        <v>3.0239176973367865E-2</v>
      </c>
    </row>
    <row r="429" spans="17:28" x14ac:dyDescent="0.2">
      <c r="Q429" s="141"/>
      <c r="T429" s="141"/>
      <c r="U429" s="162"/>
      <c r="X429" s="183" t="str">
        <f t="shared" si="13"/>
        <v>1D</v>
      </c>
      <c r="Y429" s="181">
        <f>_xll.qlCalendarAdvance(Calendar,Y428,X429,"f",FALSE)</f>
        <v>42494</v>
      </c>
      <c r="Z429" s="184">
        <f>_xll.qlCalendarAdvance(Calendar,Y429,NDays&amp;"D")</f>
        <v>42494</v>
      </c>
      <c r="AA429" s="185">
        <v>3.0842680432745382E-2</v>
      </c>
      <c r="AB429" s="182">
        <v>3.0249741711457778E-2</v>
      </c>
    </row>
    <row r="430" spans="17:28" x14ac:dyDescent="0.2">
      <c r="Q430" s="141"/>
      <c r="T430" s="141"/>
      <c r="U430" s="162"/>
      <c r="X430" s="183" t="str">
        <f t="shared" si="13"/>
        <v>1D</v>
      </c>
      <c r="Y430" s="181">
        <f>_xll.qlCalendarAdvance(Calendar,Y429,X430,"f",FALSE)</f>
        <v>42495</v>
      </c>
      <c r="Z430" s="184">
        <f>_xll.qlCalendarAdvance(Calendar,Y430,NDays&amp;"D")</f>
        <v>42495</v>
      </c>
      <c r="AA430" s="185">
        <v>3.0853135994350654E-2</v>
      </c>
      <c r="AB430" s="182">
        <v>3.0260302385644033E-2</v>
      </c>
    </row>
    <row r="431" spans="17:28" x14ac:dyDescent="0.2">
      <c r="Q431" s="141"/>
      <c r="T431" s="141"/>
      <c r="U431" s="162"/>
      <c r="X431" s="183" t="str">
        <f t="shared" si="13"/>
        <v>1D</v>
      </c>
      <c r="Y431" s="181">
        <f>_xll.qlCalendarAdvance(Calendar,Y430,X431,"f",FALSE)</f>
        <v>42496</v>
      </c>
      <c r="Z431" s="184">
        <f>_xll.qlCalendarAdvance(Calendar,Y431,NDays&amp;"D")</f>
        <v>42496</v>
      </c>
      <c r="AA431" s="185">
        <v>3.0876576344111079E-2</v>
      </c>
      <c r="AB431" s="182">
        <v>3.0283922486704272E-2</v>
      </c>
    </row>
    <row r="432" spans="17:28" x14ac:dyDescent="0.2">
      <c r="Q432" s="141"/>
      <c r="T432" s="141"/>
      <c r="U432" s="162"/>
      <c r="X432" s="183" t="str">
        <f t="shared" si="13"/>
        <v>1D</v>
      </c>
      <c r="Y432" s="181">
        <f>_xll.qlCalendarAdvance(Calendar,Y431,X432,"f",FALSE)</f>
        <v>42499</v>
      </c>
      <c r="Z432" s="184">
        <f>_xll.qlCalendarAdvance(Calendar,Y432,NDays&amp;"D")</f>
        <v>42499</v>
      </c>
      <c r="AA432" s="185">
        <v>3.0894917559079277E-2</v>
      </c>
      <c r="AB432" s="182">
        <v>3.0302504443514566E-2</v>
      </c>
    </row>
    <row r="433" spans="17:28" x14ac:dyDescent="0.2">
      <c r="Q433" s="141"/>
      <c r="T433" s="141"/>
      <c r="U433" s="162"/>
      <c r="X433" s="183" t="str">
        <f t="shared" si="13"/>
        <v>1D</v>
      </c>
      <c r="Y433" s="181">
        <f>_xll.qlCalendarAdvance(Calendar,Y432,X433,"f",FALSE)</f>
        <v>42500</v>
      </c>
      <c r="Z433" s="184">
        <f>_xll.qlCalendarAdvance(Calendar,Y433,NDays&amp;"D")</f>
        <v>42500</v>
      </c>
      <c r="AA433" s="185">
        <v>3.0905352779678423E-2</v>
      </c>
      <c r="AB433" s="182">
        <v>3.0313044798263578E-2</v>
      </c>
    </row>
    <row r="434" spans="17:28" x14ac:dyDescent="0.2">
      <c r="Q434" s="141"/>
      <c r="T434" s="141"/>
      <c r="U434" s="162"/>
      <c r="X434" s="183" t="str">
        <f t="shared" si="13"/>
        <v>1D</v>
      </c>
      <c r="Y434" s="181">
        <f>_xll.qlCalendarAdvance(Calendar,Y433,X434,"f",FALSE)</f>
        <v>42501</v>
      </c>
      <c r="Z434" s="184">
        <f>_xll.qlCalendarAdvance(Calendar,Y434,NDays&amp;"D")</f>
        <v>42501</v>
      </c>
      <c r="AA434" s="185">
        <v>3.0915783931978913E-2</v>
      </c>
      <c r="AB434" s="182">
        <v>3.0323581089027885E-2</v>
      </c>
    </row>
    <row r="435" spans="17:28" x14ac:dyDescent="0.2">
      <c r="Q435" s="141"/>
      <c r="T435" s="141"/>
      <c r="U435" s="162"/>
      <c r="X435" s="183" t="str">
        <f t="shared" si="13"/>
        <v>1D</v>
      </c>
      <c r="Y435" s="181">
        <f>_xll.qlCalendarAdvance(Calendar,Y434,X435,"f",FALSE)</f>
        <v>42502</v>
      </c>
      <c r="Z435" s="184">
        <f>_xll.qlCalendarAdvance(Calendar,Y435,NDays&amp;"D")</f>
        <v>42502</v>
      </c>
      <c r="AA435" s="185">
        <v>3.0926211015950795E-2</v>
      </c>
      <c r="AB435" s="182">
        <v>3.033411331596958E-2</v>
      </c>
    </row>
    <row r="436" spans="17:28" x14ac:dyDescent="0.2">
      <c r="Q436" s="141"/>
      <c r="T436" s="141"/>
      <c r="U436" s="162"/>
      <c r="X436" s="183" t="str">
        <f t="shared" si="13"/>
        <v>1D</v>
      </c>
      <c r="Y436" s="181">
        <f>_xll.qlCalendarAdvance(Calendar,Y435,X436,"f",FALSE)</f>
        <v>42503</v>
      </c>
      <c r="Z436" s="184">
        <f>_xll.qlCalendarAdvance(Calendar,Y436,NDays&amp;"D")</f>
        <v>42503</v>
      </c>
      <c r="AA436" s="185">
        <v>3.0949606728976006E-2</v>
      </c>
      <c r="AB436" s="182">
        <v>3.0357688775549677E-2</v>
      </c>
    </row>
    <row r="437" spans="17:28" x14ac:dyDescent="0.2">
      <c r="Q437" s="141"/>
      <c r="T437" s="141"/>
      <c r="U437" s="162"/>
      <c r="X437" s="183" t="str">
        <f t="shared" si="13"/>
        <v>1D</v>
      </c>
      <c r="Y437" s="181">
        <f>_xll.qlCalendarAdvance(Calendar,Y436,X437,"f",FALSE)</f>
        <v>42506</v>
      </c>
      <c r="Z437" s="184">
        <f>_xll.qlCalendarAdvance(Calendar,Y437,NDays&amp;"D")</f>
        <v>42506</v>
      </c>
      <c r="AA437" s="185">
        <v>3.0967878667907386E-2</v>
      </c>
      <c r="AB437" s="182">
        <v>3.037620158469978E-2</v>
      </c>
    </row>
    <row r="438" spans="17:28" x14ac:dyDescent="0.2">
      <c r="Q438" s="141"/>
      <c r="T438" s="141"/>
      <c r="U438" s="162"/>
      <c r="X438" s="183" t="str">
        <f t="shared" si="13"/>
        <v>1D</v>
      </c>
      <c r="Y438" s="181">
        <f>_xll.qlCalendarAdvance(Calendar,Y437,X438,"f",FALSE)</f>
        <v>42507</v>
      </c>
      <c r="Z438" s="184">
        <f>_xll.qlCalendarAdvance(Calendar,Y438,NDays&amp;"D")</f>
        <v>42507</v>
      </c>
      <c r="AA438" s="185">
        <v>3.0978285409752587E-2</v>
      </c>
      <c r="AB438" s="182">
        <v>3.0386713492123185E-2</v>
      </c>
    </row>
    <row r="439" spans="17:28" x14ac:dyDescent="0.2">
      <c r="Q439" s="141"/>
      <c r="T439" s="141"/>
      <c r="U439" s="162"/>
      <c r="X439" s="183" t="str">
        <f t="shared" si="13"/>
        <v>1D</v>
      </c>
      <c r="Y439" s="181">
        <f>_xll.qlCalendarAdvance(Calendar,Y438,X439,"f",FALSE)</f>
        <v>42508</v>
      </c>
      <c r="Z439" s="184">
        <f>_xll.qlCalendarAdvance(Calendar,Y439,NDays&amp;"D")</f>
        <v>42508</v>
      </c>
      <c r="AA439" s="185">
        <v>3.0988688083078021E-2</v>
      </c>
      <c r="AB439" s="182">
        <v>3.0397221335642932E-2</v>
      </c>
    </row>
    <row r="440" spans="17:28" x14ac:dyDescent="0.2">
      <c r="Q440" s="141"/>
      <c r="T440" s="141"/>
      <c r="U440" s="162"/>
      <c r="X440" s="183" t="str">
        <f t="shared" si="13"/>
        <v>1D</v>
      </c>
      <c r="Y440" s="181">
        <f>_xll.qlCalendarAdvance(Calendar,Y439,X440,"f",FALSE)</f>
        <v>42509</v>
      </c>
      <c r="Z440" s="184">
        <f>_xll.qlCalendarAdvance(Calendar,Y440,NDays&amp;"D")</f>
        <v>42509</v>
      </c>
      <c r="AA440" s="185">
        <v>3.0999086687850202E-2</v>
      </c>
      <c r="AB440" s="182">
        <v>3.0407725115259021E-2</v>
      </c>
    </row>
    <row r="441" spans="17:28" x14ac:dyDescent="0.2">
      <c r="Q441" s="141"/>
      <c r="T441" s="141"/>
      <c r="U441" s="162"/>
      <c r="X441" s="183" t="str">
        <f t="shared" si="13"/>
        <v>1D</v>
      </c>
      <c r="Y441" s="181">
        <f>_xll.qlCalendarAdvance(Calendar,Y440,X441,"f",FALSE)</f>
        <v>42510</v>
      </c>
      <c r="Z441" s="184">
        <f>_xll.qlCalendarAdvance(Calendar,Y441,NDays&amp;"D")</f>
        <v>42510</v>
      </c>
      <c r="AA441" s="185">
        <v>3.1022437756249435E-2</v>
      </c>
      <c r="AB441" s="182">
        <v>3.0431255929901001E-2</v>
      </c>
    </row>
    <row r="442" spans="17:28" x14ac:dyDescent="0.2">
      <c r="Q442" s="141"/>
      <c r="T442" s="141"/>
      <c r="U442" s="162"/>
      <c r="X442" s="183" t="str">
        <f t="shared" si="13"/>
        <v>1D</v>
      </c>
      <c r="Y442" s="181">
        <f>_xll.qlCalendarAdvance(Calendar,Y441,X442,"f",FALSE)</f>
        <v>42513</v>
      </c>
      <c r="Z442" s="184">
        <f>_xll.qlCalendarAdvance(Calendar,Y442,NDays&amp;"D")</f>
        <v>42513</v>
      </c>
      <c r="AA442" s="185">
        <v>3.1040640420773938E-2</v>
      </c>
      <c r="AB442" s="182">
        <v>3.0449699594767843E-2</v>
      </c>
    </row>
    <row r="443" spans="17:28" x14ac:dyDescent="0.2">
      <c r="Q443" s="141"/>
      <c r="T443" s="141"/>
      <c r="U443" s="162"/>
      <c r="X443" s="183" t="str">
        <f t="shared" si="13"/>
        <v>1D</v>
      </c>
      <c r="Y443" s="181">
        <f>_xll.qlCalendarAdvance(Calendar,Y442,X443,"f",FALSE)</f>
        <v>42514</v>
      </c>
      <c r="Z443" s="184">
        <f>_xll.qlCalendarAdvance(Calendar,Y443,NDays&amp;"D")</f>
        <v>42514</v>
      </c>
      <c r="AA443" s="185">
        <v>3.1051018682303293E-2</v>
      </c>
      <c r="AB443" s="182">
        <v>3.0460183054784595E-2</v>
      </c>
    </row>
    <row r="444" spans="17:28" x14ac:dyDescent="0.2">
      <c r="Q444" s="141"/>
      <c r="T444" s="141"/>
      <c r="U444" s="162"/>
      <c r="X444" s="183" t="str">
        <f t="shared" si="13"/>
        <v>1D</v>
      </c>
      <c r="Y444" s="181">
        <f>_xll.qlCalendarAdvance(Calendar,Y443,X444,"f",FALSE)</f>
        <v>42515</v>
      </c>
      <c r="Z444" s="184">
        <f>_xll.qlCalendarAdvance(Calendar,Y444,NDays&amp;"D")</f>
        <v>42515</v>
      </c>
      <c r="AA444" s="185">
        <v>3.1061392875089119E-2</v>
      </c>
      <c r="AB444" s="182">
        <v>3.0470662451059782E-2</v>
      </c>
    </row>
    <row r="445" spans="17:28" x14ac:dyDescent="0.2">
      <c r="Q445" s="141"/>
      <c r="T445" s="141"/>
      <c r="U445" s="162"/>
      <c r="X445" s="183" t="str">
        <f t="shared" si="13"/>
        <v>1D</v>
      </c>
      <c r="Y445" s="181">
        <f>_xll.qlCalendarAdvance(Calendar,Y444,X445,"f",FALSE)</f>
        <v>42516</v>
      </c>
      <c r="Z445" s="184">
        <f>_xll.qlCalendarAdvance(Calendar,Y445,NDays&amp;"D")</f>
        <v>42516</v>
      </c>
      <c r="AA445" s="185">
        <v>3.1071762999098817E-2</v>
      </c>
      <c r="AB445" s="182">
        <v>3.0481137783350265E-2</v>
      </c>
    </row>
    <row r="446" spans="17:28" x14ac:dyDescent="0.2">
      <c r="Q446" s="141"/>
      <c r="T446" s="141"/>
      <c r="U446" s="162"/>
      <c r="X446" s="183" t="str">
        <f t="shared" si="13"/>
        <v>1D</v>
      </c>
      <c r="Y446" s="181">
        <f>_xll.qlCalendarAdvance(Calendar,Y445,X446,"f",FALSE)</f>
        <v>42517</v>
      </c>
      <c r="Z446" s="184">
        <f>_xll.qlCalendarAdvance(Calendar,Y446,NDays&amp;"D")</f>
        <v>42517</v>
      </c>
      <c r="AA446" s="185">
        <v>3.1095069414751292E-2</v>
      </c>
      <c r="AB446" s="182">
        <v>3.0504623949434061E-2</v>
      </c>
    </row>
    <row r="447" spans="17:28" x14ac:dyDescent="0.2">
      <c r="Q447" s="141"/>
      <c r="T447" s="141"/>
      <c r="U447" s="162"/>
      <c r="X447" s="183" t="str">
        <f t="shared" si="13"/>
        <v>1D</v>
      </c>
      <c r="Y447" s="181">
        <f>_xll.qlCalendarAdvance(Calendar,Y446,X447,"f",FALSE)</f>
        <v>42520</v>
      </c>
      <c r="Z447" s="184">
        <f>_xll.qlCalendarAdvance(Calendar,Y447,NDays&amp;"D")</f>
        <v>42520</v>
      </c>
      <c r="AA447" s="185">
        <v>3.1113202806745614E-2</v>
      </c>
      <c r="AB447" s="182">
        <v>3.0522998473556662E-2</v>
      </c>
    </row>
    <row r="448" spans="17:28" x14ac:dyDescent="0.2">
      <c r="Q448" s="141"/>
      <c r="T448" s="141"/>
      <c r="U448" s="162"/>
      <c r="X448" s="183" t="str">
        <f t="shared" si="13"/>
        <v>1D</v>
      </c>
      <c r="Y448" s="181">
        <f>_xll.qlCalendarAdvance(Calendar,Y447,X448,"f",FALSE)</f>
        <v>42521</v>
      </c>
      <c r="Z448" s="184">
        <f>_xll.qlCalendarAdvance(Calendar,Y448,NDays&amp;"D")</f>
        <v>42521</v>
      </c>
      <c r="AA448" s="185">
        <v>3.1123552586399861E-2</v>
      </c>
      <c r="AB448" s="182">
        <v>3.0533453486328854E-2</v>
      </c>
    </row>
    <row r="449" spans="17:28" x14ac:dyDescent="0.2">
      <c r="Q449" s="141"/>
      <c r="T449" s="141"/>
      <c r="U449" s="162"/>
      <c r="X449" s="183" t="str">
        <f t="shared" si="13"/>
        <v>1D</v>
      </c>
      <c r="Y449" s="181">
        <f>_xll.qlCalendarAdvance(Calendar,Y448,X449,"f",FALSE)</f>
        <v>42522</v>
      </c>
      <c r="Z449" s="184">
        <f>_xll.qlCalendarAdvance(Calendar,Y449,NDays&amp;"D")</f>
        <v>42522</v>
      </c>
      <c r="AA449" s="185">
        <v>3.1133898297087702E-2</v>
      </c>
      <c r="AB449" s="182">
        <v>3.0543904435197389E-2</v>
      </c>
    </row>
    <row r="450" spans="17:28" x14ac:dyDescent="0.2">
      <c r="Q450" s="141"/>
      <c r="T450" s="141"/>
      <c r="U450" s="162"/>
      <c r="X450" s="183" t="str">
        <f t="shared" si="13"/>
        <v>1D</v>
      </c>
      <c r="Y450" s="181">
        <f>_xll.qlCalendarAdvance(Calendar,Y449,X450,"f",FALSE)</f>
        <v>42523</v>
      </c>
      <c r="Z450" s="184">
        <f>_xll.qlCalendarAdvance(Calendar,Y450,NDays&amp;"D")</f>
        <v>42523</v>
      </c>
      <c r="AA450" s="185">
        <v>3.1144239938777421E-2</v>
      </c>
      <c r="AB450" s="182">
        <v>3.0554351320162265E-2</v>
      </c>
    </row>
    <row r="451" spans="17:28" x14ac:dyDescent="0.2">
      <c r="Q451" s="141"/>
      <c r="T451" s="141"/>
      <c r="U451" s="162"/>
      <c r="X451" s="183" t="str">
        <f t="shared" si="13"/>
        <v>1D</v>
      </c>
      <c r="Y451" s="181">
        <f>_xll.qlCalendarAdvance(Calendar,Y450,X451,"f",FALSE)</f>
        <v>42524</v>
      </c>
      <c r="Z451" s="184">
        <f>_xll.qlCalendarAdvance(Calendar,Y451,NDays&amp;"D")</f>
        <v>42524</v>
      </c>
      <c r="AA451" s="185">
        <v>3.1167501693331674E-2</v>
      </c>
      <c r="AB451" s="182">
        <v>3.0577792833743626E-2</v>
      </c>
    </row>
    <row r="452" spans="17:28" x14ac:dyDescent="0.2">
      <c r="Q452" s="141"/>
      <c r="T452" s="141"/>
      <c r="U452" s="162"/>
      <c r="X452" s="183" t="str">
        <f t="shared" si="13"/>
        <v>1D</v>
      </c>
      <c r="Y452" s="181">
        <f>_xll.qlCalendarAdvance(Calendar,Y451,X452,"f",FALSE)</f>
        <v>42527</v>
      </c>
      <c r="Z452" s="184">
        <f>_xll.qlCalendarAdvance(Calendar,Y452,NDays&amp;"D")</f>
        <v>42527</v>
      </c>
      <c r="AA452" s="185">
        <v>3.1185565814922569E-2</v>
      </c>
      <c r="AB452" s="182">
        <v>3.0596098220985191E-2</v>
      </c>
    </row>
    <row r="453" spans="17:28" x14ac:dyDescent="0.2">
      <c r="Q453" s="141"/>
      <c r="T453" s="141"/>
      <c r="U453" s="162"/>
      <c r="X453" s="183" t="str">
        <f t="shared" si="13"/>
        <v>1D</v>
      </c>
      <c r="Y453" s="181">
        <f>_xll.qlCalendarAdvance(Calendar,Y452,X453,"f",FALSE)</f>
        <v>42528</v>
      </c>
      <c r="Z453" s="184">
        <f>_xll.qlCalendarAdvance(Calendar,Y453,NDays&amp;"D")</f>
        <v>42528</v>
      </c>
      <c r="AA453" s="185">
        <v>3.1195887111145973E-2</v>
      </c>
      <c r="AB453" s="182">
        <v>3.0606524786431777E-2</v>
      </c>
    </row>
    <row r="454" spans="17:28" x14ac:dyDescent="0.2">
      <c r="Q454" s="141"/>
      <c r="T454" s="141"/>
      <c r="U454" s="162"/>
      <c r="X454" s="183" t="str">
        <f t="shared" si="13"/>
        <v>1D</v>
      </c>
      <c r="Y454" s="181">
        <f>_xll.qlCalendarAdvance(Calendar,Y453,X454,"f",FALSE)</f>
        <v>42529</v>
      </c>
      <c r="Z454" s="184">
        <f>_xll.qlCalendarAdvance(Calendar,Y454,NDays&amp;"D")</f>
        <v>42529</v>
      </c>
      <c r="AA454" s="185">
        <v>3.1206204338181855E-2</v>
      </c>
      <c r="AB454" s="182">
        <v>3.0616947287974705E-2</v>
      </c>
    </row>
    <row r="455" spans="17:28" x14ac:dyDescent="0.2">
      <c r="Q455" s="141"/>
      <c r="T455" s="141"/>
      <c r="U455" s="162"/>
      <c r="X455" s="183" t="str">
        <f t="shared" si="13"/>
        <v>1D</v>
      </c>
      <c r="Y455" s="181">
        <f>_xll.qlCalendarAdvance(Calendar,Y454,X455,"f",FALSE)</f>
        <v>42530</v>
      </c>
      <c r="Z455" s="184">
        <f>_xll.qlCalendarAdvance(Calendar,Y455,NDays&amp;"D")</f>
        <v>42530</v>
      </c>
      <c r="AA455" s="185">
        <v>3.1216517495997621E-2</v>
      </c>
      <c r="AB455" s="182">
        <v>3.0627365725532929E-2</v>
      </c>
    </row>
    <row r="456" spans="17:28" x14ac:dyDescent="0.2">
      <c r="Q456" s="141"/>
      <c r="T456" s="141"/>
      <c r="U456" s="162"/>
      <c r="X456" s="183" t="str">
        <f t="shared" si="13"/>
        <v>1D</v>
      </c>
      <c r="Y456" s="181">
        <f>_xll.qlCalendarAdvance(Calendar,Y455,X456,"f",FALSE)</f>
        <v>42531</v>
      </c>
      <c r="Z456" s="184">
        <f>_xll.qlCalendarAdvance(Calendar,Y456,NDays&amp;"D")</f>
        <v>42531</v>
      </c>
      <c r="AA456" s="185">
        <v>3.1239734580872581E-2</v>
      </c>
      <c r="AB456" s="182">
        <v>3.0657253210927826E-2</v>
      </c>
    </row>
    <row r="457" spans="17:28" x14ac:dyDescent="0.2">
      <c r="Q457" s="141"/>
      <c r="T457" s="141"/>
      <c r="U457" s="162"/>
      <c r="X457" s="183" t="str">
        <f t="shared" si="13"/>
        <v>1D</v>
      </c>
      <c r="Y457" s="181">
        <f>_xll.qlCalendarAdvance(Calendar,Y456,X457,"f",FALSE)</f>
        <v>42535</v>
      </c>
      <c r="Z457" s="184">
        <f>_xll.qlCalendarAdvance(Calendar,Y457,NDays&amp;"D")</f>
        <v>42535</v>
      </c>
      <c r="AA457" s="185">
        <v>3.1268022245673495E-2</v>
      </c>
      <c r="AB457" s="182">
        <v>3.0679396955093363E-2</v>
      </c>
    </row>
    <row r="458" spans="17:28" x14ac:dyDescent="0.2">
      <c r="Q458" s="141"/>
      <c r="T458" s="141"/>
      <c r="U458" s="162"/>
      <c r="X458" s="183" t="str">
        <f t="shared" si="13"/>
        <v>1D</v>
      </c>
      <c r="Y458" s="181">
        <f>_xll.qlCalendarAdvance(Calendar,Y457,X458,"f",FALSE)</f>
        <v>42536</v>
      </c>
      <c r="Z458" s="184">
        <f>_xll.qlCalendarAdvance(Calendar,Y458,NDays&amp;"D")</f>
        <v>42536</v>
      </c>
      <c r="AA458" s="185">
        <v>3.1278310987506087E-2</v>
      </c>
      <c r="AB458" s="182">
        <v>3.0689791009229639E-2</v>
      </c>
    </row>
    <row r="459" spans="17:28" x14ac:dyDescent="0.2">
      <c r="Q459" s="141"/>
      <c r="T459" s="141"/>
      <c r="U459" s="162"/>
      <c r="X459" s="183" t="str">
        <f t="shared" si="13"/>
        <v>1D</v>
      </c>
      <c r="Y459" s="181">
        <f>_xll.qlCalendarAdvance(Calendar,Y458,X459,"f",FALSE)</f>
        <v>42537</v>
      </c>
      <c r="Z459" s="184">
        <f>_xll.qlCalendarAdvance(Calendar,Y459,NDays&amp;"D")</f>
        <v>42537</v>
      </c>
      <c r="AA459" s="185">
        <v>3.1288595659898326E-2</v>
      </c>
      <c r="AB459" s="182">
        <v>3.0700180999462257E-2</v>
      </c>
    </row>
    <row r="460" spans="17:28" x14ac:dyDescent="0.2">
      <c r="Q460" s="141"/>
      <c r="T460" s="141"/>
      <c r="U460" s="162"/>
      <c r="X460" s="183" t="str">
        <f t="shared" si="13"/>
        <v>1D</v>
      </c>
      <c r="Y460" s="181">
        <f>_xll.qlCalendarAdvance(Calendar,Y459,X460,"f",FALSE)</f>
        <v>42538</v>
      </c>
      <c r="Z460" s="184">
        <f>_xll.qlCalendarAdvance(Calendar,Y460,NDays&amp;"D")</f>
        <v>42538</v>
      </c>
      <c r="AA460" s="185">
        <v>3.1311768399337268E-2</v>
      </c>
      <c r="AB460" s="182">
        <v>3.072353319536851E-2</v>
      </c>
    </row>
    <row r="461" spans="17:28" x14ac:dyDescent="0.2">
      <c r="Q461" s="141"/>
      <c r="T461" s="141"/>
      <c r="U461" s="162"/>
      <c r="X461" s="183" t="str">
        <f t="shared" si="13"/>
        <v>1D</v>
      </c>
      <c r="Y461" s="181">
        <f>_xll.qlCalendarAdvance(Calendar,Y460,X461,"f",FALSE)</f>
        <v>42541</v>
      </c>
      <c r="Z461" s="184">
        <f>_xll.qlCalendarAdvance(Calendar,Y461,NDays&amp;"D")</f>
        <v>42541</v>
      </c>
      <c r="AA461" s="185">
        <v>3.1329694460911335E-2</v>
      </c>
      <c r="AB461" s="182">
        <v>3.0741700321356147E-2</v>
      </c>
    </row>
    <row r="462" spans="17:28" x14ac:dyDescent="0.2">
      <c r="Q462" s="141"/>
      <c r="T462" s="141"/>
      <c r="U462" s="162"/>
      <c r="X462" s="183" t="str">
        <f t="shared" si="13"/>
        <v>1D</v>
      </c>
      <c r="Y462" s="181">
        <f>_xll.qlCalendarAdvance(Calendar,Y461,X462,"f",FALSE)</f>
        <v>42542</v>
      </c>
      <c r="Z462" s="184">
        <f>_xll.qlCalendarAdvance(Calendar,Y462,NDays&amp;"D")</f>
        <v>42542</v>
      </c>
      <c r="AA462" s="185">
        <v>3.1339959554309557E-2</v>
      </c>
      <c r="AB462" s="182">
        <v>3.0752069992070474E-2</v>
      </c>
    </row>
    <row r="463" spans="17:28" x14ac:dyDescent="0.2">
      <c r="Q463" s="141"/>
      <c r="T463" s="141"/>
      <c r="U463" s="162"/>
      <c r="X463" s="183" t="str">
        <f t="shared" si="13"/>
        <v>1D</v>
      </c>
      <c r="Y463" s="181">
        <f>_xll.qlCalendarAdvance(Calendar,Y462,X463,"f",FALSE)</f>
        <v>42543</v>
      </c>
      <c r="Z463" s="184">
        <f>_xll.qlCalendarAdvance(Calendar,Y463,NDays&amp;"D")</f>
        <v>42543</v>
      </c>
      <c r="AA463" s="185">
        <v>3.1350220956122804E-2</v>
      </c>
      <c r="AB463" s="182">
        <v>3.0762435598800097E-2</v>
      </c>
    </row>
    <row r="464" spans="17:28" x14ac:dyDescent="0.2">
      <c r="Q464" s="141"/>
      <c r="T464" s="141"/>
      <c r="U464" s="162"/>
      <c r="X464" s="183" t="str">
        <f t="shared" si="13"/>
        <v>1D</v>
      </c>
      <c r="Y464" s="181">
        <f>_xll.qlCalendarAdvance(Calendar,Y463,X464,"f",FALSE)</f>
        <v>42544</v>
      </c>
      <c r="Z464" s="184">
        <f>_xll.qlCalendarAdvance(Calendar,Y464,NDays&amp;"D")</f>
        <v>42544</v>
      </c>
      <c r="AA464" s="185">
        <v>3.1360478741931146E-2</v>
      </c>
      <c r="AB464" s="182">
        <v>3.0772797141707109E-2</v>
      </c>
    </row>
    <row r="465" spans="17:28" x14ac:dyDescent="0.2">
      <c r="Q465" s="141"/>
      <c r="T465" s="141"/>
      <c r="U465" s="162"/>
      <c r="X465" s="183" t="str">
        <f t="shared" si="13"/>
        <v>1D</v>
      </c>
      <c r="Y465" s="181">
        <f>_xll.qlCalendarAdvance(Calendar,Y464,X465,"f",FALSE)</f>
        <v>42545</v>
      </c>
      <c r="Z465" s="184">
        <f>_xll.qlCalendarAdvance(Calendar,Y465,NDays&amp;"D")</f>
        <v>42545</v>
      </c>
      <c r="AA465" s="185">
        <v>3.1383614473972643E-2</v>
      </c>
      <c r="AB465" s="182">
        <v>3.0796104671954413E-2</v>
      </c>
    </row>
    <row r="466" spans="17:28" x14ac:dyDescent="0.2">
      <c r="Q466" s="141"/>
      <c r="T466" s="141"/>
      <c r="U466" s="162"/>
      <c r="X466" s="183" t="str">
        <f t="shared" si="13"/>
        <v>1D</v>
      </c>
      <c r="Y466" s="181">
        <f>_xll.qlCalendarAdvance(Calendar,Y465,X466,"f",FALSE)</f>
        <v>42548</v>
      </c>
      <c r="Z466" s="184">
        <f>_xll.qlCalendarAdvance(Calendar,Y466,NDays&amp;"D")</f>
        <v>42548</v>
      </c>
      <c r="AA466" s="185">
        <v>3.1401475236735997E-2</v>
      </c>
      <c r="AB466" s="182">
        <v>3.0814202674055435E-2</v>
      </c>
    </row>
    <row r="467" spans="17:28" x14ac:dyDescent="0.2">
      <c r="Q467" s="141"/>
      <c r="T467" s="141"/>
      <c r="U467" s="162"/>
      <c r="X467" s="183" t="str">
        <f t="shared" si="13"/>
        <v>1D</v>
      </c>
      <c r="Y467" s="181">
        <f>_xll.qlCalendarAdvance(Calendar,Y466,X467,"f",FALSE)</f>
        <v>42549</v>
      </c>
      <c r="Z467" s="184">
        <f>_xll.qlCalendarAdvance(Calendar,Y467,NDays&amp;"D")</f>
        <v>42549</v>
      </c>
      <c r="AA467" s="185">
        <v>3.1411716076243608E-2</v>
      </c>
      <c r="AB467" s="182">
        <v>3.0824543897282064E-2</v>
      </c>
    </row>
    <row r="468" spans="17:28" x14ac:dyDescent="0.2">
      <c r="Q468" s="141"/>
      <c r="T468" s="141"/>
      <c r="U468" s="162"/>
      <c r="X468" s="183" t="str">
        <f t="shared" si="13"/>
        <v>1D</v>
      </c>
      <c r="Y468" s="181">
        <f>_xll.qlCalendarAdvance(Calendar,Y467,X468,"f",FALSE)</f>
        <v>42550</v>
      </c>
      <c r="Z468" s="184">
        <f>_xll.qlCalendarAdvance(Calendar,Y468,NDays&amp;"D")</f>
        <v>42550</v>
      </c>
      <c r="AA468" s="185">
        <v>3.1421953753240771E-2</v>
      </c>
      <c r="AB468" s="182">
        <v>3.0834881056686081E-2</v>
      </c>
    </row>
    <row r="469" spans="17:28" x14ac:dyDescent="0.2">
      <c r="Q469" s="141"/>
      <c r="T469" s="141"/>
      <c r="U469" s="162"/>
      <c r="X469" s="183" t="str">
        <f t="shared" ref="X469:X532" si="14">X468</f>
        <v>1D</v>
      </c>
      <c r="Y469" s="181">
        <f>_xll.qlCalendarAdvance(Calendar,Y468,X469,"f",FALSE)</f>
        <v>42551</v>
      </c>
      <c r="Z469" s="184">
        <f>_xll.qlCalendarAdvance(Calendar,Y469,NDays&amp;"D")</f>
        <v>42551</v>
      </c>
      <c r="AA469" s="185">
        <v>3.1432188343314592E-2</v>
      </c>
      <c r="AB469" s="182">
        <v>3.084521415218644E-2</v>
      </c>
    </row>
    <row r="470" spans="17:28" x14ac:dyDescent="0.2">
      <c r="Q470" s="141"/>
      <c r="T470" s="141"/>
      <c r="U470" s="162"/>
      <c r="X470" s="183" t="str">
        <f t="shared" si="14"/>
        <v>1D</v>
      </c>
      <c r="Y470" s="181">
        <f>_xll.qlCalendarAdvance(Calendar,Y469,X470,"f",FALSE)</f>
        <v>42552</v>
      </c>
      <c r="Z470" s="184">
        <f>_xll.qlCalendarAdvance(Calendar,Y470,NDays&amp;"D")</f>
        <v>42552</v>
      </c>
      <c r="AA470" s="185">
        <v>3.1461737059743485E-2</v>
      </c>
      <c r="AB470" s="182">
        <v>3.0868477011939031E-2</v>
      </c>
    </row>
    <row r="471" spans="17:28" x14ac:dyDescent="0.2">
      <c r="Q471" s="141"/>
      <c r="T471" s="141"/>
      <c r="U471" s="162"/>
      <c r="X471" s="183" t="str">
        <f t="shared" si="14"/>
        <v>1D</v>
      </c>
      <c r="Y471" s="181">
        <f>_xll.qlCalendarAdvance(Calendar,Y470,X471,"f",FALSE)</f>
        <v>42555</v>
      </c>
      <c r="Z471" s="184">
        <f>_xll.qlCalendarAdvance(Calendar,Y471,NDays&amp;"D")</f>
        <v>42555</v>
      </c>
      <c r="AA471" s="185">
        <v>3.1473097346097559E-2</v>
      </c>
      <c r="AB471" s="182">
        <v>3.0886505894908156E-2</v>
      </c>
    </row>
    <row r="472" spans="17:28" x14ac:dyDescent="0.2">
      <c r="Q472" s="141"/>
      <c r="T472" s="141"/>
      <c r="U472" s="162"/>
      <c r="X472" s="183" t="str">
        <f t="shared" si="14"/>
        <v>1D</v>
      </c>
      <c r="Y472" s="181">
        <f>_xll.qlCalendarAdvance(Calendar,Y471,X472,"f",FALSE)</f>
        <v>42556</v>
      </c>
      <c r="Z472" s="184">
        <f>_xll.qlCalendarAdvance(Calendar,Y472,NDays&amp;"D")</f>
        <v>42556</v>
      </c>
      <c r="AA472" s="185">
        <v>3.1483317635355168E-2</v>
      </c>
      <c r="AB472" s="182">
        <v>3.0896818670728132E-2</v>
      </c>
    </row>
    <row r="473" spans="17:28" x14ac:dyDescent="0.2">
      <c r="Q473" s="141"/>
      <c r="T473" s="141"/>
      <c r="U473" s="162"/>
      <c r="X473" s="183" t="str">
        <f t="shared" si="14"/>
        <v>1D</v>
      </c>
      <c r="Y473" s="181">
        <f>_xll.qlCalendarAdvance(Calendar,Y472,X473,"f",FALSE)</f>
        <v>42557</v>
      </c>
      <c r="Z473" s="184">
        <f>_xll.qlCalendarAdvance(Calendar,Y473,NDays&amp;"D")</f>
        <v>42557</v>
      </c>
      <c r="AA473" s="185">
        <v>3.1493535291218254E-2</v>
      </c>
      <c r="AB473" s="182">
        <v>3.0907127382725497E-2</v>
      </c>
    </row>
    <row r="474" spans="17:28" x14ac:dyDescent="0.2">
      <c r="Q474" s="141"/>
      <c r="T474" s="141"/>
      <c r="U474" s="162"/>
      <c r="X474" s="183" t="str">
        <f t="shared" si="14"/>
        <v>1D</v>
      </c>
      <c r="Y474" s="181">
        <f>_xll.qlCalendarAdvance(Calendar,Y473,X474,"f",FALSE)</f>
        <v>42558</v>
      </c>
      <c r="Z474" s="184">
        <f>_xll.qlCalendarAdvance(Calendar,Y474,NDays&amp;"D")</f>
        <v>42558</v>
      </c>
      <c r="AA474" s="185">
        <v>3.1503750389275699E-2</v>
      </c>
      <c r="AB474" s="182">
        <v>3.0917432030738157E-2</v>
      </c>
    </row>
    <row r="475" spans="17:28" x14ac:dyDescent="0.2">
      <c r="Q475" s="141"/>
      <c r="T475" s="141"/>
      <c r="U475" s="162"/>
      <c r="X475" s="183" t="str">
        <f t="shared" si="14"/>
        <v>1D</v>
      </c>
      <c r="Y475" s="181">
        <f>_xll.qlCalendarAdvance(Calendar,Y474,X475,"f",FALSE)</f>
        <v>42559</v>
      </c>
      <c r="Z475" s="184">
        <f>_xll.qlCalendarAdvance(Calendar,Y475,NDays&amp;"D")</f>
        <v>42559</v>
      </c>
      <c r="AA475" s="185">
        <v>3.1526842530960587E-2</v>
      </c>
      <c r="AB475" s="182">
        <v>3.094065021491714E-2</v>
      </c>
    </row>
    <row r="476" spans="17:28" x14ac:dyDescent="0.2">
      <c r="Q476" s="141"/>
      <c r="T476" s="141"/>
      <c r="U476" s="162"/>
      <c r="X476" s="183" t="str">
        <f t="shared" si="14"/>
        <v>1D</v>
      </c>
      <c r="Y476" s="181">
        <f>_xll.qlCalendarAdvance(Calendar,Y475,X476,"f",FALSE)</f>
        <v>42562</v>
      </c>
      <c r="Z476" s="184">
        <f>_xll.qlCalendarAdvance(Calendar,Y476,NDays&amp;"D")</f>
        <v>42562</v>
      </c>
      <c r="AA476" s="185">
        <v>3.1544586715296023E-2</v>
      </c>
      <c r="AB476" s="182">
        <v>3.0958609983752217E-2</v>
      </c>
    </row>
    <row r="477" spans="17:28" x14ac:dyDescent="0.2">
      <c r="Q477" s="141"/>
      <c r="T477" s="141"/>
      <c r="U477" s="162"/>
      <c r="X477" s="183" t="str">
        <f t="shared" si="14"/>
        <v>1D</v>
      </c>
      <c r="Y477" s="181">
        <f>_xll.qlCalendarAdvance(Calendar,Y476,X477,"f",FALSE)</f>
        <v>42563</v>
      </c>
      <c r="Z477" s="184">
        <f>_xll.qlCalendarAdvance(Calendar,Y477,NDays&amp;"D")</f>
        <v>42563</v>
      </c>
      <c r="AA477" s="185">
        <v>3.1554790158215558E-2</v>
      </c>
      <c r="AB477" s="182">
        <v>3.0968894312246587E-2</v>
      </c>
    </row>
    <row r="478" spans="17:28" x14ac:dyDescent="0.2">
      <c r="Q478" s="141"/>
      <c r="T478" s="141"/>
      <c r="U478" s="162"/>
      <c r="X478" s="183" t="str">
        <f t="shared" si="14"/>
        <v>1D</v>
      </c>
      <c r="Y478" s="181">
        <f>_xll.qlCalendarAdvance(Calendar,Y477,X478,"f",FALSE)</f>
        <v>42564</v>
      </c>
      <c r="Z478" s="184">
        <f>_xll.qlCalendarAdvance(Calendar,Y478,NDays&amp;"D")</f>
        <v>42564</v>
      </c>
      <c r="AA478" s="185">
        <v>3.1564991496891751E-2</v>
      </c>
      <c r="AB478" s="182">
        <v>3.0979174576756252E-2</v>
      </c>
    </row>
    <row r="479" spans="17:28" x14ac:dyDescent="0.2">
      <c r="Q479" s="141"/>
      <c r="T479" s="141"/>
      <c r="U479" s="162"/>
      <c r="X479" s="183" t="str">
        <f t="shared" si="14"/>
        <v>1D</v>
      </c>
      <c r="Y479" s="181">
        <f>_xll.qlCalendarAdvance(Calendar,Y478,X479,"f",FALSE)</f>
        <v>42565</v>
      </c>
      <c r="Z479" s="184">
        <f>_xll.qlCalendarAdvance(Calendar,Y479,NDays&amp;"D")</f>
        <v>42565</v>
      </c>
      <c r="AA479" s="185">
        <v>3.1575190806919624E-2</v>
      </c>
      <c r="AB479" s="182">
        <v>3.098945077736226E-2</v>
      </c>
    </row>
    <row r="480" spans="17:28" x14ac:dyDescent="0.2">
      <c r="Q480" s="141"/>
      <c r="T480" s="141"/>
      <c r="U480" s="162"/>
      <c r="X480" s="183" t="str">
        <f t="shared" si="14"/>
        <v>1D</v>
      </c>
      <c r="Y480" s="181">
        <f>_xll.qlCalendarAdvance(Calendar,Y479,X480,"f",FALSE)</f>
        <v>42566</v>
      </c>
      <c r="Z480" s="184">
        <f>_xll.qlCalendarAdvance(Calendar,Y480,NDays&amp;"D")</f>
        <v>42566</v>
      </c>
      <c r="AA480" s="185">
        <v>3.1598275271771108E-2</v>
      </c>
      <c r="AB480" s="182">
        <v>3.1012624280564546E-2</v>
      </c>
    </row>
    <row r="481" spans="17:28" x14ac:dyDescent="0.2">
      <c r="Q481" s="141"/>
      <c r="T481" s="141"/>
      <c r="U481" s="162"/>
      <c r="X481" s="183" t="str">
        <f t="shared" si="14"/>
        <v>1D</v>
      </c>
      <c r="Y481" s="181">
        <f>_xll.qlCalendarAdvance(Calendar,Y480,X481,"f",FALSE)</f>
        <v>42569</v>
      </c>
      <c r="Z481" s="184">
        <f>_xll.qlCalendarAdvance(Calendar,Y481,NDays&amp;"D")</f>
        <v>42569</v>
      </c>
      <c r="AA481" s="185">
        <v>3.1615969272502494E-2</v>
      </c>
      <c r="AB481" s="182">
        <v>3.1030514940587617E-2</v>
      </c>
    </row>
    <row r="482" spans="17:28" x14ac:dyDescent="0.2">
      <c r="Q482" s="141"/>
      <c r="T482" s="141"/>
      <c r="U482" s="162"/>
      <c r="X482" s="183" t="str">
        <f t="shared" si="14"/>
        <v>1D</v>
      </c>
      <c r="Y482" s="181">
        <f>_xll.qlCalendarAdvance(Calendar,Y481,X482,"f",FALSE)</f>
        <v>42570</v>
      </c>
      <c r="Z482" s="184">
        <f>_xll.qlCalendarAdvance(Calendar,Y482,NDays&amp;"D")</f>
        <v>42570</v>
      </c>
      <c r="AA482" s="185">
        <v>3.1626159573260183E-2</v>
      </c>
      <c r="AB482" s="182">
        <v>3.1040770821594288E-2</v>
      </c>
    </row>
    <row r="483" spans="17:28" x14ac:dyDescent="0.2">
      <c r="Q483" s="141"/>
      <c r="T483" s="141"/>
      <c r="U483" s="162"/>
      <c r="X483" s="183" t="str">
        <f t="shared" si="14"/>
        <v>1D</v>
      </c>
      <c r="Y483" s="181">
        <f>_xll.qlCalendarAdvance(Calendar,Y482,X483,"f",FALSE)</f>
        <v>42571</v>
      </c>
      <c r="Z483" s="184">
        <f>_xll.qlCalendarAdvance(Calendar,Y483,NDays&amp;"D")</f>
        <v>42571</v>
      </c>
      <c r="AA483" s="185">
        <v>3.1636348298964445E-2</v>
      </c>
      <c r="AB483" s="182">
        <v>3.1051022638697301E-2</v>
      </c>
    </row>
    <row r="484" spans="17:28" x14ac:dyDescent="0.2">
      <c r="Q484" s="141"/>
      <c r="T484" s="141"/>
      <c r="U484" s="162"/>
      <c r="X484" s="183" t="str">
        <f t="shared" si="14"/>
        <v>1D</v>
      </c>
      <c r="Y484" s="181">
        <f>_xll.qlCalendarAdvance(Calendar,Y483,X484,"f",FALSE)</f>
        <v>42572</v>
      </c>
      <c r="Z484" s="184">
        <f>_xll.qlCalendarAdvance(Calendar,Y484,NDays&amp;"D")</f>
        <v>42572</v>
      </c>
      <c r="AA484" s="185">
        <v>3.1646535525214729E-2</v>
      </c>
      <c r="AB484" s="182">
        <v>3.106127039181561E-2</v>
      </c>
    </row>
    <row r="485" spans="17:28" x14ac:dyDescent="0.2">
      <c r="Q485" s="141"/>
      <c r="T485" s="141"/>
      <c r="U485" s="162"/>
      <c r="X485" s="183" t="str">
        <f t="shared" si="14"/>
        <v>1D</v>
      </c>
      <c r="Y485" s="181">
        <f>_xll.qlCalendarAdvance(Calendar,Y484,X485,"f",FALSE)</f>
        <v>42573</v>
      </c>
      <c r="Z485" s="184">
        <f>_xll.qlCalendarAdvance(Calendar,Y485,NDays&amp;"D")</f>
        <v>42573</v>
      </c>
      <c r="AA485" s="185">
        <v>3.1669620996210207E-2</v>
      </c>
      <c r="AB485" s="182">
        <v>3.1084399208503036E-2</v>
      </c>
    </row>
    <row r="486" spans="17:28" x14ac:dyDescent="0.2">
      <c r="Q486" s="141"/>
      <c r="T486" s="141"/>
      <c r="U486" s="162"/>
      <c r="X486" s="183" t="str">
        <f t="shared" si="14"/>
        <v>1D</v>
      </c>
      <c r="Y486" s="181">
        <f>_xll.qlCalendarAdvance(Calendar,Y485,X486,"f",FALSE)</f>
        <v>42576</v>
      </c>
      <c r="Z486" s="184">
        <f>_xll.qlCalendarAdvance(Calendar,Y486,NDays&amp;"D")</f>
        <v>42576</v>
      </c>
      <c r="AA486" s="185">
        <v>3.1687270947750382E-2</v>
      </c>
      <c r="AB486" s="182">
        <v>3.1102220765252264E-2</v>
      </c>
    </row>
    <row r="487" spans="17:28" x14ac:dyDescent="0.2">
      <c r="Q487" s="141"/>
      <c r="T487" s="141"/>
      <c r="U487" s="162"/>
      <c r="X487" s="183" t="str">
        <f t="shared" si="14"/>
        <v>1D</v>
      </c>
      <c r="Y487" s="181">
        <f>_xll.qlCalendarAdvance(Calendar,Y486,X487,"f",FALSE)</f>
        <v>42577</v>
      </c>
      <c r="Z487" s="184">
        <f>_xll.qlCalendarAdvance(Calendar,Y487,NDays&amp;"D")</f>
        <v>42577</v>
      </c>
      <c r="AA487" s="185">
        <v>3.1697451810787598E-2</v>
      </c>
      <c r="AB487" s="182">
        <v>3.1112448198771236E-2</v>
      </c>
    </row>
    <row r="488" spans="17:28" x14ac:dyDescent="0.2">
      <c r="Q488" s="141"/>
      <c r="T488" s="141"/>
      <c r="U488" s="162"/>
      <c r="X488" s="183" t="str">
        <f t="shared" si="14"/>
        <v>1D</v>
      </c>
      <c r="Y488" s="181">
        <f>_xll.qlCalendarAdvance(Calendar,Y487,X488,"f",FALSE)</f>
        <v>42578</v>
      </c>
      <c r="Z488" s="184">
        <f>_xll.qlCalendarAdvance(Calendar,Y488,NDays&amp;"D")</f>
        <v>42578</v>
      </c>
      <c r="AA488" s="185">
        <v>3.1707631627999201E-2</v>
      </c>
      <c r="AB488" s="182">
        <v>3.1122671568386551E-2</v>
      </c>
    </row>
    <row r="489" spans="17:28" x14ac:dyDescent="0.2">
      <c r="Q489" s="141"/>
      <c r="T489" s="141"/>
      <c r="U489" s="162"/>
      <c r="X489" s="183" t="str">
        <f t="shared" si="14"/>
        <v>1D</v>
      </c>
      <c r="Y489" s="181">
        <f>_xll.qlCalendarAdvance(Calendar,Y488,X489,"f",FALSE)</f>
        <v>42579</v>
      </c>
      <c r="Z489" s="184">
        <f>_xll.qlCalendarAdvance(Calendar,Y489,NDays&amp;"D")</f>
        <v>42579</v>
      </c>
      <c r="AA489" s="185">
        <v>3.1717810474990796E-2</v>
      </c>
      <c r="AB489" s="182">
        <v>3.1132890874098207E-2</v>
      </c>
    </row>
    <row r="490" spans="17:28" x14ac:dyDescent="0.2">
      <c r="Q490" s="141"/>
      <c r="T490" s="141"/>
      <c r="U490" s="162"/>
      <c r="X490" s="183" t="str">
        <f t="shared" si="14"/>
        <v>1D</v>
      </c>
      <c r="Y490" s="181">
        <f>_xll.qlCalendarAdvance(Calendar,Y489,X490,"f",FALSE)</f>
        <v>42580</v>
      </c>
      <c r="Z490" s="184">
        <f>_xll.qlCalendarAdvance(Calendar,Y490,NDays&amp;"D")</f>
        <v>42580</v>
      </c>
      <c r="AA490" s="185">
        <v>3.1740905088166162E-2</v>
      </c>
      <c r="AB490" s="182">
        <v>3.1162408828003252E-2</v>
      </c>
    </row>
    <row r="491" spans="17:28" x14ac:dyDescent="0.2">
      <c r="Q491" s="141"/>
      <c r="T491" s="141"/>
      <c r="U491" s="162"/>
      <c r="X491" s="183" t="str">
        <f t="shared" si="14"/>
        <v>1D</v>
      </c>
      <c r="Y491" s="181">
        <f>_xll.qlCalendarAdvance(Calendar,Y490,X491,"f",FALSE)</f>
        <v>42584</v>
      </c>
      <c r="Z491" s="184">
        <f>_xll.qlCalendarAdvance(Calendar,Y491,NDays&amp;"D")</f>
        <v>42584</v>
      </c>
      <c r="AA491" s="185">
        <v>3.1768692802950756E-2</v>
      </c>
      <c r="AB491" s="182">
        <v>3.118392644361534E-2</v>
      </c>
    </row>
    <row r="492" spans="17:28" x14ac:dyDescent="0.2">
      <c r="Q492" s="141"/>
      <c r="T492" s="141"/>
      <c r="U492" s="162"/>
      <c r="X492" s="183" t="str">
        <f t="shared" si="14"/>
        <v>1D</v>
      </c>
      <c r="Y492" s="181">
        <f>_xll.qlCalendarAdvance(Calendar,Y491,X492,"f",FALSE)</f>
        <v>42585</v>
      </c>
      <c r="Z492" s="184">
        <f>_xll.qlCalendarAdvance(Calendar,Y492,NDays&amp;"D")</f>
        <v>42585</v>
      </c>
      <c r="AA492" s="185">
        <v>3.1778867416414114E-2</v>
      </c>
      <c r="AB492" s="182">
        <v>3.1194121365742955E-2</v>
      </c>
    </row>
    <row r="493" spans="17:28" x14ac:dyDescent="0.2">
      <c r="Q493" s="141"/>
      <c r="T493" s="141"/>
      <c r="U493" s="162"/>
      <c r="X493" s="183" t="str">
        <f t="shared" si="14"/>
        <v>1D</v>
      </c>
      <c r="Y493" s="181">
        <f>_xll.qlCalendarAdvance(Calendar,Y492,X493,"f",FALSE)</f>
        <v>42586</v>
      </c>
      <c r="Z493" s="184">
        <f>_xll.qlCalendarAdvance(Calendar,Y493,NDays&amp;"D")</f>
        <v>42586</v>
      </c>
      <c r="AA493" s="185">
        <v>3.1789041588928445E-2</v>
      </c>
      <c r="AB493" s="182">
        <v>3.1204312223966912E-2</v>
      </c>
    </row>
    <row r="494" spans="17:28" x14ac:dyDescent="0.2">
      <c r="Q494" s="141"/>
      <c r="T494" s="141"/>
      <c r="U494" s="162"/>
      <c r="X494" s="183" t="str">
        <f t="shared" si="14"/>
        <v>1D</v>
      </c>
      <c r="Y494" s="181">
        <f>_xll.qlCalendarAdvance(Calendar,Y493,X494,"f",FALSE)</f>
        <v>42587</v>
      </c>
      <c r="Z494" s="184">
        <f>_xll.qlCalendarAdvance(Calendar,Y494,NDays&amp;"D")</f>
        <v>42587</v>
      </c>
      <c r="AA494" s="185">
        <v>3.1812152933379231E-2</v>
      </c>
      <c r="AB494" s="182">
        <v>3.1227351649929517E-2</v>
      </c>
    </row>
    <row r="495" spans="17:28" x14ac:dyDescent="0.2">
      <c r="Q495" s="141"/>
      <c r="T495" s="141"/>
      <c r="U495" s="162"/>
      <c r="X495" s="183" t="str">
        <f t="shared" si="14"/>
        <v>1D</v>
      </c>
      <c r="Y495" s="181">
        <f>_xll.qlCalendarAdvance(Calendar,Y494,X495,"f",FALSE)</f>
        <v>42590</v>
      </c>
      <c r="Z495" s="184">
        <f>_xll.qlCalendarAdvance(Calendar,Y495,NDays&amp;"D")</f>
        <v>42590</v>
      </c>
      <c r="AA495" s="185">
        <v>3.1829735381770641E-2</v>
      </c>
      <c r="AB495" s="182">
        <v>3.1245035017501976E-2</v>
      </c>
    </row>
    <row r="496" spans="17:28" x14ac:dyDescent="0.2">
      <c r="Q496" s="141"/>
      <c r="T496" s="141"/>
      <c r="U496" s="162"/>
      <c r="X496" s="183" t="str">
        <f t="shared" si="14"/>
        <v>1D</v>
      </c>
      <c r="Y496" s="181">
        <f>_xll.qlCalendarAdvance(Calendar,Y495,X496,"f",FALSE)</f>
        <v>42591</v>
      </c>
      <c r="Z496" s="184">
        <f>_xll.qlCalendarAdvance(Calendar,Y496,NDays&amp;"D")</f>
        <v>42591</v>
      </c>
      <c r="AA496" s="185">
        <v>3.1839908483753454E-2</v>
      </c>
      <c r="AB496" s="182">
        <v>3.1255205556045551E-2</v>
      </c>
    </row>
    <row r="497" spans="17:28" x14ac:dyDescent="0.2">
      <c r="Q497" s="141"/>
      <c r="T497" s="141"/>
      <c r="U497" s="162"/>
      <c r="X497" s="183" t="str">
        <f t="shared" si="14"/>
        <v>1D</v>
      </c>
      <c r="Y497" s="181">
        <f>_xll.qlCalendarAdvance(Calendar,Y496,X497,"f",FALSE)</f>
        <v>42592</v>
      </c>
      <c r="Z497" s="184">
        <f>_xll.qlCalendarAdvance(Calendar,Y497,NDays&amp;"D")</f>
        <v>42592</v>
      </c>
      <c r="AA497" s="185">
        <v>3.1850081598477277E-2</v>
      </c>
      <c r="AB497" s="182">
        <v>3.1265372030685468E-2</v>
      </c>
    </row>
    <row r="498" spans="17:28" x14ac:dyDescent="0.2">
      <c r="Q498" s="141"/>
      <c r="T498" s="141"/>
      <c r="U498" s="162"/>
      <c r="X498" s="183" t="str">
        <f t="shared" si="14"/>
        <v>1D</v>
      </c>
      <c r="Y498" s="181">
        <f>_xll.qlCalendarAdvance(Calendar,Y497,X498,"f",FALSE)</f>
        <v>42593</v>
      </c>
      <c r="Z498" s="184">
        <f>_xll.qlCalendarAdvance(Calendar,Y498,NDays&amp;"D")</f>
        <v>42593</v>
      </c>
      <c r="AA498" s="185">
        <v>3.1860254801560926E-2</v>
      </c>
      <c r="AB498" s="182">
        <v>3.127553444134068E-2</v>
      </c>
    </row>
    <row r="499" spans="17:28" x14ac:dyDescent="0.2">
      <c r="Q499" s="141"/>
      <c r="T499" s="141"/>
      <c r="U499" s="162"/>
      <c r="X499" s="183" t="str">
        <f t="shared" si="14"/>
        <v>1D</v>
      </c>
      <c r="Y499" s="181">
        <f>_xll.qlCalendarAdvance(Calendar,Y498,X499,"f",FALSE)</f>
        <v>42594</v>
      </c>
      <c r="Z499" s="184">
        <f>_xll.qlCalendarAdvance(Calendar,Y499,NDays&amp;"D")</f>
        <v>42594</v>
      </c>
      <c r="AA499" s="185">
        <v>3.1883389919439974E-2</v>
      </c>
      <c r="AB499" s="182">
        <v>3.1298529162715104E-2</v>
      </c>
    </row>
    <row r="500" spans="17:28" x14ac:dyDescent="0.2">
      <c r="Q500" s="141"/>
      <c r="T500" s="141"/>
      <c r="U500" s="162"/>
      <c r="X500" s="183" t="str">
        <f t="shared" si="14"/>
        <v>1D</v>
      </c>
      <c r="Y500" s="181">
        <f>_xll.qlCalendarAdvance(Calendar,Y499,X500,"f",FALSE)</f>
        <v>42597</v>
      </c>
      <c r="Z500" s="184">
        <f>_xll.qlCalendarAdvance(Calendar,Y500,NDays&amp;"D")</f>
        <v>42597</v>
      </c>
      <c r="AA500" s="185">
        <v>3.1900950009872885E-2</v>
      </c>
      <c r="AB500" s="182">
        <v>3.1316143444843902E-2</v>
      </c>
    </row>
    <row r="501" spans="17:28" x14ac:dyDescent="0.2">
      <c r="Q501" s="141"/>
      <c r="T501" s="141"/>
      <c r="U501" s="162"/>
      <c r="X501" s="183" t="str">
        <f t="shared" si="14"/>
        <v>1D</v>
      </c>
      <c r="Y501" s="181">
        <f>_xll.qlCalendarAdvance(Calendar,Y500,X501,"f",FALSE)</f>
        <v>42598</v>
      </c>
      <c r="Z501" s="184">
        <f>_xll.qlCalendarAdvance(Calendar,Y501,NDays&amp;"D")</f>
        <v>42598</v>
      </c>
      <c r="AA501" s="185">
        <v>3.1911124789047701E-2</v>
      </c>
      <c r="AB501" s="182">
        <v>3.1326285535899778E-2</v>
      </c>
    </row>
    <row r="502" spans="17:28" x14ac:dyDescent="0.2">
      <c r="Q502" s="141"/>
      <c r="T502" s="141"/>
      <c r="U502" s="162"/>
      <c r="X502" s="183" t="str">
        <f t="shared" si="14"/>
        <v>1D</v>
      </c>
      <c r="Y502" s="181">
        <f>_xll.qlCalendarAdvance(Calendar,Y501,X502,"f",FALSE)</f>
        <v>42599</v>
      </c>
      <c r="Z502" s="184">
        <f>_xll.qlCalendarAdvance(Calendar,Y502,NDays&amp;"D")</f>
        <v>42599</v>
      </c>
      <c r="AA502" s="185">
        <v>3.1921300110305854E-2</v>
      </c>
      <c r="AB502" s="182">
        <v>3.1336423563051996E-2</v>
      </c>
    </row>
    <row r="503" spans="17:28" x14ac:dyDescent="0.2">
      <c r="Q503" s="141"/>
      <c r="T503" s="141"/>
      <c r="U503" s="162"/>
      <c r="X503" s="183" t="str">
        <f t="shared" si="14"/>
        <v>1D</v>
      </c>
      <c r="Y503" s="181">
        <f>_xll.qlCalendarAdvance(Calendar,Y502,X503,"f",FALSE)</f>
        <v>42600</v>
      </c>
      <c r="Z503" s="184">
        <f>_xll.qlCalendarAdvance(Calendar,Y503,NDays&amp;"D")</f>
        <v>42600</v>
      </c>
      <c r="AA503" s="185">
        <v>3.1931476049267923E-2</v>
      </c>
      <c r="AB503" s="182">
        <v>3.134655752621951E-2</v>
      </c>
    </row>
    <row r="504" spans="17:28" x14ac:dyDescent="0.2">
      <c r="Q504" s="141"/>
      <c r="T504" s="141"/>
      <c r="U504" s="162"/>
      <c r="X504" s="183" t="str">
        <f t="shared" si="14"/>
        <v>1D</v>
      </c>
      <c r="Y504" s="181">
        <f>_xll.qlCalendarAdvance(Calendar,Y503,X504,"f",FALSE)</f>
        <v>42601</v>
      </c>
      <c r="Z504" s="184">
        <f>_xll.qlCalendarAdvance(Calendar,Y504,NDays&amp;"D")</f>
        <v>42601</v>
      </c>
      <c r="AA504" s="185">
        <v>3.1954641435787461E-2</v>
      </c>
      <c r="AB504" s="182">
        <v>3.1369507536386974E-2</v>
      </c>
    </row>
    <row r="505" spans="17:28" x14ac:dyDescent="0.2">
      <c r="Q505" s="141"/>
      <c r="T505" s="141"/>
      <c r="U505" s="162"/>
      <c r="X505" s="183" t="str">
        <f t="shared" si="14"/>
        <v>1D</v>
      </c>
      <c r="Y505" s="181">
        <f>_xll.qlCalendarAdvance(Calendar,Y504,X505,"f",FALSE)</f>
        <v>42604</v>
      </c>
      <c r="Z505" s="184">
        <f>_xll.qlCalendarAdvance(Calendar,Y505,NDays&amp;"D")</f>
        <v>42604</v>
      </c>
      <c r="AA505" s="185">
        <v>3.1972187494668389E-2</v>
      </c>
      <c r="AB505" s="182">
        <v>3.1387052739609844E-2</v>
      </c>
    </row>
    <row r="506" spans="17:28" x14ac:dyDescent="0.2">
      <c r="Q506" s="141"/>
      <c r="T506" s="141"/>
      <c r="U506" s="162"/>
      <c r="X506" s="183" t="str">
        <f t="shared" si="14"/>
        <v>1D</v>
      </c>
      <c r="Y506" s="181">
        <f>_xll.qlCalendarAdvance(Calendar,Y505,X506,"f",FALSE)</f>
        <v>42605</v>
      </c>
      <c r="Z506" s="184">
        <f>_xll.qlCalendarAdvance(Calendar,Y506,NDays&amp;"D")</f>
        <v>42605</v>
      </c>
      <c r="AA506" s="185">
        <v>3.1982367656534588E-2</v>
      </c>
      <c r="AB506" s="182">
        <v>3.1397166383096975E-2</v>
      </c>
    </row>
    <row r="507" spans="17:28" x14ac:dyDescent="0.2">
      <c r="Q507" s="141"/>
      <c r="T507" s="141"/>
      <c r="U507" s="162"/>
      <c r="X507" s="183" t="str">
        <f t="shared" si="14"/>
        <v>1D</v>
      </c>
      <c r="Y507" s="181">
        <f>_xll.qlCalendarAdvance(Calendar,Y506,X507,"f",FALSE)</f>
        <v>42606</v>
      </c>
      <c r="Z507" s="184">
        <f>_xll.qlCalendarAdvance(Calendar,Y507,NDays&amp;"D")</f>
        <v>42606</v>
      </c>
      <c r="AA507" s="185">
        <v>3.1992548889862568E-2</v>
      </c>
      <c r="AB507" s="182">
        <v>3.1407275962680448E-2</v>
      </c>
    </row>
    <row r="508" spans="17:28" x14ac:dyDescent="0.2">
      <c r="Q508" s="141"/>
      <c r="T508" s="141"/>
      <c r="U508" s="162"/>
      <c r="X508" s="183" t="str">
        <f t="shared" si="14"/>
        <v>1D</v>
      </c>
      <c r="Y508" s="181">
        <f>_xll.qlCalendarAdvance(Calendar,Y507,X508,"f",FALSE)</f>
        <v>42607</v>
      </c>
      <c r="Z508" s="184">
        <f>_xll.qlCalendarAdvance(Calendar,Y508,NDays&amp;"D")</f>
        <v>42607</v>
      </c>
      <c r="AA508" s="185">
        <v>3.2002731270279083E-2</v>
      </c>
      <c r="AB508" s="182">
        <v>3.1417381478360262E-2</v>
      </c>
    </row>
    <row r="509" spans="17:28" x14ac:dyDescent="0.2">
      <c r="Q509" s="141"/>
      <c r="T509" s="141"/>
      <c r="U509" s="162"/>
      <c r="X509" s="183" t="str">
        <f t="shared" si="14"/>
        <v>1D</v>
      </c>
      <c r="Y509" s="181">
        <f>_xll.qlCalendarAdvance(Calendar,Y508,X509,"f",FALSE)</f>
        <v>42608</v>
      </c>
      <c r="Z509" s="184">
        <f>_xll.qlCalendarAdvance(Calendar,Y509,NDays&amp;"D")</f>
        <v>42608</v>
      </c>
      <c r="AA509" s="185">
        <v>3.2025932873709327E-2</v>
      </c>
      <c r="AB509" s="182">
        <v>3.144028677062094E-2</v>
      </c>
    </row>
    <row r="510" spans="17:28" x14ac:dyDescent="0.2">
      <c r="Q510" s="141"/>
      <c r="T510" s="141"/>
      <c r="U510" s="162"/>
      <c r="X510" s="183" t="str">
        <f t="shared" si="14"/>
        <v>1D</v>
      </c>
      <c r="Y510" s="181">
        <f>_xll.qlCalendarAdvance(Calendar,Y509,X510,"f",FALSE)</f>
        <v>42611</v>
      </c>
      <c r="Z510" s="184">
        <f>_xll.qlCalendarAdvance(Calendar,Y510,NDays&amp;"D")</f>
        <v>42611</v>
      </c>
      <c r="AA510" s="185">
        <v>3.2043473775441284E-2</v>
      </c>
      <c r="AB510" s="182">
        <v>3.1457762901556663E-2</v>
      </c>
    </row>
    <row r="511" spans="17:28" x14ac:dyDescent="0.2">
      <c r="Q511" s="141"/>
      <c r="T511" s="141"/>
      <c r="U511" s="162"/>
      <c r="X511" s="183" t="str">
        <f t="shared" si="14"/>
        <v>1D</v>
      </c>
      <c r="Y511" s="181">
        <f>_xll.qlCalendarAdvance(Calendar,Y510,X511,"f",FALSE)</f>
        <v>42612</v>
      </c>
      <c r="Z511" s="184">
        <f>_xll.qlCalendarAdvance(Calendar,Y511,NDays&amp;"D")</f>
        <v>42612</v>
      </c>
      <c r="AA511" s="185">
        <v>3.2053663025762527E-2</v>
      </c>
      <c r="AB511" s="182">
        <v>3.1467848097556095E-2</v>
      </c>
    </row>
    <row r="512" spans="17:28" x14ac:dyDescent="0.2">
      <c r="Q512" s="141"/>
      <c r="T512" s="141"/>
      <c r="U512" s="162"/>
      <c r="X512" s="183" t="str">
        <f t="shared" si="14"/>
        <v>1D</v>
      </c>
      <c r="Y512" s="181">
        <f>_xll.qlCalendarAdvance(Calendar,Y511,X512,"f",FALSE)</f>
        <v>42613</v>
      </c>
      <c r="Z512" s="184">
        <f>_xll.qlCalendarAdvance(Calendar,Y512,NDays&amp;"D")</f>
        <v>42613</v>
      </c>
      <c r="AA512" s="185">
        <v>3.2057336784215143E-2</v>
      </c>
      <c r="AB512" s="182">
        <v>3.1477929229570822E-2</v>
      </c>
    </row>
    <row r="513" spans="17:28" x14ac:dyDescent="0.2">
      <c r="Q513" s="141"/>
      <c r="T513" s="141"/>
      <c r="U513" s="162"/>
      <c r="X513" s="183" t="str">
        <f t="shared" si="14"/>
        <v>1D</v>
      </c>
      <c r="Y513" s="181">
        <f>_xll.qlCalendarAdvance(Calendar,Y512,X513,"f",FALSE)</f>
        <v>42614</v>
      </c>
      <c r="Z513" s="184">
        <f>_xll.qlCalendarAdvance(Calendar,Y513,NDays&amp;"D")</f>
        <v>42614</v>
      </c>
      <c r="AA513" s="185">
        <v>3.2067527076889243E-2</v>
      </c>
      <c r="AB513" s="182">
        <v>3.1488006297600846E-2</v>
      </c>
    </row>
    <row r="514" spans="17:28" x14ac:dyDescent="0.2">
      <c r="Q514" s="141"/>
      <c r="T514" s="141"/>
      <c r="U514" s="162"/>
      <c r="X514" s="183" t="str">
        <f t="shared" si="14"/>
        <v>1D</v>
      </c>
      <c r="Y514" s="181">
        <f>_xll.qlCalendarAdvance(Calendar,Y513,X514,"f",FALSE)</f>
        <v>42615</v>
      </c>
      <c r="Z514" s="184">
        <f>_xll.qlCalendarAdvance(Calendar,Y514,NDays&amp;"D")</f>
        <v>42615</v>
      </c>
      <c r="AA514" s="185">
        <v>3.2077719108801396E-2</v>
      </c>
      <c r="AB514" s="182">
        <v>3.1510866865065809E-2</v>
      </c>
    </row>
    <row r="515" spans="17:28" x14ac:dyDescent="0.2">
      <c r="Q515" s="141"/>
      <c r="T515" s="141"/>
      <c r="U515" s="162"/>
      <c r="X515" s="183" t="str">
        <f t="shared" si="14"/>
        <v>1D</v>
      </c>
      <c r="Y515" s="181">
        <f>_xll.qlCalendarAdvance(Calendar,Y514,X515,"f",FALSE)</f>
        <v>42618</v>
      </c>
      <c r="Z515" s="184">
        <f>_xll.qlCalendarAdvance(Calendar,Y515,NDays&amp;"D")</f>
        <v>42618</v>
      </c>
      <c r="AA515" s="185">
        <v>3.2108306404559403E-2</v>
      </c>
      <c r="AB515" s="182">
        <v>3.1528273930603312E-2</v>
      </c>
    </row>
    <row r="516" spans="17:28" x14ac:dyDescent="0.2">
      <c r="Q516" s="141"/>
      <c r="T516" s="141"/>
      <c r="U516" s="162"/>
      <c r="X516" s="183" t="str">
        <f t="shared" si="14"/>
        <v>1D</v>
      </c>
      <c r="Y516" s="181">
        <f>_xll.qlCalendarAdvance(Calendar,Y515,X516,"f",FALSE)</f>
        <v>42619</v>
      </c>
      <c r="Z516" s="184">
        <f>_xll.qlCalendarAdvance(Calendar,Y516,NDays&amp;"D")</f>
        <v>42619</v>
      </c>
      <c r="AA516" s="185">
        <v>3.2118506158023252E-2</v>
      </c>
      <c r="AB516" s="182">
        <v>3.1538330679033999E-2</v>
      </c>
    </row>
    <row r="517" spans="17:28" x14ac:dyDescent="0.2">
      <c r="Q517" s="141"/>
      <c r="T517" s="141"/>
      <c r="U517" s="162"/>
      <c r="X517" s="183" t="str">
        <f t="shared" si="14"/>
        <v>1D</v>
      </c>
      <c r="Y517" s="181">
        <f>_xll.qlCalendarAdvance(Calendar,Y516,X517,"f",FALSE)</f>
        <v>42620</v>
      </c>
      <c r="Z517" s="184">
        <f>_xll.qlCalendarAdvance(Calendar,Y517,NDays&amp;"D")</f>
        <v>42620</v>
      </c>
      <c r="AA517" s="185">
        <v>3.2128708033029356E-2</v>
      </c>
      <c r="AB517" s="182">
        <v>3.1548383363479982E-2</v>
      </c>
    </row>
    <row r="518" spans="17:28" x14ac:dyDescent="0.2">
      <c r="Q518" s="141"/>
      <c r="T518" s="141"/>
      <c r="U518" s="162"/>
      <c r="X518" s="183" t="str">
        <f t="shared" si="14"/>
        <v>1D</v>
      </c>
      <c r="Y518" s="181">
        <f>_xll.qlCalendarAdvance(Calendar,Y517,X518,"f",FALSE)</f>
        <v>42621</v>
      </c>
      <c r="Z518" s="184">
        <f>_xll.qlCalendarAdvance(Calendar,Y518,NDays&amp;"D")</f>
        <v>42621</v>
      </c>
      <c r="AA518" s="185">
        <v>3.2138912106042666E-2</v>
      </c>
      <c r="AB518" s="182">
        <v>3.1558431984022306E-2</v>
      </c>
    </row>
    <row r="519" spans="17:28" x14ac:dyDescent="0.2">
      <c r="Q519" s="141"/>
      <c r="T519" s="141"/>
      <c r="U519" s="162"/>
      <c r="X519" s="183" t="str">
        <f t="shared" si="14"/>
        <v>1D</v>
      </c>
      <c r="Y519" s="181">
        <f>_xll.qlCalendarAdvance(Calendar,Y518,X519,"f",FALSE)</f>
        <v>42622</v>
      </c>
      <c r="Z519" s="184">
        <f>_xll.qlCalendarAdvance(Calendar,Y519,NDays&amp;"D")</f>
        <v>42622</v>
      </c>
      <c r="AA519" s="185">
        <v>3.2149118453526325E-2</v>
      </c>
      <c r="AB519" s="182">
        <v>3.158124781937037E-2</v>
      </c>
    </row>
    <row r="520" spans="17:28" x14ac:dyDescent="0.2">
      <c r="Q520" s="141"/>
      <c r="T520" s="141"/>
      <c r="U520" s="162"/>
      <c r="X520" s="183" t="str">
        <f t="shared" si="14"/>
        <v>1D</v>
      </c>
      <c r="Y520" s="181">
        <f>_xll.qlCalendarAdvance(Calendar,Y519,X520,"f",FALSE)</f>
        <v>42625</v>
      </c>
      <c r="Z520" s="184">
        <f>_xll.qlCalendarAdvance(Calendar,Y520,NDays&amp;"D")</f>
        <v>42625</v>
      </c>
      <c r="AA520" s="185">
        <v>3.2179751907449726E-2</v>
      </c>
      <c r="AB520" s="182">
        <v>3.1598585826749792E-2</v>
      </c>
    </row>
    <row r="521" spans="17:28" x14ac:dyDescent="0.2">
      <c r="Q521" s="141"/>
      <c r="T521" s="141"/>
      <c r="U521" s="162"/>
      <c r="X521" s="183" t="str">
        <f t="shared" si="14"/>
        <v>1D</v>
      </c>
      <c r="Y521" s="181">
        <f>_xll.qlCalendarAdvance(Calendar,Y520,X521,"f",FALSE)</f>
        <v>42626</v>
      </c>
      <c r="Z521" s="184">
        <f>_xll.qlCalendarAdvance(Calendar,Y521,NDays&amp;"D")</f>
        <v>42626</v>
      </c>
      <c r="AA521" s="185">
        <v>3.2189968117471331E-2</v>
      </c>
      <c r="AB521" s="182">
        <v>3.1608614127530688E-2</v>
      </c>
    </row>
    <row r="522" spans="17:28" x14ac:dyDescent="0.2">
      <c r="Q522" s="141"/>
      <c r="T522" s="141"/>
      <c r="U522" s="162"/>
      <c r="X522" s="183" t="str">
        <f t="shared" si="14"/>
        <v>1D</v>
      </c>
      <c r="Y522" s="181">
        <f>_xll.qlCalendarAdvance(Calendar,Y521,X522,"f",FALSE)</f>
        <v>42627</v>
      </c>
      <c r="Z522" s="184">
        <f>_xll.qlCalendarAdvance(Calendar,Y522,NDays&amp;"D")</f>
        <v>42627</v>
      </c>
      <c r="AA522" s="185">
        <v>3.2200186984295109E-2</v>
      </c>
      <c r="AB522" s="182">
        <v>3.1618638364407925E-2</v>
      </c>
    </row>
    <row r="523" spans="17:28" x14ac:dyDescent="0.2">
      <c r="Q523" s="141"/>
      <c r="T523" s="141"/>
      <c r="U523" s="162"/>
      <c r="X523" s="183" t="str">
        <f t="shared" si="14"/>
        <v>1D</v>
      </c>
      <c r="Y523" s="181">
        <f>_xll.qlCalendarAdvance(Calendar,Y522,X523,"f",FALSE)</f>
        <v>42628</v>
      </c>
      <c r="Z523" s="184">
        <f>_xll.qlCalendarAdvance(Calendar,Y523,NDays&amp;"D")</f>
        <v>42628</v>
      </c>
      <c r="AA523" s="185">
        <v>3.2210408584390463E-2</v>
      </c>
      <c r="AB523" s="182">
        <v>3.1628658537381504E-2</v>
      </c>
    </row>
    <row r="524" spans="17:28" x14ac:dyDescent="0.2">
      <c r="Q524" s="141"/>
      <c r="T524" s="141"/>
      <c r="U524" s="162"/>
      <c r="X524" s="183" t="str">
        <f t="shared" si="14"/>
        <v>1D</v>
      </c>
      <c r="Y524" s="181">
        <f>_xll.qlCalendarAdvance(Calendar,Y523,X524,"f",FALSE)</f>
        <v>42629</v>
      </c>
      <c r="Z524" s="184">
        <f>_xll.qlCalendarAdvance(Calendar,Y524,NDays&amp;"D")</f>
        <v>42629</v>
      </c>
      <c r="AA524" s="185">
        <v>3.2220632994226776E-2</v>
      </c>
      <c r="AB524" s="182">
        <v>3.1651439988007457E-2</v>
      </c>
    </row>
    <row r="525" spans="17:28" x14ac:dyDescent="0.2">
      <c r="Q525" s="141"/>
      <c r="T525" s="141"/>
      <c r="U525" s="162"/>
      <c r="X525" s="183" t="str">
        <f t="shared" si="14"/>
        <v>1D</v>
      </c>
      <c r="Y525" s="181">
        <f>_xll.qlCalendarAdvance(Calendar,Y524,X525,"f",FALSE)</f>
        <v>42632</v>
      </c>
      <c r="Z525" s="184">
        <f>_xll.qlCalendarAdvance(Calendar,Y525,NDays&amp;"D")</f>
        <v>42632</v>
      </c>
      <c r="AA525" s="185">
        <v>3.2251323502867794E-2</v>
      </c>
      <c r="AB525" s="182">
        <v>3.1668741152098834E-2</v>
      </c>
    </row>
    <row r="526" spans="17:28" x14ac:dyDescent="0.2">
      <c r="Q526" s="141"/>
      <c r="T526" s="141"/>
      <c r="U526" s="162"/>
      <c r="X526" s="183" t="str">
        <f t="shared" si="14"/>
        <v>1D</v>
      </c>
      <c r="Y526" s="181">
        <f>_xll.qlCalendarAdvance(Calendar,Y525,X526,"f",FALSE)</f>
        <v>42633</v>
      </c>
      <c r="Z526" s="184">
        <f>_xll.qlCalendarAdvance(Calendar,Y526,NDays&amp;"D")</f>
        <v>42633</v>
      </c>
      <c r="AA526" s="185">
        <v>3.2261559444938824E-2</v>
      </c>
      <c r="AB526" s="182">
        <v>3.1678768613402353E-2</v>
      </c>
    </row>
    <row r="527" spans="17:28" x14ac:dyDescent="0.2">
      <c r="Q527" s="141"/>
      <c r="T527" s="141"/>
      <c r="U527" s="162"/>
      <c r="X527" s="183" t="str">
        <f t="shared" si="14"/>
        <v>1D</v>
      </c>
      <c r="Y527" s="181">
        <f>_xll.qlCalendarAdvance(Calendar,Y526,X527,"f",FALSE)</f>
        <v>42634</v>
      </c>
      <c r="Z527" s="184">
        <f>_xll.qlCalendarAdvance(Calendar,Y527,NDays&amp;"D")</f>
        <v>42634</v>
      </c>
      <c r="AA527" s="185">
        <v>3.2271798273309268E-2</v>
      </c>
      <c r="AB527" s="182">
        <v>3.1688798912784533E-2</v>
      </c>
    </row>
    <row r="528" spans="17:28" x14ac:dyDescent="0.2">
      <c r="Q528" s="141"/>
      <c r="T528" s="141"/>
      <c r="U528" s="162"/>
      <c r="X528" s="183" t="str">
        <f t="shared" si="14"/>
        <v>1D</v>
      </c>
      <c r="Y528" s="181">
        <f>_xll.qlCalendarAdvance(Calendar,Y527,X528,"f",FALSE)</f>
        <v>42635</v>
      </c>
      <c r="Z528" s="184">
        <f>_xll.qlCalendarAdvance(Calendar,Y528,NDays&amp;"D")</f>
        <v>42635</v>
      </c>
      <c r="AA528" s="185">
        <v>3.2282039987999611E-2</v>
      </c>
      <c r="AB528" s="182">
        <v>3.1698832050245374E-2</v>
      </c>
    </row>
    <row r="529" spans="17:28" x14ac:dyDescent="0.2">
      <c r="Q529" s="141"/>
      <c r="T529" s="141"/>
      <c r="U529" s="162"/>
      <c r="X529" s="183" t="str">
        <f t="shared" si="14"/>
        <v>1D</v>
      </c>
      <c r="Y529" s="181">
        <f>_xll.qlCalendarAdvance(Calendar,Y528,X529,"f",FALSE)</f>
        <v>42636</v>
      </c>
      <c r="Z529" s="184">
        <f>_xll.qlCalendarAdvance(Calendar,Y529,NDays&amp;"D")</f>
        <v>42636</v>
      </c>
      <c r="AA529" s="185">
        <v>3.2292284589032126E-2</v>
      </c>
      <c r="AB529" s="182">
        <v>3.1721664273691719E-2</v>
      </c>
    </row>
    <row r="530" spans="17:28" x14ac:dyDescent="0.2">
      <c r="Q530" s="141"/>
      <c r="T530" s="141"/>
      <c r="U530" s="162"/>
      <c r="X530" s="183" t="str">
        <f t="shared" si="14"/>
        <v>1D</v>
      </c>
      <c r="Y530" s="181">
        <f>_xll.qlCalendarAdvance(Calendar,Y529,X530,"f",FALSE)</f>
        <v>42639</v>
      </c>
      <c r="Z530" s="184">
        <f>_xll.qlCalendarAdvance(Calendar,Y530,NDays&amp;"D")</f>
        <v>42639</v>
      </c>
      <c r="AA530" s="185">
        <v>3.2336192451345412E-2</v>
      </c>
      <c r="AB530" s="182">
        <v>3.1738992980794301E-2</v>
      </c>
    </row>
    <row r="531" spans="17:28" x14ac:dyDescent="0.2">
      <c r="Q531" s="141"/>
      <c r="T531" s="141"/>
      <c r="U531" s="162"/>
      <c r="X531" s="183" t="str">
        <f t="shared" si="14"/>
        <v>1D</v>
      </c>
      <c r="Y531" s="181">
        <f>_xll.qlCalendarAdvance(Calendar,Y530,X531,"f",FALSE)</f>
        <v>42640</v>
      </c>
      <c r="Z531" s="184">
        <f>_xll.qlCalendarAdvance(Calendar,Y531,NDays&amp;"D")</f>
        <v>42640</v>
      </c>
      <c r="AA531" s="185">
        <v>3.2339871599369206E-2</v>
      </c>
      <c r="AB531" s="182">
        <v>3.1749040308648446E-2</v>
      </c>
    </row>
    <row r="532" spans="17:28" x14ac:dyDescent="0.2">
      <c r="Q532" s="141"/>
      <c r="T532" s="141"/>
      <c r="U532" s="162"/>
      <c r="X532" s="183" t="str">
        <f t="shared" si="14"/>
        <v>1D</v>
      </c>
      <c r="Y532" s="181">
        <f>_xll.qlCalendarAdvance(Calendar,Y531,X532,"f",FALSE)</f>
        <v>42641</v>
      </c>
      <c r="Z532" s="184">
        <f>_xll.qlCalendarAdvance(Calendar,Y532,NDays&amp;"D")</f>
        <v>42641</v>
      </c>
      <c r="AA532" s="185">
        <v>3.2343550890090444E-2</v>
      </c>
      <c r="AB532" s="182">
        <v>3.1759090474581253E-2</v>
      </c>
    </row>
    <row r="533" spans="17:28" x14ac:dyDescent="0.2">
      <c r="Q533" s="141"/>
      <c r="T533" s="141"/>
      <c r="U533" s="162"/>
      <c r="X533" s="183" t="str">
        <f t="shared" ref="X533:X596" si="15">X532</f>
        <v>1D</v>
      </c>
      <c r="Y533" s="181">
        <f>_xll.qlCalendarAdvance(Calendar,Y532,X533,"f",FALSE)</f>
        <v>42642</v>
      </c>
      <c r="Z533" s="184">
        <f>_xll.qlCalendarAdvance(Calendar,Y533,NDays&amp;"D")</f>
        <v>42642</v>
      </c>
      <c r="AA533" s="185">
        <v>3.2353812809634626E-2</v>
      </c>
      <c r="AB533" s="182">
        <v>3.1769143478592721E-2</v>
      </c>
    </row>
    <row r="534" spans="17:28" x14ac:dyDescent="0.2">
      <c r="Q534" s="141"/>
      <c r="T534" s="141"/>
      <c r="U534" s="162"/>
      <c r="X534" s="183" t="str">
        <f t="shared" si="15"/>
        <v>1D</v>
      </c>
      <c r="Y534" s="181">
        <f>_xll.qlCalendarAdvance(Calendar,Y533,X534,"f",FALSE)</f>
        <v>42643</v>
      </c>
      <c r="Z534" s="184">
        <f>_xll.qlCalendarAdvance(Calendar,Y534,NDays&amp;"D")</f>
        <v>42643</v>
      </c>
      <c r="AA534" s="185">
        <v>3.2364077615673267E-2</v>
      </c>
      <c r="AB534" s="182">
        <v>3.1798444708603657E-2</v>
      </c>
    </row>
    <row r="535" spans="17:28" x14ac:dyDescent="0.2">
      <c r="Q535" s="141"/>
      <c r="T535" s="141"/>
      <c r="U535" s="162"/>
      <c r="X535" s="183" t="str">
        <f t="shared" si="15"/>
        <v>1D</v>
      </c>
      <c r="Y535" s="181">
        <f>_xll.qlCalendarAdvance(Calendar,Y534,X535,"f",FALSE)</f>
        <v>42647</v>
      </c>
      <c r="Z535" s="184">
        <f>_xll.qlCalendarAdvance(Calendar,Y535,NDays&amp;"D")</f>
        <v>42647</v>
      </c>
      <c r="AA535" s="185">
        <v>3.2411761901390564E-2</v>
      </c>
      <c r="AB535" s="182">
        <v>3.1819451069667881E-2</v>
      </c>
    </row>
    <row r="536" spans="17:28" x14ac:dyDescent="0.2">
      <c r="Q536" s="141"/>
      <c r="T536" s="141"/>
      <c r="U536" s="162"/>
      <c r="X536" s="183" t="str">
        <f t="shared" si="15"/>
        <v>1D</v>
      </c>
      <c r="Y536" s="181">
        <f>_xll.qlCalendarAdvance(Calendar,Y535,X536,"f",FALSE)</f>
        <v>42648</v>
      </c>
      <c r="Z536" s="184">
        <f>_xll.qlCalendarAdvance(Calendar,Y536,NDays&amp;"D")</f>
        <v>42648</v>
      </c>
      <c r="AA536" s="185">
        <v>3.2422043492990792E-2</v>
      </c>
      <c r="AB536" s="182">
        <v>3.1829521102232361E-2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42655</v>
      </c>
      <c r="Z537" s="184">
        <f>_xll.qlCalendarAdvance(Calendar,Y537,NDays&amp;"D")</f>
        <v>42655</v>
      </c>
      <c r="AA537" s="185">
        <v>3.2494095476464729E-2</v>
      </c>
      <c r="AB537" s="182">
        <v>3.1900090795737857E-2</v>
      </c>
    </row>
    <row r="538" spans="17:28" x14ac:dyDescent="0.2">
      <c r="Q538" s="141"/>
      <c r="T538" s="141"/>
      <c r="U538" s="162"/>
      <c r="X538" s="183" t="str">
        <f t="shared" si="15"/>
        <v>1w</v>
      </c>
      <c r="Y538" s="181">
        <f>_xll.qlCalendarAdvance(Calendar,Y537,X538,"f",FALSE)</f>
        <v>42662</v>
      </c>
      <c r="Z538" s="184">
        <f>_xll.qlCalendarAdvance(Calendar,Y538,NDays&amp;"D")</f>
        <v>42662</v>
      </c>
      <c r="AA538" s="185">
        <v>3.2566288939352171E-2</v>
      </c>
      <c r="AB538" s="182">
        <v>3.1970799555259832E-2</v>
      </c>
    </row>
    <row r="539" spans="17:28" x14ac:dyDescent="0.2">
      <c r="Q539" s="141"/>
      <c r="T539" s="141"/>
      <c r="U539" s="162"/>
      <c r="X539" s="183" t="str">
        <f t="shared" si="15"/>
        <v>1w</v>
      </c>
      <c r="Y539" s="181">
        <f>_xll.qlCalendarAdvance(Calendar,Y538,X539,"f",FALSE)</f>
        <v>42669</v>
      </c>
      <c r="Z539" s="184">
        <f>_xll.qlCalendarAdvance(Calendar,Y539,NDays&amp;"D")</f>
        <v>42669</v>
      </c>
      <c r="AA539" s="185">
        <v>3.2645273946313329E-2</v>
      </c>
      <c r="AB539" s="182">
        <v>3.2041647380798288E-2</v>
      </c>
    </row>
    <row r="540" spans="17:28" x14ac:dyDescent="0.2">
      <c r="Q540" s="141"/>
      <c r="T540" s="141"/>
      <c r="U540" s="162"/>
      <c r="X540" s="183" t="str">
        <f t="shared" si="15"/>
        <v>1w</v>
      </c>
      <c r="Y540" s="181">
        <f>_xll.qlCalendarAdvance(Calendar,Y539,X540,"f",FALSE)</f>
        <v>42676</v>
      </c>
      <c r="Z540" s="184">
        <f>_xll.qlCalendarAdvance(Calendar,Y540,NDays&amp;"D")</f>
        <v>42676</v>
      </c>
      <c r="AA540" s="185">
        <v>3.2711100333831303E-2</v>
      </c>
      <c r="AB540" s="182">
        <v>3.2112634272515317E-2</v>
      </c>
    </row>
    <row r="541" spans="17:28" x14ac:dyDescent="0.2">
      <c r="Q541" s="141"/>
      <c r="T541" s="141"/>
      <c r="U541" s="162"/>
      <c r="X541" s="183" t="str">
        <f t="shared" si="15"/>
        <v>1w</v>
      </c>
      <c r="Y541" s="181">
        <f>_xll.qlCalendarAdvance(Calendar,Y540,X541,"f",FALSE)</f>
        <v>42683</v>
      </c>
      <c r="Z541" s="184">
        <f>_xll.qlCalendarAdvance(Calendar,Y541,NDays&amp;"D")</f>
        <v>42683</v>
      </c>
      <c r="AA541" s="185">
        <v>3.2783718280696691E-2</v>
      </c>
      <c r="AB541" s="182">
        <v>3.2183760230573011E-2</v>
      </c>
    </row>
    <row r="542" spans="17:28" x14ac:dyDescent="0.2">
      <c r="Q542" s="141"/>
      <c r="T542" s="141"/>
      <c r="U542" s="162"/>
      <c r="X542" s="183" t="str">
        <f t="shared" si="15"/>
        <v>1w</v>
      </c>
      <c r="Y542" s="181">
        <f>_xll.qlCalendarAdvance(Calendar,Y541,X542,"f",FALSE)</f>
        <v>42690</v>
      </c>
      <c r="Z542" s="184">
        <f>_xll.qlCalendarAdvance(Calendar,Y542,NDays&amp;"D")</f>
        <v>42690</v>
      </c>
      <c r="AA542" s="185">
        <v>3.2856477737519464E-2</v>
      </c>
      <c r="AB542" s="182">
        <v>3.2255025254890324E-2</v>
      </c>
    </row>
    <row r="543" spans="17:28" x14ac:dyDescent="0.2">
      <c r="Q543" s="141"/>
      <c r="T543" s="141"/>
      <c r="U543" s="162"/>
      <c r="X543" s="183" t="str">
        <f t="shared" si="15"/>
        <v>1w</v>
      </c>
      <c r="Y543" s="181">
        <f>_xll.qlCalendarAdvance(Calendar,Y542,X543,"f",FALSE)</f>
        <v>42697</v>
      </c>
      <c r="Z543" s="184">
        <f>_xll.qlCalendarAdvance(Calendar,Y543,NDays&amp;"D")</f>
        <v>42697</v>
      </c>
      <c r="AA543" s="185">
        <v>3.2929378711972594E-2</v>
      </c>
      <c r="AB543" s="182">
        <v>3.2326429345548302E-2</v>
      </c>
    </row>
    <row r="544" spans="17:28" x14ac:dyDescent="0.2">
      <c r="Q544" s="141"/>
      <c r="T544" s="141"/>
      <c r="U544" s="162"/>
      <c r="X544" s="183" t="str">
        <f t="shared" si="15"/>
        <v>1w</v>
      </c>
      <c r="Y544" s="181">
        <f>_xll.qlCalendarAdvance(Calendar,Y543,X544,"f",FALSE)</f>
        <v>42704</v>
      </c>
      <c r="Z544" s="184">
        <f>_xll.qlCalendarAdvance(Calendar,Y544,NDays&amp;"D")</f>
        <v>42704</v>
      </c>
      <c r="AA544" s="185">
        <v>3.2988960816829983E-2</v>
      </c>
      <c r="AB544" s="182">
        <v>3.2397972502709038E-2</v>
      </c>
    </row>
    <row r="545" spans="17:28" x14ac:dyDescent="0.2">
      <c r="Q545" s="141"/>
      <c r="T545" s="141"/>
      <c r="U545" s="162"/>
      <c r="X545" s="183" t="str">
        <f t="shared" si="15"/>
        <v>1w</v>
      </c>
      <c r="Y545" s="181">
        <f>_xll.qlCalendarAdvance(Calendar,Y544,X545,"f",FALSE)</f>
        <v>42711</v>
      </c>
      <c r="Z545" s="184">
        <f>_xll.qlCalendarAdvance(Calendar,Y545,NDays&amp;"D")</f>
        <v>42711</v>
      </c>
      <c r="AA545" s="185">
        <v>3.3062111444304931E-2</v>
      </c>
      <c r="AB545" s="182">
        <v>3.2469654726534625E-2</v>
      </c>
    </row>
    <row r="546" spans="17:28" x14ac:dyDescent="0.2">
      <c r="Q546" s="141"/>
      <c r="T546" s="141"/>
      <c r="U546" s="162"/>
      <c r="X546" s="183" t="str">
        <f t="shared" si="15"/>
        <v>1w</v>
      </c>
      <c r="Y546" s="181">
        <f>_xll.qlCalendarAdvance(Calendar,Y545,X546,"f",FALSE)</f>
        <v>42718</v>
      </c>
      <c r="Z546" s="184">
        <f>_xll.qlCalendarAdvance(Calendar,Y546,NDays&amp;"D")</f>
        <v>42718</v>
      </c>
      <c r="AA546" s="185">
        <v>3.313540355674148E-2</v>
      </c>
      <c r="AB546" s="182">
        <v>3.2541476016862969E-2</v>
      </c>
    </row>
    <row r="547" spans="17:28" x14ac:dyDescent="0.2">
      <c r="Q547" s="141"/>
      <c r="T547" s="141"/>
      <c r="U547" s="162"/>
      <c r="X547" s="183" t="str">
        <f t="shared" si="15"/>
        <v>1w</v>
      </c>
      <c r="Y547" s="181">
        <f>_xll.qlCalendarAdvance(Calendar,Y546,X547,"f",FALSE)</f>
        <v>42725</v>
      </c>
      <c r="Z547" s="184">
        <f>_xll.qlCalendarAdvance(Calendar,Y547,NDays&amp;"D")</f>
        <v>42725</v>
      </c>
      <c r="AA547" s="185">
        <v>3.320883716170215E-2</v>
      </c>
      <c r="AB547" s="182">
        <v>3.261343637393721E-2</v>
      </c>
    </row>
    <row r="548" spans="17:28" x14ac:dyDescent="0.2">
      <c r="Q548" s="141"/>
      <c r="T548" s="141"/>
      <c r="U548" s="162"/>
      <c r="X548" s="183" t="str">
        <f t="shared" si="15"/>
        <v>1w</v>
      </c>
      <c r="Y548" s="181">
        <f>_xll.qlCalendarAdvance(Calendar,Y547,X548,"f",FALSE)</f>
        <v>42732</v>
      </c>
      <c r="Z548" s="184">
        <f>_xll.qlCalendarAdvance(Calendar,Y548,NDays&amp;"D")</f>
        <v>42732</v>
      </c>
      <c r="AA548" s="185">
        <v>3.3282412266762963E-2</v>
      </c>
      <c r="AB548" s="182">
        <v>3.2685535797919441E-2</v>
      </c>
    </row>
    <row r="549" spans="17:28" x14ac:dyDescent="0.2">
      <c r="Q549" s="141"/>
      <c r="T549" s="141"/>
      <c r="U549" s="162"/>
      <c r="X549" s="183" t="str">
        <f t="shared" si="15"/>
        <v>1w</v>
      </c>
      <c r="Y549" s="181">
        <f>_xll.qlCalendarAdvance(Calendar,Y548,X549,"f",FALSE)</f>
        <v>42739</v>
      </c>
      <c r="Z549" s="184">
        <f>_xll.qlCalendarAdvance(Calendar,Y549,NDays&amp;"D")</f>
        <v>42739</v>
      </c>
      <c r="AA549" s="185">
        <v>3.3356128879515251E-2</v>
      </c>
      <c r="AB549" s="182">
        <v>3.2757774288728614E-2</v>
      </c>
    </row>
    <row r="550" spans="17:28" x14ac:dyDescent="0.2">
      <c r="Q550" s="141"/>
      <c r="T550" s="141"/>
      <c r="U550" s="162"/>
      <c r="X550" s="183" t="str">
        <f t="shared" si="15"/>
        <v>1w</v>
      </c>
      <c r="Y550" s="181">
        <f>_xll.qlCalendarAdvance(Calendar,Y549,X550,"f",FALSE)</f>
        <v>42746</v>
      </c>
      <c r="Z550" s="184">
        <f>_xll.qlCalendarAdvance(Calendar,Y550,NDays&amp;"D")</f>
        <v>42746</v>
      </c>
      <c r="AA550" s="185">
        <v>3.3429987007564763E-2</v>
      </c>
      <c r="AB550" s="182">
        <v>3.2830151846526823E-2</v>
      </c>
    </row>
    <row r="551" spans="17:28" x14ac:dyDescent="0.2">
      <c r="Q551" s="141"/>
      <c r="T551" s="141"/>
      <c r="U551" s="162"/>
      <c r="X551" s="183" t="str">
        <f t="shared" si="15"/>
        <v>1w</v>
      </c>
      <c r="Y551" s="181">
        <f>_xll.qlCalendarAdvance(Calendar,Y550,X551,"f",FALSE)</f>
        <v>42753</v>
      </c>
      <c r="Z551" s="184">
        <f>_xll.qlCalendarAdvance(Calendar,Y551,NDays&amp;"D")</f>
        <v>42753</v>
      </c>
      <c r="AA551" s="185">
        <v>3.3503986658531645E-2</v>
      </c>
      <c r="AB551" s="182">
        <v>3.2902668471395113E-2</v>
      </c>
    </row>
    <row r="552" spans="17:28" x14ac:dyDescent="0.2">
      <c r="Q552" s="141"/>
      <c r="T552" s="141"/>
      <c r="U552" s="162"/>
      <c r="X552" s="183" t="str">
        <f t="shared" si="15"/>
        <v>1w</v>
      </c>
      <c r="Y552" s="181">
        <f>_xll.qlCalendarAdvance(Calendar,Y551,X552,"f",FALSE)</f>
        <v>42760</v>
      </c>
      <c r="Z552" s="184">
        <f>_xll.qlCalendarAdvance(Calendar,Y552,NDays&amp;"D")</f>
        <v>42760</v>
      </c>
      <c r="AA552" s="185">
        <v>3.358499142925106E-2</v>
      </c>
      <c r="AB552" s="182">
        <v>3.2982009551938973E-2</v>
      </c>
    </row>
    <row r="553" spans="17:28" x14ac:dyDescent="0.2">
      <c r="Q553" s="141"/>
      <c r="T553" s="141"/>
      <c r="U553" s="162"/>
      <c r="X553" s="183" t="str">
        <f t="shared" si="15"/>
        <v>1w</v>
      </c>
      <c r="Y553" s="181">
        <f>_xll.qlCalendarAdvance(Calendar,Y552,X553,"f",FALSE)</f>
        <v>42767</v>
      </c>
      <c r="Z553" s="184">
        <f>_xll.qlCalendarAdvance(Calendar,Y553,NDays&amp;"D")</f>
        <v>42767</v>
      </c>
      <c r="AA553" s="185">
        <v>3.3645532079355646E-2</v>
      </c>
      <c r="AB553" s="182">
        <v>3.3048118922585079E-2</v>
      </c>
    </row>
    <row r="554" spans="17:28" x14ac:dyDescent="0.2">
      <c r="Q554" s="141"/>
      <c r="T554" s="141"/>
      <c r="U554" s="162"/>
      <c r="X554" s="183" t="str">
        <f t="shared" si="15"/>
        <v>1w</v>
      </c>
      <c r="Y554" s="181">
        <f>_xll.qlCalendarAdvance(Calendar,Y553,X554,"f",FALSE)</f>
        <v>42774</v>
      </c>
      <c r="Z554" s="184">
        <f>_xll.qlCalendarAdvance(Calendar,Y554,NDays&amp;"D")</f>
        <v>42774</v>
      </c>
      <c r="AA554" s="185">
        <v>3.3719939395197553E-2</v>
      </c>
      <c r="AB554" s="182">
        <v>3.3121052749068847E-2</v>
      </c>
    </row>
    <row r="555" spans="17:28" x14ac:dyDescent="0.2">
      <c r="Q555" s="141"/>
      <c r="T555" s="141"/>
      <c r="U555" s="162"/>
      <c r="X555" s="183" t="str">
        <f t="shared" si="15"/>
        <v>1w</v>
      </c>
      <c r="Y555" s="181">
        <f>_xll.qlCalendarAdvance(Calendar,Y554,X555,"f",FALSE)</f>
        <v>42781</v>
      </c>
      <c r="Z555" s="184">
        <f>_xll.qlCalendarAdvance(Calendar,Y555,NDays&amp;"D")</f>
        <v>42781</v>
      </c>
      <c r="AA555" s="185">
        <v>3.3794488235940001E-2</v>
      </c>
      <c r="AB555" s="182">
        <v>3.3194125643027927E-2</v>
      </c>
    </row>
    <row r="556" spans="17:28" x14ac:dyDescent="0.2">
      <c r="Q556" s="141"/>
      <c r="T556" s="141"/>
      <c r="U556" s="162"/>
      <c r="X556" s="183" t="str">
        <f t="shared" si="15"/>
        <v>1w</v>
      </c>
      <c r="Y556" s="181">
        <f>_xll.qlCalendarAdvance(Calendar,Y555,X556,"f",FALSE)</f>
        <v>42788</v>
      </c>
      <c r="Z556" s="184">
        <f>_xll.qlCalendarAdvance(Calendar,Y556,NDays&amp;"D")</f>
        <v>42788</v>
      </c>
      <c r="AA556" s="185">
        <v>3.3869178609190413E-2</v>
      </c>
      <c r="AB556" s="182">
        <v>3.3267337604381275E-2</v>
      </c>
    </row>
    <row r="557" spans="17:28" x14ac:dyDescent="0.2">
      <c r="Q557" s="141"/>
      <c r="T557" s="141"/>
      <c r="U557" s="162"/>
      <c r="X557" s="183" t="str">
        <f t="shared" si="15"/>
        <v>1w</v>
      </c>
      <c r="Y557" s="181">
        <f>_xll.qlCalendarAdvance(Calendar,Y556,X557,"f",FALSE)</f>
        <v>42795</v>
      </c>
      <c r="Z557" s="184">
        <f>_xll.qlCalendarAdvance(Calendar,Y557,NDays&amp;"D")</f>
        <v>42795</v>
      </c>
      <c r="AA557" s="185">
        <v>3.3964856038647594E-2</v>
      </c>
      <c r="AB557" s="182">
        <v>3.3340688633290982E-2</v>
      </c>
    </row>
    <row r="558" spans="17:28" x14ac:dyDescent="0.2">
      <c r="Q558" s="141"/>
      <c r="T558" s="141"/>
      <c r="U558" s="162"/>
      <c r="X558" s="183" t="str">
        <f t="shared" si="15"/>
        <v>1w</v>
      </c>
      <c r="Y558" s="181">
        <f>_xll.qlCalendarAdvance(Calendar,Y557,X558,"f",FALSE)</f>
        <v>42802</v>
      </c>
      <c r="Z558" s="184">
        <f>_xll.qlCalendarAdvance(Calendar,Y558,NDays&amp;"D")</f>
        <v>42802</v>
      </c>
      <c r="AA558" s="185">
        <v>3.403988070863688E-2</v>
      </c>
      <c r="AB558" s="182">
        <v>3.3414178729838095E-2</v>
      </c>
    </row>
    <row r="559" spans="17:28" x14ac:dyDescent="0.2">
      <c r="Q559" s="141"/>
      <c r="T559" s="141"/>
      <c r="U559" s="162"/>
      <c r="X559" s="183" t="str">
        <f t="shared" si="15"/>
        <v>1w</v>
      </c>
      <c r="Y559" s="181">
        <f>_xll.qlCalendarAdvance(Calendar,Y558,X559,"f",FALSE)</f>
        <v>42809</v>
      </c>
      <c r="Z559" s="184">
        <f>_xll.qlCalendarAdvance(Calendar,Y559,NDays&amp;"D")</f>
        <v>42809</v>
      </c>
      <c r="AA559" s="185">
        <v>3.4115047021081008E-2</v>
      </c>
      <c r="AB559" s="182">
        <v>3.3487807894184707E-2</v>
      </c>
    </row>
    <row r="560" spans="17:28" x14ac:dyDescent="0.2">
      <c r="Q560" s="141"/>
      <c r="T560" s="141"/>
      <c r="U560" s="162"/>
      <c r="X560" s="183" t="str">
        <f t="shared" si="15"/>
        <v>1w</v>
      </c>
      <c r="Y560" s="181">
        <f>_xll.qlCalendarAdvance(Calendar,Y559,X560,"f",FALSE)</f>
        <v>42816</v>
      </c>
      <c r="Z560" s="184">
        <f>_xll.qlCalendarAdvance(Calendar,Y560,NDays&amp;"D")</f>
        <v>42816</v>
      </c>
      <c r="AA560" s="185">
        <v>3.4190354983910182E-2</v>
      </c>
      <c r="AB560" s="182">
        <v>3.3561576126330817E-2</v>
      </c>
    </row>
    <row r="561" spans="17:28" x14ac:dyDescent="0.2">
      <c r="Q561" s="141"/>
      <c r="T561" s="141"/>
      <c r="U561" s="162"/>
      <c r="X561" s="183" t="str">
        <f t="shared" si="15"/>
        <v>1w</v>
      </c>
      <c r="Y561" s="181">
        <f>_xll.qlCalendarAdvance(Calendar,Y560,X561,"f",FALSE)</f>
        <v>42823</v>
      </c>
      <c r="Z561" s="184">
        <f>_xll.qlCalendarAdvance(Calendar,Y561,NDays&amp;"D")</f>
        <v>42823</v>
      </c>
      <c r="AA561" s="185">
        <v>3.4265804605067812E-2</v>
      </c>
      <c r="AB561" s="182">
        <v>3.3635483426276425E-2</v>
      </c>
    </row>
    <row r="562" spans="17:28" x14ac:dyDescent="0.2">
      <c r="Q562" s="141"/>
      <c r="T562" s="141"/>
      <c r="U562" s="162"/>
      <c r="X562" s="183" t="str">
        <f t="shared" si="15"/>
        <v>1w</v>
      </c>
      <c r="Y562" s="181">
        <f>_xll.qlCalendarAdvance(Calendar,Y561,X562,"f",FALSE)</f>
        <v>42830</v>
      </c>
      <c r="Z562" s="184">
        <f>_xll.qlCalendarAdvance(Calendar,Y562,NDays&amp;"D")</f>
        <v>42830</v>
      </c>
      <c r="AA562" s="185">
        <v>3.4334359670165154E-2</v>
      </c>
      <c r="AB562" s="182">
        <v>3.370952979426467E-2</v>
      </c>
    </row>
    <row r="563" spans="17:28" x14ac:dyDescent="0.2">
      <c r="Q563" s="141"/>
      <c r="T563" s="141"/>
      <c r="U563" s="162"/>
      <c r="X563" s="183" t="str">
        <f t="shared" si="15"/>
        <v>1w</v>
      </c>
      <c r="Y563" s="181">
        <f>_xll.qlCalendarAdvance(Calendar,Y562,X563,"f",FALSE)</f>
        <v>42837</v>
      </c>
      <c r="Z563" s="184">
        <f>_xll.qlCalendarAdvance(Calendar,Y563,NDays&amp;"D")</f>
        <v>42837</v>
      </c>
      <c r="AA563" s="185">
        <v>3.4410075411464576E-2</v>
      </c>
      <c r="AB563" s="182">
        <v>3.3783715230295552E-2</v>
      </c>
    </row>
    <row r="564" spans="17:28" x14ac:dyDescent="0.2">
      <c r="Q564" s="141"/>
      <c r="T564" s="141"/>
      <c r="U564" s="162"/>
      <c r="X564" s="183" t="str">
        <f t="shared" si="15"/>
        <v>1w</v>
      </c>
      <c r="Y564" s="181">
        <f>_xll.qlCalendarAdvance(Calendar,Y563,X564,"f",FALSE)</f>
        <v>42844</v>
      </c>
      <c r="Z564" s="184">
        <f>_xll.qlCalendarAdvance(Calendar,Y564,NDays&amp;"D")</f>
        <v>42844</v>
      </c>
      <c r="AA564" s="185">
        <v>3.4485932805542636E-2</v>
      </c>
      <c r="AB564" s="182">
        <v>3.3858039734450118E-2</v>
      </c>
    </row>
    <row r="565" spans="17:28" x14ac:dyDescent="0.2">
      <c r="Q565" s="141"/>
      <c r="T565" s="141"/>
      <c r="U565" s="162"/>
      <c r="X565" s="183" t="str">
        <f t="shared" si="15"/>
        <v>1w</v>
      </c>
      <c r="Y565" s="181">
        <f>_xll.qlCalendarAdvance(Calendar,Y564,X565,"f",FALSE)</f>
        <v>42851</v>
      </c>
      <c r="Z565" s="184">
        <f>_xll.qlCalendarAdvance(Calendar,Y565,NDays&amp;"D")</f>
        <v>42851</v>
      </c>
      <c r="AA565" s="185">
        <v>3.4561931860314261E-2</v>
      </c>
      <c r="AB565" s="182">
        <v>3.3932503306809414E-2</v>
      </c>
    </row>
    <row r="566" spans="17:28" x14ac:dyDescent="0.2">
      <c r="Q566" s="141"/>
      <c r="T566" s="141"/>
      <c r="U566" s="162"/>
      <c r="X566" s="183" t="str">
        <f t="shared" si="15"/>
        <v>1w</v>
      </c>
      <c r="Y566" s="181">
        <f>_xll.qlCalendarAdvance(Calendar,Y565,X566,"f",FALSE)</f>
        <v>42858</v>
      </c>
      <c r="Z566" s="184">
        <f>_xll.qlCalendarAdvance(Calendar,Y566,NDays&amp;"D")</f>
        <v>42858</v>
      </c>
      <c r="AA566" s="185">
        <v>3.4645177864893073E-2</v>
      </c>
      <c r="AB566" s="182">
        <v>3.4007105947616578E-2</v>
      </c>
    </row>
    <row r="567" spans="17:28" x14ac:dyDescent="0.2">
      <c r="Q567" s="141"/>
      <c r="T567" s="141"/>
      <c r="U567" s="162"/>
      <c r="X567" s="183" t="str">
        <f t="shared" si="15"/>
        <v>1w</v>
      </c>
      <c r="Y567" s="181">
        <f>_xll.qlCalendarAdvance(Calendar,Y566,X567,"f",FALSE)</f>
        <v>42865</v>
      </c>
      <c r="Z567" s="184">
        <f>_xll.qlCalendarAdvance(Calendar,Y567,NDays&amp;"D")</f>
        <v>42865</v>
      </c>
      <c r="AA567" s="185">
        <v>3.4721477603696538E-2</v>
      </c>
      <c r="AB567" s="182">
        <v>3.4081847656709519E-2</v>
      </c>
    </row>
    <row r="568" spans="17:28" x14ac:dyDescent="0.2">
      <c r="Q568" s="141"/>
      <c r="T568" s="141"/>
      <c r="U568" s="162"/>
      <c r="X568" s="183" t="str">
        <f t="shared" si="15"/>
        <v>1w</v>
      </c>
      <c r="Y568" s="181">
        <f>_xll.qlCalendarAdvance(Calendar,Y567,X568,"f",FALSE)</f>
        <v>42872</v>
      </c>
      <c r="Z568" s="184">
        <f>_xll.qlCalendarAdvance(Calendar,Y568,NDays&amp;"D")</f>
        <v>42872</v>
      </c>
      <c r="AA568" s="185">
        <v>3.4797919056861394E-2</v>
      </c>
      <c r="AB568" s="182">
        <v>3.4156728434331374E-2</v>
      </c>
    </row>
    <row r="569" spans="17:28" x14ac:dyDescent="0.2">
      <c r="Q569" s="141"/>
      <c r="T569" s="141"/>
      <c r="U569" s="162"/>
      <c r="X569" s="183" t="str">
        <f t="shared" si="15"/>
        <v>1w</v>
      </c>
      <c r="Y569" s="181">
        <f>_xll.qlCalendarAdvance(Calendar,Y568,X569,"f",FALSE)</f>
        <v>42879</v>
      </c>
      <c r="Z569" s="184">
        <f>_xll.qlCalendarAdvance(Calendar,Y569,NDays&amp;"D")</f>
        <v>42879</v>
      </c>
      <c r="AA569" s="185">
        <v>3.4874502232451754E-2</v>
      </c>
      <c r="AB569" s="182">
        <v>3.423174828056319E-2</v>
      </c>
    </row>
    <row r="570" spans="17:28" x14ac:dyDescent="0.2">
      <c r="Q570" s="141"/>
      <c r="T570" s="141"/>
      <c r="U570" s="162"/>
      <c r="X570" s="183" t="str">
        <f t="shared" si="15"/>
        <v>1w</v>
      </c>
      <c r="Y570" s="181">
        <f>_xll.qlCalendarAdvance(Calendar,Y569,X570,"f",FALSE)</f>
        <v>42886</v>
      </c>
      <c r="Z570" s="184">
        <f>_xll.qlCalendarAdvance(Calendar,Y570,NDays&amp;"D")</f>
        <v>42886</v>
      </c>
      <c r="AA570" s="185">
        <v>3.4951227138546689E-2</v>
      </c>
      <c r="AB570" s="182">
        <v>3.4306907195404968E-2</v>
      </c>
    </row>
    <row r="571" spans="17:28" x14ac:dyDescent="0.2">
      <c r="Q571" s="141"/>
      <c r="T571" s="141"/>
      <c r="U571" s="162"/>
      <c r="X571" s="183" t="str">
        <f t="shared" si="15"/>
        <v>1w</v>
      </c>
      <c r="Y571" s="181">
        <f>_xll.qlCalendarAdvance(Calendar,Y570,X571,"f",FALSE)</f>
        <v>42893</v>
      </c>
      <c r="Z571" s="184">
        <f>_xll.qlCalendarAdvance(Calendar,Y571,NDays&amp;"D")</f>
        <v>42893</v>
      </c>
      <c r="AA571" s="185">
        <v>3.5028093783241135E-2</v>
      </c>
      <c r="AB571" s="182">
        <v>3.4382205179018799E-2</v>
      </c>
    </row>
    <row r="572" spans="17:28" x14ac:dyDescent="0.2">
      <c r="Q572" s="141"/>
      <c r="T572" s="141"/>
      <c r="U572" s="162"/>
      <c r="X572" s="183" t="str">
        <f t="shared" si="15"/>
        <v>1w</v>
      </c>
      <c r="Y572" s="181">
        <f>_xll.qlCalendarAdvance(Calendar,Y571,X572,"f",FALSE)</f>
        <v>42900</v>
      </c>
      <c r="Z572" s="184">
        <f>_xll.qlCalendarAdvance(Calendar,Y572,NDays&amp;"D")</f>
        <v>42900</v>
      </c>
      <c r="AA572" s="185">
        <v>3.5105102174645901E-2</v>
      </c>
      <c r="AB572" s="182">
        <v>3.4457642231404684E-2</v>
      </c>
    </row>
    <row r="573" spans="17:28" x14ac:dyDescent="0.2">
      <c r="Q573" s="141"/>
      <c r="T573" s="141"/>
      <c r="U573" s="162"/>
      <c r="X573" s="183" t="str">
        <f t="shared" si="15"/>
        <v>1w</v>
      </c>
      <c r="Y573" s="181">
        <f>_xll.qlCalendarAdvance(Calendar,Y572,X573,"f",FALSE)</f>
        <v>42907</v>
      </c>
      <c r="Z573" s="184">
        <f>_xll.qlCalendarAdvance(Calendar,Y573,NDays&amp;"D")</f>
        <v>42907</v>
      </c>
      <c r="AA573" s="185">
        <v>3.5182251928377845E-2</v>
      </c>
      <c r="AB573" s="182">
        <v>3.4533218352724715E-2</v>
      </c>
    </row>
    <row r="574" spans="17:28" x14ac:dyDescent="0.2">
      <c r="Q574" s="141"/>
      <c r="T574" s="141"/>
      <c r="U574" s="162"/>
      <c r="X574" s="183" t="str">
        <f t="shared" si="15"/>
        <v>1w</v>
      </c>
      <c r="Y574" s="181">
        <f>_xll.qlCalendarAdvance(Calendar,Y573,X574,"f",FALSE)</f>
        <v>42914</v>
      </c>
      <c r="Z574" s="184">
        <f>_xll.qlCalendarAdvance(Calendar,Y574,NDays&amp;"D")</f>
        <v>42914</v>
      </c>
      <c r="AA574" s="185">
        <v>3.5259529692519415E-2</v>
      </c>
      <c r="AB574" s="182">
        <v>3.4608933543059939E-2</v>
      </c>
    </row>
    <row r="575" spans="17:28" x14ac:dyDescent="0.2">
      <c r="Q575" s="141"/>
      <c r="T575" s="141"/>
      <c r="U575" s="162"/>
      <c r="X575" s="183" t="str">
        <f t="shared" si="15"/>
        <v>1w</v>
      </c>
      <c r="Y575" s="181">
        <f>_xll.qlCalendarAdvance(Calendar,Y574,X575,"f",FALSE)</f>
        <v>42921</v>
      </c>
      <c r="Z575" s="184">
        <f>_xll.qlCalendarAdvance(Calendar,Y575,NDays&amp;"D")</f>
        <v>42921</v>
      </c>
      <c r="AA575" s="185">
        <v>3.5336906485931921E-2</v>
      </c>
      <c r="AB575" s="182">
        <v>3.4684787802572448E-2</v>
      </c>
    </row>
    <row r="576" spans="17:28" x14ac:dyDescent="0.2">
      <c r="Q576" s="141"/>
      <c r="T576" s="141"/>
      <c r="U576" s="162"/>
      <c r="X576" s="183" t="str">
        <f t="shared" si="15"/>
        <v>1w</v>
      </c>
      <c r="Y576" s="181">
        <f>_xll.qlCalendarAdvance(Calendar,Y575,X576,"f",FALSE)</f>
        <v>42928</v>
      </c>
      <c r="Z576" s="184">
        <f>_xll.qlCalendarAdvance(Calendar,Y576,NDays&amp;"D")</f>
        <v>42928</v>
      </c>
      <c r="AA576" s="185">
        <v>3.5414352394805747E-2</v>
      </c>
      <c r="AB576" s="182">
        <v>3.4760781131181195E-2</v>
      </c>
    </row>
    <row r="577" spans="17:28" x14ac:dyDescent="0.2">
      <c r="Q577" s="141"/>
      <c r="T577" s="141"/>
      <c r="U577" s="162"/>
      <c r="X577" s="183" t="str">
        <f t="shared" si="15"/>
        <v>1w</v>
      </c>
      <c r="Y577" s="181">
        <f>_xll.qlCalendarAdvance(Calendar,Y576,X577,"f",FALSE)</f>
        <v>42935</v>
      </c>
      <c r="Z577" s="184">
        <f>_xll.qlCalendarAdvance(Calendar,Y577,NDays&amp;"D")</f>
        <v>42935</v>
      </c>
      <c r="AA577" s="185">
        <v>3.5491837503017071E-2</v>
      </c>
      <c r="AB577" s="182">
        <v>3.4836913528967228E-2</v>
      </c>
    </row>
    <row r="578" spans="17:28" x14ac:dyDescent="0.2">
      <c r="Q578" s="141"/>
      <c r="T578" s="141"/>
      <c r="U578" s="162"/>
      <c r="X578" s="183" t="str">
        <f t="shared" si="15"/>
        <v>1w</v>
      </c>
      <c r="Y578" s="181">
        <f>_xll.qlCalendarAdvance(Calendar,Y577,X578,"f",FALSE)</f>
        <v>42942</v>
      </c>
      <c r="Z578" s="184">
        <f>_xll.qlCalendarAdvance(Calendar,Y578,NDays&amp;"D")</f>
        <v>42942</v>
      </c>
      <c r="AA578" s="185">
        <v>3.5569331892130483E-2</v>
      </c>
      <c r="AB578" s="182">
        <v>3.4913184996173685E-2</v>
      </c>
    </row>
    <row r="579" spans="17:28" x14ac:dyDescent="0.2">
      <c r="Q579" s="141"/>
      <c r="T579" s="141"/>
      <c r="U579" s="162"/>
      <c r="X579" s="183" t="str">
        <f t="shared" si="15"/>
        <v>1w</v>
      </c>
      <c r="Y579" s="181">
        <f>_xll.qlCalendarAdvance(Calendar,Y578,X579,"f",FALSE)</f>
        <v>42949</v>
      </c>
      <c r="Z579" s="184">
        <f>_xll.qlCalendarAdvance(Calendar,Y579,NDays&amp;"D")</f>
        <v>42949</v>
      </c>
      <c r="AA579" s="185">
        <v>3.5646805641393706E-2</v>
      </c>
      <c r="AB579" s="182">
        <v>3.4989595532962658E-2</v>
      </c>
    </row>
    <row r="580" spans="17:28" x14ac:dyDescent="0.2">
      <c r="Q580" s="141"/>
      <c r="T580" s="141"/>
      <c r="U580" s="162"/>
      <c r="X580" s="183" t="str">
        <f t="shared" si="15"/>
        <v>1w</v>
      </c>
      <c r="Y580" s="181">
        <f>_xll.qlCalendarAdvance(Calendar,Y579,X580,"f",FALSE)</f>
        <v>42956</v>
      </c>
      <c r="Z580" s="184">
        <f>_xll.qlCalendarAdvance(Calendar,Y580,NDays&amp;"D")</f>
        <v>42956</v>
      </c>
      <c r="AA580" s="185">
        <v>3.5724228827735821E-2</v>
      </c>
      <c r="AB580" s="182">
        <v>3.5066145139091009E-2</v>
      </c>
    </row>
    <row r="581" spans="17:28" x14ac:dyDescent="0.2">
      <c r="Q581" s="141"/>
      <c r="T581" s="141"/>
      <c r="U581" s="162"/>
      <c r="X581" s="183" t="str">
        <f t="shared" si="15"/>
        <v>1w</v>
      </c>
      <c r="Y581" s="181">
        <f>_xll.qlCalendarAdvance(Calendar,Y580,X581,"f",FALSE)</f>
        <v>42963</v>
      </c>
      <c r="Z581" s="184">
        <f>_xll.qlCalendarAdvance(Calendar,Y581,NDays&amp;"D")</f>
        <v>42963</v>
      </c>
      <c r="AA581" s="185">
        <v>3.5801571525775247E-2</v>
      </c>
      <c r="AB581" s="182">
        <v>3.5142833814882923E-2</v>
      </c>
    </row>
    <row r="582" spans="17:28" x14ac:dyDescent="0.2">
      <c r="Q582" s="141"/>
      <c r="T582" s="141"/>
      <c r="U582" s="162"/>
      <c r="X582" s="183" t="str">
        <f t="shared" si="15"/>
        <v>1w</v>
      </c>
      <c r="Y582" s="181">
        <f>_xll.qlCalendarAdvance(Calendar,Y581,X582,"f",FALSE)</f>
        <v>42970</v>
      </c>
      <c r="Z582" s="184">
        <f>_xll.qlCalendarAdvance(Calendar,Y582,NDays&amp;"D")</f>
        <v>42970</v>
      </c>
      <c r="AA582" s="185">
        <v>3.587880380782054E-2</v>
      </c>
      <c r="AB582" s="182">
        <v>3.5219661560419446E-2</v>
      </c>
    </row>
    <row r="583" spans="17:28" x14ac:dyDescent="0.2">
      <c r="Q583" s="141"/>
      <c r="T583" s="141"/>
      <c r="U583" s="162"/>
      <c r="X583" s="183" t="str">
        <f t="shared" si="15"/>
        <v>1w</v>
      </c>
      <c r="Y583" s="181">
        <f>_xll.qlCalendarAdvance(Calendar,Y582,X583,"f",FALSE)</f>
        <v>42977</v>
      </c>
      <c r="Z583" s="184">
        <f>_xll.qlCalendarAdvance(Calendar,Y583,NDays&amp;"D")</f>
        <v>42977</v>
      </c>
      <c r="AA583" s="185">
        <v>3.5955895743878391E-2</v>
      </c>
      <c r="AB583" s="182">
        <v>3.5296628375700578E-2</v>
      </c>
    </row>
    <row r="584" spans="17:28" x14ac:dyDescent="0.2">
      <c r="Q584" s="141"/>
      <c r="T584" s="141"/>
      <c r="U584" s="162"/>
      <c r="X584" s="183" t="str">
        <f t="shared" si="15"/>
        <v>1w</v>
      </c>
      <c r="Y584" s="181">
        <f>_xll.qlCalendarAdvance(Calendar,Y583,X584,"f",FALSE)</f>
        <v>42984</v>
      </c>
      <c r="Z584" s="184">
        <f>_xll.qlCalendarAdvance(Calendar,Y584,NDays&amp;"D")</f>
        <v>42984</v>
      </c>
      <c r="AA584" s="185">
        <v>3.6025593026265415E-2</v>
      </c>
      <c r="AB584" s="182">
        <v>3.5373734260807366E-2</v>
      </c>
    </row>
    <row r="585" spans="17:28" x14ac:dyDescent="0.2">
      <c r="Q585" s="141"/>
      <c r="T585" s="141"/>
      <c r="U585" s="162"/>
      <c r="X585" s="183" t="str">
        <f t="shared" si="15"/>
        <v>1w</v>
      </c>
      <c r="Y585" s="181">
        <f>_xll.qlCalendarAdvance(Calendar,Y584,X585,"f",FALSE)</f>
        <v>42991</v>
      </c>
      <c r="Z585" s="184">
        <f>_xll.qlCalendarAdvance(Calendar,Y585,NDays&amp;"D")</f>
        <v>42991</v>
      </c>
      <c r="AA585" s="185">
        <v>3.6102324633324974E-2</v>
      </c>
      <c r="AB585" s="182">
        <v>3.5450979215901901E-2</v>
      </c>
    </row>
    <row r="586" spans="17:28" x14ac:dyDescent="0.2">
      <c r="Q586" s="141"/>
      <c r="T586" s="141"/>
      <c r="U586" s="162"/>
      <c r="X586" s="183" t="str">
        <f t="shared" si="15"/>
        <v>1w</v>
      </c>
      <c r="Y586" s="181">
        <f>_xll.qlCalendarAdvance(Calendar,Y585,X586,"f",FALSE)</f>
        <v>42998</v>
      </c>
      <c r="Z586" s="184">
        <f>_xll.qlCalendarAdvance(Calendar,Y586,NDays&amp;"D")</f>
        <v>42998</v>
      </c>
      <c r="AA586" s="185">
        <v>3.6178826450895929E-2</v>
      </c>
      <c r="AB586" s="182">
        <v>3.5528338050827557E-2</v>
      </c>
    </row>
    <row r="587" spans="17:28" x14ac:dyDescent="0.2">
      <c r="Q587" s="141"/>
      <c r="T587" s="141"/>
      <c r="U587" s="162"/>
      <c r="X587" s="183" t="str">
        <f t="shared" si="15"/>
        <v>1w</v>
      </c>
      <c r="Y587" s="181">
        <f>_xll.qlCalendarAdvance(Calendar,Y586,X587,"f",FALSE)</f>
        <v>43005</v>
      </c>
      <c r="Z587" s="184">
        <f>_xll.qlCalendarAdvance(Calendar,Y587,NDays&amp;"D")</f>
        <v>43005</v>
      </c>
      <c r="AA587" s="185">
        <v>3.6255078577411205E-2</v>
      </c>
      <c r="AB587" s="182">
        <v>3.5605527043303109E-2</v>
      </c>
    </row>
    <row r="588" spans="17:28" x14ac:dyDescent="0.2">
      <c r="Q588" s="141"/>
      <c r="T588" s="141"/>
      <c r="U588" s="162"/>
      <c r="X588" s="183" t="str">
        <f t="shared" si="15"/>
        <v>1w</v>
      </c>
      <c r="Y588" s="181">
        <f>_xll.qlCalendarAdvance(Calendar,Y587,X588,"f",FALSE)</f>
        <v>43012</v>
      </c>
      <c r="Z588" s="184">
        <f>_xll.qlCalendarAdvance(Calendar,Y588,NDays&amp;"D")</f>
        <v>43012</v>
      </c>
      <c r="AA588" s="185">
        <v>3.6338262086867808E-2</v>
      </c>
      <c r="AB588" s="182">
        <v>3.5682465319109014E-2</v>
      </c>
    </row>
    <row r="589" spans="17:28" x14ac:dyDescent="0.2">
      <c r="Q589" s="141"/>
      <c r="T589" s="141"/>
      <c r="U589" s="162"/>
      <c r="X589" s="183" t="str">
        <f t="shared" si="15"/>
        <v>1w</v>
      </c>
      <c r="Y589" s="181">
        <f>_xll.qlCalendarAdvance(Calendar,Y588,X589,"f",FALSE)</f>
        <v>43019</v>
      </c>
      <c r="Z589" s="184">
        <f>_xll.qlCalendarAdvance(Calendar,Y589,NDays&amp;"D")</f>
        <v>43019</v>
      </c>
      <c r="AA589" s="185">
        <v>3.6414000657514281E-2</v>
      </c>
      <c r="AB589" s="182">
        <v>3.5759152878164224E-2</v>
      </c>
    </row>
    <row r="590" spans="17:28" x14ac:dyDescent="0.2">
      <c r="Q590" s="141"/>
      <c r="T590" s="141"/>
      <c r="U590" s="162"/>
      <c r="X590" s="183" t="str">
        <f t="shared" si="15"/>
        <v>1w</v>
      </c>
      <c r="Y590" s="181">
        <f>_xll.qlCalendarAdvance(Calendar,Y589,X590,"f",FALSE)</f>
        <v>43026</v>
      </c>
      <c r="Z590" s="184">
        <f>_xll.qlCalendarAdvance(Calendar,Y590,NDays&amp;"D")</f>
        <v>43026</v>
      </c>
      <c r="AA590" s="185">
        <v>3.6489487646586341E-2</v>
      </c>
      <c r="AB590" s="182">
        <v>3.5835589720144556E-2</v>
      </c>
    </row>
    <row r="591" spans="17:28" x14ac:dyDescent="0.2">
      <c r="Q591" s="141"/>
      <c r="T591" s="141"/>
      <c r="U591" s="162"/>
      <c r="X591" s="183" t="str">
        <f t="shared" si="15"/>
        <v>1w</v>
      </c>
      <c r="Y591" s="181">
        <f>_xll.qlCalendarAdvance(Calendar,Y590,X591,"f",FALSE)</f>
        <v>43033</v>
      </c>
      <c r="Z591" s="184">
        <f>_xll.qlCalendarAdvance(Calendar,Y591,NDays&amp;"D")</f>
        <v>43033</v>
      </c>
      <c r="AA591" s="185">
        <v>3.6564723039798699E-2</v>
      </c>
      <c r="AB591" s="182">
        <v>3.5911775845050009E-2</v>
      </c>
    </row>
    <row r="592" spans="17:28" x14ac:dyDescent="0.2">
      <c r="Q592" s="141"/>
      <c r="T592" s="141"/>
      <c r="U592" s="162"/>
      <c r="X592" s="183" t="str">
        <f t="shared" si="15"/>
        <v>1w</v>
      </c>
      <c r="Y592" s="181">
        <f>_xll.qlCalendarAdvance(Calendar,Y591,X592,"f",FALSE)</f>
        <v>43040</v>
      </c>
      <c r="Z592" s="184">
        <f>_xll.qlCalendarAdvance(Calendar,Y592,NDays&amp;"D")</f>
        <v>43040</v>
      </c>
      <c r="AA592" s="185">
        <v>3.6639706822918922E-2</v>
      </c>
      <c r="AB592" s="182">
        <v>3.5987711252718491E-2</v>
      </c>
    </row>
    <row r="593" spans="17:28" x14ac:dyDescent="0.2">
      <c r="Q593" s="141"/>
      <c r="T593" s="141"/>
      <c r="U593" s="162"/>
      <c r="X593" s="183" t="str">
        <f t="shared" si="15"/>
        <v>1w</v>
      </c>
      <c r="Y593" s="181">
        <f>_xll.qlCalendarAdvance(Calendar,Y592,X593,"f",FALSE)</f>
        <v>43047</v>
      </c>
      <c r="Z593" s="184">
        <f>_xll.qlCalendarAdvance(Calendar,Y593,NDays&amp;"D")</f>
        <v>43047</v>
      </c>
      <c r="AA593" s="185">
        <v>3.671443898175511E-2</v>
      </c>
      <c r="AB593" s="182">
        <v>3.6063395942987908E-2</v>
      </c>
    </row>
    <row r="594" spans="17:28" x14ac:dyDescent="0.2">
      <c r="Q594" s="141"/>
      <c r="T594" s="141"/>
      <c r="U594" s="162"/>
      <c r="X594" s="183" t="str">
        <f t="shared" si="15"/>
        <v>1w</v>
      </c>
      <c r="Y594" s="181">
        <f>_xll.qlCalendarAdvance(Calendar,Y593,X594,"f",FALSE)</f>
        <v>43054</v>
      </c>
      <c r="Z594" s="184">
        <f>_xll.qlCalendarAdvance(Calendar,Y594,NDays&amp;"D")</f>
        <v>43054</v>
      </c>
      <c r="AA594" s="185">
        <v>3.6788919502166437E-2</v>
      </c>
      <c r="AB594" s="182">
        <v>3.6138829915615123E-2</v>
      </c>
    </row>
    <row r="595" spans="17:28" x14ac:dyDescent="0.2">
      <c r="Q595" s="141"/>
      <c r="T595" s="141"/>
      <c r="U595" s="162"/>
      <c r="X595" s="183" t="str">
        <f t="shared" si="15"/>
        <v>1w</v>
      </c>
      <c r="Y595" s="181">
        <f>_xll.qlCalendarAdvance(Calendar,Y594,X595,"f",FALSE)</f>
        <v>43061</v>
      </c>
      <c r="Z595" s="184">
        <f>_xll.qlCalendarAdvance(Calendar,Y595,NDays&amp;"D")</f>
        <v>43061</v>
      </c>
      <c r="AA595" s="185">
        <v>3.6863148370058781E-2</v>
      </c>
      <c r="AB595" s="182">
        <v>3.6214013170519088E-2</v>
      </c>
    </row>
    <row r="596" spans="17:28" x14ac:dyDescent="0.2">
      <c r="Q596" s="141"/>
      <c r="T596" s="141"/>
      <c r="U596" s="162"/>
      <c r="X596" s="183" t="str">
        <f t="shared" si="15"/>
        <v>1w</v>
      </c>
      <c r="Y596" s="181">
        <f>_xll.qlCalendarAdvance(Calendar,Y595,X596,"f",FALSE)</f>
        <v>43068</v>
      </c>
      <c r="Z596" s="184">
        <f>_xll.qlCalendarAdvance(Calendar,Y596,NDays&amp;"D")</f>
        <v>43068</v>
      </c>
      <c r="AA596" s="185">
        <v>3.6930026597437243E-2</v>
      </c>
      <c r="AB596" s="182">
        <v>3.6288945707456666E-2</v>
      </c>
    </row>
    <row r="597" spans="17:28" x14ac:dyDescent="0.2">
      <c r="Q597" s="141"/>
      <c r="T597" s="141"/>
      <c r="U597" s="162"/>
      <c r="X597" s="183" t="str">
        <f t="shared" ref="X597:X660" si="16">X596</f>
        <v>1w</v>
      </c>
      <c r="Y597" s="181">
        <f>_xll.qlCalendarAdvance(Calendar,Y596,X597,"f",FALSE)</f>
        <v>43075</v>
      </c>
      <c r="Z597" s="184">
        <f>_xll.qlCalendarAdvance(Calendar,Y597,NDays&amp;"D")</f>
        <v>43075</v>
      </c>
      <c r="AA597" s="185">
        <v>3.6996673697493307E-2</v>
      </c>
      <c r="AB597" s="182">
        <v>3.6363627526346809E-2</v>
      </c>
    </row>
    <row r="598" spans="17:28" x14ac:dyDescent="0.2">
      <c r="Q598" s="141"/>
      <c r="T598" s="141"/>
      <c r="U598" s="162"/>
      <c r="X598" s="183" t="str">
        <f t="shared" si="16"/>
        <v>1w</v>
      </c>
      <c r="Y598" s="181">
        <f>_xll.qlCalendarAdvance(Calendar,Y597,X598,"f",FALSE)</f>
        <v>43082</v>
      </c>
      <c r="Z598" s="184">
        <f>_xll.qlCalendarAdvance(Calendar,Y598,NDays&amp;"D")</f>
        <v>43082</v>
      </c>
      <c r="AA598" s="185">
        <v>3.7070168634769078E-2</v>
      </c>
      <c r="AB598" s="182">
        <v>3.6438058627027425E-2</v>
      </c>
    </row>
    <row r="599" spans="17:28" x14ac:dyDescent="0.2">
      <c r="Q599" s="141"/>
      <c r="T599" s="141"/>
      <c r="U599" s="162"/>
      <c r="X599" s="183" t="str">
        <f t="shared" si="16"/>
        <v>1w</v>
      </c>
      <c r="Y599" s="181">
        <f>_xll.qlCalendarAdvance(Calendar,Y598,X599,"f",FALSE)</f>
        <v>43089</v>
      </c>
      <c r="Z599" s="184">
        <f>_xll.qlCalendarAdvance(Calendar,Y599,NDays&amp;"D")</f>
        <v>43089</v>
      </c>
      <c r="AA599" s="185">
        <v>3.7143411887263868E-2</v>
      </c>
      <c r="AB599" s="182">
        <v>3.6512239009417469E-2</v>
      </c>
    </row>
    <row r="600" spans="17:28" x14ac:dyDescent="0.2">
      <c r="Q600" s="141"/>
      <c r="T600" s="141"/>
      <c r="U600" s="162"/>
      <c r="X600" s="183" t="str">
        <f t="shared" si="16"/>
        <v>1w</v>
      </c>
      <c r="Y600" s="181">
        <f>_xll.qlCalendarAdvance(Calendar,Y599,X600,"f",FALSE)</f>
        <v>43096</v>
      </c>
      <c r="Z600" s="184">
        <f>_xll.qlCalendarAdvance(Calendar,Y600,NDays&amp;"D")</f>
        <v>43096</v>
      </c>
      <c r="AA600" s="185">
        <v>3.7216403441418633E-2</v>
      </c>
      <c r="AB600" s="182">
        <v>3.65861686732738E-2</v>
      </c>
    </row>
    <row r="601" spans="17:28" x14ac:dyDescent="0.2">
      <c r="Q601" s="141"/>
      <c r="T601" s="141"/>
      <c r="U601" s="162"/>
      <c r="X601" s="183" t="str">
        <f t="shared" si="16"/>
        <v>1w</v>
      </c>
      <c r="Y601" s="181">
        <f>_xll.qlCalendarAdvance(Calendar,Y600,X601,"f",FALSE)</f>
        <v>43103</v>
      </c>
      <c r="Z601" s="184">
        <f>_xll.qlCalendarAdvance(Calendar,Y601,NDays&amp;"D")</f>
        <v>43103</v>
      </c>
      <c r="AA601" s="185">
        <v>3.7289143283718462E-2</v>
      </c>
      <c r="AB601" s="182">
        <v>3.6659847618434327E-2</v>
      </c>
    </row>
    <row r="602" spans="17:28" x14ac:dyDescent="0.2">
      <c r="Q602" s="141"/>
      <c r="T602" s="141"/>
      <c r="U602" s="162"/>
      <c r="X602" s="183" t="str">
        <f t="shared" si="16"/>
        <v>1w</v>
      </c>
      <c r="Y602" s="181">
        <f>_xll.qlCalendarAdvance(Calendar,Y601,X602,"f",FALSE)</f>
        <v>43110</v>
      </c>
      <c r="Z602" s="184">
        <f>_xll.qlCalendarAdvance(Calendar,Y602,NDays&amp;"D")</f>
        <v>43110</v>
      </c>
      <c r="AA602" s="185">
        <v>3.7361631400698862E-2</v>
      </c>
      <c r="AB602" s="182">
        <v>3.6733275844818003E-2</v>
      </c>
    </row>
    <row r="603" spans="17:28" x14ac:dyDescent="0.2">
      <c r="Q603" s="141"/>
      <c r="T603" s="141"/>
      <c r="U603" s="162"/>
      <c r="X603" s="183" t="str">
        <f t="shared" si="16"/>
        <v>1w</v>
      </c>
      <c r="Y603" s="181">
        <f>_xll.qlCalendarAdvance(Calendar,Y602,X603,"f",FALSE)</f>
        <v>43117</v>
      </c>
      <c r="Z603" s="184">
        <f>_xll.qlCalendarAdvance(Calendar,Y603,NDays&amp;"D")</f>
        <v>43117</v>
      </c>
      <c r="AA603" s="185">
        <v>3.7433867778936772E-2</v>
      </c>
      <c r="AB603" s="182">
        <v>3.6806453352181689E-2</v>
      </c>
    </row>
    <row r="604" spans="17:28" x14ac:dyDescent="0.2">
      <c r="Q604" s="141"/>
      <c r="T604" s="141"/>
      <c r="U604" s="162"/>
      <c r="X604" s="183" t="str">
        <f t="shared" si="16"/>
        <v>1w</v>
      </c>
      <c r="Y604" s="181">
        <f>_xll.qlCalendarAdvance(Calendar,Y603,X604,"f",FALSE)</f>
        <v>43124</v>
      </c>
      <c r="Z604" s="184">
        <f>_xll.qlCalendarAdvance(Calendar,Y604,NDays&amp;"D")</f>
        <v>43124</v>
      </c>
      <c r="AA604" s="185">
        <v>3.7505852405059548E-2</v>
      </c>
      <c r="AB604" s="182">
        <v>3.6879380140363294E-2</v>
      </c>
    </row>
    <row r="605" spans="17:28" x14ac:dyDescent="0.2">
      <c r="Q605" s="141"/>
      <c r="T605" s="141"/>
      <c r="U605" s="162"/>
      <c r="X605" s="183" t="str">
        <f t="shared" si="16"/>
        <v>1w</v>
      </c>
      <c r="Y605" s="181">
        <f>_xll.qlCalendarAdvance(Calendar,Y604,X605,"f",FALSE)</f>
        <v>43131</v>
      </c>
      <c r="Z605" s="184">
        <f>_xll.qlCalendarAdvance(Calendar,Y605,NDays&amp;"D")</f>
        <v>43131</v>
      </c>
      <c r="AA605" s="185">
        <v>3.7570580537498004E-2</v>
      </c>
      <c r="AB605" s="182">
        <v>3.6952056209362816E-2</v>
      </c>
    </row>
    <row r="606" spans="17:28" x14ac:dyDescent="0.2">
      <c r="Q606" s="141"/>
      <c r="T606" s="141"/>
      <c r="U606" s="162"/>
      <c r="X606" s="183" t="str">
        <f t="shared" si="16"/>
        <v>1w</v>
      </c>
      <c r="Y606" s="181">
        <f>_xll.qlCalendarAdvance(Calendar,Y605,X606,"f",FALSE)</f>
        <v>43138</v>
      </c>
      <c r="Z606" s="184">
        <f>_xll.qlCalendarAdvance(Calendar,Y606,NDays&amp;"D")</f>
        <v>43138</v>
      </c>
      <c r="AA606" s="185">
        <v>3.7642072272083028E-2</v>
      </c>
      <c r="AB606" s="182">
        <v>3.7024481558937117E-2</v>
      </c>
    </row>
    <row r="607" spans="17:28" x14ac:dyDescent="0.2">
      <c r="Q607" s="141"/>
      <c r="T607" s="141"/>
      <c r="U607" s="162"/>
      <c r="X607" s="183" t="str">
        <f t="shared" si="16"/>
        <v>1w</v>
      </c>
      <c r="Y607" s="181">
        <f>_xll.qlCalendarAdvance(Calendar,Y606,X607,"f",FALSE)</f>
        <v>43145</v>
      </c>
      <c r="Z607" s="184">
        <f>_xll.qlCalendarAdvance(Calendar,Y607,NDays&amp;"D")</f>
        <v>43145</v>
      </c>
      <c r="AA607" s="185">
        <v>3.7713312227670166E-2</v>
      </c>
      <c r="AB607" s="182">
        <v>3.7096656188924104E-2</v>
      </c>
    </row>
    <row r="608" spans="17:28" x14ac:dyDescent="0.2">
      <c r="Q608" s="141"/>
      <c r="T608" s="141"/>
      <c r="U608" s="162"/>
      <c r="X608" s="183" t="str">
        <f t="shared" si="16"/>
        <v>1w</v>
      </c>
      <c r="Y608" s="181">
        <f>_xll.qlCalendarAdvance(Calendar,Y607,X608,"f",FALSE)</f>
        <v>43152</v>
      </c>
      <c r="Z608" s="184">
        <f>_xll.qlCalendarAdvance(Calendar,Y608,NDays&amp;"D")</f>
        <v>43152</v>
      </c>
      <c r="AA608" s="185">
        <v>3.7784300391217336E-2</v>
      </c>
      <c r="AB608" s="182">
        <v>3.7168580099242732E-2</v>
      </c>
    </row>
    <row r="609" spans="17:28" x14ac:dyDescent="0.2">
      <c r="Q609" s="141"/>
      <c r="T609" s="141"/>
      <c r="U609" s="162"/>
      <c r="X609" s="183" t="str">
        <f t="shared" si="16"/>
        <v>1w</v>
      </c>
      <c r="Y609" s="181">
        <f>_xll.qlCalendarAdvance(Calendar,Y608,X609,"f",FALSE)</f>
        <v>43159</v>
      </c>
      <c r="Z609" s="184">
        <f>_xll.qlCalendarAdvance(Calendar,Y609,NDays&amp;"D")</f>
        <v>43159</v>
      </c>
      <c r="AA609" s="185">
        <v>3.787592122638922E-2</v>
      </c>
      <c r="AB609" s="182">
        <v>3.7240253289649861E-2</v>
      </c>
    </row>
    <row r="610" spans="17:28" x14ac:dyDescent="0.2">
      <c r="Q610" s="141"/>
      <c r="T610" s="141"/>
      <c r="U610" s="162"/>
      <c r="X610" s="183" t="str">
        <f t="shared" si="16"/>
        <v>1w</v>
      </c>
      <c r="Y610" s="181">
        <f>_xll.qlCalendarAdvance(Calendar,Y609,X610,"f",FALSE)</f>
        <v>43166</v>
      </c>
      <c r="Z610" s="184">
        <f>_xll.qlCalendarAdvance(Calendar,Y610,NDays&amp;"D")</f>
        <v>43166</v>
      </c>
      <c r="AA610" s="185">
        <v>3.7946373647492711E-2</v>
      </c>
      <c r="AB610" s="182">
        <v>3.7311675759983398E-2</v>
      </c>
    </row>
    <row r="611" spans="17:28" x14ac:dyDescent="0.2">
      <c r="Q611" s="141"/>
      <c r="T611" s="141"/>
      <c r="U611" s="162"/>
      <c r="X611" s="183" t="str">
        <f t="shared" si="16"/>
        <v>1w</v>
      </c>
      <c r="Y611" s="181">
        <f>_xll.qlCalendarAdvance(Calendar,Y610,X611,"f",FALSE)</f>
        <v>43173</v>
      </c>
      <c r="Z611" s="184">
        <f>_xll.qlCalendarAdvance(Calendar,Y611,NDays&amp;"D")</f>
        <v>43173</v>
      </c>
      <c r="AA611" s="185">
        <v>3.8016574197030265E-2</v>
      </c>
      <c r="AB611" s="182">
        <v>3.7382847510243344E-2</v>
      </c>
    </row>
    <row r="612" spans="17:28" x14ac:dyDescent="0.2">
      <c r="Q612" s="141"/>
      <c r="T612" s="141"/>
      <c r="U612" s="162"/>
      <c r="X612" s="183" t="str">
        <f t="shared" si="16"/>
        <v>1w</v>
      </c>
      <c r="Y612" s="181">
        <f>_xll.qlCalendarAdvance(Calendar,Y611,X612,"f",FALSE)</f>
        <v>43180</v>
      </c>
      <c r="Z612" s="184">
        <f>_xll.qlCalendarAdvance(Calendar,Y612,NDays&amp;"D")</f>
        <v>43180</v>
      </c>
      <c r="AA612" s="185">
        <v>3.8086522861712054E-2</v>
      </c>
      <c r="AB612" s="182">
        <v>3.7453768540105514E-2</v>
      </c>
    </row>
    <row r="613" spans="17:28" x14ac:dyDescent="0.2">
      <c r="Q613" s="141"/>
      <c r="T613" s="141"/>
      <c r="U613" s="162"/>
      <c r="X613" s="183" t="str">
        <f t="shared" si="16"/>
        <v>1w</v>
      </c>
      <c r="Y613" s="181">
        <f>_xll.qlCalendarAdvance(Calendar,Y612,X613,"f",FALSE)</f>
        <v>43187</v>
      </c>
      <c r="Z613" s="184">
        <f>_xll.qlCalendarAdvance(Calendar,Y613,NDays&amp;"D")</f>
        <v>43187</v>
      </c>
      <c r="AA613" s="185">
        <v>3.8156219628301992E-2</v>
      </c>
      <c r="AB613" s="182">
        <v>3.7524438849569908E-2</v>
      </c>
    </row>
    <row r="614" spans="17:28" x14ac:dyDescent="0.2">
      <c r="Q614" s="141"/>
      <c r="T614" s="141"/>
      <c r="U614" s="162"/>
      <c r="X614" s="183" t="str">
        <f t="shared" si="16"/>
        <v>1w</v>
      </c>
      <c r="Y614" s="181">
        <f>_xll.qlCalendarAdvance(Calendar,Y613,X614,"f",FALSE)</f>
        <v>43194</v>
      </c>
      <c r="Z614" s="184">
        <f>_xll.qlCalendarAdvance(Calendar,Y614,NDays&amp;"D")</f>
        <v>43194</v>
      </c>
      <c r="AA614" s="185">
        <v>3.8218757213780756E-2</v>
      </c>
      <c r="AB614" s="182">
        <v>3.7594858438474432E-2</v>
      </c>
    </row>
    <row r="615" spans="17:28" x14ac:dyDescent="0.2">
      <c r="Q615" s="141"/>
      <c r="T615" s="141"/>
      <c r="U615" s="162"/>
      <c r="X615" s="183" t="str">
        <f t="shared" si="16"/>
        <v>1w</v>
      </c>
      <c r="Y615" s="181">
        <f>_xll.qlCalendarAdvance(Calendar,Y614,X615,"f",FALSE)</f>
        <v>43201</v>
      </c>
      <c r="Z615" s="184">
        <f>_xll.qlCalendarAdvance(Calendar,Y615,NDays&amp;"D")</f>
        <v>43201</v>
      </c>
      <c r="AA615" s="185">
        <v>3.8287960921556549E-2</v>
      </c>
      <c r="AB615" s="182">
        <v>3.7665027306575949E-2</v>
      </c>
    </row>
    <row r="616" spans="17:28" x14ac:dyDescent="0.2">
      <c r="Q616" s="141"/>
      <c r="T616" s="141"/>
      <c r="U616" s="162"/>
      <c r="X616" s="183" t="str">
        <f t="shared" si="16"/>
        <v>1w</v>
      </c>
      <c r="Y616" s="181">
        <f>_xll.qlCalendarAdvance(Calendar,Y615,X616,"f",FALSE)</f>
        <v>43208</v>
      </c>
      <c r="Z616" s="184">
        <f>_xll.qlCalendarAdvance(Calendar,Y616,NDays&amp;"D")</f>
        <v>43208</v>
      </c>
      <c r="AA616" s="185">
        <v>3.8356912706090193E-2</v>
      </c>
      <c r="AB616" s="182">
        <v>3.7734945453793411E-2</v>
      </c>
    </row>
    <row r="617" spans="17:28" x14ac:dyDescent="0.2">
      <c r="Q617" s="141"/>
      <c r="T617" s="141"/>
      <c r="U617" s="162"/>
      <c r="X617" s="183" t="str">
        <f t="shared" si="16"/>
        <v>1w</v>
      </c>
      <c r="Y617" s="181">
        <f>_xll.qlCalendarAdvance(Calendar,Y616,X617,"f",FALSE)</f>
        <v>43216</v>
      </c>
      <c r="Z617" s="184">
        <f>_xll.qlCalendarAdvance(Calendar,Y617,NDays&amp;"D")</f>
        <v>43216</v>
      </c>
      <c r="AA617" s="185">
        <v>3.8435406251557495E-2</v>
      </c>
      <c r="AB617" s="182">
        <v>3.7814544902383673E-2</v>
      </c>
    </row>
    <row r="618" spans="17:28" x14ac:dyDescent="0.2">
      <c r="Q618" s="141"/>
      <c r="T618" s="141"/>
      <c r="U618" s="162"/>
      <c r="X618" s="183" t="str">
        <f t="shared" si="16"/>
        <v>1w</v>
      </c>
      <c r="Y618" s="181">
        <f>_xll.qlCalendarAdvance(Calendar,Y617,X618,"f",FALSE)</f>
        <v>43223</v>
      </c>
      <c r="Z618" s="184">
        <f>_xll.qlCalendarAdvance(Calendar,Y618,NDays&amp;"D")</f>
        <v>43223</v>
      </c>
      <c r="AA618" s="185">
        <v>3.8510680686186932E-2</v>
      </c>
      <c r="AB618" s="182">
        <v>3.7883925790158646E-2</v>
      </c>
    </row>
    <row r="619" spans="17:28" x14ac:dyDescent="0.2">
      <c r="Q619" s="141"/>
      <c r="T619" s="141"/>
      <c r="U619" s="162"/>
      <c r="X619" s="183" t="str">
        <f t="shared" si="16"/>
        <v>1w</v>
      </c>
      <c r="Y619" s="181">
        <f>_xll.qlCalendarAdvance(Calendar,Y618,X619,"f",FALSE)</f>
        <v>43230</v>
      </c>
      <c r="Z619" s="184">
        <f>_xll.qlCalendarAdvance(Calendar,Y619,NDays&amp;"D")</f>
        <v>43230</v>
      </c>
      <c r="AA619" s="185">
        <v>3.8578829791149676E-2</v>
      </c>
      <c r="AB619" s="182">
        <v>3.795305595648224E-2</v>
      </c>
    </row>
    <row r="620" spans="17:28" x14ac:dyDescent="0.2">
      <c r="Q620" s="141"/>
      <c r="T620" s="141"/>
      <c r="U620" s="162"/>
      <c r="X620" s="183" t="str">
        <f t="shared" si="16"/>
        <v>1w</v>
      </c>
      <c r="Y620" s="181">
        <f>_xll.qlCalendarAdvance(Calendar,Y619,X620,"f",FALSE)</f>
        <v>43237</v>
      </c>
      <c r="Z620" s="184">
        <f>_xll.qlCalendarAdvance(Calendar,Y620,NDays&amp;"D")</f>
        <v>43237</v>
      </c>
      <c r="AA620" s="185">
        <v>3.8646726904834949E-2</v>
      </c>
      <c r="AB620" s="182">
        <v>3.802193540127341E-2</v>
      </c>
    </row>
    <row r="621" spans="17:28" x14ac:dyDescent="0.2">
      <c r="Q621" s="141"/>
      <c r="T621" s="141"/>
      <c r="U621" s="162"/>
      <c r="X621" s="183" t="str">
        <f t="shared" si="16"/>
        <v>1w</v>
      </c>
      <c r="Y621" s="181">
        <f>_xll.qlCalendarAdvance(Calendar,Y620,X621,"f",FALSE)</f>
        <v>43244</v>
      </c>
      <c r="Z621" s="184">
        <f>_xll.qlCalendarAdvance(Calendar,Y621,NDays&amp;"D")</f>
        <v>43244</v>
      </c>
      <c r="AA621" s="185">
        <v>3.8714372014391651E-2</v>
      </c>
      <c r="AB621" s="182">
        <v>3.8090564124532156E-2</v>
      </c>
    </row>
    <row r="622" spans="17:28" x14ac:dyDescent="0.2">
      <c r="Q622" s="141"/>
      <c r="T622" s="141"/>
      <c r="U622" s="162"/>
      <c r="X622" s="183" t="str">
        <f t="shared" si="16"/>
        <v>1w</v>
      </c>
      <c r="Y622" s="181">
        <f>_xll.qlCalendarAdvance(Calendar,Y621,X622,"f",FALSE)</f>
        <v>43251</v>
      </c>
      <c r="Z622" s="184">
        <f>_xll.qlCalendarAdvance(Calendar,Y622,NDays&amp;"D")</f>
        <v>43251</v>
      </c>
      <c r="AA622" s="185">
        <v>3.8781765107011819E-2</v>
      </c>
      <c r="AB622" s="182">
        <v>3.8158942126015338E-2</v>
      </c>
    </row>
    <row r="623" spans="17:28" x14ac:dyDescent="0.2">
      <c r="Q623" s="141"/>
      <c r="T623" s="141"/>
      <c r="U623" s="162"/>
      <c r="X623" s="183" t="str">
        <f t="shared" si="16"/>
        <v>1w</v>
      </c>
      <c r="Y623" s="181">
        <f>_xll.qlCalendarAdvance(Calendar,Y622,X623,"f",FALSE)</f>
        <v>43258</v>
      </c>
      <c r="Z623" s="184">
        <f>_xll.qlCalendarAdvance(Calendar,Y623,NDays&amp;"D")</f>
        <v>43258</v>
      </c>
      <c r="AA623" s="185">
        <v>3.8848906169942111E-2</v>
      </c>
      <c r="AB623" s="182">
        <v>3.8227069405560865E-2</v>
      </c>
    </row>
    <row r="624" spans="17:28" x14ac:dyDescent="0.2">
      <c r="Q624" s="141"/>
      <c r="T624" s="141"/>
      <c r="U624" s="162"/>
      <c r="X624" s="183" t="str">
        <f t="shared" si="16"/>
        <v>1w</v>
      </c>
      <c r="Y624" s="181">
        <f>_xll.qlCalendarAdvance(Calendar,Y623,X624,"f",FALSE)</f>
        <v>43265</v>
      </c>
      <c r="Z624" s="184">
        <f>_xll.qlCalendarAdvance(Calendar,Y624,NDays&amp;"D")</f>
        <v>43265</v>
      </c>
      <c r="AA624" s="185">
        <v>3.8915795190470601E-2</v>
      </c>
      <c r="AB624" s="182">
        <v>3.829494596308769E-2</v>
      </c>
    </row>
    <row r="625" spans="17:28" x14ac:dyDescent="0.2">
      <c r="Q625" s="141"/>
      <c r="T625" s="141"/>
      <c r="U625" s="162"/>
      <c r="X625" s="183" t="str">
        <f t="shared" si="16"/>
        <v>1w</v>
      </c>
      <c r="Y625" s="181">
        <f>_xll.qlCalendarAdvance(Calendar,Y624,X625,"f",FALSE)</f>
        <v>43272</v>
      </c>
      <c r="Z625" s="184">
        <f>_xll.qlCalendarAdvance(Calendar,Y625,NDays&amp;"D")</f>
        <v>43272</v>
      </c>
      <c r="AA625" s="185">
        <v>3.8982431440581451E-2</v>
      </c>
      <c r="AB625" s="182">
        <v>3.836257179843372E-2</v>
      </c>
    </row>
    <row r="626" spans="17:28" x14ac:dyDescent="0.2">
      <c r="Q626" s="141"/>
      <c r="T626" s="141"/>
      <c r="U626" s="162"/>
      <c r="X626" s="183" t="str">
        <f t="shared" si="16"/>
        <v>1w</v>
      </c>
      <c r="Y626" s="181">
        <f>_xll.qlCalendarAdvance(Calendar,Y625,X626,"f",FALSE)</f>
        <v>43279</v>
      </c>
      <c r="Z626" s="184">
        <f>_xll.qlCalendarAdvance(Calendar,Y626,NDays&amp;"D")</f>
        <v>43279</v>
      </c>
      <c r="AA626" s="185">
        <v>3.9048802176338111E-2</v>
      </c>
      <c r="AB626" s="182">
        <v>3.8429946911355817E-2</v>
      </c>
    </row>
    <row r="627" spans="17:28" x14ac:dyDescent="0.2">
      <c r="Q627" s="141"/>
      <c r="T627" s="141"/>
      <c r="U627" s="162"/>
      <c r="X627" s="183" t="str">
        <f t="shared" si="16"/>
        <v>1w</v>
      </c>
      <c r="Y627" s="181">
        <f>_xll.qlCalendarAdvance(Calendar,Y626,X627,"f",FALSE)</f>
        <v>43286</v>
      </c>
      <c r="Z627" s="184">
        <f>_xll.qlCalendarAdvance(Calendar,Y627,NDays&amp;"D")</f>
        <v>43286</v>
      </c>
      <c r="AA627" s="185">
        <v>3.9114884682426403E-2</v>
      </c>
      <c r="AB627" s="182">
        <v>3.8497071301935026E-2</v>
      </c>
    </row>
    <row r="628" spans="17:28" x14ac:dyDescent="0.2">
      <c r="Q628" s="141"/>
      <c r="T628" s="141"/>
      <c r="U628" s="162"/>
      <c r="X628" s="183" t="str">
        <f t="shared" si="16"/>
        <v>1w</v>
      </c>
      <c r="Y628" s="181">
        <f>_xll.qlCalendarAdvance(Calendar,Y627,X628,"f",FALSE)</f>
        <v>43293</v>
      </c>
      <c r="Z628" s="184">
        <f>_xll.qlCalendarAdvance(Calendar,Y628,NDays&amp;"D")</f>
        <v>43293</v>
      </c>
      <c r="AA628" s="185">
        <v>3.9180655940286913E-2</v>
      </c>
      <c r="AB628" s="182">
        <v>3.8563944969766117E-2</v>
      </c>
    </row>
    <row r="629" spans="17:28" x14ac:dyDescent="0.2">
      <c r="Q629" s="141"/>
      <c r="T629" s="141"/>
      <c r="U629" s="162"/>
      <c r="X629" s="183" t="str">
        <f t="shared" si="16"/>
        <v>1w</v>
      </c>
      <c r="Y629" s="181">
        <f>_xll.qlCalendarAdvance(Calendar,Y628,X629,"f",FALSE)</f>
        <v>43300</v>
      </c>
      <c r="Z629" s="184">
        <f>_xll.qlCalendarAdvance(Calendar,Y629,NDays&amp;"D")</f>
        <v>43300</v>
      </c>
      <c r="AA629" s="185">
        <v>3.9246092929923419E-2</v>
      </c>
      <c r="AB629" s="182">
        <v>3.8630567915011182E-2</v>
      </c>
    </row>
    <row r="630" spans="17:28" x14ac:dyDescent="0.2">
      <c r="Q630" s="141"/>
      <c r="T630" s="141"/>
      <c r="U630" s="162"/>
      <c r="X630" s="183" t="str">
        <f t="shared" si="16"/>
        <v>1w</v>
      </c>
      <c r="Y630" s="181">
        <f>_xll.qlCalendarAdvance(Calendar,Y629,X630,"f",FALSE)</f>
        <v>43307</v>
      </c>
      <c r="Z630" s="184">
        <f>_xll.qlCalendarAdvance(Calendar,Y630,NDays&amp;"D")</f>
        <v>43307</v>
      </c>
      <c r="AA630" s="185">
        <v>3.9311172629913453E-2</v>
      </c>
      <c r="AB630" s="182">
        <v>3.8696940137346036E-2</v>
      </c>
    </row>
    <row r="631" spans="17:28" x14ac:dyDescent="0.2">
      <c r="Q631" s="141"/>
      <c r="T631" s="141"/>
      <c r="U631" s="162"/>
      <c r="X631" s="183" t="str">
        <f t="shared" si="16"/>
        <v>1w</v>
      </c>
      <c r="Y631" s="181">
        <f>_xll.qlCalendarAdvance(Calendar,Y630,X631,"f",FALSE)</f>
        <v>43314</v>
      </c>
      <c r="Z631" s="184">
        <f>_xll.qlCalendarAdvance(Calendar,Y631,NDays&amp;"D")</f>
        <v>43314</v>
      </c>
      <c r="AA631" s="185">
        <v>3.9375872017429467E-2</v>
      </c>
      <c r="AB631" s="182">
        <v>3.876306163652754E-2</v>
      </c>
    </row>
    <row r="632" spans="17:28" x14ac:dyDescent="0.2">
      <c r="Q632" s="141"/>
      <c r="T632" s="141"/>
      <c r="U632" s="162"/>
      <c r="X632" s="183" t="str">
        <f t="shared" si="16"/>
        <v>1w</v>
      </c>
      <c r="Y632" s="181">
        <f>_xll.qlCalendarAdvance(Calendar,Y631,X632,"f",FALSE)</f>
        <v>43321</v>
      </c>
      <c r="Z632" s="184">
        <f>_xll.qlCalendarAdvance(Calendar,Y632,NDays&amp;"D")</f>
        <v>43321</v>
      </c>
      <c r="AA632" s="185">
        <v>3.9440168068268749E-2</v>
      </c>
      <c r="AB632" s="182">
        <v>3.8828932412717787E-2</v>
      </c>
    </row>
    <row r="633" spans="17:28" x14ac:dyDescent="0.2">
      <c r="Q633" s="141"/>
      <c r="T633" s="141"/>
      <c r="U633" s="162"/>
      <c r="X633" s="183" t="str">
        <f t="shared" si="16"/>
        <v>1w</v>
      </c>
      <c r="Y633" s="181">
        <f>_xll.qlCalendarAdvance(Calendar,Y632,X633,"f",FALSE)</f>
        <v>43328</v>
      </c>
      <c r="Z633" s="184">
        <f>_xll.qlCalendarAdvance(Calendar,Y633,NDays&amp;"D")</f>
        <v>43328</v>
      </c>
      <c r="AA633" s="185">
        <v>3.9504037756860511E-2</v>
      </c>
      <c r="AB633" s="182">
        <v>3.8894552465511545E-2</v>
      </c>
    </row>
    <row r="634" spans="17:28" x14ac:dyDescent="0.2">
      <c r="Q634" s="141"/>
      <c r="T634" s="141"/>
      <c r="U634" s="162"/>
      <c r="X634" s="183" t="str">
        <f t="shared" si="16"/>
        <v>1w</v>
      </c>
      <c r="Y634" s="181">
        <f>_xll.qlCalendarAdvance(Calendar,Y633,X634,"f",FALSE)</f>
        <v>43335</v>
      </c>
      <c r="Z634" s="184">
        <f>_xll.qlCalendarAdvance(Calendar,Y634,NDays&amp;"D")</f>
        <v>43335</v>
      </c>
      <c r="AA634" s="185">
        <v>3.9567458056306376E-2</v>
      </c>
      <c r="AB634" s="182">
        <v>3.895992179498986E-2</v>
      </c>
    </row>
    <row r="635" spans="17:28" x14ac:dyDescent="0.2">
      <c r="Q635" s="141"/>
      <c r="T635" s="141"/>
      <c r="U635" s="162"/>
      <c r="X635" s="183" t="str">
        <f t="shared" si="16"/>
        <v>1w</v>
      </c>
      <c r="Y635" s="181">
        <f>_xll.qlCalendarAdvance(Calendar,Y634,X635,"f",FALSE)</f>
        <v>43342</v>
      </c>
      <c r="Z635" s="184">
        <f>_xll.qlCalendarAdvance(Calendar,Y635,NDays&amp;"D")</f>
        <v>43342</v>
      </c>
      <c r="AA635" s="185">
        <v>3.9630405938392732E-2</v>
      </c>
      <c r="AB635" s="182">
        <v>3.9025040400828548E-2</v>
      </c>
    </row>
    <row r="636" spans="17:28" x14ac:dyDescent="0.2">
      <c r="Q636" s="141"/>
      <c r="T636" s="141"/>
      <c r="U636" s="162"/>
      <c r="X636" s="183" t="str">
        <f t="shared" si="16"/>
        <v>1w</v>
      </c>
      <c r="Y636" s="181">
        <f>_xll.qlCalendarAdvance(Calendar,Y635,X636,"f",FALSE)</f>
        <v>43349</v>
      </c>
      <c r="Z636" s="184">
        <f>_xll.qlCalendarAdvance(Calendar,Y636,NDays&amp;"D")</f>
        <v>43349</v>
      </c>
      <c r="AA636" s="185">
        <v>3.9686348365907037E-2</v>
      </c>
      <c r="AB636" s="182">
        <v>3.9089908282946562E-2</v>
      </c>
    </row>
    <row r="637" spans="17:28" x14ac:dyDescent="0.2">
      <c r="Q637" s="141"/>
      <c r="T637" s="141"/>
      <c r="U637" s="162"/>
      <c r="X637" s="183" t="str">
        <f t="shared" si="16"/>
        <v>1w</v>
      </c>
      <c r="Y637" s="181">
        <f>_xll.qlCalendarAdvance(Calendar,Y636,X637,"f",FALSE)</f>
        <v>43356</v>
      </c>
      <c r="Z637" s="184">
        <f>_xll.qlCalendarAdvance(Calendar,Y637,NDays&amp;"D")</f>
        <v>43356</v>
      </c>
      <c r="AA637" s="185">
        <v>3.9748315076492804E-2</v>
      </c>
      <c r="AB637" s="182">
        <v>3.9154525441262855E-2</v>
      </c>
    </row>
    <row r="638" spans="17:28" x14ac:dyDescent="0.2">
      <c r="Q638" s="141"/>
      <c r="T638" s="141"/>
      <c r="U638" s="162"/>
      <c r="X638" s="183" t="str">
        <f t="shared" si="16"/>
        <v>1w</v>
      </c>
      <c r="Y638" s="181">
        <f>_xll.qlCalendarAdvance(Calendar,Y637,X638,"f",FALSE)</f>
        <v>43363</v>
      </c>
      <c r="Z638" s="184">
        <f>_xll.qlCalendarAdvance(Calendar,Y638,NDays&amp;"D")</f>
        <v>43363</v>
      </c>
      <c r="AA638" s="185">
        <v>3.9809740777239928E-2</v>
      </c>
      <c r="AB638" s="182">
        <v>3.9218854193957542E-2</v>
      </c>
    </row>
    <row r="639" spans="17:28" x14ac:dyDescent="0.2">
      <c r="Q639" s="141"/>
      <c r="T639" s="141"/>
      <c r="U639" s="162"/>
      <c r="X639" s="183" t="str">
        <f t="shared" si="16"/>
        <v>1w</v>
      </c>
      <c r="Y639" s="181">
        <f>_xll.qlCalendarAdvance(Calendar,Y638,X639,"f",FALSE)</f>
        <v>43370</v>
      </c>
      <c r="Z639" s="184">
        <f>_xll.qlCalendarAdvance(Calendar,Y639,NDays&amp;"D")</f>
        <v>43370</v>
      </c>
      <c r="AA639" s="185">
        <v>3.9870612571068491E-2</v>
      </c>
      <c r="AB639" s="182">
        <v>3.9282670486885385E-2</v>
      </c>
    </row>
    <row r="640" spans="17:28" x14ac:dyDescent="0.2">
      <c r="Q640" s="141"/>
      <c r="T640" s="141"/>
      <c r="U640" s="162"/>
      <c r="X640" s="183" t="str">
        <f t="shared" si="16"/>
        <v>1w</v>
      </c>
      <c r="Y640" s="181">
        <f>_xll.qlCalendarAdvance(Calendar,Y639,X640,"f",FALSE)</f>
        <v>43377</v>
      </c>
      <c r="Z640" s="184">
        <f>_xll.qlCalendarAdvance(Calendar,Y640,NDays&amp;"D")</f>
        <v>43377</v>
      </c>
      <c r="AA640" s="185">
        <v>3.993730794046333E-2</v>
      </c>
      <c r="AB640" s="182">
        <v>3.9345936638226497E-2</v>
      </c>
    </row>
    <row r="641" spans="17:28" x14ac:dyDescent="0.2">
      <c r="Q641" s="141"/>
      <c r="T641" s="141"/>
      <c r="U641" s="162"/>
      <c r="X641" s="183" t="str">
        <f t="shared" si="16"/>
        <v>1w</v>
      </c>
      <c r="Y641" s="181">
        <f>_xll.qlCalendarAdvance(Calendar,Y640,X641,"f",FALSE)</f>
        <v>43384</v>
      </c>
      <c r="Z641" s="184">
        <f>_xll.qlCalendarAdvance(Calendar,Y641,NDays&amp;"D")</f>
        <v>43384</v>
      </c>
      <c r="AA641" s="185">
        <v>3.9997037284050525E-2</v>
      </c>
      <c r="AB641" s="182">
        <v>3.9408652647575648E-2</v>
      </c>
    </row>
    <row r="642" spans="17:28" x14ac:dyDescent="0.2">
      <c r="Q642" s="141"/>
      <c r="T642" s="141"/>
      <c r="U642" s="162"/>
      <c r="X642" s="183" t="str">
        <f t="shared" si="16"/>
        <v>1w</v>
      </c>
      <c r="Y642" s="181">
        <f>_xll.qlCalendarAdvance(Calendar,Y641,X642,"f",FALSE)</f>
        <v>43391</v>
      </c>
      <c r="Z642" s="184">
        <f>_xll.qlCalendarAdvance(Calendar,Y642,NDays&amp;"D")</f>
        <v>43391</v>
      </c>
      <c r="AA642" s="185">
        <v>4.0056211870402758E-2</v>
      </c>
      <c r="AB642" s="182">
        <v>3.9470818514689698E-2</v>
      </c>
    </row>
    <row r="643" spans="17:28" x14ac:dyDescent="0.2">
      <c r="Q643" s="141"/>
      <c r="T643" s="141"/>
      <c r="U643" s="162"/>
      <c r="X643" s="183" t="str">
        <f t="shared" si="16"/>
        <v>1w</v>
      </c>
      <c r="Y643" s="181">
        <f>_xll.qlCalendarAdvance(Calendar,Y642,X643,"f",FALSE)</f>
        <v>43398</v>
      </c>
      <c r="Z643" s="184">
        <f>_xll.qlCalendarAdvance(Calendar,Y643,NDays&amp;"D")</f>
        <v>43398</v>
      </c>
      <c r="AA643" s="185">
        <v>4.0114831674917188E-2</v>
      </c>
      <c r="AB643" s="182">
        <v>3.9532434239406555E-2</v>
      </c>
    </row>
    <row r="644" spans="17:28" x14ac:dyDescent="0.2">
      <c r="Q644" s="141"/>
      <c r="T644" s="141"/>
      <c r="U644" s="162"/>
      <c r="X644" s="183" t="str">
        <f t="shared" si="16"/>
        <v>1w</v>
      </c>
      <c r="Y644" s="181">
        <f>_xll.qlCalendarAdvance(Calendar,Y643,X644,"f",FALSE)</f>
        <v>43405</v>
      </c>
      <c r="Z644" s="184">
        <f>_xll.qlCalendarAdvance(Calendar,Y644,NDays&amp;"D")</f>
        <v>43405</v>
      </c>
      <c r="AA644" s="185">
        <v>4.0172896673223553E-2</v>
      </c>
      <c r="AB644" s="182">
        <v>3.9593499821158895E-2</v>
      </c>
    </row>
    <row r="645" spans="17:28" x14ac:dyDescent="0.2">
      <c r="Q645" s="141"/>
      <c r="T645" s="141"/>
      <c r="U645" s="162"/>
      <c r="X645" s="183" t="str">
        <f t="shared" si="16"/>
        <v>1w</v>
      </c>
      <c r="Y645" s="181">
        <f>_xll.qlCalendarAdvance(Calendar,Y644,X645,"f",FALSE)</f>
        <v>43412</v>
      </c>
      <c r="Z645" s="184">
        <f>_xll.qlCalendarAdvance(Calendar,Y645,NDays&amp;"D")</f>
        <v>43412</v>
      </c>
      <c r="AA645" s="185">
        <v>4.0230406841180635E-2</v>
      </c>
      <c r="AB645" s="182">
        <v>3.9654015260027764E-2</v>
      </c>
    </row>
    <row r="646" spans="17:28" x14ac:dyDescent="0.2">
      <c r="Q646" s="141"/>
      <c r="T646" s="141"/>
      <c r="U646" s="162"/>
      <c r="X646" s="183" t="str">
        <f t="shared" si="16"/>
        <v>1w</v>
      </c>
      <c r="Y646" s="181">
        <f>_xll.qlCalendarAdvance(Calendar,Y645,X646,"f",FALSE)</f>
        <v>43419</v>
      </c>
      <c r="Z646" s="184">
        <f>_xll.qlCalendarAdvance(Calendar,Y646,NDays&amp;"D")</f>
        <v>43419</v>
      </c>
      <c r="AA646" s="185">
        <v>4.0287362154879776E-2</v>
      </c>
      <c r="AB646" s="182">
        <v>3.9713980555364792E-2</v>
      </c>
    </row>
    <row r="647" spans="17:28" x14ac:dyDescent="0.2">
      <c r="Q647" s="141"/>
      <c r="T647" s="141"/>
      <c r="U647" s="162"/>
      <c r="X647" s="183" t="str">
        <f t="shared" si="16"/>
        <v>1w</v>
      </c>
      <c r="Y647" s="181">
        <f>_xll.qlCalendarAdvance(Calendar,Y646,X647,"f",FALSE)</f>
        <v>43426</v>
      </c>
      <c r="Z647" s="184">
        <f>_xll.qlCalendarAdvance(Calendar,Y647,NDays&amp;"D")</f>
        <v>43426</v>
      </c>
      <c r="AA647" s="185">
        <v>4.0343762590639612E-2</v>
      </c>
      <c r="AB647" s="182">
        <v>3.9773395707169978E-2</v>
      </c>
    </row>
    <row r="648" spans="17:28" x14ac:dyDescent="0.2">
      <c r="Q648" s="141"/>
      <c r="T648" s="141"/>
      <c r="U648" s="162"/>
      <c r="X648" s="183" t="str">
        <f t="shared" si="16"/>
        <v>1w</v>
      </c>
      <c r="Y648" s="181">
        <f>_xll.qlCalendarAdvance(Calendar,Y647,X648,"f",FALSE)</f>
        <v>43433</v>
      </c>
      <c r="Z648" s="184">
        <f>_xll.qlCalendarAdvance(Calendar,Y648,NDays&amp;"D")</f>
        <v>43433</v>
      </c>
      <c r="AA648" s="185">
        <v>4.0393496301845383E-2</v>
      </c>
      <c r="AB648" s="182">
        <v>3.9832260715119139E-2</v>
      </c>
    </row>
    <row r="649" spans="17:28" x14ac:dyDescent="0.2">
      <c r="Q649" s="141"/>
      <c r="T649" s="141"/>
      <c r="U649" s="162"/>
      <c r="X649" s="183" t="str">
        <f t="shared" si="16"/>
        <v>1w</v>
      </c>
      <c r="Y649" s="181">
        <f>_xll.qlCalendarAdvance(Calendar,Y648,X649,"f",FALSE)</f>
        <v>43440</v>
      </c>
      <c r="Z649" s="184">
        <f>_xll.qlCalendarAdvance(Calendar,Y649,NDays&amp;"D")</f>
        <v>43440</v>
      </c>
      <c r="AA649" s="185">
        <v>4.0442739410700139E-2</v>
      </c>
      <c r="AB649" s="182">
        <v>3.9890575578807042E-2</v>
      </c>
    </row>
    <row r="650" spans="17:28" x14ac:dyDescent="0.2">
      <c r="Q650" s="141"/>
      <c r="T650" s="141"/>
      <c r="U650" s="162"/>
      <c r="X650" s="183" t="str">
        <f t="shared" si="16"/>
        <v>1w</v>
      </c>
      <c r="Y650" s="181">
        <f>_xll.qlCalendarAdvance(Calendar,Y649,X650,"f",FALSE)</f>
        <v>43447</v>
      </c>
      <c r="Z650" s="184">
        <f>_xll.qlCalendarAdvance(Calendar,Y650,NDays&amp;"D")</f>
        <v>43447</v>
      </c>
      <c r="AA650" s="185">
        <v>4.04975422609875E-2</v>
      </c>
      <c r="AB650" s="182">
        <v>3.994834029815264E-2</v>
      </c>
    </row>
    <row r="651" spans="17:28" x14ac:dyDescent="0.2">
      <c r="Q651" s="141"/>
      <c r="T651" s="141"/>
      <c r="U651" s="162"/>
      <c r="X651" s="183" t="str">
        <f t="shared" si="16"/>
        <v>1w</v>
      </c>
      <c r="Y651" s="181">
        <f>_xll.qlCalendarAdvance(Calendar,Y650,X651,"f",FALSE)</f>
        <v>43454</v>
      </c>
      <c r="Z651" s="184">
        <f>_xll.qlCalendarAdvance(Calendar,Y651,NDays&amp;"D")</f>
        <v>43454</v>
      </c>
      <c r="AA651" s="185">
        <v>4.0551790250533397E-2</v>
      </c>
      <c r="AB651" s="182">
        <v>4.0005554872912796E-2</v>
      </c>
    </row>
    <row r="652" spans="17:28" x14ac:dyDescent="0.2">
      <c r="Q652" s="141"/>
      <c r="T652" s="141"/>
      <c r="U652" s="162"/>
      <c r="X652" s="183" t="str">
        <f t="shared" si="16"/>
        <v>1w</v>
      </c>
      <c r="Y652" s="181">
        <f>_xll.qlCalendarAdvance(Calendar,Y651,X652,"f",FALSE)</f>
        <v>43461</v>
      </c>
      <c r="Z652" s="184">
        <f>_xll.qlCalendarAdvance(Calendar,Y652,NDays&amp;"D")</f>
        <v>43461</v>
      </c>
      <c r="AA652" s="185">
        <v>4.0605483357268032E-2</v>
      </c>
      <c r="AB652" s="182">
        <v>4.0062219302682278E-2</v>
      </c>
    </row>
    <row r="653" spans="17:28" x14ac:dyDescent="0.2">
      <c r="Q653" s="141"/>
      <c r="T653" s="141"/>
      <c r="U653" s="162"/>
      <c r="X653" s="183" t="str">
        <f t="shared" si="16"/>
        <v>1w</v>
      </c>
      <c r="Y653" s="181">
        <f>_xll.qlCalendarAdvance(Calendar,Y652,X653,"f",FALSE)</f>
        <v>43468</v>
      </c>
      <c r="Z653" s="184">
        <f>_xll.qlCalendarAdvance(Calendar,Y653,NDays&amp;"D")</f>
        <v>43468</v>
      </c>
      <c r="AA653" s="185">
        <v>4.0658621559354825E-2</v>
      </c>
      <c r="AB653" s="182">
        <v>4.0118333587136901E-2</v>
      </c>
    </row>
    <row r="654" spans="17:28" x14ac:dyDescent="0.2">
      <c r="Q654" s="141"/>
      <c r="T654" s="141"/>
      <c r="U654" s="162"/>
      <c r="X654" s="183" t="str">
        <f t="shared" si="16"/>
        <v>1w</v>
      </c>
      <c r="Y654" s="181">
        <f>_xll.qlCalendarAdvance(Calendar,Y653,X654,"f",FALSE)</f>
        <v>43475</v>
      </c>
      <c r="Z654" s="184">
        <f>_xll.qlCalendarAdvance(Calendar,Y654,NDays&amp;"D")</f>
        <v>43475</v>
      </c>
      <c r="AA654" s="185">
        <v>4.0711204835179642E-2</v>
      </c>
      <c r="AB654" s="182">
        <v>4.017389772635771E-2</v>
      </c>
    </row>
    <row r="655" spans="17:28" x14ac:dyDescent="0.2">
      <c r="Q655" s="141"/>
      <c r="T655" s="141"/>
      <c r="U655" s="162"/>
      <c r="X655" s="183" t="str">
        <f t="shared" si="16"/>
        <v>1w</v>
      </c>
      <c r="Y655" s="181">
        <f>_xll.qlCalendarAdvance(Calendar,Y654,X655,"f",FALSE)</f>
        <v>43482</v>
      </c>
      <c r="Z655" s="184">
        <f>_xll.qlCalendarAdvance(Calendar,Y655,NDays&amp;"D")</f>
        <v>43482</v>
      </c>
      <c r="AA655" s="185">
        <v>4.0763233163352557E-2</v>
      </c>
      <c r="AB655" s="182">
        <v>4.0228911719777383E-2</v>
      </c>
    </row>
    <row r="656" spans="17:28" x14ac:dyDescent="0.2">
      <c r="Q656" s="141"/>
      <c r="T656" s="141"/>
      <c r="U656" s="162"/>
      <c r="X656" s="183" t="str">
        <f t="shared" si="16"/>
        <v>1w</v>
      </c>
      <c r="Y656" s="181">
        <f>_xll.qlCalendarAdvance(Calendar,Y655,X656,"f",FALSE)</f>
        <v>43489</v>
      </c>
      <c r="Z656" s="184">
        <f>_xll.qlCalendarAdvance(Calendar,Y656,NDays&amp;"D")</f>
        <v>43489</v>
      </c>
      <c r="AA656" s="185">
        <v>4.0814706522711505E-2</v>
      </c>
      <c r="AB656" s="182">
        <v>4.0283375567233826E-2</v>
      </c>
    </row>
    <row r="657" spans="17:28" x14ac:dyDescent="0.2">
      <c r="Q657" s="141"/>
      <c r="T657" s="141"/>
      <c r="U657" s="162"/>
      <c r="X657" s="183" t="str">
        <f t="shared" si="16"/>
        <v>1w</v>
      </c>
      <c r="Y657" s="181">
        <f>_xll.qlCalendarAdvance(Calendar,Y656,X657,"f",FALSE)</f>
        <v>43496</v>
      </c>
      <c r="Z657" s="184">
        <f>_xll.qlCalendarAdvance(Calendar,Y657,NDays&amp;"D")</f>
        <v>43496</v>
      </c>
      <c r="AA657" s="185">
        <v>4.0859811298992375E-2</v>
      </c>
      <c r="AB657" s="182">
        <v>4.03372892684839E-2</v>
      </c>
    </row>
    <row r="658" spans="17:28" x14ac:dyDescent="0.2">
      <c r="Q658" s="141"/>
      <c r="T658" s="141"/>
      <c r="U658" s="162"/>
      <c r="X658" s="183" t="str">
        <f t="shared" si="16"/>
        <v>1w</v>
      </c>
      <c r="Y658" s="181">
        <f>_xll.qlCalendarAdvance(Calendar,Y657,X658,"f",FALSE)</f>
        <v>43503</v>
      </c>
      <c r="Z658" s="184">
        <f>_xll.qlCalendarAdvance(Calendar,Y658,NDays&amp;"D")</f>
        <v>43503</v>
      </c>
      <c r="AA658" s="185">
        <v>4.0910208685906294E-2</v>
      </c>
      <c r="AB658" s="182">
        <v>4.0390652823284467E-2</v>
      </c>
    </row>
    <row r="659" spans="17:28" x14ac:dyDescent="0.2">
      <c r="Q659" s="141"/>
      <c r="T659" s="141"/>
      <c r="U659" s="162"/>
      <c r="X659" s="183" t="str">
        <f t="shared" si="16"/>
        <v>1w</v>
      </c>
      <c r="Y659" s="181">
        <f>_xll.qlCalendarAdvance(Calendar,Y658,X659,"f",FALSE)</f>
        <v>43510</v>
      </c>
      <c r="Z659" s="184">
        <f>_xll.qlCalendarAdvance(Calendar,Y659,NDays&amp;"D")</f>
        <v>43510</v>
      </c>
      <c r="AA659" s="185">
        <v>4.0960051098399133E-2</v>
      </c>
      <c r="AB659" s="182">
        <v>4.0443466231554481E-2</v>
      </c>
    </row>
    <row r="660" spans="17:28" x14ac:dyDescent="0.2">
      <c r="Q660" s="141"/>
      <c r="T660" s="141"/>
      <c r="U660" s="162"/>
      <c r="X660" s="183" t="str">
        <f t="shared" si="16"/>
        <v>1w</v>
      </c>
      <c r="Y660" s="181">
        <f>_xll.qlCalendarAdvance(Calendar,Y659,X660,"f",FALSE)</f>
        <v>43517</v>
      </c>
      <c r="Z660" s="184">
        <f>_xll.qlCalendarAdvance(Calendar,Y660,NDays&amp;"D")</f>
        <v>43517</v>
      </c>
      <c r="AA660" s="185">
        <v>4.1009338516420593E-2</v>
      </c>
      <c r="AB660" s="182">
        <v>4.0495729492807664E-2</v>
      </c>
    </row>
    <row r="661" spans="17:28" x14ac:dyDescent="0.2">
      <c r="Q661" s="141"/>
      <c r="T661" s="141"/>
      <c r="U661" s="162"/>
      <c r="X661" s="183" t="str">
        <f t="shared" ref="X661:X724" si="17">X660</f>
        <v>1w</v>
      </c>
      <c r="Y661" s="181">
        <f>_xll.qlCalendarAdvance(Calendar,Y660,X661,"f",FALSE)</f>
        <v>43524</v>
      </c>
      <c r="Z661" s="184">
        <f>_xll.qlCalendarAdvance(Calendar,Y661,NDays&amp;"D")</f>
        <v>43524</v>
      </c>
      <c r="AA661" s="185">
        <v>4.1075093795707229E-2</v>
      </c>
      <c r="AB661" s="182">
        <v>4.0547442606881923E-2</v>
      </c>
    </row>
    <row r="662" spans="17:28" x14ac:dyDescent="0.2">
      <c r="Q662" s="141"/>
      <c r="T662" s="141"/>
      <c r="U662" s="162"/>
      <c r="X662" s="183" t="str">
        <f t="shared" si="17"/>
        <v>1w</v>
      </c>
      <c r="Y662" s="181">
        <f>_xll.qlCalendarAdvance(Calendar,Y661,X662,"f",FALSE)</f>
        <v>43531</v>
      </c>
      <c r="Z662" s="184">
        <f>_xll.qlCalendarAdvance(Calendar,Y662,NDays&amp;"D")</f>
        <v>43531</v>
      </c>
      <c r="AA662" s="185">
        <v>4.1123168377582842E-2</v>
      </c>
      <c r="AB662" s="182">
        <v>4.0598605573615165E-2</v>
      </c>
    </row>
    <row r="663" spans="17:28" x14ac:dyDescent="0.2">
      <c r="Q663" s="141"/>
      <c r="T663" s="141"/>
      <c r="U663" s="162"/>
      <c r="X663" s="183" t="str">
        <f t="shared" si="17"/>
        <v>1w</v>
      </c>
      <c r="Y663" s="181">
        <f>_xll.qlCalendarAdvance(Calendar,Y662,X663,"f",FALSE)</f>
        <v>43538</v>
      </c>
      <c r="Z663" s="184">
        <f>_xll.qlCalendarAdvance(Calendar,Y663,NDays&amp;"D")</f>
        <v>43538</v>
      </c>
      <c r="AA663" s="185">
        <v>4.1170687734000615E-2</v>
      </c>
      <c r="AB663" s="182">
        <v>4.0649218392683206E-2</v>
      </c>
    </row>
    <row r="664" spans="17:28" x14ac:dyDescent="0.2">
      <c r="Q664" s="141"/>
      <c r="T664" s="141"/>
      <c r="U664" s="162"/>
      <c r="X664" s="183" t="str">
        <f t="shared" si="17"/>
        <v>1w</v>
      </c>
      <c r="Y664" s="181">
        <f>_xll.qlCalendarAdvance(Calendar,Y663,X664,"f",FALSE)</f>
        <v>43545</v>
      </c>
      <c r="Z664" s="184">
        <f>_xll.qlCalendarAdvance(Calendar,Y664,NDays&amp;"D")</f>
        <v>43545</v>
      </c>
      <c r="AA664" s="185">
        <v>4.1217651845199356E-2</v>
      </c>
      <c r="AB664" s="182">
        <v>4.0699281064005E-2</v>
      </c>
    </row>
    <row r="665" spans="17:28" x14ac:dyDescent="0.2">
      <c r="Q665" s="141"/>
      <c r="T665" s="141"/>
      <c r="U665" s="162"/>
      <c r="X665" s="183" t="str">
        <f t="shared" si="17"/>
        <v>1w</v>
      </c>
      <c r="Y665" s="181">
        <f>_xll.qlCalendarAdvance(Calendar,Y664,X665,"f",FALSE)</f>
        <v>43552</v>
      </c>
      <c r="Z665" s="184">
        <f>_xll.qlCalendarAdvance(Calendar,Y665,NDays&amp;"D")</f>
        <v>43552</v>
      </c>
      <c r="AA665" s="185">
        <v>4.1264060691652206E-2</v>
      </c>
      <c r="AB665" s="182">
        <v>4.074879358725636E-2</v>
      </c>
    </row>
    <row r="666" spans="17:28" x14ac:dyDescent="0.2">
      <c r="Q666" s="141"/>
      <c r="T666" s="141"/>
      <c r="U666" s="162"/>
      <c r="X666" s="183" t="str">
        <f t="shared" si="17"/>
        <v>1w</v>
      </c>
      <c r="Y666" s="181">
        <f>_xll.qlCalendarAdvance(Calendar,Y665,X666,"f",FALSE)</f>
        <v>43559</v>
      </c>
      <c r="Z666" s="184">
        <f>_xll.qlCalendarAdvance(Calendar,Y666,NDays&amp;"D")</f>
        <v>43559</v>
      </c>
      <c r="AA666" s="185">
        <v>4.1304414740042157E-2</v>
      </c>
      <c r="AB666" s="182">
        <v>4.0797755962194149E-2</v>
      </c>
    </row>
    <row r="667" spans="17:28" x14ac:dyDescent="0.2">
      <c r="Q667" s="141"/>
      <c r="T667" s="141"/>
      <c r="U667" s="162"/>
      <c r="X667" s="183" t="str">
        <f t="shared" si="17"/>
        <v>1w</v>
      </c>
      <c r="Y667" s="181">
        <f>_xll.qlCalendarAdvance(Calendar,Y666,X667,"f",FALSE)</f>
        <v>43566</v>
      </c>
      <c r="Z667" s="184">
        <f>_xll.qlCalendarAdvance(Calendar,Y667,NDays&amp;"D")</f>
        <v>43566</v>
      </c>
      <c r="AA667" s="185">
        <v>4.1349747558621863E-2</v>
      </c>
      <c r="AB667" s="182">
        <v>4.0846168188494181E-2</v>
      </c>
    </row>
    <row r="668" spans="17:28" x14ac:dyDescent="0.2">
      <c r="Q668" s="141"/>
      <c r="T668" s="141"/>
      <c r="U668" s="162"/>
      <c r="X668" s="183" t="str">
        <f t="shared" si="17"/>
        <v>1w</v>
      </c>
      <c r="Y668" s="181">
        <f>_xll.qlCalendarAdvance(Calendar,Y667,X668,"f",FALSE)</f>
        <v>43573</v>
      </c>
      <c r="Z668" s="184">
        <f>_xll.qlCalendarAdvance(Calendar,Y668,NDays&amp;"D")</f>
        <v>43573</v>
      </c>
      <c r="AA668" s="185">
        <v>4.1394525113660006E-2</v>
      </c>
      <c r="AB668" s="182">
        <v>4.0916763383617161E-2</v>
      </c>
    </row>
    <row r="669" spans="17:28" x14ac:dyDescent="0.2">
      <c r="Q669" s="141"/>
      <c r="T669" s="141"/>
      <c r="U669" s="162"/>
      <c r="X669" s="183" t="str">
        <f t="shared" si="17"/>
        <v>1w</v>
      </c>
      <c r="Y669" s="181">
        <f>_xll.qlCalendarAdvance(Calendar,Y668,X669,"f",FALSE)</f>
        <v>43581</v>
      </c>
      <c r="Z669" s="184">
        <f>_xll.qlCalendarAdvance(Calendar,Y669,NDays&amp;"D")</f>
        <v>43581</v>
      </c>
      <c r="AA669" s="185">
        <v>4.1445019524116257E-2</v>
      </c>
      <c r="AB669" s="182">
        <v>4.0959350590784968E-2</v>
      </c>
    </row>
    <row r="670" spans="17:28" x14ac:dyDescent="0.2">
      <c r="Q670" s="141"/>
      <c r="T670" s="141"/>
      <c r="U670" s="162"/>
      <c r="X670" s="183" t="str">
        <f t="shared" si="17"/>
        <v>1w</v>
      </c>
      <c r="Y670" s="181">
        <f>_xll.qlCalendarAdvance(Calendar,Y669,X670,"f",FALSE)</f>
        <v>43588</v>
      </c>
      <c r="Z670" s="184">
        <f>_xll.qlCalendarAdvance(Calendar,Y670,NDays&amp;"D")</f>
        <v>43588</v>
      </c>
      <c r="AA670" s="185">
        <v>4.1510013464473985E-2</v>
      </c>
      <c r="AB670" s="182">
        <v>4.1005965649901784E-2</v>
      </c>
    </row>
    <row r="671" spans="17:28" x14ac:dyDescent="0.2">
      <c r="Q671" s="141"/>
      <c r="T671" s="141"/>
      <c r="U671" s="162"/>
      <c r="X671" s="183" t="str">
        <f t="shared" si="17"/>
        <v>1w</v>
      </c>
      <c r="Y671" s="181">
        <f>_xll.qlCalendarAdvance(Calendar,Y670,X671,"f",FALSE)</f>
        <v>43595</v>
      </c>
      <c r="Z671" s="184">
        <f>_xll.qlCalendarAdvance(Calendar,Y671,NDays&amp;"D")</f>
        <v>43595</v>
      </c>
      <c r="AA671" s="185">
        <v>4.1547594166856092E-2</v>
      </c>
      <c r="AB671" s="182">
        <v>4.1052030447699492E-2</v>
      </c>
    </row>
    <row r="672" spans="17:28" x14ac:dyDescent="0.2">
      <c r="Q672" s="141"/>
      <c r="T672" s="141"/>
      <c r="U672" s="162"/>
      <c r="X672" s="183" t="str">
        <f t="shared" si="17"/>
        <v>1w</v>
      </c>
      <c r="Y672" s="181">
        <f>_xll.qlCalendarAdvance(Calendar,Y671,X672,"f",FALSE)</f>
        <v>43602</v>
      </c>
      <c r="Z672" s="184">
        <f>_xll.qlCalendarAdvance(Calendar,Y672,NDays&amp;"D")</f>
        <v>43602</v>
      </c>
      <c r="AA672" s="185">
        <v>4.1589966542207944E-2</v>
      </c>
      <c r="AB672" s="182">
        <v>4.1097544983610776E-2</v>
      </c>
    </row>
    <row r="673" spans="17:28" x14ac:dyDescent="0.2">
      <c r="Q673" s="141"/>
      <c r="T673" s="141"/>
      <c r="U673" s="162"/>
      <c r="X673" s="183" t="str">
        <f t="shared" si="17"/>
        <v>1w</v>
      </c>
      <c r="Y673" s="181">
        <f>_xll.qlCalendarAdvance(Calendar,Y672,X673,"f",FALSE)</f>
        <v>43609</v>
      </c>
      <c r="Z673" s="184">
        <f>_xll.qlCalendarAdvance(Calendar,Y673,NDays&amp;"D")</f>
        <v>43609</v>
      </c>
      <c r="AA673" s="185">
        <v>4.1631783383596715E-2</v>
      </c>
      <c r="AB673" s="182">
        <v>4.1142509256987266E-2</v>
      </c>
    </row>
    <row r="674" spans="17:28" x14ac:dyDescent="0.2">
      <c r="Q674" s="141"/>
      <c r="T674" s="141"/>
      <c r="U674" s="162"/>
      <c r="X674" s="183" t="str">
        <f t="shared" si="17"/>
        <v>1w</v>
      </c>
      <c r="Y674" s="181">
        <f>_xll.qlCalendarAdvance(Calendar,Y673,X674,"f",FALSE)</f>
        <v>43616</v>
      </c>
      <c r="Z674" s="184">
        <f>_xll.qlCalendarAdvance(Calendar,Y674,NDays&amp;"D")</f>
        <v>43616</v>
      </c>
      <c r="AA674" s="185">
        <v>4.165740435597589E-2</v>
      </c>
      <c r="AB674" s="182">
        <v>4.1186923267234617E-2</v>
      </c>
    </row>
    <row r="675" spans="17:28" x14ac:dyDescent="0.2">
      <c r="Q675" s="141"/>
      <c r="T675" s="141"/>
      <c r="U675" s="162"/>
      <c r="X675" s="183" t="str">
        <f t="shared" si="17"/>
        <v>1w</v>
      </c>
      <c r="Y675" s="181">
        <f>_xll.qlCalendarAdvance(Calendar,Y674,X675,"f",FALSE)</f>
        <v>43623</v>
      </c>
      <c r="Z675" s="184">
        <f>_xll.qlCalendarAdvance(Calendar,Y675,NDays&amp;"D")</f>
        <v>43623</v>
      </c>
      <c r="AA675" s="185">
        <v>4.1713750393650544E-2</v>
      </c>
      <c r="AB675" s="182">
        <v>4.1236224719509162E-2</v>
      </c>
    </row>
    <row r="676" spans="17:28" x14ac:dyDescent="0.2">
      <c r="Q676" s="141"/>
      <c r="T676" s="141"/>
      <c r="U676" s="162"/>
      <c r="X676" s="183" t="str">
        <f t="shared" si="17"/>
        <v>1w</v>
      </c>
      <c r="Y676" s="181">
        <f>_xll.qlCalendarAdvance(Calendar,Y675,X676,"f",FALSE)</f>
        <v>43630</v>
      </c>
      <c r="Z676" s="184">
        <f>_xll.qlCalendarAdvance(Calendar,Y676,NDays&amp;"D")</f>
        <v>43630</v>
      </c>
      <c r="AA676" s="185">
        <v>4.1753900527488126E-2</v>
      </c>
      <c r="AB676" s="182">
        <v>4.1274100495937535E-2</v>
      </c>
    </row>
    <row r="677" spans="17:28" x14ac:dyDescent="0.2">
      <c r="Q677" s="141"/>
      <c r="T677" s="141"/>
      <c r="U677" s="162"/>
      <c r="X677" s="183" t="str">
        <f t="shared" si="17"/>
        <v>1w</v>
      </c>
      <c r="Y677" s="181">
        <f>_xll.qlCalendarAdvance(Calendar,Y676,X677,"f",FALSE)</f>
        <v>43637</v>
      </c>
      <c r="Z677" s="184">
        <f>_xll.qlCalendarAdvance(Calendar,Y677,NDays&amp;"D")</f>
        <v>43637</v>
      </c>
      <c r="AA677" s="185">
        <v>4.1793500271915827E-2</v>
      </c>
      <c r="AB677" s="182">
        <v>4.1316863713231441E-2</v>
      </c>
    </row>
    <row r="678" spans="17:28" x14ac:dyDescent="0.2">
      <c r="Q678" s="141"/>
      <c r="T678" s="141"/>
      <c r="U678" s="162"/>
      <c r="X678" s="183" t="str">
        <f t="shared" si="17"/>
        <v>1w</v>
      </c>
      <c r="Y678" s="181">
        <f>_xll.qlCalendarAdvance(Calendar,Y677,X678,"f",FALSE)</f>
        <v>43644</v>
      </c>
      <c r="Z678" s="184">
        <f>_xll.qlCalendarAdvance(Calendar,Y678,NDays&amp;"D")</f>
        <v>43644</v>
      </c>
      <c r="AA678" s="185">
        <v>4.1832575681573884E-2</v>
      </c>
      <c r="AB678" s="182">
        <v>4.1359076664991841E-2</v>
      </c>
    </row>
    <row r="679" spans="17:28" x14ac:dyDescent="0.2">
      <c r="Q679" s="141"/>
      <c r="T679" s="141"/>
      <c r="U679" s="162"/>
      <c r="X679" s="183" t="str">
        <f t="shared" si="17"/>
        <v>1w</v>
      </c>
      <c r="Y679" s="181">
        <f>_xll.qlCalendarAdvance(Calendar,Y678,X679,"f",FALSE)</f>
        <v>43651</v>
      </c>
      <c r="Z679" s="184">
        <f>_xll.qlCalendarAdvance(Calendar,Y679,NDays&amp;"D")</f>
        <v>43651</v>
      </c>
      <c r="AA679" s="185">
        <v>4.1876209033578755E-2</v>
      </c>
      <c r="AB679" s="182">
        <v>4.1400739350732449E-2</v>
      </c>
    </row>
    <row r="680" spans="17:28" x14ac:dyDescent="0.2">
      <c r="Q680" s="141"/>
      <c r="T680" s="141"/>
      <c r="U680" s="162"/>
      <c r="X680" s="183" t="str">
        <f t="shared" si="17"/>
        <v>1w</v>
      </c>
      <c r="Y680" s="181">
        <f>_xll.qlCalendarAdvance(Calendar,Y679,X680,"f",FALSE)</f>
        <v>43658</v>
      </c>
      <c r="Z680" s="184">
        <f>_xll.qlCalendarAdvance(Calendar,Y680,NDays&amp;"D")</f>
        <v>43658</v>
      </c>
      <c r="AA680" s="185">
        <v>4.1909278578827418E-2</v>
      </c>
      <c r="AB680" s="182">
        <v>4.1441851769804902E-2</v>
      </c>
    </row>
    <row r="681" spans="17:28" x14ac:dyDescent="0.2">
      <c r="Q681" s="141"/>
      <c r="T681" s="141"/>
      <c r="U681" s="162"/>
      <c r="X681" s="183" t="str">
        <f t="shared" si="17"/>
        <v>1w</v>
      </c>
      <c r="Y681" s="181">
        <f>_xll.qlCalendarAdvance(Calendar,Y680,X681,"f",FALSE)</f>
        <v>43665</v>
      </c>
      <c r="Z681" s="184">
        <f>_xll.qlCalendarAdvance(Calendar,Y681,NDays&amp;"D")</f>
        <v>43665</v>
      </c>
      <c r="AA681" s="185">
        <v>4.1946968611069002E-2</v>
      </c>
      <c r="AB681" s="182">
        <v>4.1482413921695903E-2</v>
      </c>
    </row>
    <row r="682" spans="17:28" x14ac:dyDescent="0.2">
      <c r="Q682" s="141"/>
      <c r="T682" s="141"/>
      <c r="U682" s="162"/>
      <c r="X682" s="183" t="str">
        <f t="shared" si="17"/>
        <v>1w</v>
      </c>
      <c r="Y682" s="181">
        <f>_xll.qlCalendarAdvance(Calendar,Y681,X682,"f",FALSE)</f>
        <v>43672</v>
      </c>
      <c r="Z682" s="184">
        <f>_xll.qlCalendarAdvance(Calendar,Y682,NDays&amp;"D")</f>
        <v>43672</v>
      </c>
      <c r="AA682" s="185">
        <v>4.1984259397761584E-2</v>
      </c>
      <c r="AB682" s="182">
        <v>4.1522425805811121E-2</v>
      </c>
    </row>
    <row r="683" spans="17:28" x14ac:dyDescent="0.2">
      <c r="Q683" s="141"/>
      <c r="T683" s="141"/>
      <c r="U683" s="162"/>
      <c r="X683" s="183" t="str">
        <f t="shared" si="17"/>
        <v>1w</v>
      </c>
      <c r="Y683" s="181">
        <f>_xll.qlCalendarAdvance(Calendar,Y682,X683,"f",FALSE)</f>
        <v>43679</v>
      </c>
      <c r="Z683" s="184">
        <f>_xll.qlCalendarAdvance(Calendar,Y683,NDays&amp;"D")</f>
        <v>43679</v>
      </c>
      <c r="AA683" s="185">
        <v>4.2021182214587338E-2</v>
      </c>
      <c r="AB683" s="182">
        <v>4.1567048203734747E-2</v>
      </c>
    </row>
    <row r="684" spans="17:28" x14ac:dyDescent="0.2">
      <c r="Q684" s="141"/>
      <c r="T684" s="141"/>
      <c r="U684" s="162"/>
      <c r="X684" s="183" t="str">
        <f t="shared" si="17"/>
        <v>1w</v>
      </c>
      <c r="Y684" s="181">
        <f>_xll.qlCalendarAdvance(Calendar,Y683,X684,"f",FALSE)</f>
        <v>43686</v>
      </c>
      <c r="Z684" s="184">
        <f>_xll.qlCalendarAdvance(Calendar,Y684,NDays&amp;"D")</f>
        <v>43686</v>
      </c>
      <c r="AA684" s="185">
        <v>4.2057768338519125E-2</v>
      </c>
      <c r="AB684" s="182">
        <v>4.1600798768715037E-2</v>
      </c>
    </row>
    <row r="685" spans="17:28" x14ac:dyDescent="0.2">
      <c r="Q685" s="141"/>
      <c r="T685" s="141"/>
      <c r="U685" s="162"/>
      <c r="X685" s="183" t="str">
        <f t="shared" si="17"/>
        <v>1w</v>
      </c>
      <c r="Y685" s="181">
        <f>_xll.qlCalendarAdvance(Calendar,Y684,X685,"f",FALSE)</f>
        <v>43693</v>
      </c>
      <c r="Z685" s="184">
        <f>_xll.qlCalendarAdvance(Calendar,Y685,NDays&amp;"D")</f>
        <v>43693</v>
      </c>
      <c r="AA685" s="185">
        <v>4.2094049047786027E-2</v>
      </c>
      <c r="AB685" s="182">
        <v>4.1639159846423121E-2</v>
      </c>
    </row>
    <row r="686" spans="17:28" x14ac:dyDescent="0.2">
      <c r="Q686" s="141"/>
      <c r="T686" s="141"/>
      <c r="U686" s="162"/>
      <c r="X686" s="183" t="str">
        <f t="shared" si="17"/>
        <v>1w</v>
      </c>
      <c r="Y686" s="181">
        <f>_xll.qlCalendarAdvance(Calendar,Y685,X686,"f",FALSE)</f>
        <v>43700</v>
      </c>
      <c r="Z686" s="184">
        <f>_xll.qlCalendarAdvance(Calendar,Y686,NDays&amp;"D")</f>
        <v>43700</v>
      </c>
      <c r="AA686" s="185">
        <v>4.2130055621852652E-2</v>
      </c>
      <c r="AB686" s="182">
        <v>4.1676970654248212E-2</v>
      </c>
    </row>
    <row r="687" spans="17:28" x14ac:dyDescent="0.2">
      <c r="Q687" s="141"/>
      <c r="T687" s="141"/>
      <c r="U687" s="162"/>
      <c r="X687" s="183" t="str">
        <f t="shared" si="17"/>
        <v>1w</v>
      </c>
      <c r="Y687" s="181">
        <f>_xll.qlCalendarAdvance(Calendar,Y686,X687,"f",FALSE)</f>
        <v>43707</v>
      </c>
      <c r="Z687" s="184">
        <f>_xll.qlCalendarAdvance(Calendar,Y687,NDays&amp;"D")</f>
        <v>43707</v>
      </c>
      <c r="AA687" s="185">
        <v>4.2150980889356961E-2</v>
      </c>
      <c r="AB687" s="182">
        <v>4.1714231191677019E-2</v>
      </c>
    </row>
    <row r="688" spans="17:28" x14ac:dyDescent="0.2">
      <c r="Q688" s="141"/>
      <c r="T688" s="141"/>
      <c r="U688" s="162"/>
      <c r="X688" s="183" t="str">
        <f t="shared" si="17"/>
        <v>1w</v>
      </c>
      <c r="Y688" s="181">
        <f>_xll.qlCalendarAdvance(Calendar,Y687,X688,"f",FALSE)</f>
        <v>43714</v>
      </c>
      <c r="Z688" s="184">
        <f>_xll.qlCalendarAdvance(Calendar,Y688,NDays&amp;"D")</f>
        <v>43714</v>
      </c>
      <c r="AA688" s="185">
        <v>4.2186551786579388E-2</v>
      </c>
      <c r="AB688" s="182">
        <v>4.1750941458250278E-2</v>
      </c>
    </row>
    <row r="689" spans="17:28" x14ac:dyDescent="0.2">
      <c r="Q689" s="141"/>
      <c r="T689" s="141"/>
      <c r="U689" s="162"/>
      <c r="X689" s="183" t="str">
        <f t="shared" si="17"/>
        <v>1w</v>
      </c>
      <c r="Y689" s="181">
        <f>_xll.qlCalendarAdvance(Calendar,Y688,X689,"f",FALSE)</f>
        <v>43721</v>
      </c>
      <c r="Z689" s="184">
        <f>_xll.qlCalendarAdvance(Calendar,Y689,NDays&amp;"D")</f>
        <v>43721</v>
      </c>
      <c r="AA689" s="185">
        <v>4.2221940973958559E-2</v>
      </c>
      <c r="AB689" s="182">
        <v>4.1787101453427684E-2</v>
      </c>
    </row>
    <row r="690" spans="17:28" x14ac:dyDescent="0.2">
      <c r="Q690" s="141"/>
      <c r="T690" s="141"/>
      <c r="U690" s="162"/>
      <c r="X690" s="183" t="str">
        <f t="shared" si="17"/>
        <v>1w</v>
      </c>
      <c r="Y690" s="181">
        <f>_xll.qlCalendarAdvance(Calendar,Y689,X690,"f",FALSE)</f>
        <v>43728</v>
      </c>
      <c r="Z690" s="184">
        <f>_xll.qlCalendarAdvance(Calendar,Y690,NDays&amp;"D")</f>
        <v>43728</v>
      </c>
      <c r="AA690" s="185">
        <v>4.2257179751319644E-2</v>
      </c>
      <c r="AB690" s="182">
        <v>4.1822842700707616E-2</v>
      </c>
    </row>
    <row r="691" spans="17:28" x14ac:dyDescent="0.2">
      <c r="Q691" s="141"/>
      <c r="T691" s="141"/>
      <c r="U691" s="162"/>
      <c r="X691" s="183" t="str">
        <f t="shared" si="17"/>
        <v>1w</v>
      </c>
      <c r="Y691" s="181">
        <f>_xll.qlCalendarAdvance(Calendar,Y690,X691,"f",FALSE)</f>
        <v>43735</v>
      </c>
      <c r="Z691" s="184">
        <f>_xll.qlCalendarAdvance(Calendar,Y691,NDays&amp;"D")</f>
        <v>43735</v>
      </c>
      <c r="AA691" s="185">
        <v>4.2292282542601041E-2</v>
      </c>
      <c r="AB691" s="182">
        <v>4.1858436733226798E-2</v>
      </c>
    </row>
    <row r="692" spans="17:28" x14ac:dyDescent="0.2">
      <c r="Q692" s="141"/>
      <c r="T692" s="141"/>
      <c r="U692" s="162"/>
      <c r="X692" s="183" t="str">
        <f t="shared" si="17"/>
        <v>1w</v>
      </c>
      <c r="Y692" s="181">
        <f>_xll.qlCalendarAdvance(Calendar,Y691,X692,"f",FALSE)</f>
        <v>43742</v>
      </c>
      <c r="Z692" s="184">
        <f>_xll.qlCalendarAdvance(Calendar,Y692,NDays&amp;"D")</f>
        <v>43742</v>
      </c>
      <c r="AA692" s="185">
        <v>4.2342001357920336E-2</v>
      </c>
      <c r="AB692" s="182">
        <v>4.1898827507536318E-2</v>
      </c>
    </row>
    <row r="693" spans="17:28" x14ac:dyDescent="0.2">
      <c r="Q693" s="141"/>
      <c r="T693" s="141"/>
      <c r="U693" s="162"/>
      <c r="X693" s="183" t="str">
        <f t="shared" si="17"/>
        <v>1w</v>
      </c>
      <c r="Y693" s="181">
        <f>_xll.qlCalendarAdvance(Calendar,Y692,X693,"f",FALSE)</f>
        <v>43749</v>
      </c>
      <c r="Z693" s="184">
        <f>_xll.qlCalendarAdvance(Calendar,Y693,NDays&amp;"D")</f>
        <v>43749</v>
      </c>
      <c r="AA693" s="185">
        <v>4.2376816016007991E-2</v>
      </c>
      <c r="AB693" s="182">
        <v>4.1929221337776441E-2</v>
      </c>
    </row>
    <row r="694" spans="17:28" x14ac:dyDescent="0.2">
      <c r="Q694" s="141"/>
      <c r="T694" s="141"/>
      <c r="U694" s="162"/>
      <c r="X694" s="183" t="str">
        <f t="shared" si="17"/>
        <v>1w</v>
      </c>
      <c r="Y694" s="181">
        <f>_xll.qlCalendarAdvance(Calendar,Y693,X694,"f",FALSE)</f>
        <v>43756</v>
      </c>
      <c r="Z694" s="184">
        <f>_xll.qlCalendarAdvance(Calendar,Y694,NDays&amp;"D")</f>
        <v>43756</v>
      </c>
      <c r="AA694" s="185">
        <v>4.2411495063451134E-2</v>
      </c>
      <c r="AB694" s="182">
        <v>4.1964411909590778E-2</v>
      </c>
    </row>
    <row r="695" spans="17:28" x14ac:dyDescent="0.2">
      <c r="Q695" s="141"/>
      <c r="T695" s="141"/>
      <c r="U695" s="162"/>
      <c r="X695" s="183" t="str">
        <f t="shared" si="17"/>
        <v>1w</v>
      </c>
      <c r="Y695" s="181">
        <f>_xll.qlCalendarAdvance(Calendar,Y694,X695,"f",FALSE)</f>
        <v>43763</v>
      </c>
      <c r="Z695" s="184">
        <f>_xll.qlCalendarAdvance(Calendar,Y695,NDays&amp;"D")</f>
        <v>43763</v>
      </c>
      <c r="AA695" s="185">
        <v>4.2450938319841494E-2</v>
      </c>
      <c r="AB695" s="182">
        <v>4.1999467994287373E-2</v>
      </c>
    </row>
    <row r="696" spans="17:28" x14ac:dyDescent="0.2">
      <c r="Q696" s="141"/>
      <c r="T696" s="141"/>
      <c r="U696" s="162"/>
      <c r="X696" s="183" t="str">
        <f t="shared" si="17"/>
        <v>1w</v>
      </c>
      <c r="Y696" s="181">
        <f>_xll.qlCalendarAdvance(Calendar,Y695,X696,"f",FALSE)</f>
        <v>43770</v>
      </c>
      <c r="Z696" s="184">
        <f>_xll.qlCalendarAdvance(Calendar,Y696,NDays&amp;"D")</f>
        <v>43770</v>
      </c>
      <c r="AA696" s="185">
        <v>4.2480446312025931E-2</v>
      </c>
      <c r="AB696" s="182">
        <v>4.2034389591704142E-2</v>
      </c>
    </row>
    <row r="697" spans="17:28" x14ac:dyDescent="0.2">
      <c r="Q697" s="141"/>
      <c r="T697" s="141"/>
      <c r="U697" s="162"/>
      <c r="X697" s="183" t="str">
        <f t="shared" si="17"/>
        <v>1w</v>
      </c>
      <c r="Y697" s="181">
        <f>_xll.qlCalendarAdvance(Calendar,Y696,X697,"f",FALSE)</f>
        <v>43777</v>
      </c>
      <c r="Z697" s="184">
        <f>_xll.qlCalendarAdvance(Calendar,Y697,NDays&amp;"D")</f>
        <v>43777</v>
      </c>
      <c r="AA697" s="185">
        <v>4.2514718505998784E-2</v>
      </c>
      <c r="AB697" s="182">
        <v>4.2069176701787045E-2</v>
      </c>
    </row>
    <row r="698" spans="17:28" x14ac:dyDescent="0.2">
      <c r="Q698" s="141"/>
      <c r="T698" s="141"/>
      <c r="U698" s="162"/>
      <c r="X698" s="183" t="str">
        <f t="shared" si="17"/>
        <v>1w</v>
      </c>
      <c r="Y698" s="181">
        <f>_xll.qlCalendarAdvance(Calendar,Y697,X698,"f",FALSE)</f>
        <v>43784</v>
      </c>
      <c r="Z698" s="184">
        <f>_xll.qlCalendarAdvance(Calendar,Y698,NDays&amp;"D")</f>
        <v>43784</v>
      </c>
      <c r="AA698" s="185">
        <v>4.2548855075013839E-2</v>
      </c>
      <c r="AB698" s="182">
        <v>4.2103829324373995E-2</v>
      </c>
    </row>
    <row r="699" spans="17:28" x14ac:dyDescent="0.2">
      <c r="Q699" s="141"/>
      <c r="T699" s="141"/>
      <c r="U699" s="162"/>
      <c r="X699" s="183" t="str">
        <f t="shared" si="17"/>
        <v>1w</v>
      </c>
      <c r="Y699" s="181">
        <f>_xll.qlCalendarAdvance(Calendar,Y698,X699,"f",FALSE)</f>
        <v>43791</v>
      </c>
      <c r="Z699" s="184">
        <f>_xll.qlCalendarAdvance(Calendar,Y699,NDays&amp;"D")</f>
        <v>43791</v>
      </c>
      <c r="AA699" s="185">
        <v>4.2582856015528338E-2</v>
      </c>
      <c r="AB699" s="182">
        <v>4.2138347459383947E-2</v>
      </c>
    </row>
    <row r="700" spans="17:28" x14ac:dyDescent="0.2">
      <c r="Q700" s="141"/>
      <c r="T700" s="141"/>
      <c r="U700" s="162"/>
      <c r="X700" s="183" t="str">
        <f t="shared" si="17"/>
        <v>1w</v>
      </c>
      <c r="Y700" s="181">
        <f>_xll.qlCalendarAdvance(Calendar,Y699,X700,"f",FALSE)</f>
        <v>43798</v>
      </c>
      <c r="Z700" s="184">
        <f>_xll.qlCalendarAdvance(Calendar,Y700,NDays&amp;"D")</f>
        <v>43798</v>
      </c>
      <c r="AA700" s="185">
        <v>4.2602106787647767E-2</v>
      </c>
      <c r="AB700" s="182">
        <v>4.2172731106681814E-2</v>
      </c>
    </row>
    <row r="701" spans="17:28" x14ac:dyDescent="0.2">
      <c r="Q701" s="141"/>
      <c r="T701" s="141"/>
      <c r="U701" s="162"/>
      <c r="X701" s="183" t="str">
        <f t="shared" si="17"/>
        <v>1w</v>
      </c>
      <c r="Y701" s="181">
        <f>_xll.qlCalendarAdvance(Calendar,Y700,X701,"f",FALSE)</f>
        <v>43805</v>
      </c>
      <c r="Z701" s="184">
        <f>_xll.qlCalendarAdvance(Calendar,Y701,NDays&amp;"D")</f>
        <v>43805</v>
      </c>
      <c r="AA701" s="185">
        <v>4.2635853765176555E-2</v>
      </c>
      <c r="AB701" s="182">
        <v>4.2206980266159551E-2</v>
      </c>
    </row>
    <row r="702" spans="17:28" x14ac:dyDescent="0.2">
      <c r="Q702" s="141"/>
      <c r="T702" s="141"/>
      <c r="U702" s="162"/>
      <c r="X702" s="183" t="str">
        <f t="shared" si="17"/>
        <v>1w</v>
      </c>
      <c r="Y702" s="181">
        <f>_xll.qlCalendarAdvance(Calendar,Y701,X702,"f",FALSE)</f>
        <v>43812</v>
      </c>
      <c r="Z702" s="184">
        <f>_xll.qlCalendarAdvance(Calendar,Y702,NDays&amp;"D")</f>
        <v>43812</v>
      </c>
      <c r="AA702" s="185">
        <v>4.2669465142454045E-2</v>
      </c>
      <c r="AB702" s="182">
        <v>4.2241094937709077E-2</v>
      </c>
    </row>
    <row r="703" spans="17:28" x14ac:dyDescent="0.2">
      <c r="Q703" s="141"/>
      <c r="T703" s="141"/>
      <c r="U703" s="162"/>
      <c r="X703" s="183" t="str">
        <f t="shared" si="17"/>
        <v>1w</v>
      </c>
      <c r="Y703" s="181">
        <f>_xll.qlCalendarAdvance(Calendar,Y702,X703,"f",FALSE)</f>
        <v>43819</v>
      </c>
      <c r="Z703" s="184">
        <f>_xll.qlCalendarAdvance(Calendar,Y703,NDays&amp;"D")</f>
        <v>43819</v>
      </c>
      <c r="AA703" s="185">
        <v>4.2702940916101231E-2</v>
      </c>
      <c r="AB703" s="182">
        <v>4.2275075121195334E-2</v>
      </c>
    </row>
    <row r="704" spans="17:28" x14ac:dyDescent="0.2">
      <c r="Q704" s="141"/>
      <c r="T704" s="141"/>
      <c r="U704" s="162"/>
      <c r="X704" s="183" t="str">
        <f t="shared" si="17"/>
        <v>1w</v>
      </c>
      <c r="Y704" s="181">
        <f>_xll.qlCalendarAdvance(Calendar,Y703,X704,"f",FALSE)</f>
        <v>43826</v>
      </c>
      <c r="Z704" s="184">
        <f>_xll.qlCalendarAdvance(Calendar,Y704,NDays&amp;"D")</f>
        <v>43826</v>
      </c>
      <c r="AA704" s="185">
        <v>4.2736281082755137E-2</v>
      </c>
      <c r="AB704" s="182">
        <v>4.2308920816537261E-2</v>
      </c>
    </row>
    <row r="705" spans="17:28" x14ac:dyDescent="0.2">
      <c r="Q705" s="141"/>
      <c r="T705" s="141"/>
      <c r="U705" s="162"/>
      <c r="X705" s="183" t="str">
        <f t="shared" si="17"/>
        <v>1w</v>
      </c>
      <c r="Y705" s="181">
        <f>_xll.qlCalendarAdvance(Calendar,Y704,X705,"f",FALSE)</f>
        <v>43833</v>
      </c>
      <c r="Z705" s="184">
        <f>_xll.qlCalendarAdvance(Calendar,Y705,NDays&amp;"D")</f>
        <v>43833</v>
      </c>
      <c r="AA705" s="185">
        <v>4.2769485639064367E-2</v>
      </c>
      <c r="AB705" s="182">
        <v>4.2342632023572767E-2</v>
      </c>
    </row>
    <row r="706" spans="17:28" x14ac:dyDescent="0.2">
      <c r="Q706" s="141"/>
      <c r="T706" s="141"/>
      <c r="U706" s="162"/>
      <c r="X706" s="183" t="str">
        <f t="shared" si="17"/>
        <v>1w</v>
      </c>
      <c r="Y706" s="181">
        <f>_xll.qlCalendarAdvance(Calendar,Y705,X706,"f",FALSE)</f>
        <v>43840</v>
      </c>
      <c r="Z706" s="184">
        <f>_xll.qlCalendarAdvance(Calendar,Y706,NDays&amp;"D")</f>
        <v>43840</v>
      </c>
      <c r="AA706" s="185">
        <v>4.2821901047085761E-2</v>
      </c>
      <c r="AB706" s="182">
        <v>4.2376208742274844E-2</v>
      </c>
    </row>
    <row r="707" spans="17:28" x14ac:dyDescent="0.2">
      <c r="Q707" s="141"/>
      <c r="T707" s="141"/>
      <c r="U707" s="162"/>
      <c r="X707" s="183" t="str">
        <f t="shared" si="17"/>
        <v>1w</v>
      </c>
      <c r="Y707" s="181">
        <f>_xll.qlCalendarAdvance(Calendar,Y706,X707,"f",FALSE)</f>
        <v>43847</v>
      </c>
      <c r="Z707" s="184">
        <f>_xll.qlCalendarAdvance(Calendar,Y707,NDays&amp;"D")</f>
        <v>43847</v>
      </c>
      <c r="AA707" s="185">
        <v>4.2835487907316248E-2</v>
      </c>
      <c r="AB707" s="182">
        <v>4.2409650972454381E-2</v>
      </c>
    </row>
    <row r="708" spans="17:28" x14ac:dyDescent="0.2">
      <c r="Q708" s="141"/>
      <c r="T708" s="141"/>
      <c r="U708" s="162"/>
      <c r="X708" s="183" t="str">
        <f t="shared" si="17"/>
        <v>1w</v>
      </c>
      <c r="Y708" s="181">
        <f>_xll.qlCalendarAdvance(Calendar,Y707,X708,"f",FALSE)</f>
        <v>43854</v>
      </c>
      <c r="Z708" s="184">
        <f>_xll.qlCalendarAdvance(Calendar,Y708,NDays&amp;"D")</f>
        <v>43854</v>
      </c>
      <c r="AA708" s="185">
        <v>4.2868285612625574E-2</v>
      </c>
      <c r="AB708" s="182">
        <v>4.2447799653977658E-2</v>
      </c>
    </row>
    <row r="709" spans="17:28" x14ac:dyDescent="0.2">
      <c r="Q709" s="141"/>
      <c r="T709" s="141"/>
      <c r="U709" s="162"/>
      <c r="X709" s="183" t="str">
        <f t="shared" si="17"/>
        <v>1w</v>
      </c>
      <c r="Y709" s="181">
        <f>_xll.qlCalendarAdvance(Calendar,Y708,X709,"f",FALSE)</f>
        <v>43861</v>
      </c>
      <c r="Z709" s="184">
        <f>_xll.qlCalendarAdvance(Calendar,Y709,NDays&amp;"D")</f>
        <v>43861</v>
      </c>
      <c r="AA709" s="185">
        <v>4.289612818903215E-2</v>
      </c>
      <c r="AB709" s="182">
        <v>4.2476131966867621E-2</v>
      </c>
    </row>
    <row r="710" spans="17:28" x14ac:dyDescent="0.2">
      <c r="Q710" s="141"/>
      <c r="T710" s="141"/>
      <c r="U710" s="162"/>
      <c r="X710" s="183" t="str">
        <f t="shared" si="17"/>
        <v>1w</v>
      </c>
      <c r="Y710" s="181">
        <f>_xll.qlCalendarAdvance(Calendar,Y709,X710,"f",FALSE)</f>
        <v>43868</v>
      </c>
      <c r="Z710" s="184">
        <f>_xll.qlCalendarAdvance(Calendar,Y710,NDays&amp;"D")</f>
        <v>43868</v>
      </c>
      <c r="AA710" s="185">
        <v>4.2928660526852506E-2</v>
      </c>
      <c r="AB710" s="182">
        <v>4.2509170730912212E-2</v>
      </c>
    </row>
    <row r="711" spans="17:28" x14ac:dyDescent="0.2">
      <c r="Q711" s="141"/>
      <c r="T711" s="141"/>
      <c r="U711" s="162"/>
      <c r="X711" s="183" t="str">
        <f t="shared" si="17"/>
        <v>1w</v>
      </c>
      <c r="Y711" s="181">
        <f>_xll.qlCalendarAdvance(Calendar,Y710,X711,"f",FALSE)</f>
        <v>43875</v>
      </c>
      <c r="Z711" s="184">
        <f>_xll.qlCalendarAdvance(Calendar,Y711,NDays&amp;"D")</f>
        <v>43875</v>
      </c>
      <c r="AA711" s="185">
        <v>4.2961057247753752E-2</v>
      </c>
      <c r="AB711" s="182">
        <v>4.2542075005974997E-2</v>
      </c>
    </row>
    <row r="712" spans="17:28" x14ac:dyDescent="0.2">
      <c r="Q712" s="141"/>
      <c r="T712" s="141"/>
      <c r="U712" s="162"/>
      <c r="X712" s="183" t="str">
        <f t="shared" si="17"/>
        <v>1w</v>
      </c>
      <c r="Y712" s="181">
        <f>_xll.qlCalendarAdvance(Calendar,Y711,X712,"f",FALSE)</f>
        <v>43882</v>
      </c>
      <c r="Z712" s="184">
        <f>_xll.qlCalendarAdvance(Calendar,Y712,NDays&amp;"D")</f>
        <v>43882</v>
      </c>
      <c r="AA712" s="185">
        <v>4.2993318348515656E-2</v>
      </c>
      <c r="AB712" s="182">
        <v>4.2574844792055984E-2</v>
      </c>
    </row>
    <row r="713" spans="17:28" x14ac:dyDescent="0.2">
      <c r="Q713" s="141"/>
      <c r="T713" s="141"/>
      <c r="U713" s="162"/>
      <c r="X713" s="183" t="str">
        <f t="shared" si="17"/>
        <v>1w</v>
      </c>
      <c r="Y713" s="181">
        <f>_xll.qlCalendarAdvance(Calendar,Y712,X713,"f",FALSE)</f>
        <v>43889</v>
      </c>
      <c r="Z713" s="184">
        <f>_xll.qlCalendarAdvance(Calendar,Y713,NDays&amp;"D")</f>
        <v>43889</v>
      </c>
      <c r="AA713" s="185">
        <v>4.3030239719574759E-2</v>
      </c>
      <c r="AB713" s="182">
        <v>4.260748008893904E-2</v>
      </c>
    </row>
    <row r="714" spans="17:28" x14ac:dyDescent="0.2">
      <c r="Q714" s="141"/>
      <c r="T714" s="141"/>
      <c r="U714" s="162"/>
      <c r="X714" s="183" t="str">
        <f t="shared" si="17"/>
        <v>1w</v>
      </c>
      <c r="Y714" s="181">
        <f>_xll.qlCalendarAdvance(Calendar,Y713,X714,"f",FALSE)</f>
        <v>43896</v>
      </c>
      <c r="Z714" s="184">
        <f>_xll.qlCalendarAdvance(Calendar,Y714,NDays&amp;"D")</f>
        <v>43896</v>
      </c>
      <c r="AA714" s="185">
        <v>4.3081381513499495E-2</v>
      </c>
      <c r="AB714" s="182">
        <v>4.2639980896570139E-2</v>
      </c>
    </row>
    <row r="715" spans="17:28" x14ac:dyDescent="0.2">
      <c r="Q715" s="141"/>
      <c r="T715" s="141"/>
      <c r="U715" s="162"/>
      <c r="X715" s="183" t="str">
        <f t="shared" si="17"/>
        <v>1w</v>
      </c>
      <c r="Y715" s="181">
        <f>_xll.qlCalendarAdvance(Calendar,Y714,X715,"f",FALSE)</f>
        <v>43903</v>
      </c>
      <c r="Z715" s="184">
        <f>_xll.qlCalendarAdvance(Calendar,Y715,NDays&amp;"D")</f>
        <v>43903</v>
      </c>
      <c r="AA715" s="185">
        <v>4.3108422750688616E-2</v>
      </c>
      <c r="AB715" s="182">
        <v>4.2672347214841221E-2</v>
      </c>
    </row>
    <row r="716" spans="17:28" x14ac:dyDescent="0.2">
      <c r="Q716" s="141"/>
      <c r="T716" s="141"/>
      <c r="U716" s="162"/>
      <c r="X716" s="183" t="str">
        <f t="shared" si="17"/>
        <v>1w</v>
      </c>
      <c r="Y716" s="181">
        <f>_xll.qlCalendarAdvance(Calendar,Y715,X716,"f",FALSE)</f>
        <v>43910</v>
      </c>
      <c r="Z716" s="184">
        <f>_xll.qlCalendarAdvance(Calendar,Y716,NDays&amp;"D")</f>
        <v>43910</v>
      </c>
      <c r="AA716" s="185">
        <v>4.3140117478166685E-2</v>
      </c>
      <c r="AB716" s="182">
        <v>4.2704579043617207E-2</v>
      </c>
    </row>
    <row r="717" spans="17:28" x14ac:dyDescent="0.2">
      <c r="Q717" s="141"/>
      <c r="T717" s="141"/>
      <c r="U717" s="162"/>
      <c r="X717" s="183" t="str">
        <f t="shared" si="17"/>
        <v>1w</v>
      </c>
      <c r="Y717" s="181">
        <f>_xll.qlCalendarAdvance(Calendar,Y716,X717,"f",FALSE)</f>
        <v>43917</v>
      </c>
      <c r="Z717" s="184">
        <f>_xll.qlCalendarAdvance(Calendar,Y717,NDays&amp;"D")</f>
        <v>43917</v>
      </c>
      <c r="AA717" s="185">
        <v>4.3171676515767157E-2</v>
      </c>
      <c r="AB717" s="182">
        <v>4.273667638281705E-2</v>
      </c>
    </row>
    <row r="718" spans="17:28" x14ac:dyDescent="0.2">
      <c r="Q718" s="141"/>
      <c r="T718" s="141"/>
      <c r="U718" s="162"/>
      <c r="X718" s="183" t="str">
        <f t="shared" si="17"/>
        <v>1w</v>
      </c>
      <c r="Y718" s="181">
        <f>_xll.qlCalendarAdvance(Calendar,Y717,X718,"f",FALSE)</f>
        <v>43924</v>
      </c>
      <c r="Z718" s="184">
        <f>_xll.qlCalendarAdvance(Calendar,Y718,NDays&amp;"D")</f>
        <v>43924</v>
      </c>
      <c r="AA718" s="185">
        <v>4.3188802830047474E-2</v>
      </c>
      <c r="AB718" s="182">
        <v>4.2768639232332692E-2</v>
      </c>
    </row>
    <row r="719" spans="17:28" x14ac:dyDescent="0.2">
      <c r="Q719" s="141"/>
      <c r="T719" s="141"/>
      <c r="U719" s="162"/>
      <c r="X719" s="183" t="str">
        <f t="shared" si="17"/>
        <v>1w</v>
      </c>
      <c r="Y719" s="181">
        <f>_xll.qlCalendarAdvance(Calendar,Y718,X719,"f",FALSE)</f>
        <v>43935</v>
      </c>
      <c r="Z719" s="184">
        <f>_xll.qlCalendarAdvance(Calendar,Y719,NDays&amp;"D")</f>
        <v>43935</v>
      </c>
      <c r="AA719" s="185">
        <v>4.323793654219775E-2</v>
      </c>
      <c r="AB719" s="182">
        <v>4.280904700429633E-2</v>
      </c>
    </row>
    <row r="720" spans="17:28" x14ac:dyDescent="0.2">
      <c r="Q720" s="141"/>
      <c r="T720" s="141"/>
      <c r="U720" s="162"/>
      <c r="X720" s="183" t="str">
        <f t="shared" si="17"/>
        <v>1w</v>
      </c>
      <c r="Y720" s="181">
        <f>_xll.qlCalendarAdvance(Calendar,Y719,X720,"f",FALSE)</f>
        <v>43942</v>
      </c>
      <c r="Z720" s="184">
        <f>_xll.qlCalendarAdvance(Calendar,Y720,NDays&amp;"D")</f>
        <v>43942</v>
      </c>
      <c r="AA720" s="185">
        <v>4.3269029029720137E-2</v>
      </c>
      <c r="AB720" s="182">
        <v>4.2840675813163864E-2</v>
      </c>
    </row>
    <row r="721" spans="17:28" x14ac:dyDescent="0.2">
      <c r="Q721" s="141"/>
      <c r="T721" s="141"/>
      <c r="U721" s="162"/>
      <c r="X721" s="183" t="str">
        <f t="shared" si="17"/>
        <v>1w</v>
      </c>
      <c r="Y721" s="181">
        <f>_xll.qlCalendarAdvance(Calendar,Y720,X721,"f",FALSE)</f>
        <v>43949</v>
      </c>
      <c r="Z721" s="184">
        <f>_xll.qlCalendarAdvance(Calendar,Y721,NDays&amp;"D")</f>
        <v>43949</v>
      </c>
      <c r="AA721" s="185">
        <v>4.3299985853357426E-2</v>
      </c>
      <c r="AB721" s="182">
        <v>4.2872170158065881E-2</v>
      </c>
    </row>
    <row r="722" spans="17:28" x14ac:dyDescent="0.2">
      <c r="Q722" s="141"/>
      <c r="T722" s="141"/>
      <c r="U722" s="162"/>
      <c r="X722" s="183" t="str">
        <f t="shared" si="17"/>
        <v>1w</v>
      </c>
      <c r="Y722" s="181">
        <f>_xll.qlCalendarAdvance(Calendar,Y721,X722,"f",FALSE)</f>
        <v>43956</v>
      </c>
      <c r="Z722" s="184">
        <f>_xll.qlCalendarAdvance(Calendar,Y722,NDays&amp;"D")</f>
        <v>43956</v>
      </c>
      <c r="AA722" s="185">
        <v>4.3335545325676461E-2</v>
      </c>
      <c r="AB722" s="182">
        <v>4.2903530039083426E-2</v>
      </c>
    </row>
    <row r="723" spans="17:28" x14ac:dyDescent="0.2">
      <c r="Q723" s="141"/>
      <c r="T723" s="141"/>
      <c r="U723" s="162"/>
      <c r="X723" s="183" t="str">
        <f t="shared" si="17"/>
        <v>1w</v>
      </c>
      <c r="Y723" s="181">
        <f>_xll.qlCalendarAdvance(Calendar,Y722,X723,"f",FALSE)</f>
        <v>43963</v>
      </c>
      <c r="Z723" s="184">
        <f>_xll.qlCalendarAdvance(Calendar,Y723,NDays&amp;"D")</f>
        <v>43963</v>
      </c>
      <c r="AA723" s="185">
        <v>4.3366224745028402E-2</v>
      </c>
      <c r="AB723" s="182">
        <v>4.2934755456054408E-2</v>
      </c>
    </row>
    <row r="724" spans="17:28" x14ac:dyDescent="0.2">
      <c r="Q724" s="141"/>
      <c r="T724" s="141"/>
      <c r="U724" s="162"/>
      <c r="X724" s="183" t="str">
        <f t="shared" si="17"/>
        <v>1w</v>
      </c>
      <c r="Y724" s="181">
        <f>_xll.qlCalendarAdvance(Calendar,Y723,X724,"f",FALSE)</f>
        <v>43970</v>
      </c>
      <c r="Z724" s="184">
        <f>_xll.qlCalendarAdvance(Calendar,Y724,NDays&amp;"D")</f>
        <v>43970</v>
      </c>
      <c r="AA724" s="185">
        <v>4.3396768477489876E-2</v>
      </c>
      <c r="AB724" s="182">
        <v>4.2965846408978825E-2</v>
      </c>
    </row>
    <row r="725" spans="17:28" x14ac:dyDescent="0.2">
      <c r="Q725" s="141"/>
      <c r="T725" s="141"/>
      <c r="U725" s="162"/>
      <c r="X725" s="183" t="str">
        <f t="shared" ref="X725:X788" si="18">X724</f>
        <v>1w</v>
      </c>
      <c r="Y725" s="181">
        <f>_xll.qlCalendarAdvance(Calendar,Y724,X725,"f",FALSE)</f>
        <v>43977</v>
      </c>
      <c r="Z725" s="184">
        <f>_xll.qlCalendarAdvance(Calendar,Y725,NDays&amp;"D")</f>
        <v>43977</v>
      </c>
      <c r="AA725" s="185">
        <v>4.3427176519958227E-2</v>
      </c>
      <c r="AB725" s="182">
        <v>4.2996802897775632E-2</v>
      </c>
    </row>
    <row r="726" spans="17:28" x14ac:dyDescent="0.2">
      <c r="Q726" s="141"/>
      <c r="T726" s="141"/>
      <c r="U726" s="162"/>
      <c r="X726" s="183" t="str">
        <f t="shared" si="18"/>
        <v>1w</v>
      </c>
      <c r="Y726" s="181">
        <f>_xll.qlCalendarAdvance(Calendar,Y725,X726,"f",FALSE)</f>
        <v>43984</v>
      </c>
      <c r="Z726" s="184">
        <f>_xll.qlCalendarAdvance(Calendar,Y726,NDays&amp;"D")</f>
        <v>43984</v>
      </c>
      <c r="AA726" s="185">
        <v>4.3457448869341352E-2</v>
      </c>
      <c r="AB726" s="182">
        <v>4.3027624922525876E-2</v>
      </c>
    </row>
    <row r="727" spans="17:28" x14ac:dyDescent="0.2">
      <c r="Q727" s="141"/>
      <c r="T727" s="141"/>
      <c r="U727" s="162"/>
      <c r="X727" s="183" t="str">
        <f t="shared" si="18"/>
        <v>1w</v>
      </c>
      <c r="Y727" s="181">
        <f>_xll.qlCalendarAdvance(Calendar,Y726,X727,"f",FALSE)</f>
        <v>43991</v>
      </c>
      <c r="Z727" s="184">
        <f>_xll.qlCalendarAdvance(Calendar,Y727,NDays&amp;"D")</f>
        <v>43991</v>
      </c>
      <c r="AA727" s="185">
        <v>4.3487585522564778E-2</v>
      </c>
      <c r="AB727" s="182">
        <v>4.3058312483067462E-2</v>
      </c>
    </row>
    <row r="728" spans="17:28" x14ac:dyDescent="0.2">
      <c r="Q728" s="141"/>
      <c r="T728" s="141"/>
      <c r="U728" s="162"/>
      <c r="X728" s="183" t="str">
        <f t="shared" si="18"/>
        <v>1w</v>
      </c>
      <c r="Y728" s="181">
        <f>_xll.qlCalendarAdvance(Calendar,Y727,X728,"f",FALSE)</f>
        <v>43998</v>
      </c>
      <c r="Z728" s="184">
        <f>_xll.qlCalendarAdvance(Calendar,Y728,NDays&amp;"D")</f>
        <v>43998</v>
      </c>
      <c r="AA728" s="185">
        <v>4.3517586476567255E-2</v>
      </c>
      <c r="AB728" s="182">
        <v>4.3088865579481439E-2</v>
      </c>
    </row>
    <row r="729" spans="17:28" x14ac:dyDescent="0.2">
      <c r="Q729" s="141"/>
      <c r="T729" s="141"/>
      <c r="U729" s="162"/>
      <c r="X729" s="183" t="str">
        <f t="shared" si="18"/>
        <v>1w</v>
      </c>
      <c r="Y729" s="181">
        <f>_xll.qlCalendarAdvance(Calendar,Y728,X729,"f",FALSE)</f>
        <v>44005</v>
      </c>
      <c r="Z729" s="184">
        <f>_xll.qlCalendarAdvance(Calendar,Y729,NDays&amp;"D")</f>
        <v>44005</v>
      </c>
      <c r="AA729" s="185">
        <v>4.3547451728298964E-2</v>
      </c>
      <c r="AB729" s="182">
        <v>4.3119284211605713E-2</v>
      </c>
    </row>
    <row r="730" spans="17:28" x14ac:dyDescent="0.2">
      <c r="Q730" s="141"/>
      <c r="T730" s="141"/>
      <c r="U730" s="162"/>
      <c r="X730" s="183" t="str">
        <f t="shared" si="18"/>
        <v>1w</v>
      </c>
      <c r="Y730" s="181">
        <f>_xll.qlCalendarAdvance(Calendar,Y729,X730,"f",FALSE)</f>
        <v>44012</v>
      </c>
      <c r="Z730" s="184">
        <f>_xll.qlCalendarAdvance(Calendar,Y730,NDays&amp;"D")</f>
        <v>44012</v>
      </c>
      <c r="AA730" s="185">
        <v>4.3577181274725971E-2</v>
      </c>
      <c r="AB730" s="182">
        <v>4.314956837952133E-2</v>
      </c>
    </row>
    <row r="731" spans="17:28" x14ac:dyDescent="0.2">
      <c r="Q731" s="141"/>
      <c r="T731" s="141"/>
      <c r="U731" s="162"/>
      <c r="X731" s="183" t="str">
        <f t="shared" si="18"/>
        <v>1w</v>
      </c>
      <c r="Y731" s="181">
        <f>_xll.qlCalendarAdvance(Calendar,Y730,X731,"f",FALSE)</f>
        <v>44019</v>
      </c>
      <c r="Z731" s="184">
        <f>_xll.qlCalendarAdvance(Calendar,Y731,NDays&amp;"D")</f>
        <v>44019</v>
      </c>
      <c r="AA731" s="185">
        <v>4.3606775112826644E-2</v>
      </c>
      <c r="AB731" s="182">
        <v>4.3179718083066199E-2</v>
      </c>
    </row>
    <row r="732" spans="17:28" x14ac:dyDescent="0.2">
      <c r="Q732" s="141"/>
      <c r="T732" s="141"/>
      <c r="U732" s="162"/>
      <c r="X732" s="183" t="str">
        <f t="shared" si="18"/>
        <v>1w</v>
      </c>
      <c r="Y732" s="181">
        <f>_xll.qlCalendarAdvance(Calendar,Y731,X732,"f",FALSE)</f>
        <v>44026</v>
      </c>
      <c r="Z732" s="184">
        <f>_xll.qlCalendarAdvance(Calendar,Y732,NDays&amp;"D")</f>
        <v>44026</v>
      </c>
      <c r="AA732" s="185">
        <v>4.3636233239594348E-2</v>
      </c>
      <c r="AB732" s="182">
        <v>4.320973332240241E-2</v>
      </c>
    </row>
    <row r="733" spans="17:28" x14ac:dyDescent="0.2">
      <c r="Q733" s="141"/>
      <c r="T733" s="141"/>
      <c r="U733" s="162"/>
      <c r="X733" s="183" t="str">
        <f t="shared" si="18"/>
        <v>1w</v>
      </c>
      <c r="Y733" s="181">
        <f>_xll.qlCalendarAdvance(Calendar,Y732,X733,"f",FALSE)</f>
        <v>44033</v>
      </c>
      <c r="Z733" s="184">
        <f>_xll.qlCalendarAdvance(Calendar,Y733,NDays&amp;"D")</f>
        <v>44033</v>
      </c>
      <c r="AA733" s="185">
        <v>4.3665555652036545E-2</v>
      </c>
      <c r="AB733" s="182">
        <v>4.3239614097367873E-2</v>
      </c>
    </row>
    <row r="734" spans="17:28" x14ac:dyDescent="0.2">
      <c r="Q734" s="141"/>
      <c r="T734" s="141"/>
      <c r="U734" s="162"/>
      <c r="X734" s="183" t="str">
        <f t="shared" si="18"/>
        <v>1w</v>
      </c>
      <c r="Y734" s="181">
        <f>_xll.qlCalendarAdvance(Calendar,Y733,X734,"f",FALSE)</f>
        <v>44040</v>
      </c>
      <c r="Z734" s="184">
        <f>_xll.qlCalendarAdvance(Calendar,Y734,NDays&amp;"D")</f>
        <v>44040</v>
      </c>
      <c r="AA734" s="185">
        <v>4.3694742347173007E-2</v>
      </c>
      <c r="AB734" s="182">
        <v>4.3269360407962587E-2</v>
      </c>
    </row>
    <row r="735" spans="17:28" x14ac:dyDescent="0.2">
      <c r="Q735" s="141"/>
      <c r="T735" s="141"/>
      <c r="U735" s="162"/>
      <c r="X735" s="183" t="str">
        <f t="shared" si="18"/>
        <v>1w</v>
      </c>
      <c r="Y735" s="181">
        <f>_xll.qlCalendarAdvance(Calendar,Y734,X735,"f",FALSE)</f>
        <v>44047</v>
      </c>
      <c r="Z735" s="184">
        <f>_xll.qlCalendarAdvance(Calendar,Y735,NDays&amp;"D")</f>
        <v>44047</v>
      </c>
      <c r="AA735" s="185">
        <v>4.3723793322036748E-2</v>
      </c>
      <c r="AB735" s="182">
        <v>4.3298972254024459E-2</v>
      </c>
    </row>
    <row r="736" spans="17:28" x14ac:dyDescent="0.2">
      <c r="Q736" s="141"/>
      <c r="T736" s="141"/>
      <c r="U736" s="162"/>
      <c r="X736" s="183" t="str">
        <f t="shared" si="18"/>
        <v>1w</v>
      </c>
      <c r="Y736" s="181">
        <f>_xll.qlCalendarAdvance(Calendar,Y735,X736,"f",FALSE)</f>
        <v>44054</v>
      </c>
      <c r="Z736" s="184">
        <f>_xll.qlCalendarAdvance(Calendar,Y736,NDays&amp;"D")</f>
        <v>44054</v>
      </c>
      <c r="AA736" s="185">
        <v>4.3752708573677503E-2</v>
      </c>
      <c r="AB736" s="182">
        <v>4.3328449635715582E-2</v>
      </c>
    </row>
    <row r="737" spans="17:28" x14ac:dyDescent="0.2">
      <c r="Q737" s="141"/>
      <c r="T737" s="141"/>
      <c r="U737" s="162"/>
      <c r="X737" s="183" t="str">
        <f t="shared" si="18"/>
        <v>1w</v>
      </c>
      <c r="Y737" s="181">
        <f>_xll.qlCalendarAdvance(Calendar,Y736,X737,"f",FALSE)</f>
        <v>44061</v>
      </c>
      <c r="Z737" s="184">
        <f>_xll.qlCalendarAdvance(Calendar,Y737,NDays&amp;"D")</f>
        <v>44061</v>
      </c>
      <c r="AA737" s="185">
        <v>4.3781488099156461E-2</v>
      </c>
      <c r="AB737" s="182">
        <v>4.335779255295491E-2</v>
      </c>
    </row>
    <row r="738" spans="17:28" x14ac:dyDescent="0.2">
      <c r="Q738" s="141"/>
      <c r="T738" s="141"/>
      <c r="U738" s="162"/>
      <c r="X738" s="183" t="str">
        <f t="shared" si="18"/>
        <v>1w</v>
      </c>
      <c r="Y738" s="181">
        <f>_xll.qlCalendarAdvance(Calendar,Y737,X738,"f",FALSE)</f>
        <v>44068</v>
      </c>
      <c r="Z738" s="184">
        <f>_xll.qlCalendarAdvance(Calendar,Y738,NDays&amp;"D")</f>
        <v>44068</v>
      </c>
      <c r="AA738" s="185">
        <v>4.3810131895548027E-2</v>
      </c>
      <c r="AB738" s="182">
        <v>4.3387001005661396E-2</v>
      </c>
    </row>
    <row r="739" spans="17:28" x14ac:dyDescent="0.2">
      <c r="Q739" s="141"/>
      <c r="T739" s="141"/>
      <c r="U739" s="162"/>
      <c r="X739" s="183" t="str">
        <f t="shared" si="18"/>
        <v>1w</v>
      </c>
      <c r="Y739" s="181">
        <f>_xll.qlCalendarAdvance(Calendar,Y738,X739,"f",FALSE)</f>
        <v>44075</v>
      </c>
      <c r="Z739" s="184">
        <f>_xll.qlCalendarAdvance(Calendar,Y739,NDays&amp;"D")</f>
        <v>44075</v>
      </c>
      <c r="AA739" s="185">
        <v>4.3834006673658936E-2</v>
      </c>
      <c r="AB739" s="182">
        <v>4.3416074993835041E-2</v>
      </c>
    </row>
    <row r="740" spans="17:28" x14ac:dyDescent="0.2">
      <c r="Q740" s="141"/>
      <c r="T740" s="141"/>
      <c r="U740" s="162"/>
      <c r="X740" s="183" t="str">
        <f t="shared" si="18"/>
        <v>1w</v>
      </c>
      <c r="Y740" s="181">
        <f>_xll.qlCalendarAdvance(Calendar,Y739,X740,"f",FALSE)</f>
        <v>44082</v>
      </c>
      <c r="Z740" s="184">
        <f>_xll.qlCalendarAdvance(Calendar,Y740,NDays&amp;"D")</f>
        <v>44082</v>
      </c>
      <c r="AA740" s="185">
        <v>4.3862385307869137E-2</v>
      </c>
      <c r="AB740" s="182">
        <v>4.3445014517313751E-2</v>
      </c>
    </row>
    <row r="741" spans="17:28" x14ac:dyDescent="0.2">
      <c r="Q741" s="141"/>
      <c r="T741" s="141"/>
      <c r="U741" s="162"/>
      <c r="X741" s="183" t="str">
        <f t="shared" si="18"/>
        <v>1w</v>
      </c>
      <c r="Y741" s="181">
        <f>_xll.qlCalendarAdvance(Calendar,Y740,X741,"f",FALSE)</f>
        <v>44089</v>
      </c>
      <c r="Z741" s="184">
        <f>_xll.qlCalendarAdvance(Calendar,Y741,NDays&amp;"D")</f>
        <v>44089</v>
      </c>
      <c r="AA741" s="185">
        <v>4.3890628218557534E-2</v>
      </c>
      <c r="AB741" s="182">
        <v>4.3473819576340667E-2</v>
      </c>
    </row>
    <row r="742" spans="17:28" x14ac:dyDescent="0.2">
      <c r="Q742" s="141"/>
      <c r="T742" s="141"/>
      <c r="U742" s="162"/>
      <c r="X742" s="183" t="str">
        <f t="shared" si="18"/>
        <v>1w</v>
      </c>
      <c r="Y742" s="181">
        <f>_xll.qlCalendarAdvance(Calendar,Y741,X742,"f",FALSE)</f>
        <v>44096</v>
      </c>
      <c r="Z742" s="184">
        <f>_xll.qlCalendarAdvance(Calendar,Y742,NDays&amp;"D")</f>
        <v>44096</v>
      </c>
      <c r="AA742" s="185">
        <v>4.3918735402885739E-2</v>
      </c>
      <c r="AB742" s="182">
        <v>4.3502490170591601E-2</v>
      </c>
    </row>
    <row r="743" spans="17:28" x14ac:dyDescent="0.2">
      <c r="Q743" s="141"/>
      <c r="T743" s="141"/>
      <c r="U743" s="162"/>
      <c r="X743" s="183" t="str">
        <f t="shared" si="18"/>
        <v>1w</v>
      </c>
      <c r="Y743" s="181">
        <f>_xll.qlCalendarAdvance(Calendar,Y742,X743,"f",FALSE)</f>
        <v>44103</v>
      </c>
      <c r="Z743" s="184">
        <f>_xll.qlCalendarAdvance(Calendar,Y743,NDays&amp;"D")</f>
        <v>44103</v>
      </c>
      <c r="AA743" s="185">
        <v>4.3946706858027804E-2</v>
      </c>
      <c r="AB743" s="182">
        <v>4.3531026300228648E-2</v>
      </c>
    </row>
    <row r="744" spans="17:28" x14ac:dyDescent="0.2">
      <c r="Q744" s="141"/>
      <c r="T744" s="141"/>
      <c r="U744" s="162"/>
      <c r="X744" s="183" t="str">
        <f t="shared" si="18"/>
        <v>1w</v>
      </c>
      <c r="Y744" s="181">
        <f>_xll.qlCalendarAdvance(Calendar,Y743,X744,"f",FALSE)</f>
        <v>44110</v>
      </c>
      <c r="Z744" s="184">
        <f>_xll.qlCalendarAdvance(Calendar,Y744,NDays&amp;"D")</f>
        <v>44110</v>
      </c>
      <c r="AA744" s="185">
        <v>4.3979144201059549E-2</v>
      </c>
      <c r="AB744" s="182">
        <v>4.3559427965170761E-2</v>
      </c>
    </row>
    <row r="745" spans="17:28" x14ac:dyDescent="0.2">
      <c r="Q745" s="141"/>
      <c r="T745" s="141"/>
      <c r="U745" s="162"/>
      <c r="X745" s="183" t="str">
        <f t="shared" si="18"/>
        <v>1w</v>
      </c>
      <c r="Y745" s="181">
        <f>_xll.qlCalendarAdvance(Calendar,Y744,X745,"f",FALSE)</f>
        <v>44117</v>
      </c>
      <c r="Z745" s="184">
        <f>_xll.qlCalendarAdvance(Calendar,Y745,NDays&amp;"D")</f>
        <v>44117</v>
      </c>
      <c r="AA745" s="185">
        <v>4.4006837813120821E-2</v>
      </c>
      <c r="AB745" s="182">
        <v>4.3587695165336893E-2</v>
      </c>
    </row>
    <row r="746" spans="17:28" x14ac:dyDescent="0.2">
      <c r="Q746" s="141"/>
      <c r="T746" s="141"/>
      <c r="U746" s="162"/>
      <c r="X746" s="183" t="str">
        <f t="shared" si="18"/>
        <v>1w</v>
      </c>
      <c r="Y746" s="181">
        <f>_xll.qlCalendarAdvance(Calendar,Y745,X746,"f",FALSE)</f>
        <v>44124</v>
      </c>
      <c r="Z746" s="184">
        <f>_xll.qlCalendarAdvance(Calendar,Y746,NDays&amp;"D")</f>
        <v>44124</v>
      </c>
      <c r="AA746" s="185">
        <v>4.4034395673196482E-2</v>
      </c>
      <c r="AB746" s="182">
        <v>4.3615827900727044E-2</v>
      </c>
    </row>
    <row r="747" spans="17:28" x14ac:dyDescent="0.2">
      <c r="Q747" s="141"/>
      <c r="T747" s="141"/>
      <c r="U747" s="162"/>
      <c r="X747" s="183" t="str">
        <f t="shared" si="18"/>
        <v>1w</v>
      </c>
      <c r="Y747" s="181">
        <f>_xll.qlCalendarAdvance(Calendar,Y746,X747,"f",FALSE)</f>
        <v>44131</v>
      </c>
      <c r="Z747" s="184">
        <f>_xll.qlCalendarAdvance(Calendar,Y747,NDays&amp;"D")</f>
        <v>44131</v>
      </c>
      <c r="AA747" s="185">
        <v>4.4061817778486036E-2</v>
      </c>
      <c r="AB747" s="182">
        <v>4.3643826171341216E-2</v>
      </c>
    </row>
    <row r="748" spans="17:28" x14ac:dyDescent="0.2">
      <c r="Q748" s="141"/>
      <c r="T748" s="141"/>
      <c r="U748" s="162"/>
      <c r="X748" s="183" t="str">
        <f t="shared" si="18"/>
        <v>1w</v>
      </c>
      <c r="Y748" s="181">
        <f>_xll.qlCalendarAdvance(Calendar,Y747,X748,"f",FALSE)</f>
        <v>44138</v>
      </c>
      <c r="Z748" s="184">
        <f>_xll.qlCalendarAdvance(Calendar,Y748,NDays&amp;"D")</f>
        <v>44138</v>
      </c>
      <c r="AA748" s="185">
        <v>4.4089104126203073E-2</v>
      </c>
      <c r="AB748" s="182">
        <v>4.3671689977179406E-2</v>
      </c>
    </row>
    <row r="749" spans="17:28" x14ac:dyDescent="0.2">
      <c r="Q749" s="141"/>
      <c r="T749" s="141"/>
      <c r="U749" s="162"/>
      <c r="X749" s="183" t="str">
        <f t="shared" si="18"/>
        <v>1w</v>
      </c>
      <c r="Y749" s="181">
        <f>_xll.qlCalendarAdvance(Calendar,Y748,X749,"f",FALSE)</f>
        <v>44145</v>
      </c>
      <c r="Z749" s="184">
        <f>_xll.qlCalendarAdvance(Calendar,Y749,NDays&amp;"D")</f>
        <v>44145</v>
      </c>
      <c r="AA749" s="185">
        <v>4.4116254713573527E-2</v>
      </c>
      <c r="AB749" s="182">
        <v>4.3699419318079524E-2</v>
      </c>
    </row>
    <row r="750" spans="17:28" x14ac:dyDescent="0.2">
      <c r="Q750" s="141"/>
      <c r="T750" s="141"/>
      <c r="U750" s="162"/>
      <c r="X750" s="183" t="str">
        <f t="shared" si="18"/>
        <v>1w</v>
      </c>
      <c r="Y750" s="181">
        <f>_xll.qlCalendarAdvance(Calendar,Y749,X750,"f",FALSE)</f>
        <v>44152</v>
      </c>
      <c r="Z750" s="184">
        <f>_xll.qlCalendarAdvance(Calendar,Y750,NDays&amp;"D")</f>
        <v>44152</v>
      </c>
      <c r="AA750" s="185">
        <v>4.4143269537840056E-2</v>
      </c>
      <c r="AB750" s="182">
        <v>4.3727014194122615E-2</v>
      </c>
    </row>
    <row r="751" spans="17:28" x14ac:dyDescent="0.2">
      <c r="Q751" s="141"/>
      <c r="T751" s="141"/>
      <c r="U751" s="162"/>
      <c r="X751" s="183" t="str">
        <f t="shared" si="18"/>
        <v>1w</v>
      </c>
      <c r="Y751" s="181">
        <f>_xll.qlCalendarAdvance(Calendar,Y750,X751,"f",FALSE)</f>
        <v>44159</v>
      </c>
      <c r="Z751" s="184">
        <f>_xll.qlCalendarAdvance(Calendar,Y751,NDays&amp;"D")</f>
        <v>44159</v>
      </c>
      <c r="AA751" s="185">
        <v>4.4170148596255017E-2</v>
      </c>
      <c r="AB751" s="182">
        <v>4.3754474605146587E-2</v>
      </c>
    </row>
    <row r="752" spans="17:28" x14ac:dyDescent="0.2">
      <c r="Q752" s="141"/>
      <c r="T752" s="141"/>
      <c r="U752" s="162"/>
      <c r="X752" s="183" t="str">
        <f t="shared" si="18"/>
        <v>1w</v>
      </c>
      <c r="Y752" s="181">
        <f>_xll.qlCalendarAdvance(Calendar,Y751,X752,"f",FALSE)</f>
        <v>44166</v>
      </c>
      <c r="Z752" s="184">
        <f>_xll.qlCalendarAdvance(Calendar,Y752,NDays&amp;"D")</f>
        <v>44166</v>
      </c>
      <c r="AA752" s="185">
        <v>4.4187791221204732E-2</v>
      </c>
      <c r="AB752" s="182">
        <v>4.3781800551313532E-2</v>
      </c>
    </row>
    <row r="753" spans="17:28" x14ac:dyDescent="0.2">
      <c r="Q753" s="141"/>
      <c r="T753" s="141"/>
      <c r="U753" s="162"/>
      <c r="X753" s="183" t="str">
        <f t="shared" si="18"/>
        <v>1w</v>
      </c>
      <c r="Y753" s="181">
        <f>_xll.qlCalendarAdvance(Calendar,Y752,X753,"f",FALSE)</f>
        <v>44173</v>
      </c>
      <c r="Z753" s="184">
        <f>_xll.qlCalendarAdvance(Calendar,Y753,NDays&amp;"D")</f>
        <v>44173</v>
      </c>
      <c r="AA753" s="185">
        <v>4.4214411722766564E-2</v>
      </c>
      <c r="AB753" s="182">
        <v>4.3808992032542404E-2</v>
      </c>
    </row>
    <row r="754" spans="17:28" x14ac:dyDescent="0.2">
      <c r="Q754" s="141"/>
      <c r="T754" s="141"/>
      <c r="U754" s="162"/>
      <c r="X754" s="183" t="str">
        <f t="shared" si="18"/>
        <v>1w</v>
      </c>
      <c r="Y754" s="181">
        <f>_xll.qlCalendarAdvance(Calendar,Y753,X754,"f",FALSE)</f>
        <v>44180</v>
      </c>
      <c r="Z754" s="184">
        <f>_xll.qlCalendarAdvance(Calendar,Y754,NDays&amp;"D")</f>
        <v>44180</v>
      </c>
      <c r="AA754" s="185">
        <v>4.4240896479599306E-2</v>
      </c>
      <c r="AB754" s="182">
        <v>4.3836049048671111E-2</v>
      </c>
    </row>
    <row r="755" spans="17:28" x14ac:dyDescent="0.2">
      <c r="Q755" s="141"/>
      <c r="T755" s="141"/>
      <c r="U755" s="162"/>
      <c r="X755" s="183" t="str">
        <f t="shared" si="18"/>
        <v>1w</v>
      </c>
      <c r="Y755" s="181">
        <f>_xll.qlCalendarAdvance(Calendar,Y754,X755,"f",FALSE)</f>
        <v>44187</v>
      </c>
      <c r="Z755" s="184">
        <f>_xll.qlCalendarAdvance(Calendar,Y755,NDays&amp;"D")</f>
        <v>44187</v>
      </c>
      <c r="AA755" s="185">
        <v>4.4267245489071662E-2</v>
      </c>
      <c r="AB755" s="182">
        <v>4.3862971599780698E-2</v>
      </c>
    </row>
    <row r="756" spans="17:28" x14ac:dyDescent="0.2">
      <c r="Q756" s="141"/>
      <c r="T756" s="141"/>
      <c r="U756" s="162"/>
      <c r="X756" s="183" t="str">
        <f t="shared" si="18"/>
        <v>1w</v>
      </c>
      <c r="Y756" s="181">
        <f>_xll.qlCalendarAdvance(Calendar,Y755,X756,"f",FALSE)</f>
        <v>44194</v>
      </c>
      <c r="Z756" s="184">
        <f>_xll.qlCalendarAdvance(Calendar,Y756,NDays&amp;"D")</f>
        <v>44194</v>
      </c>
      <c r="AA756" s="185">
        <v>4.4293458748561325E-2</v>
      </c>
      <c r="AB756" s="182">
        <v>4.388975968579012E-2</v>
      </c>
    </row>
    <row r="757" spans="17:28" x14ac:dyDescent="0.2">
      <c r="Q757" s="141"/>
      <c r="T757" s="141"/>
      <c r="U757" s="162"/>
      <c r="X757" s="183" t="str">
        <f t="shared" si="18"/>
        <v>1w</v>
      </c>
      <c r="Y757" s="181">
        <f>_xll.qlCalendarAdvance(Calendar,Y756,X757,"f",FALSE)</f>
        <v>44201</v>
      </c>
      <c r="Z757" s="184">
        <f>_xll.qlCalendarAdvance(Calendar,Y757,NDays&amp;"D")</f>
        <v>44201</v>
      </c>
      <c r="AA757" s="185">
        <v>4.4324054115821708E-2</v>
      </c>
      <c r="AB757" s="182">
        <v>4.3916413306699376E-2</v>
      </c>
    </row>
    <row r="758" spans="17:28" x14ac:dyDescent="0.2">
      <c r="Q758" s="141"/>
      <c r="T758" s="141"/>
      <c r="U758" s="162"/>
      <c r="X758" s="183" t="str">
        <f t="shared" si="18"/>
        <v>1w</v>
      </c>
      <c r="Y758" s="181">
        <f>_xll.qlCalendarAdvance(Calendar,Y757,X758,"f",FALSE)</f>
        <v>44208</v>
      </c>
      <c r="Z758" s="184">
        <f>_xll.qlCalendarAdvance(Calendar,Y758,NDays&amp;"D")</f>
        <v>44208</v>
      </c>
      <c r="AA758" s="185">
        <v>4.4345478007187161E-2</v>
      </c>
      <c r="AB758" s="182">
        <v>4.3942932462508466E-2</v>
      </c>
    </row>
    <row r="759" spans="17:28" x14ac:dyDescent="0.2">
      <c r="Q759" s="141"/>
      <c r="T759" s="141"/>
      <c r="U759" s="162"/>
      <c r="X759" s="183" t="str">
        <f t="shared" si="18"/>
        <v>1w</v>
      </c>
      <c r="Y759" s="181">
        <f>_xll.qlCalendarAdvance(Calendar,Y758,X759,"f",FALSE)</f>
        <v>44215</v>
      </c>
      <c r="Z759" s="184">
        <f>_xll.qlCalendarAdvance(Calendar,Y759,NDays&amp;"D")</f>
        <v>44215</v>
      </c>
      <c r="AA759" s="185">
        <v>4.4371284001151673E-2</v>
      </c>
      <c r="AB759" s="182">
        <v>4.3969317153136345E-2</v>
      </c>
    </row>
    <row r="760" spans="17:28" x14ac:dyDescent="0.2">
      <c r="Q760" s="141"/>
      <c r="T760" s="141"/>
      <c r="U760" s="162"/>
      <c r="X760" s="183" t="str">
        <f t="shared" si="18"/>
        <v>1w</v>
      </c>
      <c r="Y760" s="181">
        <f>_xll.qlCalendarAdvance(Calendar,Y759,X760,"f",FALSE)</f>
        <v>44223</v>
      </c>
      <c r="Z760" s="184">
        <f>_xll.qlCalendarAdvance(Calendar,Y760,NDays&amp;"D")</f>
        <v>44223</v>
      </c>
      <c r="AA760" s="185">
        <v>4.4400610328401029E-2</v>
      </c>
      <c r="AB760" s="182">
        <v>4.3999306433997187E-2</v>
      </c>
    </row>
    <row r="761" spans="17:28" x14ac:dyDescent="0.2">
      <c r="Q761" s="141"/>
      <c r="T761" s="141"/>
      <c r="U761" s="162"/>
      <c r="X761" s="183" t="str">
        <f t="shared" si="18"/>
        <v>1w</v>
      </c>
      <c r="Y761" s="181">
        <f>_xll.qlCalendarAdvance(Calendar,Y760,X761,"f",FALSE)</f>
        <v>44230</v>
      </c>
      <c r="Z761" s="184">
        <f>_xll.qlCalendarAdvance(Calendar,Y761,NDays&amp;"D")</f>
        <v>44230</v>
      </c>
      <c r="AA761" s="185">
        <v>4.442163456321499E-2</v>
      </c>
      <c r="AB761" s="182">
        <v>4.4025402984916306E-2</v>
      </c>
    </row>
    <row r="762" spans="17:28" x14ac:dyDescent="0.2">
      <c r="Q762" s="141"/>
      <c r="T762" s="141"/>
      <c r="U762" s="162"/>
      <c r="X762" s="183" t="str">
        <f t="shared" si="18"/>
        <v>1w</v>
      </c>
      <c r="Y762" s="181">
        <f>_xll.qlCalendarAdvance(Calendar,Y761,X762,"f",FALSE)</f>
        <v>44237</v>
      </c>
      <c r="Z762" s="184">
        <f>_xll.qlCalendarAdvance(Calendar,Y762,NDays&amp;"D")</f>
        <v>44237</v>
      </c>
      <c r="AA762" s="185">
        <v>4.4447020497070354E-2</v>
      </c>
      <c r="AB762" s="182">
        <v>4.4051365070573167E-2</v>
      </c>
    </row>
    <row r="763" spans="17:28" x14ac:dyDescent="0.2">
      <c r="Q763" s="141"/>
      <c r="T763" s="141"/>
      <c r="U763" s="162"/>
      <c r="X763" s="183" t="str">
        <f t="shared" si="18"/>
        <v>1w</v>
      </c>
      <c r="Y763" s="181">
        <f>_xll.qlCalendarAdvance(Calendar,Y762,X763,"f",FALSE)</f>
        <v>44244</v>
      </c>
      <c r="Z763" s="184">
        <f>_xll.qlCalendarAdvance(Calendar,Y763,NDays&amp;"D")</f>
        <v>44244</v>
      </c>
      <c r="AA763" s="185">
        <v>4.4472270677510223E-2</v>
      </c>
      <c r="AB763" s="182">
        <v>4.4077192690886724E-2</v>
      </c>
    </row>
    <row r="764" spans="17:28" x14ac:dyDescent="0.2">
      <c r="Q764" s="141"/>
      <c r="T764" s="141"/>
      <c r="U764" s="162"/>
      <c r="X764" s="183" t="str">
        <f t="shared" si="18"/>
        <v>1w</v>
      </c>
      <c r="Y764" s="181">
        <f>_xll.qlCalendarAdvance(Calendar,Y763,X764,"f",FALSE)</f>
        <v>44251</v>
      </c>
      <c r="Z764" s="184">
        <f>_xll.qlCalendarAdvance(Calendar,Y764,NDays&amp;"D")</f>
        <v>44251</v>
      </c>
      <c r="AA764" s="185">
        <v>4.4497385102054053E-2</v>
      </c>
      <c r="AB764" s="182">
        <v>4.4102885845938022E-2</v>
      </c>
    </row>
    <row r="765" spans="17:28" x14ac:dyDescent="0.2">
      <c r="Q765" s="141"/>
      <c r="T765" s="141"/>
      <c r="U765" s="162"/>
      <c r="X765" s="183" t="str">
        <f t="shared" si="18"/>
        <v>1w</v>
      </c>
      <c r="Y765" s="181">
        <f>_xll.qlCalendarAdvance(Calendar,Y764,X765,"f",FALSE)</f>
        <v>44258</v>
      </c>
      <c r="Z765" s="184">
        <f>_xll.qlCalendarAdvance(Calendar,Y765,NDays&amp;"D")</f>
        <v>44258</v>
      </c>
      <c r="AA765" s="185">
        <v>4.4535755702885982E-2</v>
      </c>
      <c r="AB765" s="182">
        <v>4.4128444535646016E-2</v>
      </c>
    </row>
    <row r="766" spans="17:28" x14ac:dyDescent="0.2">
      <c r="Q766" s="141"/>
      <c r="T766" s="141"/>
      <c r="U766" s="162"/>
      <c r="X766" s="183" t="str">
        <f t="shared" si="18"/>
        <v>1w</v>
      </c>
      <c r="Y766" s="181">
        <f>_xll.qlCalendarAdvance(Calendar,Y765,X766,"f",FALSE)</f>
        <v>44265</v>
      </c>
      <c r="Z766" s="184">
        <f>_xll.qlCalendarAdvance(Calendar,Y766,NDays&amp;"D")</f>
        <v>44265</v>
      </c>
      <c r="AA766" s="185">
        <v>4.4560578552516529E-2</v>
      </c>
      <c r="AB766" s="182">
        <v>4.4153868760010706E-2</v>
      </c>
    </row>
    <row r="767" spans="17:28" x14ac:dyDescent="0.2">
      <c r="Q767" s="141"/>
      <c r="T767" s="141"/>
      <c r="U767" s="162"/>
      <c r="X767" s="183" t="str">
        <f t="shared" si="18"/>
        <v>1w</v>
      </c>
      <c r="Y767" s="181">
        <f>_xll.qlCalendarAdvance(Calendar,Y766,X767,"f",FALSE)</f>
        <v>44272</v>
      </c>
      <c r="Z767" s="184">
        <f>_xll.qlCalendarAdvance(Calendar,Y767,NDays&amp;"D")</f>
        <v>44272</v>
      </c>
      <c r="AA767" s="185">
        <v>4.4585265593887161E-2</v>
      </c>
      <c r="AB767" s="182">
        <v>4.4179158518951045E-2</v>
      </c>
    </row>
    <row r="768" spans="17:28" x14ac:dyDescent="0.2">
      <c r="Q768" s="141"/>
      <c r="T768" s="141"/>
      <c r="U768" s="162"/>
      <c r="X768" s="183" t="str">
        <f t="shared" si="18"/>
        <v>1w</v>
      </c>
      <c r="Y768" s="181">
        <f>_xll.qlCalendarAdvance(Calendar,Y767,X768,"f",FALSE)</f>
        <v>44279</v>
      </c>
      <c r="Z768" s="184">
        <f>_xll.qlCalendarAdvance(Calendar,Y768,NDays&amp;"D")</f>
        <v>44279</v>
      </c>
      <c r="AA768" s="185">
        <v>4.4609816824490729E-2</v>
      </c>
      <c r="AB768" s="182">
        <v>4.4204313812467033E-2</v>
      </c>
    </row>
    <row r="769" spans="17:28" x14ac:dyDescent="0.2">
      <c r="Q769" s="141"/>
      <c r="T769" s="141"/>
      <c r="U769" s="162"/>
      <c r="X769" s="183" t="str">
        <f t="shared" si="18"/>
        <v>1w</v>
      </c>
      <c r="Y769" s="181">
        <f>_xll.qlCalendarAdvance(Calendar,Y768,X769,"f",FALSE)</f>
        <v>44286</v>
      </c>
      <c r="Z769" s="184">
        <f>_xll.qlCalendarAdvance(Calendar,Y769,NDays&amp;"D")</f>
        <v>44286</v>
      </c>
      <c r="AA769" s="185">
        <v>4.4629795380157426E-2</v>
      </c>
      <c r="AB769" s="182">
        <v>4.4229334640477624E-2</v>
      </c>
    </row>
    <row r="770" spans="17:28" x14ac:dyDescent="0.2">
      <c r="Q770" s="141"/>
      <c r="T770" s="141"/>
      <c r="U770" s="162"/>
      <c r="X770" s="183" t="str">
        <f t="shared" si="18"/>
        <v>1w</v>
      </c>
      <c r="Y770" s="181">
        <f>_xll.qlCalendarAdvance(Calendar,Y769,X770,"f",FALSE)</f>
        <v>44293</v>
      </c>
      <c r="Z770" s="184">
        <f>_xll.qlCalendarAdvance(Calendar,Y770,NDays&amp;"D")</f>
        <v>44293</v>
      </c>
      <c r="AA770" s="185">
        <v>4.4654081728932614E-2</v>
      </c>
      <c r="AB770" s="182">
        <v>4.4254221003063865E-2</v>
      </c>
    </row>
    <row r="771" spans="17:28" x14ac:dyDescent="0.2">
      <c r="Q771" s="141"/>
      <c r="T771" s="141"/>
      <c r="U771" s="162"/>
      <c r="X771" s="183" t="str">
        <f t="shared" si="18"/>
        <v>1w</v>
      </c>
      <c r="Y771" s="181">
        <f>_xll.qlCalendarAdvance(Calendar,Y770,X771,"f",FALSE)</f>
        <v>44300</v>
      </c>
      <c r="Z771" s="184">
        <f>_xll.qlCalendarAdvance(Calendar,Y771,NDays&amp;"D")</f>
        <v>44300</v>
      </c>
      <c r="AA771" s="185">
        <v>4.4678232274605677E-2</v>
      </c>
      <c r="AB771" s="182">
        <v>4.4278972900144709E-2</v>
      </c>
    </row>
    <row r="772" spans="17:28" x14ac:dyDescent="0.2">
      <c r="Q772" s="141"/>
      <c r="T772" s="141"/>
      <c r="U772" s="162"/>
      <c r="X772" s="183" t="str">
        <f t="shared" si="18"/>
        <v>1w</v>
      </c>
      <c r="Y772" s="181">
        <f>_xll.qlCalendarAdvance(Calendar,Y771,X772,"f",FALSE)</f>
        <v>44307</v>
      </c>
      <c r="Z772" s="184">
        <f>_xll.qlCalendarAdvance(Calendar,Y772,NDays&amp;"D")</f>
        <v>44307</v>
      </c>
      <c r="AA772" s="185">
        <v>4.4702247014746122E-2</v>
      </c>
      <c r="AB772" s="182">
        <v>4.4303590331720155E-2</v>
      </c>
    </row>
    <row r="773" spans="17:28" x14ac:dyDescent="0.2">
      <c r="Q773" s="141"/>
      <c r="T773" s="141"/>
      <c r="U773" s="162"/>
      <c r="X773" s="183" t="str">
        <f t="shared" si="18"/>
        <v>1w</v>
      </c>
      <c r="Y773" s="181">
        <f>_xll.qlCalendarAdvance(Calendar,Y772,X773,"f",FALSE)</f>
        <v>44314</v>
      </c>
      <c r="Z773" s="184">
        <f>_xll.qlCalendarAdvance(Calendar,Y773,NDays&amp;"D")</f>
        <v>44314</v>
      </c>
      <c r="AA773" s="185">
        <v>4.4726125946942155E-2</v>
      </c>
      <c r="AB773" s="182">
        <v>4.4328073297709158E-2</v>
      </c>
    </row>
    <row r="774" spans="17:28" x14ac:dyDescent="0.2">
      <c r="Q774" s="141"/>
      <c r="T774" s="141"/>
      <c r="U774" s="162"/>
      <c r="X774" s="183" t="str">
        <f t="shared" si="18"/>
        <v>1w</v>
      </c>
      <c r="Y774" s="181">
        <f>_xll.qlCalendarAdvance(Calendar,Y773,X774,"f",FALSE)</f>
        <v>44321</v>
      </c>
      <c r="Z774" s="184">
        <f>_xll.qlCalendarAdvance(Calendar,Y774,NDays&amp;"D")</f>
        <v>44321</v>
      </c>
      <c r="AA774" s="185">
        <v>4.4754272043212903E-2</v>
      </c>
      <c r="AB774" s="182">
        <v>4.4352421798111719E-2</v>
      </c>
    </row>
    <row r="775" spans="17:28" x14ac:dyDescent="0.2">
      <c r="Q775" s="141"/>
      <c r="T775" s="141"/>
      <c r="U775" s="162"/>
      <c r="X775" s="183" t="str">
        <f t="shared" si="18"/>
        <v>1w</v>
      </c>
      <c r="Y775" s="181">
        <f>_xll.qlCalendarAdvance(Calendar,Y774,X775,"f",FALSE)</f>
        <v>44328</v>
      </c>
      <c r="Z775" s="184">
        <f>_xll.qlCalendarAdvance(Calendar,Y775,NDays&amp;"D")</f>
        <v>44328</v>
      </c>
      <c r="AA775" s="185">
        <v>4.477787252934802E-2</v>
      </c>
      <c r="AB775" s="182">
        <v>4.4376635832927835E-2</v>
      </c>
    </row>
    <row r="776" spans="17:28" x14ac:dyDescent="0.2">
      <c r="Q776" s="141"/>
      <c r="T776" s="141"/>
      <c r="U776" s="162"/>
      <c r="X776" s="183" t="str">
        <f t="shared" si="18"/>
        <v>1w</v>
      </c>
      <c r="Y776" s="181">
        <f>_xll.qlCalendarAdvance(Calendar,Y775,X776,"f",FALSE)</f>
        <v>44335</v>
      </c>
      <c r="Z776" s="184">
        <f>_xll.qlCalendarAdvance(Calendar,Y776,NDays&amp;"D")</f>
        <v>44335</v>
      </c>
      <c r="AA776" s="185">
        <v>4.4801337185138103E-2</v>
      </c>
      <c r="AB776" s="182">
        <v>4.4400715402076463E-2</v>
      </c>
    </row>
    <row r="777" spans="17:28" x14ac:dyDescent="0.2">
      <c r="Q777" s="141"/>
      <c r="T777" s="141"/>
      <c r="U777" s="162"/>
      <c r="X777" s="183" t="str">
        <f t="shared" si="18"/>
        <v>1w</v>
      </c>
      <c r="Y777" s="181">
        <f>_xll.qlCalendarAdvance(Calendar,Y776,X777,"f",FALSE)</f>
        <v>44342</v>
      </c>
      <c r="Z777" s="184">
        <f>_xll.qlCalendarAdvance(Calendar,Y777,NDays&amp;"D")</f>
        <v>44342</v>
      </c>
      <c r="AA777" s="185">
        <v>4.4824666008201987E-2</v>
      </c>
      <c r="AB777" s="182">
        <v>4.44246605055576E-2</v>
      </c>
    </row>
    <row r="778" spans="17:28" x14ac:dyDescent="0.2">
      <c r="Q778" s="141"/>
      <c r="T778" s="141"/>
      <c r="U778" s="162"/>
      <c r="X778" s="183" t="str">
        <f t="shared" si="18"/>
        <v>1w</v>
      </c>
      <c r="Y778" s="181">
        <f>_xll.qlCalendarAdvance(Calendar,Y777,X778,"f",FALSE)</f>
        <v>44349</v>
      </c>
      <c r="Z778" s="184">
        <f>_xll.qlCalendarAdvance(Calendar,Y778,NDays&amp;"D")</f>
        <v>44349</v>
      </c>
      <c r="AA778" s="185">
        <v>4.4847858996166425E-2</v>
      </c>
      <c r="AB778" s="182">
        <v>4.4448471143290202E-2</v>
      </c>
    </row>
    <row r="779" spans="17:28" x14ac:dyDescent="0.2">
      <c r="Q779" s="141"/>
      <c r="T779" s="141"/>
      <c r="U779" s="162"/>
      <c r="X779" s="183" t="str">
        <f t="shared" si="18"/>
        <v>1w</v>
      </c>
      <c r="Y779" s="181">
        <f>_xll.qlCalendarAdvance(Calendar,Y778,X779,"f",FALSE)</f>
        <v>44356</v>
      </c>
      <c r="Z779" s="184">
        <f>_xll.qlCalendarAdvance(Calendar,Y779,NDays&amp;"D")</f>
        <v>44356</v>
      </c>
      <c r="AA779" s="185">
        <v>4.4870916146674905E-2</v>
      </c>
      <c r="AB779" s="182">
        <v>4.4472147315355315E-2</v>
      </c>
    </row>
    <row r="780" spans="17:28" x14ac:dyDescent="0.2">
      <c r="Q780" s="141"/>
      <c r="T780" s="141"/>
      <c r="U780" s="162"/>
      <c r="X780" s="183" t="str">
        <f t="shared" si="18"/>
        <v>1w</v>
      </c>
      <c r="Y780" s="181">
        <f>_xll.qlCalendarAdvance(Calendar,Y779,X780,"f",FALSE)</f>
        <v>44363</v>
      </c>
      <c r="Z780" s="184">
        <f>_xll.qlCalendarAdvance(Calendar,Y780,NDays&amp;"D")</f>
        <v>44363</v>
      </c>
      <c r="AA780" s="185">
        <v>4.4893837457385011E-2</v>
      </c>
      <c r="AB780" s="182">
        <v>4.4495689021671891E-2</v>
      </c>
    </row>
    <row r="781" spans="17:28" x14ac:dyDescent="0.2">
      <c r="Q781" s="141"/>
      <c r="T781" s="141"/>
      <c r="U781" s="162"/>
      <c r="X781" s="183" t="str">
        <f t="shared" si="18"/>
        <v>1w</v>
      </c>
      <c r="Y781" s="181">
        <f>_xll.qlCalendarAdvance(Calendar,Y780,X781,"f",FALSE)</f>
        <v>44370</v>
      </c>
      <c r="Z781" s="184">
        <f>_xll.qlCalendarAdvance(Calendar,Y781,NDays&amp;"D")</f>
        <v>44370</v>
      </c>
      <c r="AA781" s="185">
        <v>4.4916625381866304E-2</v>
      </c>
      <c r="AB781" s="182">
        <v>4.4519096262158886E-2</v>
      </c>
    </row>
    <row r="782" spans="17:28" x14ac:dyDescent="0.2">
      <c r="Q782" s="141"/>
      <c r="T782" s="141"/>
      <c r="U782" s="162"/>
      <c r="X782" s="183" t="str">
        <f t="shared" si="18"/>
        <v>1w</v>
      </c>
      <c r="Y782" s="181">
        <f>_xll.qlCalendarAdvance(Calendar,Y781,X782,"f",FALSE)</f>
        <v>44377</v>
      </c>
      <c r="Z782" s="184">
        <f>_xll.qlCalendarAdvance(Calendar,Y782,NDays&amp;"D")</f>
        <v>44377</v>
      </c>
      <c r="AA782" s="185">
        <v>4.4939292197426081E-2</v>
      </c>
      <c r="AB782" s="182">
        <v>4.4542369036897345E-2</v>
      </c>
    </row>
    <row r="783" spans="17:28" x14ac:dyDescent="0.2">
      <c r="Q783" s="141"/>
      <c r="T783" s="141"/>
      <c r="U783" s="162"/>
      <c r="X783" s="183" t="str">
        <f t="shared" si="18"/>
        <v>1w</v>
      </c>
      <c r="Y783" s="181">
        <f>_xll.qlCalendarAdvance(Calendar,Y782,X783,"f",FALSE)</f>
        <v>44384</v>
      </c>
      <c r="Z783" s="184">
        <f>_xll.qlCalendarAdvance(Calendar,Y783,NDays&amp;"D")</f>
        <v>44384</v>
      </c>
      <c r="AA783" s="185">
        <v>4.4961852637584898E-2</v>
      </c>
      <c r="AB783" s="182">
        <v>4.4565507345806221E-2</v>
      </c>
    </row>
    <row r="784" spans="17:28" x14ac:dyDescent="0.2">
      <c r="Q784" s="141"/>
      <c r="T784" s="141"/>
      <c r="U784" s="162"/>
      <c r="X784" s="183" t="str">
        <f t="shared" si="18"/>
        <v>1w</v>
      </c>
      <c r="Y784" s="181">
        <f>_xll.qlCalendarAdvance(Calendar,Y783,X784,"f",FALSE)</f>
        <v>44391</v>
      </c>
      <c r="Z784" s="184">
        <f>_xll.qlCalendarAdvance(Calendar,Y784,NDays&amp;"D")</f>
        <v>44391</v>
      </c>
      <c r="AA784" s="185">
        <v>4.4984321436205982E-2</v>
      </c>
      <c r="AB784" s="182">
        <v>4.4588511188885516E-2</v>
      </c>
    </row>
    <row r="785" spans="17:28" x14ac:dyDescent="0.2">
      <c r="Q785" s="141"/>
      <c r="T785" s="141"/>
      <c r="U785" s="162"/>
      <c r="X785" s="183" t="str">
        <f t="shared" si="18"/>
        <v>1w</v>
      </c>
      <c r="Y785" s="181">
        <f>_xll.qlCalendarAdvance(Calendar,Y784,X785,"f",FALSE)</f>
        <v>44398</v>
      </c>
      <c r="Z785" s="184">
        <f>_xll.qlCalendarAdvance(Calendar,Y785,NDays&amp;"D")</f>
        <v>44398</v>
      </c>
      <c r="AA785" s="185">
        <v>4.500671332749262E-2</v>
      </c>
      <c r="AB785" s="182">
        <v>4.4611380566054182E-2</v>
      </c>
    </row>
    <row r="786" spans="17:28" x14ac:dyDescent="0.2">
      <c r="Q786" s="141"/>
      <c r="T786" s="141"/>
      <c r="U786" s="162"/>
      <c r="X786" s="183" t="str">
        <f t="shared" si="18"/>
        <v>1w</v>
      </c>
      <c r="Y786" s="181">
        <f>_xll.qlCalendarAdvance(Calendar,Y785,X786,"f",FALSE)</f>
        <v>44405</v>
      </c>
      <c r="Z786" s="184">
        <f>_xll.qlCalendarAdvance(Calendar,Y786,NDays&amp;"D")</f>
        <v>44405</v>
      </c>
      <c r="AA786" s="185">
        <v>4.5029043045976679E-2</v>
      </c>
      <c r="AB786" s="182">
        <v>4.4634115477393266E-2</v>
      </c>
    </row>
    <row r="787" spans="17:28" x14ac:dyDescent="0.2">
      <c r="Q787" s="141"/>
      <c r="T787" s="141"/>
      <c r="U787" s="162"/>
      <c r="X787" s="183" t="str">
        <f t="shared" si="18"/>
        <v>1w</v>
      </c>
      <c r="Y787" s="181">
        <f>_xll.qlCalendarAdvance(Calendar,Y786,X787,"f",FALSE)</f>
        <v>44412</v>
      </c>
      <c r="Z787" s="184">
        <f>_xll.qlCalendarAdvance(Calendar,Y787,NDays&amp;"D")</f>
        <v>44412</v>
      </c>
      <c r="AA787" s="185">
        <v>4.5051325326524769E-2</v>
      </c>
      <c r="AB787" s="182">
        <v>4.4656715922740675E-2</v>
      </c>
    </row>
    <row r="788" spans="17:28" x14ac:dyDescent="0.2">
      <c r="Q788" s="141"/>
      <c r="T788" s="141"/>
      <c r="U788" s="162"/>
      <c r="X788" s="183" t="str">
        <f t="shared" si="18"/>
        <v>1w</v>
      </c>
      <c r="Y788" s="181">
        <f>_xll.qlCalendarAdvance(Calendar,Y787,X788,"f",FALSE)</f>
        <v>44419</v>
      </c>
      <c r="Z788" s="184">
        <f>_xll.qlCalendarAdvance(Calendar,Y788,NDays&amp;"D")</f>
        <v>44419</v>
      </c>
      <c r="AA788" s="185">
        <v>4.5073574904332121E-2</v>
      </c>
      <c r="AB788" s="182">
        <v>4.467918190209641E-2</v>
      </c>
    </row>
    <row r="789" spans="17:28" x14ac:dyDescent="0.2">
      <c r="Q789" s="141"/>
      <c r="T789" s="141"/>
      <c r="U789" s="162"/>
      <c r="X789" s="183" t="str">
        <f t="shared" ref="X789:X852" si="19">X788</f>
        <v>1w</v>
      </c>
      <c r="Y789" s="181">
        <f>_xll.qlCalendarAdvance(Calendar,Y788,X789,"f",FALSE)</f>
        <v>44426</v>
      </c>
      <c r="Z789" s="184">
        <f>_xll.qlCalendarAdvance(Calendar,Y789,NDays&amp;"D")</f>
        <v>44426</v>
      </c>
      <c r="AA789" s="185">
        <v>4.5095806514923412E-2</v>
      </c>
      <c r="AB789" s="182">
        <v>4.4701513415541516E-2</v>
      </c>
    </row>
    <row r="790" spans="17:28" x14ac:dyDescent="0.2">
      <c r="Q790" s="141"/>
      <c r="T790" s="141"/>
      <c r="U790" s="162"/>
      <c r="X790" s="183" t="str">
        <f t="shared" si="19"/>
        <v>1w</v>
      </c>
      <c r="Y790" s="181">
        <f>_xll.qlCalendarAdvance(Calendar,Y789,X790,"f",FALSE)</f>
        <v>44433</v>
      </c>
      <c r="Z790" s="184">
        <f>_xll.qlCalendarAdvance(Calendar,Y790,NDays&amp;"D")</f>
        <v>44433</v>
      </c>
      <c r="AA790" s="185">
        <v>4.5118034894147514E-2</v>
      </c>
      <c r="AB790" s="182">
        <v>4.4723710462994948E-2</v>
      </c>
    </row>
    <row r="791" spans="17:28" x14ac:dyDescent="0.2">
      <c r="Q791" s="141"/>
      <c r="T791" s="141"/>
      <c r="U791" s="162"/>
      <c r="X791" s="183" t="str">
        <f t="shared" si="19"/>
        <v>1w</v>
      </c>
      <c r="Y791" s="181">
        <f>_xll.qlCalendarAdvance(Calendar,Y790,X791,"f",FALSE)</f>
        <v>44440</v>
      </c>
      <c r="Z791" s="184">
        <f>_xll.qlCalendarAdvance(Calendar,Y791,NDays&amp;"D")</f>
        <v>44440</v>
      </c>
      <c r="AA791" s="185">
        <v>4.5135898316839E-2</v>
      </c>
      <c r="AB791" s="182">
        <v>4.4745773044294612E-2</v>
      </c>
    </row>
    <row r="792" spans="17:28" x14ac:dyDescent="0.2">
      <c r="Q792" s="141"/>
      <c r="T792" s="141"/>
      <c r="U792" s="162"/>
      <c r="X792" s="183" t="str">
        <f t="shared" si="19"/>
        <v>1w</v>
      </c>
      <c r="Y792" s="181">
        <f>_xll.qlCalendarAdvance(Calendar,Y791,X792,"f",FALSE)</f>
        <v>44447</v>
      </c>
      <c r="Z792" s="184">
        <f>_xll.qlCalendarAdvance(Calendar,Y792,NDays&amp;"D")</f>
        <v>44447</v>
      </c>
      <c r="AA792" s="185">
        <v>4.5158157799405449E-2</v>
      </c>
      <c r="AB792" s="182">
        <v>4.4767701159683648E-2</v>
      </c>
    </row>
    <row r="793" spans="17:28" x14ac:dyDescent="0.2">
      <c r="Q793" s="141"/>
      <c r="T793" s="141"/>
      <c r="U793" s="162"/>
      <c r="X793" s="183" t="str">
        <f t="shared" si="19"/>
        <v>1w</v>
      </c>
      <c r="Y793" s="181">
        <f>_xll.qlCalendarAdvance(Calendar,Y792,X793,"f",FALSE)</f>
        <v>44454</v>
      </c>
      <c r="Z793" s="184">
        <f>_xll.qlCalendarAdvance(Calendar,Y793,NDays&amp;"D")</f>
        <v>44454</v>
      </c>
      <c r="AA793" s="185">
        <v>4.5180458068622253E-2</v>
      </c>
      <c r="AB793" s="182">
        <v>4.4789494808999963E-2</v>
      </c>
    </row>
    <row r="794" spans="17:28" x14ac:dyDescent="0.2">
      <c r="Q794" s="141"/>
      <c r="T794" s="141"/>
      <c r="U794" s="162"/>
      <c r="X794" s="183" t="str">
        <f t="shared" si="19"/>
        <v>1w</v>
      </c>
      <c r="Y794" s="181">
        <f>_xll.qlCalendarAdvance(Calendar,Y793,X794,"f",FALSE)</f>
        <v>44461</v>
      </c>
      <c r="Z794" s="184">
        <f>_xll.qlCalendarAdvance(Calendar,Y794,NDays&amp;"D")</f>
        <v>44461</v>
      </c>
      <c r="AA794" s="185">
        <v>4.5202812458247574E-2</v>
      </c>
      <c r="AB794" s="182">
        <v>4.4811236723962811E-2</v>
      </c>
    </row>
    <row r="795" spans="17:28" x14ac:dyDescent="0.2">
      <c r="Q795" s="141"/>
      <c r="T795" s="141"/>
      <c r="U795" s="162"/>
      <c r="X795" s="183" t="str">
        <f t="shared" si="19"/>
        <v>1w</v>
      </c>
      <c r="Y795" s="181">
        <f>_xll.qlCalendarAdvance(Calendar,Y794,X795,"f",FALSE)</f>
        <v>44468</v>
      </c>
      <c r="Z795" s="184">
        <f>_xll.qlCalendarAdvance(Calendar,Y795,NDays&amp;"D")</f>
        <v>44468</v>
      </c>
      <c r="AA795" s="185">
        <v>4.5225224653527948E-2</v>
      </c>
      <c r="AB795" s="182">
        <v>4.4833035042274316E-2</v>
      </c>
    </row>
    <row r="796" spans="17:28" x14ac:dyDescent="0.2">
      <c r="Q796" s="141"/>
      <c r="T796" s="141"/>
      <c r="U796" s="162"/>
      <c r="X796" s="183" t="str">
        <f t="shared" si="19"/>
        <v>1w</v>
      </c>
      <c r="Y796" s="181">
        <f>_xll.qlCalendarAdvance(Calendar,Y795,X796,"f",FALSE)</f>
        <v>44475</v>
      </c>
      <c r="Z796" s="184">
        <f>_xll.qlCalendarAdvance(Calendar,Y796,NDays&amp;"D")</f>
        <v>44475</v>
      </c>
      <c r="AA796" s="185">
        <v>4.5252105274333342E-2</v>
      </c>
      <c r="AB796" s="182">
        <v>4.4854890415384485E-2</v>
      </c>
    </row>
    <row r="797" spans="17:28" x14ac:dyDescent="0.2">
      <c r="Q797" s="141"/>
      <c r="T797" s="141"/>
      <c r="U797" s="162"/>
      <c r="X797" s="183" t="str">
        <f t="shared" si="19"/>
        <v>1w</v>
      </c>
      <c r="Y797" s="181">
        <f>_xll.qlCalendarAdvance(Calendar,Y796,X797,"f",FALSE)</f>
        <v>44482</v>
      </c>
      <c r="Z797" s="184">
        <f>_xll.qlCalendarAdvance(Calendar,Y797,NDays&amp;"D")</f>
        <v>44482</v>
      </c>
      <c r="AA797" s="185">
        <v>4.5274640006514981E-2</v>
      </c>
      <c r="AB797" s="182">
        <v>4.4876802843293317E-2</v>
      </c>
    </row>
    <row r="798" spans="17:28" x14ac:dyDescent="0.2">
      <c r="Q798" s="141"/>
      <c r="T798" s="141"/>
      <c r="U798" s="162"/>
      <c r="X798" s="183" t="str">
        <f t="shared" si="19"/>
        <v>1w</v>
      </c>
      <c r="Y798" s="181">
        <f>_xll.qlCalendarAdvance(Calendar,Y797,X798,"f",FALSE)</f>
        <v>44489</v>
      </c>
      <c r="Z798" s="184">
        <f>_xll.qlCalendarAdvance(Calendar,Y798,NDays&amp;"D")</f>
        <v>44489</v>
      </c>
      <c r="AA798" s="185">
        <v>4.5297232563048226E-2</v>
      </c>
      <c r="AB798" s="182">
        <v>4.4898772326081859E-2</v>
      </c>
    </row>
    <row r="799" spans="17:28" x14ac:dyDescent="0.2">
      <c r="Q799" s="141"/>
      <c r="T799" s="141"/>
      <c r="U799" s="162"/>
      <c r="X799" s="183" t="str">
        <f t="shared" si="19"/>
        <v>1w</v>
      </c>
      <c r="Y799" s="181">
        <f>_xll.qlCalendarAdvance(Calendar,Y798,X799,"f",FALSE)</f>
        <v>44496</v>
      </c>
      <c r="Z799" s="184">
        <f>_xll.qlCalendarAdvance(Calendar,Y799,NDays&amp;"D")</f>
        <v>44496</v>
      </c>
      <c r="AA799" s="185">
        <v>4.5319882944909143E-2</v>
      </c>
      <c r="AB799" s="182">
        <v>4.4920798863669065E-2</v>
      </c>
    </row>
    <row r="800" spans="17:28" x14ac:dyDescent="0.2">
      <c r="Q800" s="141"/>
      <c r="T800" s="141"/>
      <c r="U800" s="162"/>
      <c r="X800" s="183" t="str">
        <f t="shared" si="19"/>
        <v>1w</v>
      </c>
      <c r="Y800" s="181">
        <f>_xll.qlCalendarAdvance(Calendar,Y799,X800,"f",FALSE)</f>
        <v>44503</v>
      </c>
      <c r="Z800" s="184">
        <f>_xll.qlCalendarAdvance(Calendar,Y800,NDays&amp;"D")</f>
        <v>44503</v>
      </c>
      <c r="AA800" s="185">
        <v>4.5342591153072945E-2</v>
      </c>
      <c r="AB800" s="182">
        <v>4.4942882455973887E-2</v>
      </c>
    </row>
    <row r="801" spans="17:28" x14ac:dyDescent="0.2">
      <c r="Q801" s="141"/>
      <c r="T801" s="141"/>
      <c r="U801" s="162"/>
      <c r="X801" s="183" t="str">
        <f t="shared" si="19"/>
        <v>1w</v>
      </c>
      <c r="Y801" s="181">
        <f>_xll.qlCalendarAdvance(Calendar,Y800,X801,"f",FALSE)</f>
        <v>44510</v>
      </c>
      <c r="Z801" s="184">
        <f>_xll.qlCalendarAdvance(Calendar,Y801,NDays&amp;"D")</f>
        <v>44510</v>
      </c>
      <c r="AA801" s="185">
        <v>4.5365357188522741E-2</v>
      </c>
      <c r="AB801" s="182">
        <v>4.4965023103239465E-2</v>
      </c>
    </row>
    <row r="802" spans="17:28" x14ac:dyDescent="0.2">
      <c r="Q802" s="141"/>
      <c r="T802" s="141"/>
      <c r="U802" s="162"/>
      <c r="X802" s="183" t="str">
        <f t="shared" si="19"/>
        <v>1w</v>
      </c>
      <c r="Y802" s="181">
        <f>_xll.qlCalendarAdvance(Calendar,Y801,X802,"f",FALSE)</f>
        <v>44517</v>
      </c>
      <c r="Z802" s="184">
        <f>_xll.qlCalendarAdvance(Calendar,Y802,NDays&amp;"D")</f>
        <v>44517</v>
      </c>
      <c r="AA802" s="185">
        <v>4.5388181052240788E-2</v>
      </c>
      <c r="AB802" s="182">
        <v>4.4987220805303707E-2</v>
      </c>
    </row>
    <row r="803" spans="17:28" x14ac:dyDescent="0.2">
      <c r="Q803" s="141"/>
      <c r="T803" s="141"/>
      <c r="U803" s="162"/>
      <c r="X803" s="183" t="str">
        <f t="shared" si="19"/>
        <v>1w</v>
      </c>
      <c r="Y803" s="181">
        <f>_xll.qlCalendarAdvance(Calendar,Y802,X803,"f",FALSE)</f>
        <v>44524</v>
      </c>
      <c r="Z803" s="184">
        <f>_xll.qlCalendarAdvance(Calendar,Y803,NDays&amp;"D")</f>
        <v>44524</v>
      </c>
      <c r="AA803" s="185">
        <v>4.5411062745211977E-2</v>
      </c>
      <c r="AB803" s="182">
        <v>4.5009475562247658E-2</v>
      </c>
    </row>
    <row r="804" spans="17:28" x14ac:dyDescent="0.2">
      <c r="Q804" s="141"/>
      <c r="T804" s="141"/>
      <c r="U804" s="162"/>
      <c r="X804" s="183" t="str">
        <f t="shared" si="19"/>
        <v>1w</v>
      </c>
      <c r="Y804" s="181">
        <f>_xll.qlCalendarAdvance(Calendar,Y803,X804,"f",FALSE)</f>
        <v>44531</v>
      </c>
      <c r="Z804" s="184">
        <f>_xll.qlCalendarAdvance(Calendar,Y804,NDays&amp;"D")</f>
        <v>44531</v>
      </c>
      <c r="AA804" s="185">
        <v>4.542507106552085E-2</v>
      </c>
      <c r="AB804" s="182">
        <v>4.5031787374071319E-2</v>
      </c>
    </row>
    <row r="805" spans="17:28" x14ac:dyDescent="0.2">
      <c r="Q805" s="141"/>
      <c r="T805" s="141"/>
      <c r="U805" s="162"/>
      <c r="X805" s="183" t="str">
        <f t="shared" si="19"/>
        <v>1w</v>
      </c>
      <c r="Y805" s="181">
        <f>_xll.qlCalendarAdvance(Calendar,Y804,X805,"f",FALSE)</f>
        <v>44538</v>
      </c>
      <c r="Z805" s="184">
        <f>_xll.qlCalendarAdvance(Calendar,Y805,NDays&amp;"D")</f>
        <v>44538</v>
      </c>
      <c r="AA805" s="185">
        <v>4.544805446718915E-2</v>
      </c>
      <c r="AB805" s="182">
        <v>4.5054156240693644E-2</v>
      </c>
    </row>
    <row r="806" spans="17:28" x14ac:dyDescent="0.2">
      <c r="Q806" s="141"/>
      <c r="T806" s="141"/>
      <c r="U806" s="162"/>
      <c r="X806" s="183" t="str">
        <f t="shared" si="19"/>
        <v>1w</v>
      </c>
      <c r="Y806" s="181">
        <f>_xll.qlCalendarAdvance(Calendar,Y805,X806,"f",FALSE)</f>
        <v>44545</v>
      </c>
      <c r="Z806" s="184">
        <f>_xll.qlCalendarAdvance(Calendar,Y806,NDays&amp;"D")</f>
        <v>44545</v>
      </c>
      <c r="AA806" s="185">
        <v>4.547109568374956E-2</v>
      </c>
      <c r="AB806" s="182">
        <v>4.5076582162276724E-2</v>
      </c>
    </row>
    <row r="807" spans="17:28" x14ac:dyDescent="0.2">
      <c r="Q807" s="141"/>
      <c r="T807" s="141"/>
      <c r="U807" s="162"/>
      <c r="X807" s="183" t="str">
        <f t="shared" si="19"/>
        <v>1w</v>
      </c>
      <c r="Y807" s="181">
        <f>_xll.qlCalendarAdvance(Calendar,Y806,X807,"f",FALSE)</f>
        <v>44552</v>
      </c>
      <c r="Z807" s="184">
        <f>_xll.qlCalendarAdvance(Calendar,Y807,NDays&amp;"D")</f>
        <v>44552</v>
      </c>
      <c r="AA807" s="185">
        <v>4.549419471617553E-2</v>
      </c>
      <c r="AB807" s="182">
        <v>4.509906513882056E-2</v>
      </c>
    </row>
    <row r="808" spans="17:28" x14ac:dyDescent="0.2">
      <c r="Q808" s="141"/>
      <c r="T808" s="141"/>
      <c r="U808" s="162"/>
      <c r="X808" s="183" t="str">
        <f t="shared" si="19"/>
        <v>1w</v>
      </c>
      <c r="Y808" s="181">
        <f>_xll.qlCalendarAdvance(Calendar,Y807,X808,"f",FALSE)</f>
        <v>44559</v>
      </c>
      <c r="Z808" s="184">
        <f>_xll.qlCalendarAdvance(Calendar,Y808,NDays&amp;"D")</f>
        <v>44559</v>
      </c>
      <c r="AA808" s="185">
        <v>4.551735156544142E-2</v>
      </c>
      <c r="AB808" s="182">
        <v>4.5121605170244106E-2</v>
      </c>
    </row>
    <row r="809" spans="17:28" x14ac:dyDescent="0.2">
      <c r="Q809" s="141"/>
      <c r="T809" s="141"/>
      <c r="U809" s="162"/>
      <c r="X809" s="183" t="str">
        <f t="shared" si="19"/>
        <v>1w</v>
      </c>
      <c r="Y809" s="181">
        <f>_xll.qlCalendarAdvance(Calendar,Y808,X809,"f",FALSE)</f>
        <v>44566</v>
      </c>
      <c r="Z809" s="184">
        <f>_xll.qlCalendarAdvance(Calendar,Y809,NDays&amp;"D")</f>
        <v>44566</v>
      </c>
      <c r="AA809" s="185">
        <v>4.5540566232526093E-2</v>
      </c>
      <c r="AB809" s="182">
        <v>4.5144202256547361E-2</v>
      </c>
    </row>
    <row r="810" spans="17:28" x14ac:dyDescent="0.2">
      <c r="Q810" s="141"/>
      <c r="T810" s="141"/>
      <c r="U810" s="162"/>
      <c r="X810" s="183" t="str">
        <f t="shared" si="19"/>
        <v>1w</v>
      </c>
      <c r="Y810" s="181">
        <f>_xll.qlCalendarAdvance(Calendar,Y809,X810,"f",FALSE)</f>
        <v>44573</v>
      </c>
      <c r="Z810" s="184">
        <f>_xll.qlCalendarAdvance(Calendar,Y810,NDays&amp;"D")</f>
        <v>44573</v>
      </c>
      <c r="AA810" s="185">
        <v>4.55638387184093E-2</v>
      </c>
      <c r="AB810" s="182">
        <v>4.5166856397811372E-2</v>
      </c>
    </row>
    <row r="811" spans="17:28" x14ac:dyDescent="0.2">
      <c r="Q811" s="141"/>
      <c r="T811" s="141"/>
      <c r="U811" s="162"/>
      <c r="X811" s="183" t="str">
        <f t="shared" si="19"/>
        <v>1w</v>
      </c>
      <c r="Y811" s="181">
        <f>_xll.qlCalendarAdvance(Calendar,Y810,X811,"f",FALSE)</f>
        <v>44580</v>
      </c>
      <c r="Z811" s="184">
        <f>_xll.qlCalendarAdvance(Calendar,Y811,NDays&amp;"D")</f>
        <v>44580</v>
      </c>
      <c r="AA811" s="185">
        <v>4.5587169024074413E-2</v>
      </c>
      <c r="AB811" s="182">
        <v>4.518956759403614E-2</v>
      </c>
    </row>
    <row r="812" spans="17:28" x14ac:dyDescent="0.2">
      <c r="Q812" s="141"/>
      <c r="T812" s="141"/>
      <c r="U812" s="162"/>
      <c r="X812" s="183" t="str">
        <f t="shared" si="19"/>
        <v>1w</v>
      </c>
      <c r="Y812" s="181">
        <f>_xll.qlCalendarAdvance(Calendar,Y811,X812,"f",FALSE)</f>
        <v>44588</v>
      </c>
      <c r="Z812" s="184">
        <f>_xll.qlCalendarAdvance(Calendar,Y812,NDays&amp;"D")</f>
        <v>44588</v>
      </c>
      <c r="AA812" s="185">
        <v>4.5613903031545042E-2</v>
      </c>
      <c r="AB812" s="182">
        <v>4.5215593109997343E-2</v>
      </c>
    </row>
    <row r="813" spans="17:28" x14ac:dyDescent="0.2">
      <c r="Q813" s="141"/>
      <c r="T813" s="141"/>
      <c r="U813" s="162"/>
      <c r="X813" s="183" t="str">
        <f t="shared" si="19"/>
        <v>1w</v>
      </c>
      <c r="Y813" s="181">
        <f>_xll.qlCalendarAdvance(Calendar,Y812,X813,"f",FALSE)</f>
        <v>44595</v>
      </c>
      <c r="Z813" s="184">
        <f>_xll.qlCalendarAdvance(Calendar,Y813,NDays&amp;"D")</f>
        <v>44595</v>
      </c>
      <c r="AA813" s="185">
        <v>4.5632829103468872E-2</v>
      </c>
      <c r="AB813" s="182">
        <v>4.5238426566887036E-2</v>
      </c>
    </row>
    <row r="814" spans="17:28" x14ac:dyDescent="0.2">
      <c r="Q814" s="141"/>
      <c r="T814" s="141"/>
      <c r="U814" s="162"/>
      <c r="X814" s="183" t="str">
        <f t="shared" si="19"/>
        <v>1w</v>
      </c>
      <c r="Y814" s="181">
        <f>_xll.qlCalendarAdvance(Calendar,Y813,X814,"f",FALSE)</f>
        <v>44602</v>
      </c>
      <c r="Z814" s="184">
        <f>_xll.qlCalendarAdvance(Calendar,Y814,NDays&amp;"D")</f>
        <v>44602</v>
      </c>
      <c r="AA814" s="185">
        <v>4.5656334081257417E-2</v>
      </c>
      <c r="AB814" s="182">
        <v>4.5261317078656438E-2</v>
      </c>
    </row>
    <row r="815" spans="17:28" x14ac:dyDescent="0.2">
      <c r="Q815" s="141"/>
      <c r="T815" s="141"/>
      <c r="U815" s="162"/>
      <c r="X815" s="183" t="str">
        <f t="shared" si="19"/>
        <v>1w</v>
      </c>
      <c r="Y815" s="181">
        <f>_xll.qlCalendarAdvance(Calendar,Y814,X815,"f",FALSE)</f>
        <v>44609</v>
      </c>
      <c r="Z815" s="184">
        <f>_xll.qlCalendarAdvance(Calendar,Y815,NDays&amp;"D")</f>
        <v>44609</v>
      </c>
      <c r="AA815" s="185">
        <v>4.5679896874158903E-2</v>
      </c>
      <c r="AB815" s="182">
        <v>4.5284264645548689E-2</v>
      </c>
    </row>
    <row r="816" spans="17:28" x14ac:dyDescent="0.2">
      <c r="Q816" s="141"/>
      <c r="T816" s="141"/>
      <c r="U816" s="162"/>
      <c r="X816" s="183" t="str">
        <f t="shared" si="19"/>
        <v>1w</v>
      </c>
      <c r="Y816" s="181">
        <f>_xll.qlCalendarAdvance(Calendar,Y815,X816,"f",FALSE)</f>
        <v>44616</v>
      </c>
      <c r="Z816" s="184">
        <f>_xll.qlCalendarAdvance(Calendar,Y816,NDays&amp;"D")</f>
        <v>44616</v>
      </c>
      <c r="AA816" s="185">
        <v>4.5703517483160462E-2</v>
      </c>
      <c r="AB816" s="182">
        <v>4.5307269267320649E-2</v>
      </c>
    </row>
    <row r="817" spans="17:28" x14ac:dyDescent="0.2">
      <c r="Q817" s="141"/>
      <c r="T817" s="141"/>
      <c r="U817" s="162"/>
      <c r="X817" s="183" t="str">
        <f t="shared" si="19"/>
        <v>1w</v>
      </c>
      <c r="Y817" s="181">
        <f>_xll.qlCalendarAdvance(Calendar,Y816,X817,"f",FALSE)</f>
        <v>44623</v>
      </c>
      <c r="Z817" s="184">
        <f>_xll.qlCalendarAdvance(Calendar,Y817,NDays&amp;"D")</f>
        <v>44623</v>
      </c>
      <c r="AA817" s="185">
        <v>4.5740868284819033E-2</v>
      </c>
      <c r="AB817" s="182">
        <v>4.5330330944053365E-2</v>
      </c>
    </row>
    <row r="818" spans="17:28" x14ac:dyDescent="0.2">
      <c r="Q818" s="141"/>
      <c r="T818" s="141"/>
      <c r="U818" s="162"/>
      <c r="X818" s="183" t="str">
        <f t="shared" si="19"/>
        <v>1w</v>
      </c>
      <c r="Y818" s="181">
        <f>_xll.qlCalendarAdvance(Calendar,Y817,X818,"f",FALSE)</f>
        <v>44630</v>
      </c>
      <c r="Z818" s="184">
        <f>_xll.qlCalendarAdvance(Calendar,Y818,NDays&amp;"D")</f>
        <v>44630</v>
      </c>
      <c r="AA818" s="185">
        <v>4.5764625800081518E-2</v>
      </c>
      <c r="AB818" s="182">
        <v>4.5353449675989976E-2</v>
      </c>
    </row>
    <row r="819" spans="17:28" x14ac:dyDescent="0.2">
      <c r="Q819" s="141"/>
      <c r="T819" s="141"/>
      <c r="U819" s="162"/>
      <c r="X819" s="183" t="str">
        <f t="shared" si="19"/>
        <v>1w</v>
      </c>
      <c r="Y819" s="181">
        <f>_xll.qlCalendarAdvance(Calendar,Y818,X819,"f",FALSE)</f>
        <v>44637</v>
      </c>
      <c r="Z819" s="184">
        <f>_xll.qlCalendarAdvance(Calendar,Y819,NDays&amp;"D")</f>
        <v>44637</v>
      </c>
      <c r="AA819" s="185">
        <v>4.5788441160846037E-2</v>
      </c>
      <c r="AB819" s="182">
        <v>4.5376625462806297E-2</v>
      </c>
    </row>
    <row r="820" spans="17:28" x14ac:dyDescent="0.2">
      <c r="Q820" s="141"/>
      <c r="T820" s="141"/>
      <c r="U820" s="162"/>
      <c r="X820" s="183" t="str">
        <f t="shared" si="19"/>
        <v>1w</v>
      </c>
      <c r="Y820" s="181">
        <f>_xll.qlCalendarAdvance(Calendar,Y819,X820,"f",FALSE)</f>
        <v>44644</v>
      </c>
      <c r="Z820" s="184">
        <f>_xll.qlCalendarAdvance(Calendar,Y820,NDays&amp;"D")</f>
        <v>44644</v>
      </c>
      <c r="AA820" s="185">
        <v>4.5812314368145056E-2</v>
      </c>
      <c r="AB820" s="182">
        <v>4.5399858304745466E-2</v>
      </c>
    </row>
    <row r="821" spans="17:28" x14ac:dyDescent="0.2">
      <c r="Q821" s="141"/>
      <c r="T821" s="141"/>
      <c r="U821" s="162"/>
      <c r="X821" s="183" t="str">
        <f t="shared" si="19"/>
        <v>1w</v>
      </c>
      <c r="Y821" s="181">
        <f>_xll.qlCalendarAdvance(Calendar,Y820,X821,"f",FALSE)</f>
        <v>44651</v>
      </c>
      <c r="Z821" s="184">
        <f>_xll.qlCalendarAdvance(Calendar,Y821,NDays&amp;"D")</f>
        <v>44651</v>
      </c>
      <c r="AA821" s="185">
        <v>4.5831658488663024E-2</v>
      </c>
      <c r="AB821" s="182">
        <v>4.5423148201726438E-2</v>
      </c>
    </row>
    <row r="822" spans="17:28" x14ac:dyDescent="0.2">
      <c r="Q822" s="141"/>
      <c r="T822" s="141"/>
      <c r="U822" s="162"/>
      <c r="X822" s="183" t="str">
        <f t="shared" si="19"/>
        <v>1w</v>
      </c>
      <c r="Y822" s="181">
        <f>_xll.qlCalendarAdvance(Calendar,Y821,X822,"f",FALSE)</f>
        <v>44658</v>
      </c>
      <c r="Z822" s="184">
        <f>_xll.qlCalendarAdvance(Calendar,Y822,NDays&amp;"D")</f>
        <v>44658</v>
      </c>
      <c r="AA822" s="185">
        <v>4.585564026479802E-2</v>
      </c>
      <c r="AB822" s="182">
        <v>4.5446495153830258E-2</v>
      </c>
    </row>
    <row r="823" spans="17:28" x14ac:dyDescent="0.2">
      <c r="Q823" s="141"/>
      <c r="T823" s="141"/>
      <c r="U823" s="162"/>
      <c r="X823" s="183" t="str">
        <f t="shared" si="19"/>
        <v>1w</v>
      </c>
      <c r="Y823" s="181">
        <f>_xll.qlCalendarAdvance(Calendar,Y822,X823,"f",FALSE)</f>
        <v>44665</v>
      </c>
      <c r="Z823" s="184">
        <f>_xll.qlCalendarAdvance(Calendar,Y823,NDays&amp;"D")</f>
        <v>44665</v>
      </c>
      <c r="AA823" s="185">
        <v>4.5879679881703377E-2</v>
      </c>
      <c r="AB823" s="182">
        <v>4.5487931245440594E-2</v>
      </c>
    </row>
    <row r="824" spans="17:28" x14ac:dyDescent="0.2">
      <c r="Q824" s="141"/>
      <c r="T824" s="141"/>
      <c r="U824" s="162"/>
      <c r="X824" s="183" t="str">
        <f t="shared" si="19"/>
        <v>1w</v>
      </c>
      <c r="Y824" s="181">
        <f>_xll.qlCalendarAdvance(Calendar,Y823,X824,"f",FALSE)</f>
        <v>44672</v>
      </c>
      <c r="Z824" s="184">
        <f>_xll.qlCalendarAdvance(Calendar,Y824,NDays&amp;"D")</f>
        <v>44672</v>
      </c>
      <c r="AA824" s="185">
        <v>4.5903777340405974E-2</v>
      </c>
      <c r="AB824" s="182">
        <v>4.5493360223163304E-2</v>
      </c>
    </row>
    <row r="825" spans="17:28" x14ac:dyDescent="0.2">
      <c r="Q825" s="141"/>
      <c r="T825" s="141"/>
      <c r="U825" s="162"/>
      <c r="X825" s="183" t="str">
        <f t="shared" si="19"/>
        <v>1w</v>
      </c>
      <c r="Y825" s="181">
        <f>_xll.qlCalendarAdvance(Calendar,Y824,X825,"f",FALSE)</f>
        <v>44679</v>
      </c>
      <c r="Z825" s="184">
        <f>_xll.qlCalendarAdvance(Calendar,Y825,NDays&amp;"D")</f>
        <v>44679</v>
      </c>
      <c r="AA825" s="185">
        <v>4.5927932641933573E-2</v>
      </c>
      <c r="AB825" s="182">
        <v>4.551687834039253E-2</v>
      </c>
    </row>
    <row r="826" spans="17:28" x14ac:dyDescent="0.2">
      <c r="Q826" s="141"/>
      <c r="T826" s="141"/>
      <c r="U826" s="162"/>
      <c r="X826" s="183" t="str">
        <f t="shared" si="19"/>
        <v>1w</v>
      </c>
      <c r="Y826" s="181">
        <f>_xll.qlCalendarAdvance(Calendar,Y825,X826,"f",FALSE)</f>
        <v>44686</v>
      </c>
      <c r="Z826" s="184">
        <f>_xll.qlCalendarAdvance(Calendar,Y826,NDays&amp;"D")</f>
        <v>44686</v>
      </c>
      <c r="AA826" s="185">
        <v>4.595676844700855E-2</v>
      </c>
      <c r="AB826" s="182">
        <v>4.5540453512825652E-2</v>
      </c>
    </row>
    <row r="827" spans="17:28" x14ac:dyDescent="0.2">
      <c r="Q827" s="141"/>
      <c r="T827" s="141"/>
      <c r="U827" s="162"/>
      <c r="X827" s="183" t="str">
        <f t="shared" si="19"/>
        <v>1w</v>
      </c>
      <c r="Y827" s="181">
        <f>_xll.qlCalendarAdvance(Calendar,Y826,X827,"f",FALSE)</f>
        <v>44693</v>
      </c>
      <c r="Z827" s="184">
        <f>_xll.qlCalendarAdvance(Calendar,Y827,NDays&amp;"D")</f>
        <v>44693</v>
      </c>
      <c r="AA827" s="185">
        <v>4.5981046609032766E-2</v>
      </c>
      <c r="AB827" s="182">
        <v>4.5564085740381621E-2</v>
      </c>
    </row>
    <row r="828" spans="17:28" x14ac:dyDescent="0.2">
      <c r="Q828" s="141"/>
      <c r="T828" s="141"/>
      <c r="U828" s="162"/>
      <c r="X828" s="183" t="str">
        <f t="shared" si="19"/>
        <v>1w</v>
      </c>
      <c r="Y828" s="181">
        <f>_xll.qlCalendarAdvance(Calendar,Y827,X828,"f",FALSE)</f>
        <v>44700</v>
      </c>
      <c r="Z828" s="184">
        <f>_xll.qlCalendarAdvance(Calendar,Y828,NDays&amp;"D")</f>
        <v>44700</v>
      </c>
      <c r="AA828" s="185">
        <v>4.6005382625904881E-2</v>
      </c>
      <c r="AB828" s="182">
        <v>4.5587775022979393E-2</v>
      </c>
    </row>
    <row r="829" spans="17:28" x14ac:dyDescent="0.2">
      <c r="Q829" s="141"/>
      <c r="T829" s="141"/>
      <c r="U829" s="162"/>
      <c r="X829" s="183" t="str">
        <f t="shared" si="19"/>
        <v>1w</v>
      </c>
      <c r="Y829" s="181">
        <f>_xll.qlCalendarAdvance(Calendar,Y828,X829,"f",FALSE)</f>
        <v>44707</v>
      </c>
      <c r="Z829" s="184">
        <f>_xll.qlCalendarAdvance(Calendar,Y829,NDays&amp;"D")</f>
        <v>44707</v>
      </c>
      <c r="AA829" s="185">
        <v>4.6029776498675866E-2</v>
      </c>
      <c r="AB829" s="182">
        <v>4.5611521360862106E-2</v>
      </c>
    </row>
    <row r="830" spans="17:28" x14ac:dyDescent="0.2">
      <c r="Q830" s="141"/>
      <c r="T830" s="141"/>
      <c r="U830" s="162"/>
      <c r="X830" s="183" t="str">
        <f t="shared" si="19"/>
        <v>1w</v>
      </c>
      <c r="Y830" s="181">
        <f>_xll.qlCalendarAdvance(Calendar,Y829,X830,"f",FALSE)</f>
        <v>44714</v>
      </c>
      <c r="Z830" s="184">
        <f>_xll.qlCalendarAdvance(Calendar,Y830,NDays&amp;"D")</f>
        <v>44714</v>
      </c>
      <c r="AA830" s="185">
        <v>4.6054228228397553E-2</v>
      </c>
      <c r="AB830" s="182">
        <v>4.5635324753867668E-2</v>
      </c>
    </row>
    <row r="831" spans="17:28" x14ac:dyDescent="0.2">
      <c r="Q831" s="141"/>
      <c r="T831" s="141"/>
      <c r="U831" s="162"/>
      <c r="X831" s="183" t="str">
        <f t="shared" si="19"/>
        <v>1w</v>
      </c>
      <c r="Y831" s="181">
        <f>_xll.qlCalendarAdvance(Calendar,Y830,X831,"f",FALSE)</f>
        <v>44721</v>
      </c>
      <c r="Z831" s="184">
        <f>_xll.qlCalendarAdvance(Calendar,Y831,NDays&amp;"D")</f>
        <v>44721</v>
      </c>
      <c r="AA831" s="185">
        <v>4.6078737816126189E-2</v>
      </c>
      <c r="AB831" s="182">
        <v>4.5659185201996078E-2</v>
      </c>
    </row>
    <row r="832" spans="17:28" x14ac:dyDescent="0.2">
      <c r="Q832" s="141"/>
      <c r="T832" s="141"/>
      <c r="U832" s="162"/>
      <c r="X832" s="183" t="str">
        <f t="shared" si="19"/>
        <v>1w</v>
      </c>
      <c r="Y832" s="181">
        <f>_xll.qlCalendarAdvance(Calendar,Y831,X832,"f",FALSE)</f>
        <v>44728</v>
      </c>
      <c r="Z832" s="184">
        <f>_xll.qlCalendarAdvance(Calendar,Y832,NDays&amp;"D")</f>
        <v>44728</v>
      </c>
      <c r="AA832" s="185">
        <v>4.6103305262920655E-2</v>
      </c>
      <c r="AB832" s="182">
        <v>4.568310270516629E-2</v>
      </c>
    </row>
    <row r="833" spans="17:28" x14ac:dyDescent="0.2">
      <c r="Q833" s="141"/>
      <c r="T833" s="141"/>
      <c r="U833" s="162"/>
      <c r="X833" s="183" t="str">
        <f t="shared" si="19"/>
        <v>1w</v>
      </c>
      <c r="Y833" s="181">
        <f>_xll.qlCalendarAdvance(Calendar,Y832,X833,"f",FALSE)</f>
        <v>44735</v>
      </c>
      <c r="Z833" s="184">
        <f>_xll.qlCalendarAdvance(Calendar,Y833,NDays&amp;"D")</f>
        <v>44735</v>
      </c>
      <c r="AA833" s="185">
        <v>4.6127930569841616E-2</v>
      </c>
      <c r="AB833" s="182">
        <v>4.5707077263702489E-2</v>
      </c>
    </row>
    <row r="834" spans="17:28" x14ac:dyDescent="0.2">
      <c r="Q834" s="141"/>
      <c r="T834" s="141"/>
      <c r="U834" s="162"/>
      <c r="X834" s="183" t="str">
        <f t="shared" si="19"/>
        <v>1w</v>
      </c>
      <c r="Y834" s="181">
        <f>_xll.qlCalendarAdvance(Calendar,Y833,X834,"f",FALSE)</f>
        <v>44742</v>
      </c>
      <c r="Z834" s="184">
        <f>_xll.qlCalendarAdvance(Calendar,Y834,NDays&amp;"D")</f>
        <v>44742</v>
      </c>
      <c r="AA834" s="185">
        <v>4.6152613737952347E-2</v>
      </c>
      <c r="AB834" s="182">
        <v>4.5731108877361537E-2</v>
      </c>
    </row>
    <row r="835" spans="17:28" x14ac:dyDescent="0.2">
      <c r="Q835" s="141"/>
      <c r="T835" s="141"/>
      <c r="U835" s="162"/>
      <c r="X835" s="183" t="str">
        <f t="shared" si="19"/>
        <v>1w</v>
      </c>
      <c r="Y835" s="181">
        <f>_xll.qlCalendarAdvance(Calendar,Y834,X835,"f",FALSE)</f>
        <v>44749</v>
      </c>
      <c r="Z835" s="184">
        <f>_xll.qlCalendarAdvance(Calendar,Y835,NDays&amp;"D")</f>
        <v>44749</v>
      </c>
      <c r="AA835" s="185">
        <v>4.6177354768317906E-2</v>
      </c>
      <c r="AB835" s="182">
        <v>4.5755197546305526E-2</v>
      </c>
    </row>
    <row r="836" spans="17:28" x14ac:dyDescent="0.2">
      <c r="Q836" s="141"/>
      <c r="T836" s="141"/>
      <c r="U836" s="162"/>
      <c r="X836" s="183" t="str">
        <f t="shared" si="19"/>
        <v>1w</v>
      </c>
      <c r="Y836" s="181">
        <f>_xll.qlCalendarAdvance(Calendar,Y835,X836,"f",FALSE)</f>
        <v>44756</v>
      </c>
      <c r="Z836" s="184">
        <f>_xll.qlCalendarAdvance(Calendar,Y836,NDays&amp;"D")</f>
        <v>44756</v>
      </c>
      <c r="AA836" s="185">
        <v>4.6202153662005113E-2</v>
      </c>
      <c r="AB836" s="182">
        <v>4.577934327045341E-2</v>
      </c>
    </row>
    <row r="837" spans="17:28" x14ac:dyDescent="0.2">
      <c r="Q837" s="141"/>
      <c r="T837" s="141"/>
      <c r="U837" s="162"/>
      <c r="X837" s="183" t="str">
        <f t="shared" si="19"/>
        <v>1w</v>
      </c>
      <c r="Y837" s="181">
        <f>_xll.qlCalendarAdvance(Calendar,Y836,X837,"f",FALSE)</f>
        <v>44763</v>
      </c>
      <c r="Z837" s="184">
        <f>_xll.qlCalendarAdvance(Calendar,Y837,NDays&amp;"D")</f>
        <v>44763</v>
      </c>
      <c r="AA837" s="185">
        <v>4.6227010420087832E-2</v>
      </c>
      <c r="AB837" s="182">
        <v>4.5803546049805188E-2</v>
      </c>
    </row>
    <row r="838" spans="17:28" x14ac:dyDescent="0.2">
      <c r="Q838" s="141"/>
      <c r="T838" s="141"/>
      <c r="U838" s="162"/>
      <c r="X838" s="183" t="str">
        <f t="shared" si="19"/>
        <v>1w</v>
      </c>
      <c r="Y838" s="181">
        <f>_xll.qlCalendarAdvance(Calendar,Y837,X838,"f",FALSE)</f>
        <v>44770</v>
      </c>
      <c r="Z838" s="184">
        <f>_xll.qlCalendarAdvance(Calendar,Y838,NDays&amp;"D")</f>
        <v>44770</v>
      </c>
      <c r="AA838" s="185">
        <v>4.6251925043636399E-2</v>
      </c>
      <c r="AB838" s="182">
        <v>4.5827805884360862E-2</v>
      </c>
    </row>
    <row r="839" spans="17:28" x14ac:dyDescent="0.2">
      <c r="Q839" s="141"/>
      <c r="T839" s="141"/>
      <c r="U839" s="162"/>
      <c r="X839" s="183" t="str">
        <f t="shared" si="19"/>
        <v>1w</v>
      </c>
      <c r="Y839" s="181">
        <f>_xll.qlCalendarAdvance(Calendar,Y838,X839,"f",FALSE)</f>
        <v>44777</v>
      </c>
      <c r="Z839" s="184">
        <f>_xll.qlCalendarAdvance(Calendar,Y839,NDays&amp;"D")</f>
        <v>44777</v>
      </c>
      <c r="AA839" s="185">
        <v>4.6276897533729086E-2</v>
      </c>
      <c r="AB839" s="182">
        <v>4.5852122774282522E-2</v>
      </c>
    </row>
    <row r="840" spans="17:28" x14ac:dyDescent="0.2">
      <c r="Q840" s="141"/>
      <c r="T840" s="141"/>
      <c r="U840" s="162"/>
      <c r="X840" s="183" t="str">
        <f t="shared" si="19"/>
        <v>1w</v>
      </c>
      <c r="Y840" s="181">
        <f>_xll.qlCalendarAdvance(Calendar,Y839,X840,"f",FALSE)</f>
        <v>44784</v>
      </c>
      <c r="Z840" s="184">
        <f>_xll.qlCalendarAdvance(Calendar,Y840,NDays&amp;"D")</f>
        <v>44784</v>
      </c>
      <c r="AA840" s="185">
        <v>4.6301927891441511E-2</v>
      </c>
      <c r="AB840" s="182">
        <v>4.5876496719408077E-2</v>
      </c>
    </row>
    <row r="841" spans="17:28" x14ac:dyDescent="0.2">
      <c r="Q841" s="141"/>
      <c r="T841" s="141"/>
      <c r="U841" s="162"/>
      <c r="X841" s="183" t="str">
        <f t="shared" si="19"/>
        <v>1w</v>
      </c>
      <c r="Y841" s="181">
        <f>_xll.qlCalendarAdvance(Calendar,Y840,X841,"f",FALSE)</f>
        <v>44791</v>
      </c>
      <c r="Z841" s="184">
        <f>_xll.qlCalendarAdvance(Calendar,Y841,NDays&amp;"D")</f>
        <v>44791</v>
      </c>
      <c r="AA841" s="185">
        <v>4.6327016117856348E-2</v>
      </c>
      <c r="AB841" s="182">
        <v>4.5900927719818574E-2</v>
      </c>
    </row>
    <row r="842" spans="17:28" x14ac:dyDescent="0.2">
      <c r="Q842" s="141"/>
      <c r="T842" s="141"/>
      <c r="U842" s="162"/>
      <c r="X842" s="183" t="str">
        <f t="shared" si="19"/>
        <v>1w</v>
      </c>
      <c r="Y842" s="181">
        <f>_xll.qlCalendarAdvance(Calendar,Y841,X842,"f",FALSE)</f>
        <v>44798</v>
      </c>
      <c r="Z842" s="184">
        <f>_xll.qlCalendarAdvance(Calendar,Y842,NDays&amp;"D")</f>
        <v>44798</v>
      </c>
      <c r="AA842" s="185">
        <v>4.6352162214054513E-2</v>
      </c>
      <c r="AB842" s="182">
        <v>4.5925415775514011E-2</v>
      </c>
    </row>
    <row r="843" spans="17:28" x14ac:dyDescent="0.2">
      <c r="Q843" s="141"/>
      <c r="T843" s="141"/>
      <c r="U843" s="162"/>
      <c r="X843" s="183" t="str">
        <f t="shared" si="19"/>
        <v>1w</v>
      </c>
      <c r="Y843" s="181">
        <f>_xll.qlCalendarAdvance(Calendar,Y842,X843,"f",FALSE)</f>
        <v>44805</v>
      </c>
      <c r="Z843" s="184">
        <f>_xll.qlCalendarAdvance(Calendar,Y843,NDays&amp;"D")</f>
        <v>44805</v>
      </c>
      <c r="AA843" s="185">
        <v>4.6372620380528203E-2</v>
      </c>
      <c r="AB843" s="182">
        <v>4.594996088649439E-2</v>
      </c>
    </row>
    <row r="844" spans="17:28" x14ac:dyDescent="0.2">
      <c r="Q844" s="141"/>
      <c r="T844" s="141"/>
      <c r="U844" s="162"/>
      <c r="X844" s="183" t="str">
        <f t="shared" si="19"/>
        <v>1w</v>
      </c>
      <c r="Y844" s="181">
        <f>_xll.qlCalendarAdvance(Calendar,Y843,X844,"f",FALSE)</f>
        <v>44812</v>
      </c>
      <c r="Z844" s="184">
        <f>_xll.qlCalendarAdvance(Calendar,Y844,NDays&amp;"D")</f>
        <v>44812</v>
      </c>
      <c r="AA844" s="185">
        <v>4.6397874894550897E-2</v>
      </c>
      <c r="AB844" s="182">
        <v>4.5974563052759709E-2</v>
      </c>
    </row>
    <row r="845" spans="17:28" x14ac:dyDescent="0.2">
      <c r="Q845" s="141"/>
      <c r="T845" s="141"/>
      <c r="U845" s="162"/>
      <c r="X845" s="183" t="str">
        <f t="shared" si="19"/>
        <v>1w</v>
      </c>
      <c r="Y845" s="181">
        <f>_xll.qlCalendarAdvance(Calendar,Y844,X845,"f",FALSE)</f>
        <v>44819</v>
      </c>
      <c r="Z845" s="184">
        <f>_xll.qlCalendarAdvance(Calendar,Y845,NDays&amp;"D")</f>
        <v>44819</v>
      </c>
      <c r="AA845" s="185">
        <v>4.6423187272499132E-2</v>
      </c>
      <c r="AB845" s="182">
        <v>4.5999222274391016E-2</v>
      </c>
    </row>
    <row r="846" spans="17:28" x14ac:dyDescent="0.2">
      <c r="Q846" s="141"/>
      <c r="T846" s="141"/>
      <c r="U846" s="162"/>
      <c r="X846" s="183" t="str">
        <f t="shared" si="19"/>
        <v>1w</v>
      </c>
      <c r="Y846" s="181">
        <f>_xll.qlCalendarAdvance(Calendar,Y845,X846,"f",FALSE)</f>
        <v>44826</v>
      </c>
      <c r="Z846" s="184">
        <f>_xll.qlCalendarAdvance(Calendar,Y846,NDays&amp;"D")</f>
        <v>44826</v>
      </c>
      <c r="AA846" s="185">
        <v>4.644855751545502E-2</v>
      </c>
      <c r="AB846" s="182">
        <v>4.602393855138831E-2</v>
      </c>
    </row>
    <row r="847" spans="17:28" x14ac:dyDescent="0.2">
      <c r="Q847" s="141"/>
      <c r="T847" s="141"/>
      <c r="U847" s="162"/>
      <c r="X847" s="183" t="str">
        <f t="shared" si="19"/>
        <v>1w</v>
      </c>
      <c r="Y847" s="181">
        <f>_xll.qlCalendarAdvance(Calendar,Y846,X847,"f",FALSE)</f>
        <v>44833</v>
      </c>
      <c r="Z847" s="184">
        <f>_xll.qlCalendarAdvance(Calendar,Y847,NDays&amp;"D")</f>
        <v>44833</v>
      </c>
      <c r="AA847" s="185">
        <v>4.6473985624500648E-2</v>
      </c>
      <c r="AB847" s="182">
        <v>4.6048711883751592E-2</v>
      </c>
    </row>
    <row r="848" spans="17:28" x14ac:dyDescent="0.2">
      <c r="Q848" s="141"/>
      <c r="T848" s="141"/>
      <c r="U848" s="162"/>
      <c r="X848" s="183" t="str">
        <f t="shared" si="19"/>
        <v>1w</v>
      </c>
      <c r="Y848" s="181">
        <f>_xll.qlCalendarAdvance(Calendar,Y847,X848,"f",FALSE)</f>
        <v>44840</v>
      </c>
      <c r="Z848" s="184">
        <f>_xll.qlCalendarAdvance(Calendar,Y848,NDays&amp;"D")</f>
        <v>44840</v>
      </c>
      <c r="AA848" s="185">
        <v>4.6504254117706215E-2</v>
      </c>
      <c r="AB848" s="182">
        <v>4.6073542271399814E-2</v>
      </c>
    </row>
    <row r="849" spans="17:28" x14ac:dyDescent="0.2">
      <c r="Q849" s="141"/>
      <c r="T849" s="141"/>
      <c r="U849" s="162"/>
      <c r="X849" s="183" t="str">
        <f t="shared" si="19"/>
        <v>1w</v>
      </c>
      <c r="Y849" s="181">
        <f>_xll.qlCalendarAdvance(Calendar,Y848,X849,"f",FALSE)</f>
        <v>44847</v>
      </c>
      <c r="Z849" s="184">
        <f>_xll.qlCalendarAdvance(Calendar,Y849,NDays&amp;"D")</f>
        <v>44847</v>
      </c>
      <c r="AA849" s="185">
        <v>4.6529805332939461E-2</v>
      </c>
      <c r="AB849" s="182">
        <v>4.6098429714414024E-2</v>
      </c>
    </row>
    <row r="850" spans="17:28" x14ac:dyDescent="0.2">
      <c r="Q850" s="141"/>
      <c r="T850" s="141"/>
      <c r="U850" s="162"/>
      <c r="X850" s="183" t="str">
        <f t="shared" si="19"/>
        <v>1w</v>
      </c>
      <c r="Y850" s="181">
        <f>_xll.qlCalendarAdvance(Calendar,Y849,X850,"f",FALSE)</f>
        <v>44854</v>
      </c>
      <c r="Z850" s="184">
        <f>_xll.qlCalendarAdvance(Calendar,Y850,NDays&amp;"D")</f>
        <v>44854</v>
      </c>
      <c r="AA850" s="185">
        <v>4.6555414426711669E-2</v>
      </c>
      <c r="AB850" s="182">
        <v>4.6123374212875268E-2</v>
      </c>
    </row>
    <row r="851" spans="17:28" x14ac:dyDescent="0.2">
      <c r="Q851" s="141"/>
      <c r="T851" s="141"/>
      <c r="U851" s="162"/>
      <c r="X851" s="183" t="str">
        <f t="shared" si="19"/>
        <v>1w</v>
      </c>
      <c r="Y851" s="181">
        <f>_xll.qlCalendarAdvance(Calendar,Y850,X851,"f",FALSE)</f>
        <v>44861</v>
      </c>
      <c r="Z851" s="184">
        <f>_xll.qlCalendarAdvance(Calendar,Y851,NDays&amp;"D")</f>
        <v>44861</v>
      </c>
      <c r="AA851" s="185">
        <v>4.6581081400131071E-2</v>
      </c>
      <c r="AB851" s="182">
        <v>4.6148375766621452E-2</v>
      </c>
    </row>
    <row r="852" spans="17:28" x14ac:dyDescent="0.2">
      <c r="Q852" s="141"/>
      <c r="T852" s="141"/>
      <c r="U852" s="162"/>
      <c r="X852" s="183" t="str">
        <f t="shared" si="19"/>
        <v>1w</v>
      </c>
      <c r="Y852" s="181">
        <f>_xll.qlCalendarAdvance(Calendar,Y851,X852,"f",FALSE)</f>
        <v>44868</v>
      </c>
      <c r="Z852" s="184">
        <f>_xll.qlCalendarAdvance(Calendar,Y852,NDays&amp;"D")</f>
        <v>44868</v>
      </c>
      <c r="AA852" s="185">
        <v>4.6606806254304994E-2</v>
      </c>
      <c r="AB852" s="182">
        <v>4.6173434375895717E-2</v>
      </c>
    </row>
    <row r="853" spans="17:28" x14ac:dyDescent="0.2">
      <c r="Q853" s="141"/>
      <c r="T853" s="141"/>
      <c r="U853" s="162"/>
      <c r="X853" s="183" t="str">
        <f t="shared" ref="X853:X916" si="20">X852</f>
        <v>1w</v>
      </c>
      <c r="Y853" s="181">
        <f>_xll.qlCalendarAdvance(Calendar,Y852,X853,"f",FALSE)</f>
        <v>44875</v>
      </c>
      <c r="Z853" s="184">
        <f>_xll.qlCalendarAdvance(Calendar,Y853,NDays&amp;"D")</f>
        <v>44875</v>
      </c>
      <c r="AA853" s="185">
        <v>4.6632588990344309E-2</v>
      </c>
      <c r="AB853" s="182">
        <v>4.6198550040535968E-2</v>
      </c>
    </row>
    <row r="854" spans="17:28" x14ac:dyDescent="0.2">
      <c r="Q854" s="141"/>
      <c r="T854" s="141"/>
      <c r="U854" s="162"/>
      <c r="X854" s="183" t="str">
        <f t="shared" si="20"/>
        <v>1w</v>
      </c>
      <c r="Y854" s="181">
        <f>_xll.qlCalendarAdvance(Calendar,Y853,X854,"f",FALSE)</f>
        <v>44882</v>
      </c>
      <c r="Z854" s="184">
        <f>_xll.qlCalendarAdvance(Calendar,Y854,NDays&amp;"D")</f>
        <v>44882</v>
      </c>
      <c r="AA854" s="185">
        <v>4.6658429609362513E-2</v>
      </c>
      <c r="AB854" s="182">
        <v>4.6223722760623254E-2</v>
      </c>
    </row>
    <row r="855" spans="17:28" x14ac:dyDescent="0.2">
      <c r="Q855" s="141"/>
      <c r="T855" s="141"/>
      <c r="U855" s="162"/>
      <c r="X855" s="183" t="str">
        <f t="shared" si="20"/>
        <v>1w</v>
      </c>
      <c r="Y855" s="181">
        <f>_xll.qlCalendarAdvance(Calendar,Y854,X855,"f",FALSE)</f>
        <v>44889</v>
      </c>
      <c r="Z855" s="184">
        <f>_xll.qlCalendarAdvance(Calendar,Y855,NDays&amp;"D")</f>
        <v>44889</v>
      </c>
      <c r="AA855" s="185">
        <v>4.6684328112473999E-2</v>
      </c>
      <c r="AB855" s="182">
        <v>4.6248952536076526E-2</v>
      </c>
    </row>
    <row r="856" spans="17:28" x14ac:dyDescent="0.2">
      <c r="Q856" s="141"/>
      <c r="T856" s="141"/>
      <c r="U856" s="162"/>
      <c r="X856" s="183" t="str">
        <f t="shared" si="20"/>
        <v>1w</v>
      </c>
      <c r="Y856" s="181">
        <f>_xll.qlCalendarAdvance(Calendar,Y855,X856,"f",FALSE)</f>
        <v>44896</v>
      </c>
      <c r="Z856" s="184">
        <f>_xll.qlCalendarAdvance(Calendar,Y856,NDays&amp;"D")</f>
        <v>44896</v>
      </c>
      <c r="AA856" s="185">
        <v>4.6700602139732192E-2</v>
      </c>
      <c r="AB856" s="182">
        <v>4.6274239367138925E-2</v>
      </c>
    </row>
    <row r="857" spans="17:28" x14ac:dyDescent="0.2">
      <c r="Q857" s="141"/>
      <c r="T857" s="141"/>
      <c r="U857" s="162"/>
      <c r="X857" s="183" t="str">
        <f t="shared" si="20"/>
        <v>1w</v>
      </c>
      <c r="Y857" s="181">
        <f>_xll.qlCalendarAdvance(Calendar,Y856,X857,"f",FALSE)</f>
        <v>44903</v>
      </c>
      <c r="Z857" s="184">
        <f>_xll.qlCalendarAdvance(Calendar,Y857,NDays&amp;"D")</f>
        <v>44903</v>
      </c>
      <c r="AA857" s="185">
        <v>4.6726601526991117E-2</v>
      </c>
      <c r="AB857" s="182">
        <v>4.6299583253567311E-2</v>
      </c>
    </row>
    <row r="858" spans="17:28" x14ac:dyDescent="0.2">
      <c r="Q858" s="141"/>
      <c r="T858" s="141"/>
      <c r="U858" s="162"/>
      <c r="X858" s="183" t="str">
        <f t="shared" si="20"/>
        <v>1w</v>
      </c>
      <c r="Y858" s="181">
        <f>_xll.qlCalendarAdvance(Calendar,Y857,X858,"f",FALSE)</f>
        <v>44910</v>
      </c>
      <c r="Z858" s="184">
        <f>_xll.qlCalendarAdvance(Calendar,Y858,NDays&amp;"D")</f>
        <v>44910</v>
      </c>
      <c r="AA858" s="185">
        <v>4.675265878314059E-2</v>
      </c>
      <c r="AB858" s="182">
        <v>4.6324984195523777E-2</v>
      </c>
    </row>
    <row r="859" spans="17:28" x14ac:dyDescent="0.2">
      <c r="Q859" s="141"/>
      <c r="T859" s="141"/>
      <c r="U859" s="162"/>
      <c r="X859" s="183" t="str">
        <f t="shared" si="20"/>
        <v>1w</v>
      </c>
      <c r="Y859" s="181">
        <f>_xll.qlCalendarAdvance(Calendar,Y858,X859,"f",FALSE)</f>
        <v>44917</v>
      </c>
      <c r="Z859" s="184">
        <f>_xll.qlCalendarAdvance(Calendar,Y859,NDays&amp;"D")</f>
        <v>44917</v>
      </c>
      <c r="AA859" s="185">
        <v>4.677877390928193E-2</v>
      </c>
      <c r="AB859" s="182">
        <v>4.6350442192846231E-2</v>
      </c>
    </row>
    <row r="860" spans="17:28" x14ac:dyDescent="0.2">
      <c r="Q860" s="141"/>
      <c r="T860" s="141"/>
      <c r="U860" s="162"/>
      <c r="X860" s="183" t="str">
        <f t="shared" si="20"/>
        <v>1w</v>
      </c>
      <c r="Y860" s="181">
        <f>_xll.qlCalendarAdvance(Calendar,Y859,X860,"f",FALSE)</f>
        <v>44924</v>
      </c>
      <c r="Z860" s="184">
        <f>_xll.qlCalendarAdvance(Calendar,Y860,NDays&amp;"D")</f>
        <v>44924</v>
      </c>
      <c r="AA860" s="185">
        <v>4.6804946906517375E-2</v>
      </c>
      <c r="AB860" s="182">
        <v>4.6375957245696764E-2</v>
      </c>
    </row>
    <row r="861" spans="17:28" x14ac:dyDescent="0.2">
      <c r="Q861" s="141"/>
      <c r="T861" s="141"/>
      <c r="U861" s="162"/>
      <c r="X861" s="183" t="str">
        <f t="shared" si="20"/>
        <v>1w</v>
      </c>
      <c r="Y861" s="181">
        <f>_xll.qlCalendarAdvance(Calendar,Y860,X861,"f",FALSE)</f>
        <v>44931</v>
      </c>
      <c r="Z861" s="184">
        <f>_xll.qlCalendarAdvance(Calendar,Y861,NDays&amp;"D")</f>
        <v>44931</v>
      </c>
      <c r="AA861" s="185">
        <v>4.6831177775953657E-2</v>
      </c>
      <c r="AB861" s="182">
        <v>4.6401529354075377E-2</v>
      </c>
    </row>
    <row r="862" spans="17:28" x14ac:dyDescent="0.2">
      <c r="Q862" s="141"/>
      <c r="T862" s="141"/>
      <c r="U862" s="162"/>
      <c r="X862" s="183" t="str">
        <f t="shared" si="20"/>
        <v>1w</v>
      </c>
      <c r="Y862" s="181">
        <f>_xll.qlCalendarAdvance(Calendar,Y861,X862,"f",FALSE)</f>
        <v>44938</v>
      </c>
      <c r="Z862" s="184">
        <f>_xll.qlCalendarAdvance(Calendar,Y862,NDays&amp;"D")</f>
        <v>44938</v>
      </c>
      <c r="AA862" s="185">
        <v>4.6857466518698404E-2</v>
      </c>
      <c r="AB862" s="182">
        <v>4.6427158518063116E-2</v>
      </c>
    </row>
    <row r="863" spans="17:28" x14ac:dyDescent="0.2">
      <c r="Q863" s="141"/>
      <c r="T863" s="141"/>
      <c r="U863" s="162"/>
      <c r="X863" s="183" t="str">
        <f t="shared" si="20"/>
        <v>1w</v>
      </c>
      <c r="Y863" s="181">
        <f>_xll.qlCalendarAdvance(Calendar,Y862,X863,"f",FALSE)</f>
        <v>44945</v>
      </c>
      <c r="Z863" s="184">
        <f>_xll.qlCalendarAdvance(Calendar,Y863,NDays&amp;"D")</f>
        <v>44945</v>
      </c>
      <c r="AA863" s="185">
        <v>4.6883813135862852E-2</v>
      </c>
      <c r="AB863" s="182">
        <v>4.6452844737578936E-2</v>
      </c>
    </row>
    <row r="864" spans="17:28" x14ac:dyDescent="0.2">
      <c r="Q864" s="141"/>
      <c r="T864" s="141"/>
      <c r="U864" s="162"/>
      <c r="X864" s="183" t="str">
        <f t="shared" si="20"/>
        <v>1w</v>
      </c>
      <c r="Y864" s="181">
        <f>_xll.qlCalendarAdvance(Calendar,Y863,X864,"f",FALSE)</f>
        <v>44953</v>
      </c>
      <c r="Z864" s="184">
        <f>_xll.qlCalendarAdvance(Calendar,Y864,NDays&amp;"D")</f>
        <v>44953</v>
      </c>
      <c r="AA864" s="185">
        <v>4.6913994423540474E-2</v>
      </c>
      <c r="AB864" s="182">
        <v>4.6491874747380077E-2</v>
      </c>
    </row>
    <row r="865" spans="17:28" x14ac:dyDescent="0.2">
      <c r="Q865" s="141"/>
      <c r="T865" s="141"/>
      <c r="U865" s="162"/>
      <c r="X865" s="183" t="str">
        <f t="shared" si="20"/>
        <v>1w</v>
      </c>
      <c r="Y865" s="181">
        <f>_xll.qlCalendarAdvance(Calendar,Y864,X865,"f",FALSE)</f>
        <v>44960</v>
      </c>
      <c r="Z865" s="184">
        <f>_xll.qlCalendarAdvance(Calendar,Y865,NDays&amp;"D")</f>
        <v>44960</v>
      </c>
      <c r="AA865" s="185">
        <v>4.6935557181809466E-2</v>
      </c>
      <c r="AB865" s="182">
        <v>4.651769795774937E-2</v>
      </c>
    </row>
    <row r="866" spans="17:28" x14ac:dyDescent="0.2">
      <c r="Q866" s="141"/>
      <c r="T866" s="141"/>
      <c r="U866" s="162"/>
      <c r="X866" s="183" t="str">
        <f t="shared" si="20"/>
        <v>1w</v>
      </c>
      <c r="Y866" s="181">
        <f>_xll.qlCalendarAdvance(Calendar,Y865,X866,"f",FALSE)</f>
        <v>44967</v>
      </c>
      <c r="Z866" s="184">
        <f>_xll.qlCalendarAdvance(Calendar,Y866,NDays&amp;"D")</f>
        <v>44967</v>
      </c>
      <c r="AA866" s="185">
        <v>4.6962078170876317E-2</v>
      </c>
      <c r="AB866" s="182">
        <v>4.6543578241909175E-2</v>
      </c>
    </row>
    <row r="867" spans="17:28" x14ac:dyDescent="0.2">
      <c r="Q867" s="141"/>
      <c r="T867" s="141"/>
      <c r="U867" s="162"/>
      <c r="X867" s="183" t="str">
        <f t="shared" si="20"/>
        <v>1w</v>
      </c>
      <c r="Y867" s="181">
        <f>_xll.qlCalendarAdvance(Calendar,Y866,X867,"f",FALSE)</f>
        <v>44974</v>
      </c>
      <c r="Z867" s="184">
        <f>_xll.qlCalendarAdvance(Calendar,Y867,NDays&amp;"D")</f>
        <v>44974</v>
      </c>
      <c r="AA867" s="185">
        <v>4.6988657029594809E-2</v>
      </c>
      <c r="AB867" s="182">
        <v>4.6569515599859487E-2</v>
      </c>
    </row>
    <row r="868" spans="17:28" x14ac:dyDescent="0.2">
      <c r="Q868" s="141"/>
      <c r="T868" s="141"/>
      <c r="U868" s="162"/>
      <c r="X868" s="183" t="str">
        <f t="shared" si="20"/>
        <v>1w</v>
      </c>
      <c r="Y868" s="181">
        <f>_xll.qlCalendarAdvance(Calendar,Y867,X868,"f",FALSE)</f>
        <v>44981</v>
      </c>
      <c r="Z868" s="184">
        <f>_xll.qlCalendarAdvance(Calendar,Y868,NDays&amp;"D")</f>
        <v>44981</v>
      </c>
      <c r="AA868" s="185">
        <v>4.7015293759074983E-2</v>
      </c>
      <c r="AB868" s="182">
        <v>4.6595510031654339E-2</v>
      </c>
    </row>
    <row r="869" spans="17:28" x14ac:dyDescent="0.2">
      <c r="Q869" s="141"/>
      <c r="T869" s="141"/>
      <c r="U869" s="162"/>
      <c r="X869" s="183" t="str">
        <f t="shared" si="20"/>
        <v>1w</v>
      </c>
      <c r="Y869" s="181">
        <f>_xll.qlCalendarAdvance(Calendar,Y868,X869,"f",FALSE)</f>
        <v>44988</v>
      </c>
      <c r="Z869" s="184">
        <f>_xll.qlCalendarAdvance(Calendar,Y869,NDays&amp;"D")</f>
        <v>44988</v>
      </c>
      <c r="AA869" s="185">
        <v>4.7066690003628307E-2</v>
      </c>
      <c r="AB869" s="182">
        <v>4.6621561537401789E-2</v>
      </c>
    </row>
    <row r="870" spans="17:28" x14ac:dyDescent="0.2">
      <c r="Q870" s="141"/>
      <c r="T870" s="141"/>
      <c r="U870" s="162"/>
      <c r="X870" s="183" t="str">
        <f t="shared" si="20"/>
        <v>1w</v>
      </c>
      <c r="Y870" s="181">
        <f>_xll.qlCalendarAdvance(Calendar,Y869,X870,"f",FALSE)</f>
        <v>44995</v>
      </c>
      <c r="Z870" s="184">
        <f>_xll.qlCalendarAdvance(Calendar,Y870,NDays&amp;"D")</f>
        <v>44995</v>
      </c>
      <c r="AA870" s="185">
        <v>4.7098431650261653E-2</v>
      </c>
      <c r="AB870" s="182">
        <v>4.6647670116993785E-2</v>
      </c>
    </row>
    <row r="871" spans="17:28" x14ac:dyDescent="0.2">
      <c r="Q871" s="141"/>
      <c r="T871" s="141"/>
      <c r="U871" s="162"/>
      <c r="X871" s="183" t="str">
        <f t="shared" si="20"/>
        <v>1w</v>
      </c>
      <c r="Y871" s="181">
        <f>_xll.qlCalendarAdvance(Calendar,Y870,X871,"f",FALSE)</f>
        <v>45002</v>
      </c>
      <c r="Z871" s="184">
        <f>_xll.qlCalendarAdvance(Calendar,Y871,NDays&amp;"D")</f>
        <v>45002</v>
      </c>
      <c r="AA871" s="185">
        <v>4.7120328549727905E-2</v>
      </c>
      <c r="AB871" s="182">
        <v>4.6673835770592406E-2</v>
      </c>
    </row>
    <row r="872" spans="17:28" x14ac:dyDescent="0.2">
      <c r="Q872" s="141"/>
      <c r="T872" s="141"/>
      <c r="U872" s="162"/>
      <c r="X872" s="183" t="str">
        <f t="shared" si="20"/>
        <v>1w</v>
      </c>
      <c r="Y872" s="181">
        <f>_xll.qlCalendarAdvance(Calendar,Y871,X872,"f",FALSE)</f>
        <v>45009</v>
      </c>
      <c r="Z872" s="184">
        <f>_xll.qlCalendarAdvance(Calendar,Y872,NDays&amp;"D")</f>
        <v>45009</v>
      </c>
      <c r="AA872" s="185">
        <v>4.7147234706010357E-2</v>
      </c>
      <c r="AB872" s="182">
        <v>4.6700058498197659E-2</v>
      </c>
    </row>
    <row r="873" spans="17:28" x14ac:dyDescent="0.2">
      <c r="Q873" s="141"/>
      <c r="T873" s="141"/>
      <c r="U873" s="162"/>
      <c r="X873" s="183" t="str">
        <f t="shared" si="20"/>
        <v>1w</v>
      </c>
      <c r="Y873" s="181">
        <f>_xll.qlCalendarAdvance(Calendar,Y872,X873,"f",FALSE)</f>
        <v>45016</v>
      </c>
      <c r="Z873" s="184">
        <f>_xll.qlCalendarAdvance(Calendar,Y873,NDays&amp;"D")</f>
        <v>45016</v>
      </c>
      <c r="AA873" s="185">
        <v>4.715928336562953E-2</v>
      </c>
      <c r="AB873" s="182">
        <v>4.6726338299836565E-2</v>
      </c>
    </row>
    <row r="874" spans="17:28" x14ac:dyDescent="0.2">
      <c r="Q874" s="141"/>
      <c r="T874" s="141"/>
      <c r="U874" s="162"/>
      <c r="X874" s="183" t="str">
        <f t="shared" si="20"/>
        <v>1w</v>
      </c>
      <c r="Y874" s="181">
        <f>_xll.qlCalendarAdvance(Calendar,Y873,X874,"f",FALSE)</f>
        <v>45027</v>
      </c>
      <c r="Z874" s="184">
        <f>_xll.qlCalendarAdvance(Calendar,Y874,NDays&amp;"D")</f>
        <v>45027</v>
      </c>
      <c r="AA874" s="185">
        <v>4.7201736648098333E-2</v>
      </c>
      <c r="AB874" s="182">
        <v>4.6757989346398743E-2</v>
      </c>
    </row>
    <row r="875" spans="17:28" x14ac:dyDescent="0.2">
      <c r="Q875" s="141"/>
      <c r="T875" s="141"/>
      <c r="U875" s="162"/>
      <c r="X875" s="183" t="str">
        <f t="shared" si="20"/>
        <v>1w</v>
      </c>
      <c r="Y875" s="181">
        <f>_xll.qlCalendarAdvance(Calendar,Y874,X875,"f",FALSE)</f>
        <v>45034</v>
      </c>
      <c r="Z875" s="184">
        <f>_xll.qlCalendarAdvance(Calendar,Y875,NDays&amp;"D")</f>
        <v>45034</v>
      </c>
      <c r="AA875" s="185">
        <v>4.7228826813640545E-2</v>
      </c>
      <c r="AB875" s="182">
        <v>4.6784400987427421E-2</v>
      </c>
    </row>
    <row r="876" spans="17:28" x14ac:dyDescent="0.2">
      <c r="Q876" s="141"/>
      <c r="T876" s="141"/>
      <c r="U876" s="162"/>
      <c r="X876" s="183" t="str">
        <f t="shared" si="20"/>
        <v>1w</v>
      </c>
      <c r="Y876" s="181">
        <f>_xll.qlCalendarAdvance(Calendar,Y875,X876,"f",FALSE)</f>
        <v>45042</v>
      </c>
      <c r="Z876" s="184">
        <f>_xll.qlCalendarAdvance(Calendar,Y876,NDays&amp;"D")</f>
        <v>45042</v>
      </c>
      <c r="AA876" s="185">
        <v>4.7259857900141679E-2</v>
      </c>
      <c r="AB876" s="182">
        <v>4.6814655583905518E-2</v>
      </c>
    </row>
    <row r="877" spans="17:28" x14ac:dyDescent="0.2">
      <c r="Q877" s="141"/>
      <c r="T877" s="141"/>
      <c r="U877" s="162"/>
      <c r="X877" s="183" t="str">
        <f t="shared" si="20"/>
        <v>1w</v>
      </c>
      <c r="Y877" s="181">
        <f>_xll.qlCalendarAdvance(Calendar,Y876,X877,"f",FALSE)</f>
        <v>45049</v>
      </c>
      <c r="Z877" s="184">
        <f>_xll.qlCalendarAdvance(Calendar,Y877,NDays&amp;"D")</f>
        <v>45049</v>
      </c>
      <c r="AA877" s="185">
        <v>4.7292078730550927E-2</v>
      </c>
      <c r="AB877" s="182">
        <v>4.6841189487057955E-2</v>
      </c>
    </row>
    <row r="878" spans="17:28" x14ac:dyDescent="0.2">
      <c r="Q878" s="141"/>
      <c r="T878" s="141"/>
      <c r="U878" s="162"/>
      <c r="X878" s="183" t="str">
        <f t="shared" si="20"/>
        <v>1w</v>
      </c>
      <c r="Y878" s="181">
        <f>_xll.qlCalendarAdvance(Calendar,Y877,X878,"f",FALSE)</f>
        <v>45056</v>
      </c>
      <c r="Z878" s="184">
        <f>_xll.qlCalendarAdvance(Calendar,Y878,NDays&amp;"D")</f>
        <v>45056</v>
      </c>
      <c r="AA878" s="185">
        <v>4.7319358519997641E-2</v>
      </c>
      <c r="AB878" s="182">
        <v>4.6867780445981611E-2</v>
      </c>
    </row>
    <row r="879" spans="17:28" x14ac:dyDescent="0.2">
      <c r="Q879" s="141"/>
      <c r="T879" s="141"/>
      <c r="U879" s="162"/>
      <c r="X879" s="183" t="str">
        <f t="shared" si="20"/>
        <v>1w</v>
      </c>
      <c r="Y879" s="181">
        <f>_xll.qlCalendarAdvance(Calendar,Y878,X879,"f",FALSE)</f>
        <v>45063</v>
      </c>
      <c r="Z879" s="184">
        <f>_xll.qlCalendarAdvance(Calendar,Y879,NDays&amp;"D")</f>
        <v>45063</v>
      </c>
      <c r="AA879" s="185">
        <v>4.7346696222079133E-2</v>
      </c>
      <c r="AB879" s="182">
        <v>4.6894428460676485E-2</v>
      </c>
    </row>
    <row r="880" spans="17:28" x14ac:dyDescent="0.2">
      <c r="Q880" s="141"/>
      <c r="T880" s="141"/>
      <c r="U880" s="162"/>
      <c r="X880" s="183" t="str">
        <f t="shared" si="20"/>
        <v>1w</v>
      </c>
      <c r="Y880" s="181">
        <f>_xll.qlCalendarAdvance(Calendar,Y879,X880,"f",FALSE)</f>
        <v>45070</v>
      </c>
      <c r="Z880" s="184">
        <f>_xll.qlCalendarAdvance(Calendar,Y880,NDays&amp;"D")</f>
        <v>45070</v>
      </c>
      <c r="AA880" s="185">
        <v>4.7374091837972344E-2</v>
      </c>
      <c r="AB880" s="182">
        <v>4.6921133531061532E-2</v>
      </c>
    </row>
    <row r="881" spans="17:28" x14ac:dyDescent="0.2">
      <c r="Q881" s="141"/>
      <c r="T881" s="141"/>
      <c r="U881" s="162"/>
      <c r="X881" s="183" t="str">
        <f t="shared" si="20"/>
        <v>1w</v>
      </c>
      <c r="Y881" s="181">
        <f>_xll.qlCalendarAdvance(Calendar,Y880,X881,"f",FALSE)</f>
        <v>45077</v>
      </c>
      <c r="Z881" s="184">
        <f>_xll.qlCalendarAdvance(Calendar,Y881,NDays&amp;"D")</f>
        <v>45077</v>
      </c>
      <c r="AA881" s="185">
        <v>4.7401545368863901E-2</v>
      </c>
      <c r="AB881" s="182">
        <v>4.6947895657217797E-2</v>
      </c>
    </row>
    <row r="882" spans="17:28" x14ac:dyDescent="0.2">
      <c r="Q882" s="141"/>
      <c r="T882" s="141"/>
      <c r="U882" s="162"/>
      <c r="X882" s="183" t="str">
        <f t="shared" si="20"/>
        <v>1w</v>
      </c>
      <c r="Y882" s="181">
        <f>_xll.qlCalendarAdvance(Calendar,Y881,X882,"f",FALSE)</f>
        <v>45084</v>
      </c>
      <c r="Z882" s="184">
        <f>_xll.qlCalendarAdvance(Calendar,Y882,NDays&amp;"D")</f>
        <v>45084</v>
      </c>
      <c r="AA882" s="185">
        <v>4.7429056815937773E-2</v>
      </c>
      <c r="AB882" s="182">
        <v>4.6974714839145282E-2</v>
      </c>
    </row>
    <row r="883" spans="17:28" x14ac:dyDescent="0.2">
      <c r="Q883" s="141"/>
      <c r="T883" s="141"/>
      <c r="U883" s="162"/>
      <c r="X883" s="183" t="str">
        <f t="shared" si="20"/>
        <v>1w</v>
      </c>
      <c r="Y883" s="181">
        <f>_xll.qlCalendarAdvance(Calendar,Y882,X883,"f",FALSE)</f>
        <v>45091</v>
      </c>
      <c r="Z883" s="184">
        <f>_xll.qlCalendarAdvance(Calendar,Y883,NDays&amp;"D")</f>
        <v>45091</v>
      </c>
      <c r="AA883" s="185">
        <v>4.7456626180381475E-2</v>
      </c>
      <c r="AB883" s="182">
        <v>4.7001591076843985E-2</v>
      </c>
    </row>
    <row r="884" spans="17:28" x14ac:dyDescent="0.2">
      <c r="Q884" s="141"/>
      <c r="T884" s="141"/>
      <c r="U884" s="162"/>
      <c r="X884" s="183" t="str">
        <f t="shared" si="20"/>
        <v>1w</v>
      </c>
      <c r="Y884" s="181">
        <f>_xll.qlCalendarAdvance(Calendar,Y883,X884,"f",FALSE)</f>
        <v>45098</v>
      </c>
      <c r="Z884" s="184">
        <f>_xll.qlCalendarAdvance(Calendar,Y884,NDays&amp;"D")</f>
        <v>45098</v>
      </c>
      <c r="AA884" s="185">
        <v>4.7484253463386909E-2</v>
      </c>
      <c r="AB884" s="182">
        <v>4.7028524370475999E-2</v>
      </c>
    </row>
    <row r="885" spans="17:28" x14ac:dyDescent="0.2">
      <c r="Q885" s="141"/>
      <c r="T885" s="141"/>
      <c r="U885" s="162"/>
      <c r="X885" s="183" t="str">
        <f t="shared" si="20"/>
        <v>1w</v>
      </c>
      <c r="Y885" s="181">
        <f>_xll.qlCalendarAdvance(Calendar,Y884,X885,"f",FALSE)</f>
        <v>45105</v>
      </c>
      <c r="Z885" s="184">
        <f>_xll.qlCalendarAdvance(Calendar,Y885,NDays&amp;"D")</f>
        <v>45105</v>
      </c>
      <c r="AA885" s="185">
        <v>4.751193866614687E-2</v>
      </c>
      <c r="AB885" s="182">
        <v>4.7055514719798186E-2</v>
      </c>
    </row>
    <row r="886" spans="17:28" x14ac:dyDescent="0.2">
      <c r="Q886" s="141"/>
      <c r="T886" s="141"/>
      <c r="U886" s="162"/>
      <c r="X886" s="183" t="str">
        <f t="shared" si="20"/>
        <v>1w</v>
      </c>
      <c r="Y886" s="181">
        <f>_xll.qlCalendarAdvance(Calendar,Y885,X886,"f",FALSE)</f>
        <v>45112</v>
      </c>
      <c r="Z886" s="184">
        <f>_xll.qlCalendarAdvance(Calendar,Y886,NDays&amp;"D")</f>
        <v>45112</v>
      </c>
      <c r="AA886" s="185">
        <v>4.7539681789855022E-2</v>
      </c>
      <c r="AB886" s="182">
        <v>4.7082562124972638E-2</v>
      </c>
    </row>
    <row r="887" spans="17:28" x14ac:dyDescent="0.2">
      <c r="Q887" s="141"/>
      <c r="T887" s="141"/>
      <c r="U887" s="162"/>
      <c r="X887" s="183" t="str">
        <f t="shared" si="20"/>
        <v>1w</v>
      </c>
      <c r="Y887" s="181">
        <f>_xll.qlCalendarAdvance(Calendar,Y886,X887,"f",FALSE)</f>
        <v>45119</v>
      </c>
      <c r="Z887" s="184">
        <f>_xll.qlCalendarAdvance(Calendar,Y887,NDays&amp;"D")</f>
        <v>45119</v>
      </c>
      <c r="AA887" s="185">
        <v>4.7567482835712084E-2</v>
      </c>
      <c r="AB887" s="182">
        <v>4.7109666585999355E-2</v>
      </c>
    </row>
    <row r="888" spans="17:28" x14ac:dyDescent="0.2">
      <c r="Q888" s="141"/>
      <c r="T888" s="141"/>
      <c r="U888" s="162"/>
      <c r="X888" s="183" t="str">
        <f t="shared" si="20"/>
        <v>1w</v>
      </c>
      <c r="Y888" s="181">
        <f>_xll.qlCalendarAdvance(Calendar,Y887,X888,"f",FALSE)</f>
        <v>45126</v>
      </c>
      <c r="Z888" s="184">
        <f>_xll.qlCalendarAdvance(Calendar,Y888,NDays&amp;"D")</f>
        <v>45126</v>
      </c>
      <c r="AA888" s="185">
        <v>4.7595341804917903E-2</v>
      </c>
      <c r="AB888" s="182">
        <v>4.7136828102878336E-2</v>
      </c>
    </row>
    <row r="889" spans="17:28" x14ac:dyDescent="0.2">
      <c r="Q889" s="141"/>
      <c r="T889" s="141"/>
      <c r="U889" s="162"/>
      <c r="X889" s="183" t="str">
        <f t="shared" si="20"/>
        <v>1w</v>
      </c>
      <c r="Y889" s="181">
        <f>_xll.qlCalendarAdvance(Calendar,Y888,X889,"f",FALSE)</f>
        <v>45133</v>
      </c>
      <c r="Z889" s="184">
        <f>_xll.qlCalendarAdvance(Calendar,Y889,NDays&amp;"D")</f>
        <v>45133</v>
      </c>
      <c r="AA889" s="185">
        <v>4.7623258698674072E-2</v>
      </c>
      <c r="AB889" s="182">
        <v>4.716404667569063E-2</v>
      </c>
    </row>
    <row r="890" spans="17:28" x14ac:dyDescent="0.2">
      <c r="Q890" s="141"/>
      <c r="T890" s="141"/>
      <c r="U890" s="162"/>
      <c r="X890" s="183" t="str">
        <f t="shared" si="20"/>
        <v>1w</v>
      </c>
      <c r="Y890" s="181">
        <f>_xll.qlCalendarAdvance(Calendar,Y889,X890,"f",FALSE)</f>
        <v>45140</v>
      </c>
      <c r="Z890" s="184">
        <f>_xll.qlCalendarAdvance(Calendar,Y890,NDays&amp;"D")</f>
        <v>45140</v>
      </c>
      <c r="AA890" s="185">
        <v>4.7651233518187466E-2</v>
      </c>
      <c r="AB890" s="182">
        <v>4.7191322304274141E-2</v>
      </c>
    </row>
    <row r="891" spans="17:28" x14ac:dyDescent="0.2">
      <c r="Q891" s="141"/>
      <c r="T891" s="141"/>
      <c r="U891" s="162"/>
      <c r="X891" s="183" t="str">
        <f t="shared" si="20"/>
        <v>1w</v>
      </c>
      <c r="Y891" s="181">
        <f>_xll.qlCalendarAdvance(Calendar,Y890,X891,"f",FALSE)</f>
        <v>45147</v>
      </c>
      <c r="Z891" s="184">
        <f>_xll.qlCalendarAdvance(Calendar,Y891,NDays&amp;"D")</f>
        <v>45147</v>
      </c>
      <c r="AA891" s="185">
        <v>4.7679266264666752E-2</v>
      </c>
      <c r="AB891" s="182">
        <v>4.7218654988872011E-2</v>
      </c>
    </row>
    <row r="892" spans="17:28" x14ac:dyDescent="0.2">
      <c r="Q892" s="141"/>
      <c r="T892" s="141"/>
      <c r="U892" s="162"/>
      <c r="X892" s="183" t="str">
        <f t="shared" si="20"/>
        <v>1w</v>
      </c>
      <c r="Y892" s="181">
        <f>_xll.qlCalendarAdvance(Calendar,Y891,X892,"f",FALSE)</f>
        <v>45154</v>
      </c>
      <c r="Z892" s="184">
        <f>_xll.qlCalendarAdvance(Calendar,Y892,NDays&amp;"D")</f>
        <v>45154</v>
      </c>
      <c r="AA892" s="185">
        <v>4.7707356939320558E-2</v>
      </c>
      <c r="AB892" s="182">
        <v>4.7246044729322145E-2</v>
      </c>
    </row>
    <row r="893" spans="17:28" x14ac:dyDescent="0.2">
      <c r="Q893" s="141"/>
      <c r="T893" s="141"/>
      <c r="U893" s="162"/>
      <c r="X893" s="183" t="str">
        <f t="shared" si="20"/>
        <v>1w</v>
      </c>
      <c r="Y893" s="181">
        <f>_xll.qlCalendarAdvance(Calendar,Y892,X893,"f",FALSE)</f>
        <v>45161</v>
      </c>
      <c r="Z893" s="184">
        <f>_xll.qlCalendarAdvance(Calendar,Y893,NDays&amp;"D")</f>
        <v>45161</v>
      </c>
      <c r="AA893" s="185">
        <v>4.7735505543363706E-2</v>
      </c>
      <c r="AB893" s="182">
        <v>4.7273491525624545E-2</v>
      </c>
    </row>
    <row r="894" spans="17:28" x14ac:dyDescent="0.2">
      <c r="Q894" s="141"/>
      <c r="T894" s="141"/>
      <c r="U894" s="162"/>
      <c r="X894" s="183" t="str">
        <f t="shared" si="20"/>
        <v>1w</v>
      </c>
      <c r="Y894" s="181">
        <f>_xll.qlCalendarAdvance(Calendar,Y893,X894,"f",FALSE)</f>
        <v>45168</v>
      </c>
      <c r="Z894" s="184">
        <f>_xll.qlCalendarAdvance(Calendar,Y894,NDays&amp;"D")</f>
        <v>45168</v>
      </c>
      <c r="AA894" s="185">
        <v>4.7763712078011014E-2</v>
      </c>
      <c r="AB894" s="182">
        <v>4.7300995377941302E-2</v>
      </c>
    </row>
    <row r="895" spans="17:28" x14ac:dyDescent="0.2">
      <c r="Q895" s="141"/>
      <c r="T895" s="141"/>
      <c r="U895" s="162"/>
      <c r="X895" s="183" t="str">
        <f t="shared" si="20"/>
        <v>1w</v>
      </c>
      <c r="Y895" s="181">
        <f>_xll.qlCalendarAdvance(Calendar,Y894,X895,"f",FALSE)</f>
        <v>45175</v>
      </c>
      <c r="Z895" s="184">
        <f>_xll.qlCalendarAdvance(Calendar,Y895,NDays&amp;"D")</f>
        <v>45175</v>
      </c>
      <c r="AA895" s="185">
        <v>4.778683076958834E-2</v>
      </c>
      <c r="AB895" s="182">
        <v>4.732855628619137E-2</v>
      </c>
    </row>
    <row r="896" spans="17:28" x14ac:dyDescent="0.2">
      <c r="Q896" s="141"/>
      <c r="T896" s="141"/>
      <c r="U896" s="162"/>
      <c r="X896" s="183" t="str">
        <f t="shared" si="20"/>
        <v>1w</v>
      </c>
      <c r="Y896" s="181">
        <f>_xll.qlCalendarAdvance(Calendar,Y895,X896,"f",FALSE)</f>
        <v>45182</v>
      </c>
      <c r="Z896" s="184">
        <f>_xll.qlCalendarAdvance(Calendar,Y896,NDays&amp;"D")</f>
        <v>45182</v>
      </c>
      <c r="AA896" s="185">
        <v>4.7815145344482432E-2</v>
      </c>
      <c r="AB896" s="182">
        <v>4.7356174250455796E-2</v>
      </c>
    </row>
    <row r="897" spans="17:28" x14ac:dyDescent="0.2">
      <c r="Q897" s="141"/>
      <c r="T897" s="141"/>
      <c r="U897" s="162"/>
      <c r="X897" s="183" t="str">
        <f t="shared" si="20"/>
        <v>1w</v>
      </c>
      <c r="Y897" s="181">
        <f>_xll.qlCalendarAdvance(Calendar,Y896,X897,"f",FALSE)</f>
        <v>45189</v>
      </c>
      <c r="Z897" s="184">
        <f>_xll.qlCalendarAdvance(Calendar,Y897,NDays&amp;"D")</f>
        <v>45189</v>
      </c>
      <c r="AA897" s="185">
        <v>4.7843517843835628E-2</v>
      </c>
      <c r="AB897" s="182">
        <v>4.7383849270572487E-2</v>
      </c>
    </row>
    <row r="898" spans="17:28" x14ac:dyDescent="0.2">
      <c r="Q898" s="141"/>
      <c r="T898" s="141"/>
      <c r="U898" s="162"/>
      <c r="X898" s="183" t="str">
        <f t="shared" si="20"/>
        <v>1w</v>
      </c>
      <c r="Y898" s="181">
        <f>_xll.qlCalendarAdvance(Calendar,Y897,X898,"f",FALSE)</f>
        <v>45196</v>
      </c>
      <c r="Z898" s="184">
        <f>_xll.qlCalendarAdvance(Calendar,Y898,NDays&amp;"D")</f>
        <v>45196</v>
      </c>
      <c r="AA898" s="185">
        <v>4.7871948268861833E-2</v>
      </c>
      <c r="AB898" s="182">
        <v>4.7411581346784581E-2</v>
      </c>
    </row>
    <row r="899" spans="17:28" x14ac:dyDescent="0.2">
      <c r="Q899" s="141"/>
      <c r="T899" s="141"/>
      <c r="U899" s="162"/>
      <c r="X899" s="183" t="str">
        <f t="shared" si="20"/>
        <v>1w</v>
      </c>
      <c r="Y899" s="181">
        <f>_xll.qlCalendarAdvance(Calendar,Y898,X899,"f",FALSE)</f>
        <v>45203</v>
      </c>
      <c r="Z899" s="184">
        <f>_xll.qlCalendarAdvance(Calendar,Y899,NDays&amp;"D")</f>
        <v>45203</v>
      </c>
      <c r="AA899" s="185">
        <v>4.7905613753036209E-2</v>
      </c>
      <c r="AB899" s="182">
        <v>4.7439370478929987E-2</v>
      </c>
    </row>
    <row r="900" spans="17:28" x14ac:dyDescent="0.2">
      <c r="Q900" s="141"/>
      <c r="T900" s="141"/>
      <c r="U900" s="162"/>
      <c r="X900" s="183" t="str">
        <f t="shared" si="20"/>
        <v>1w</v>
      </c>
      <c r="Y900" s="181">
        <f>_xll.qlCalendarAdvance(Calendar,Y899,X900,"f",FALSE)</f>
        <v>45210</v>
      </c>
      <c r="Z900" s="184">
        <f>_xll.qlCalendarAdvance(Calendar,Y900,NDays&amp;"D")</f>
        <v>45210</v>
      </c>
      <c r="AA900" s="185">
        <v>4.7934167896978089E-2</v>
      </c>
      <c r="AB900" s="182">
        <v>4.7467216667089751E-2</v>
      </c>
    </row>
    <row r="901" spans="17:28" x14ac:dyDescent="0.2">
      <c r="Q901" s="141"/>
      <c r="T901" s="141"/>
      <c r="U901" s="162"/>
      <c r="X901" s="183" t="str">
        <f t="shared" si="20"/>
        <v>1w</v>
      </c>
      <c r="Y901" s="181">
        <f>_xll.qlCalendarAdvance(Calendar,Y900,X901,"f",FALSE)</f>
        <v>45217</v>
      </c>
      <c r="Z901" s="184">
        <f>_xll.qlCalendarAdvance(Calendar,Y901,NDays&amp;"D")</f>
        <v>45217</v>
      </c>
      <c r="AA901" s="185">
        <v>4.7962779980104453E-2</v>
      </c>
      <c r="AB901" s="182">
        <v>4.7495119911263872E-2</v>
      </c>
    </row>
    <row r="902" spans="17:28" x14ac:dyDescent="0.2">
      <c r="Q902" s="141"/>
      <c r="T902" s="141"/>
      <c r="U902" s="162"/>
      <c r="X902" s="183" t="str">
        <f t="shared" si="20"/>
        <v>1w</v>
      </c>
      <c r="Y902" s="181">
        <f>_xll.qlCalendarAdvance(Calendar,Y901,X902,"f",FALSE)</f>
        <v>45224</v>
      </c>
      <c r="Z902" s="184">
        <f>_xll.qlCalendarAdvance(Calendar,Y902,NDays&amp;"D")</f>
        <v>45224</v>
      </c>
      <c r="AA902" s="185">
        <v>4.7991450003649502E-2</v>
      </c>
      <c r="AB902" s="182">
        <v>4.7523080211533397E-2</v>
      </c>
    </row>
    <row r="903" spans="17:28" x14ac:dyDescent="0.2">
      <c r="Q903" s="141"/>
      <c r="T903" s="141"/>
      <c r="U903" s="162"/>
      <c r="X903" s="183" t="str">
        <f t="shared" si="20"/>
        <v>1w</v>
      </c>
      <c r="Y903" s="181">
        <f>_xll.qlCalendarAdvance(Calendar,Y902,X903,"f",FALSE)</f>
        <v>45231</v>
      </c>
      <c r="Z903" s="184">
        <f>_xll.qlCalendarAdvance(Calendar,Y903,NDays&amp;"D")</f>
        <v>45231</v>
      </c>
      <c r="AA903" s="185">
        <v>4.8020177968853592E-2</v>
      </c>
      <c r="AB903" s="182">
        <v>4.755109756781728E-2</v>
      </c>
    </row>
    <row r="904" spans="17:28" x14ac:dyDescent="0.2">
      <c r="Q904" s="141"/>
      <c r="T904" s="141"/>
      <c r="U904" s="162"/>
      <c r="X904" s="183" t="str">
        <f t="shared" si="20"/>
        <v>1w</v>
      </c>
      <c r="Y904" s="181">
        <f>_xll.qlCalendarAdvance(Calendar,Y903,X904,"f",FALSE)</f>
        <v>45238</v>
      </c>
      <c r="Z904" s="184">
        <f>_xll.qlCalendarAdvance(Calendar,Y904,NDays&amp;"D")</f>
        <v>45238</v>
      </c>
      <c r="AA904" s="185">
        <v>4.8048963876955328E-2</v>
      </c>
      <c r="AB904" s="182">
        <v>4.7579171980196566E-2</v>
      </c>
    </row>
    <row r="905" spans="17:28" x14ac:dyDescent="0.2">
      <c r="Q905" s="141"/>
      <c r="T905" s="141"/>
      <c r="U905" s="162"/>
      <c r="X905" s="183" t="str">
        <f t="shared" si="20"/>
        <v>1w</v>
      </c>
      <c r="Y905" s="181">
        <f>_xll.qlCalendarAdvance(Calendar,Y904,X905,"f",FALSE)</f>
        <v>45245</v>
      </c>
      <c r="Z905" s="184">
        <f>_xll.qlCalendarAdvance(Calendar,Y905,NDays&amp;"D")</f>
        <v>45245</v>
      </c>
      <c r="AA905" s="185">
        <v>4.8077807729198591E-2</v>
      </c>
      <c r="AB905" s="182">
        <v>4.760730344859021E-2</v>
      </c>
    </row>
    <row r="906" spans="17:28" x14ac:dyDescent="0.2">
      <c r="Q906" s="141"/>
      <c r="T906" s="141"/>
      <c r="U906" s="162"/>
      <c r="X906" s="183" t="str">
        <f t="shared" si="20"/>
        <v>1w</v>
      </c>
      <c r="Y906" s="181">
        <f>_xll.qlCalendarAdvance(Calendar,Y905,X906,"f",FALSE)</f>
        <v>45252</v>
      </c>
      <c r="Z906" s="184">
        <f>_xll.qlCalendarAdvance(Calendar,Y906,NDays&amp;"D")</f>
        <v>45252</v>
      </c>
      <c r="AA906" s="185">
        <v>4.8106709526830785E-2</v>
      </c>
      <c r="AB906" s="182">
        <v>4.7635491973160304E-2</v>
      </c>
    </row>
    <row r="907" spans="17:28" x14ac:dyDescent="0.2">
      <c r="Q907" s="141"/>
      <c r="T907" s="141"/>
      <c r="U907" s="162"/>
      <c r="X907" s="183" t="str">
        <f t="shared" si="20"/>
        <v>1w</v>
      </c>
      <c r="Y907" s="181">
        <f>_xll.qlCalendarAdvance(Calendar,Y906,X907,"f",FALSE)</f>
        <v>45259</v>
      </c>
      <c r="Z907" s="184">
        <f>_xll.qlCalendarAdvance(Calendar,Y907,NDays&amp;"D")</f>
        <v>45259</v>
      </c>
      <c r="AA907" s="185">
        <v>4.8135669271096672E-2</v>
      </c>
      <c r="AB907" s="182">
        <v>4.7663737553744756E-2</v>
      </c>
    </row>
    <row r="908" spans="17:28" x14ac:dyDescent="0.2">
      <c r="Q908" s="141"/>
      <c r="T908" s="141"/>
      <c r="U908" s="162"/>
      <c r="X908" s="183" t="str">
        <f t="shared" si="20"/>
        <v>1w</v>
      </c>
      <c r="Y908" s="181">
        <f>_xll.qlCalendarAdvance(Calendar,Y907,X908,"f",FALSE)</f>
        <v>45266</v>
      </c>
      <c r="Z908" s="184">
        <f>_xll.qlCalendarAdvance(Calendar,Y908,NDays&amp;"D")</f>
        <v>45266</v>
      </c>
      <c r="AA908" s="185">
        <v>4.8159438699461578E-2</v>
      </c>
      <c r="AB908" s="182">
        <v>4.7692040190424612E-2</v>
      </c>
    </row>
    <row r="909" spans="17:28" x14ac:dyDescent="0.2">
      <c r="Q909" s="141"/>
      <c r="T909" s="141"/>
      <c r="U909" s="162"/>
      <c r="X909" s="183" t="str">
        <f t="shared" si="20"/>
        <v>1w</v>
      </c>
      <c r="Y909" s="181">
        <f>_xll.qlCalendarAdvance(Calendar,Y908,X909,"f",FALSE)</f>
        <v>45273</v>
      </c>
      <c r="Z909" s="184">
        <f>_xll.qlCalendarAdvance(Calendar,Y909,NDays&amp;"D")</f>
        <v>45273</v>
      </c>
      <c r="AA909" s="185">
        <v>4.8188506387574728E-2</v>
      </c>
      <c r="AB909" s="182">
        <v>4.7720399883361964E-2</v>
      </c>
    </row>
    <row r="910" spans="17:28" x14ac:dyDescent="0.2">
      <c r="Q910" s="141"/>
      <c r="T910" s="141"/>
      <c r="U910" s="162"/>
      <c r="X910" s="183" t="str">
        <f t="shared" si="20"/>
        <v>1w</v>
      </c>
      <c r="Y910" s="181">
        <f>_xll.qlCalendarAdvance(Calendar,Y909,X910,"f",FALSE)</f>
        <v>45280</v>
      </c>
      <c r="Z910" s="184">
        <f>_xll.qlCalendarAdvance(Calendar,Y910,NDays&amp;"D")</f>
        <v>45280</v>
      </c>
      <c r="AA910" s="185">
        <v>4.8217632016095281E-2</v>
      </c>
      <c r="AB910" s="182">
        <v>4.7748816632313673E-2</v>
      </c>
    </row>
    <row r="911" spans="17:28" x14ac:dyDescent="0.2">
      <c r="Q911" s="141"/>
      <c r="T911" s="141"/>
      <c r="U911" s="162"/>
      <c r="X911" s="183" t="str">
        <f t="shared" si="20"/>
        <v>1w</v>
      </c>
      <c r="Y911" s="181">
        <f>_xll.qlCalendarAdvance(Calendar,Y910,X911,"f",FALSE)</f>
        <v>45287</v>
      </c>
      <c r="Z911" s="184">
        <f>_xll.qlCalendarAdvance(Calendar,Y911,NDays&amp;"D")</f>
        <v>45287</v>
      </c>
      <c r="AA911" s="185">
        <v>4.82468155862701E-2</v>
      </c>
      <c r="AB911" s="182">
        <v>4.7777290437441833E-2</v>
      </c>
    </row>
    <row r="912" spans="17:28" x14ac:dyDescent="0.2">
      <c r="Q912" s="141"/>
      <c r="T912" s="141"/>
      <c r="U912" s="162"/>
      <c r="X912" s="183" t="str">
        <f t="shared" si="20"/>
        <v>1w</v>
      </c>
      <c r="Y912" s="181">
        <f>_xll.qlCalendarAdvance(Calendar,Y911,X912,"f",FALSE)</f>
        <v>45294</v>
      </c>
      <c r="Z912" s="184">
        <f>_xll.qlCalendarAdvance(Calendar,Y912,NDays&amp;"D")</f>
        <v>45294</v>
      </c>
      <c r="AA912" s="185">
        <v>4.8276057099343385E-2</v>
      </c>
      <c r="AB912" s="182">
        <v>4.7805821298827489E-2</v>
      </c>
    </row>
    <row r="913" spans="17:28" x14ac:dyDescent="0.2">
      <c r="Q913" s="141"/>
      <c r="T913" s="141"/>
      <c r="U913" s="162"/>
      <c r="X913" s="183" t="str">
        <f t="shared" si="20"/>
        <v>1w</v>
      </c>
      <c r="Y913" s="181">
        <f>_xll.qlCalendarAdvance(Calendar,Y912,X913,"f",FALSE)</f>
        <v>45301</v>
      </c>
      <c r="Z913" s="184">
        <f>_xll.qlCalendarAdvance(Calendar,Y913,NDays&amp;"D")</f>
        <v>45301</v>
      </c>
      <c r="AA913" s="185">
        <v>4.8305356556567348E-2</v>
      </c>
      <c r="AB913" s="182">
        <v>4.7834409216308549E-2</v>
      </c>
    </row>
    <row r="914" spans="17:28" x14ac:dyDescent="0.2">
      <c r="Q914" s="141"/>
      <c r="T914" s="141"/>
      <c r="U914" s="162"/>
      <c r="X914" s="183" t="str">
        <f t="shared" si="20"/>
        <v>1w</v>
      </c>
      <c r="Y914" s="181">
        <f>_xll.qlCalendarAdvance(Calendar,Y913,X914,"f",FALSE)</f>
        <v>45308</v>
      </c>
      <c r="Z914" s="184">
        <f>_xll.qlCalendarAdvance(Calendar,Y914,NDays&amp;"D")</f>
        <v>45308</v>
      </c>
      <c r="AA914" s="185">
        <v>4.8334713959190631E-2</v>
      </c>
      <c r="AB914" s="182">
        <v>4.7863054190047105E-2</v>
      </c>
    </row>
    <row r="915" spans="17:28" x14ac:dyDescent="0.2">
      <c r="Q915" s="141"/>
      <c r="T915" s="141"/>
      <c r="U915" s="162"/>
      <c r="X915" s="183" t="str">
        <f t="shared" si="20"/>
        <v>1w</v>
      </c>
      <c r="Y915" s="181">
        <f>_xll.qlCalendarAdvance(Calendar,Y914,X915,"f",FALSE)</f>
        <v>45315</v>
      </c>
      <c r="Z915" s="184">
        <f>_xll.qlCalendarAdvance(Calendar,Y915,NDays&amp;"D")</f>
        <v>45315</v>
      </c>
      <c r="AA915" s="185">
        <v>4.8364129308469006E-2</v>
      </c>
      <c r="AB915" s="182">
        <v>4.7891756219962112E-2</v>
      </c>
    </row>
    <row r="916" spans="17:28" x14ac:dyDescent="0.2">
      <c r="Q916" s="141"/>
      <c r="T916" s="141"/>
      <c r="U916" s="162"/>
      <c r="X916" s="183" t="str">
        <f t="shared" si="20"/>
        <v>1w</v>
      </c>
      <c r="Y916" s="181">
        <f>_xll.qlCalendarAdvance(Calendar,Y915,X916,"f",FALSE)</f>
        <v>45322</v>
      </c>
      <c r="Z916" s="184">
        <f>_xll.qlCalendarAdvance(Calendar,Y916,NDays&amp;"D")</f>
        <v>45322</v>
      </c>
      <c r="AA916" s="185">
        <v>4.8388291668706444E-2</v>
      </c>
      <c r="AB916" s="182">
        <v>4.7920515306134615E-2</v>
      </c>
    </row>
    <row r="917" spans="17:28" x14ac:dyDescent="0.2">
      <c r="Q917" s="141"/>
      <c r="T917" s="141"/>
      <c r="U917" s="162"/>
      <c r="X917" s="183" t="str">
        <f t="shared" ref="X917:X980" si="21">X916</f>
        <v>1w</v>
      </c>
      <c r="Y917" s="181">
        <f>_xll.qlCalendarAdvance(Calendar,Y916,X917,"f",FALSE)</f>
        <v>45329</v>
      </c>
      <c r="Z917" s="184">
        <f>_xll.qlCalendarAdvance(Calendar,Y917,NDays&amp;"D")</f>
        <v>45329</v>
      </c>
      <c r="AA917" s="185">
        <v>4.8417814883549806E-2</v>
      </c>
      <c r="AB917" s="182">
        <v>4.7949331448483568E-2</v>
      </c>
    </row>
    <row r="918" spans="17:28" x14ac:dyDescent="0.2">
      <c r="Q918" s="141"/>
      <c r="T918" s="141"/>
      <c r="U918" s="162"/>
      <c r="X918" s="183" t="str">
        <f t="shared" si="21"/>
        <v>1w</v>
      </c>
      <c r="Y918" s="181">
        <f>_xll.qlCalendarAdvance(Calendar,Y917,X918,"f",FALSE)</f>
        <v>45336</v>
      </c>
      <c r="Z918" s="184">
        <f>_xll.qlCalendarAdvance(Calendar,Y918,NDays&amp;"D")</f>
        <v>45336</v>
      </c>
      <c r="AA918" s="185">
        <v>4.8447396038729607E-2</v>
      </c>
      <c r="AB918" s="182">
        <v>4.7978204647171063E-2</v>
      </c>
    </row>
    <row r="919" spans="17:28" x14ac:dyDescent="0.2">
      <c r="Q919" s="141"/>
      <c r="T919" s="141"/>
      <c r="U919" s="162"/>
      <c r="X919" s="183" t="str">
        <f t="shared" si="21"/>
        <v>1w</v>
      </c>
      <c r="Y919" s="181">
        <f>_xll.qlCalendarAdvance(Calendar,Y918,X919,"f",FALSE)</f>
        <v>45343</v>
      </c>
      <c r="Z919" s="184">
        <f>_xll.qlCalendarAdvance(Calendar,Y919,NDays&amp;"D")</f>
        <v>45343</v>
      </c>
      <c r="AA919" s="185">
        <v>4.8477035135495769E-2</v>
      </c>
      <c r="AB919" s="182">
        <v>4.8007134902116055E-2</v>
      </c>
    </row>
    <row r="920" spans="17:28" x14ac:dyDescent="0.2">
      <c r="Q920" s="141"/>
      <c r="T920" s="141"/>
      <c r="U920" s="162"/>
      <c r="X920" s="183" t="str">
        <f t="shared" si="21"/>
        <v>1w</v>
      </c>
      <c r="Y920" s="181">
        <f>_xll.qlCalendarAdvance(Calendar,Y919,X920,"f",FALSE)</f>
        <v>45350</v>
      </c>
      <c r="Z920" s="184">
        <f>_xll.qlCalendarAdvance(Calendar,Y920,NDays&amp;"D")</f>
        <v>45350</v>
      </c>
      <c r="AA920" s="185">
        <v>4.8506732175099092E-2</v>
      </c>
      <c r="AB920" s="182">
        <v>4.8036122213237498E-2</v>
      </c>
    </row>
    <row r="921" spans="17:28" x14ac:dyDescent="0.2">
      <c r="Q921" s="141"/>
      <c r="T921" s="141"/>
      <c r="U921" s="162"/>
      <c r="X921" s="183" t="str">
        <f t="shared" si="21"/>
        <v>1w</v>
      </c>
      <c r="Y921" s="181">
        <f>_xll.qlCalendarAdvance(Calendar,Y920,X921,"f",FALSE)</f>
        <v>45357</v>
      </c>
      <c r="Z921" s="184">
        <f>_xll.qlCalendarAdvance(Calendar,Y921,NDays&amp;"D")</f>
        <v>45357</v>
      </c>
      <c r="AA921" s="185">
        <v>4.8547190792543916E-2</v>
      </c>
      <c r="AB921" s="182">
        <v>4.8065166580697483E-2</v>
      </c>
    </row>
    <row r="922" spans="17:28" x14ac:dyDescent="0.2">
      <c r="Q922" s="141"/>
      <c r="T922" s="141"/>
      <c r="U922" s="162"/>
      <c r="X922" s="183" t="str">
        <f t="shared" si="21"/>
        <v>1w</v>
      </c>
      <c r="Y922" s="181">
        <f>_xll.qlCalendarAdvance(Calendar,Y921,X922,"f",FALSE)</f>
        <v>45364</v>
      </c>
      <c r="Z922" s="184">
        <f>_xll.qlCalendarAdvance(Calendar,Y922,NDays&amp;"D")</f>
        <v>45364</v>
      </c>
      <c r="AA922" s="185">
        <v>4.8577019887836602E-2</v>
      </c>
      <c r="AB922" s="182">
        <v>4.8094268004414964E-2</v>
      </c>
    </row>
    <row r="923" spans="17:28" x14ac:dyDescent="0.2">
      <c r="Q923" s="141"/>
      <c r="T923" s="141"/>
      <c r="U923" s="162"/>
      <c r="X923" s="183" t="str">
        <f t="shared" si="21"/>
        <v>1w</v>
      </c>
      <c r="Y923" s="181">
        <f>_xll.qlCalendarAdvance(Calendar,Y922,X923,"f",FALSE)</f>
        <v>45371</v>
      </c>
      <c r="Z923" s="184">
        <f>_xll.qlCalendarAdvance(Calendar,Y923,NDays&amp;"D")</f>
        <v>45371</v>
      </c>
      <c r="AA923" s="185">
        <v>4.8606906950079173E-2</v>
      </c>
      <c r="AB923" s="182">
        <v>4.8123426484552034E-2</v>
      </c>
    </row>
    <row r="924" spans="17:28" x14ac:dyDescent="0.2">
      <c r="Q924" s="141"/>
      <c r="T924" s="141"/>
      <c r="U924" s="162"/>
      <c r="X924" s="183" t="str">
        <f t="shared" si="21"/>
        <v>1w</v>
      </c>
      <c r="Y924" s="181">
        <f>_xll.qlCalendarAdvance(Calendar,Y923,X924,"f",FALSE)</f>
        <v>45378</v>
      </c>
      <c r="Z924" s="184">
        <f>_xll.qlCalendarAdvance(Calendar,Y924,NDays&amp;"D")</f>
        <v>45378</v>
      </c>
      <c r="AA924" s="185">
        <v>4.8636851980560454E-2</v>
      </c>
      <c r="AB924" s="182">
        <v>4.8152642020946601E-2</v>
      </c>
    </row>
    <row r="925" spans="17:28" x14ac:dyDescent="0.2">
      <c r="Q925" s="141"/>
      <c r="T925" s="141"/>
      <c r="U925" s="162"/>
      <c r="X925" s="183" t="str">
        <f t="shared" si="21"/>
        <v>1w</v>
      </c>
      <c r="Y925" s="181">
        <f>_xll.qlCalendarAdvance(Calendar,Y924,X925,"f",FALSE)</f>
        <v>45385</v>
      </c>
      <c r="Z925" s="184">
        <f>_xll.qlCalendarAdvance(Calendar,Y925,NDays&amp;"D")</f>
        <v>45385</v>
      </c>
      <c r="AA925" s="185">
        <v>4.8661470144944784E-2</v>
      </c>
      <c r="AB925" s="182">
        <v>4.8181914613760757E-2</v>
      </c>
    </row>
    <row r="926" spans="17:28" x14ac:dyDescent="0.2">
      <c r="Q926" s="141"/>
      <c r="T926" s="141"/>
      <c r="U926" s="162"/>
      <c r="X926" s="183" t="str">
        <f t="shared" si="21"/>
        <v>1w</v>
      </c>
      <c r="Y926" s="181">
        <f>_xll.qlCalendarAdvance(Calendar,Y925,X926,"f",FALSE)</f>
        <v>45392</v>
      </c>
      <c r="Z926" s="184">
        <f>_xll.qlCalendarAdvance(Calendar,Y926,NDays&amp;"D")</f>
        <v>45392</v>
      </c>
      <c r="AA926" s="185">
        <v>4.8691522990908634E-2</v>
      </c>
      <c r="AB926" s="182">
        <v>4.8211244262913455E-2</v>
      </c>
    </row>
    <row r="927" spans="17:28" x14ac:dyDescent="0.2">
      <c r="Q927" s="141"/>
      <c r="T927" s="141"/>
      <c r="U927" s="162"/>
      <c r="X927" s="183" t="str">
        <f t="shared" si="21"/>
        <v>1w</v>
      </c>
      <c r="Y927" s="181">
        <f>_xll.qlCalendarAdvance(Calendar,Y926,X927,"f",FALSE)</f>
        <v>45399</v>
      </c>
      <c r="Z927" s="184">
        <f>_xll.qlCalendarAdvance(Calendar,Y927,NDays&amp;"D")</f>
        <v>45399</v>
      </c>
      <c r="AA927" s="185">
        <v>4.8721633798769627E-2</v>
      </c>
      <c r="AB927" s="182">
        <v>4.8240630968404696E-2</v>
      </c>
    </row>
    <row r="928" spans="17:28" x14ac:dyDescent="0.2">
      <c r="Q928" s="141"/>
      <c r="T928" s="141"/>
      <c r="U928" s="162"/>
      <c r="X928" s="183" t="str">
        <f t="shared" si="21"/>
        <v>1w</v>
      </c>
      <c r="Y928" s="181">
        <f>_xll.qlCalendarAdvance(Calendar,Y927,X928,"f",FALSE)</f>
        <v>45406</v>
      </c>
      <c r="Z928" s="184">
        <f>_xll.qlCalendarAdvance(Calendar,Y928,NDays&amp;"D")</f>
        <v>45406</v>
      </c>
      <c r="AA928" s="185">
        <v>4.8751802569815587E-2</v>
      </c>
      <c r="AB928" s="182">
        <v>4.8275372244316883E-2</v>
      </c>
    </row>
    <row r="929" spans="17:28" x14ac:dyDescent="0.2">
      <c r="Q929" s="141"/>
      <c r="T929" s="141"/>
      <c r="U929" s="162"/>
      <c r="X929" s="183" t="str">
        <f t="shared" si="21"/>
        <v>1w</v>
      </c>
      <c r="Y929" s="181">
        <f>_xll.qlCalendarAdvance(Calendar,Y928,X929,"f",FALSE)</f>
        <v>45413</v>
      </c>
      <c r="Z929" s="184">
        <f>_xll.qlCalendarAdvance(Calendar,Y929,NDays&amp;"D")</f>
        <v>45413</v>
      </c>
      <c r="AA929" s="185">
        <v>4.8787446701910327E-2</v>
      </c>
      <c r="AB929" s="182">
        <v>4.8299575548564899E-2</v>
      </c>
    </row>
    <row r="930" spans="17:28" x14ac:dyDescent="0.2">
      <c r="Q930" s="141"/>
      <c r="T930" s="141"/>
      <c r="U930" s="162"/>
      <c r="X930" s="183" t="str">
        <f t="shared" si="21"/>
        <v>1w</v>
      </c>
      <c r="Y930" s="181">
        <f>_xll.qlCalendarAdvance(Calendar,Y929,X930,"f",FALSE)</f>
        <v>45420</v>
      </c>
      <c r="Z930" s="184">
        <f>_xll.qlCalendarAdvance(Calendar,Y930,NDays&amp;"D")</f>
        <v>45420</v>
      </c>
      <c r="AA930" s="185">
        <v>4.8817739569075612E-2</v>
      </c>
      <c r="AB930" s="182">
        <v>4.8329133423233861E-2</v>
      </c>
    </row>
    <row r="931" spans="17:28" x14ac:dyDescent="0.2">
      <c r="Q931" s="141"/>
      <c r="T931" s="141"/>
      <c r="U931" s="162"/>
      <c r="X931" s="183" t="str">
        <f t="shared" si="21"/>
        <v>1w</v>
      </c>
      <c r="Y931" s="181">
        <f>_xll.qlCalendarAdvance(Calendar,Y930,X931,"f",FALSE)</f>
        <v>45427</v>
      </c>
      <c r="Z931" s="184">
        <f>_xll.qlCalendarAdvance(Calendar,Y931,NDays&amp;"D")</f>
        <v>45427</v>
      </c>
      <c r="AA931" s="185">
        <v>4.8848090413587612E-2</v>
      </c>
      <c r="AB931" s="182">
        <v>4.8358748354403458E-2</v>
      </c>
    </row>
    <row r="932" spans="17:28" x14ac:dyDescent="0.2">
      <c r="Q932" s="141"/>
      <c r="T932" s="141"/>
      <c r="U932" s="162"/>
      <c r="X932" s="183" t="str">
        <f t="shared" si="21"/>
        <v>1w</v>
      </c>
      <c r="Y932" s="181">
        <f>_xll.qlCalendarAdvance(Calendar,Y931,X932,"f",FALSE)</f>
        <v>45434</v>
      </c>
      <c r="Z932" s="184">
        <f>_xll.qlCalendarAdvance(Calendar,Y932,NDays&amp;"D")</f>
        <v>45434</v>
      </c>
      <c r="AA932" s="185">
        <v>4.8878499236755399E-2</v>
      </c>
      <c r="AB932" s="182">
        <v>4.8388420341911598E-2</v>
      </c>
    </row>
    <row r="933" spans="17:28" x14ac:dyDescent="0.2">
      <c r="Q933" s="141"/>
      <c r="T933" s="141"/>
      <c r="U933" s="162"/>
      <c r="X933" s="183" t="str">
        <f t="shared" si="21"/>
        <v>1w</v>
      </c>
      <c r="Y933" s="181">
        <f>_xll.qlCalendarAdvance(Calendar,Y932,X933,"f",FALSE)</f>
        <v>45441</v>
      </c>
      <c r="Z933" s="184">
        <f>_xll.qlCalendarAdvance(Calendar,Y933,NDays&amp;"D")</f>
        <v>45441</v>
      </c>
      <c r="AA933" s="185">
        <v>4.8908966039893337E-2</v>
      </c>
      <c r="AB933" s="182">
        <v>4.8418149385920373E-2</v>
      </c>
    </row>
    <row r="934" spans="17:28" x14ac:dyDescent="0.2">
      <c r="Q934" s="141"/>
      <c r="T934" s="141"/>
      <c r="U934" s="162"/>
      <c r="X934" s="183" t="str">
        <f t="shared" si="21"/>
        <v>1w</v>
      </c>
      <c r="Y934" s="181">
        <f>_xll.qlCalendarAdvance(Calendar,Y933,X934,"f",FALSE)</f>
        <v>45448</v>
      </c>
      <c r="Z934" s="184">
        <f>_xll.qlCalendarAdvance(Calendar,Y934,NDays&amp;"D")</f>
        <v>45448</v>
      </c>
      <c r="AA934" s="185">
        <v>4.8939490824317547E-2</v>
      </c>
      <c r="AB934" s="182">
        <v>4.8447935486510829E-2</v>
      </c>
    </row>
    <row r="935" spans="17:28" x14ac:dyDescent="0.2">
      <c r="Q935" s="141"/>
      <c r="T935" s="141"/>
      <c r="U935" s="162"/>
      <c r="X935" s="183" t="str">
        <f t="shared" si="21"/>
        <v>1w</v>
      </c>
      <c r="Y935" s="181">
        <f>_xll.qlCalendarAdvance(Calendar,Y934,X935,"f",FALSE)</f>
        <v>45455</v>
      </c>
      <c r="Z935" s="184">
        <f>_xll.qlCalendarAdvance(Calendar,Y935,NDays&amp;"D")</f>
        <v>45455</v>
      </c>
      <c r="AA935" s="185">
        <v>4.8970073591346787E-2</v>
      </c>
      <c r="AB935" s="182">
        <v>4.8477778643439828E-2</v>
      </c>
    </row>
    <row r="936" spans="17:28" x14ac:dyDescent="0.2">
      <c r="Q936" s="141"/>
      <c r="T936" s="141"/>
      <c r="U936" s="162"/>
      <c r="X936" s="183" t="str">
        <f t="shared" si="21"/>
        <v>1w</v>
      </c>
      <c r="Y936" s="181">
        <f>_xll.qlCalendarAdvance(Calendar,Y935,X936,"f",FALSE)</f>
        <v>45462</v>
      </c>
      <c r="Z936" s="184">
        <f>_xll.qlCalendarAdvance(Calendar,Y936,NDays&amp;"D")</f>
        <v>45462</v>
      </c>
      <c r="AA936" s="185">
        <v>4.9000713984019763E-2</v>
      </c>
      <c r="AB936" s="182">
        <v>4.8507678856950509E-2</v>
      </c>
    </row>
    <row r="937" spans="17:28" x14ac:dyDescent="0.2">
      <c r="Q937" s="141"/>
      <c r="T937" s="141"/>
      <c r="U937" s="162"/>
      <c r="X937" s="183" t="str">
        <f t="shared" si="21"/>
        <v>1w</v>
      </c>
      <c r="Y937" s="181">
        <f>_xll.qlCalendarAdvance(Calendar,Y936,X937,"f",FALSE)</f>
        <v>45469</v>
      </c>
      <c r="Z937" s="184">
        <f>_xll.qlCalendarAdvance(Calendar,Y937,NDays&amp;"D")</f>
        <v>45469</v>
      </c>
      <c r="AA937" s="185">
        <v>4.9031399808736775E-2</v>
      </c>
      <c r="AB937" s="182">
        <v>4.8537636126961825E-2</v>
      </c>
    </row>
    <row r="938" spans="17:28" x14ac:dyDescent="0.2">
      <c r="Q938" s="141"/>
      <c r="T938" s="141"/>
      <c r="U938" s="162"/>
      <c r="X938" s="183" t="str">
        <f t="shared" si="21"/>
        <v>1w</v>
      </c>
      <c r="Y938" s="181">
        <f>_xll.qlCalendarAdvance(Calendar,Y937,X938,"f",FALSE)</f>
        <v>45476</v>
      </c>
      <c r="Z938" s="184">
        <f>_xll.qlCalendarAdvance(Calendar,Y938,NDays&amp;"D")</f>
        <v>45476</v>
      </c>
      <c r="AA938" s="185">
        <v>4.9062104606418071E-2</v>
      </c>
      <c r="AB938" s="182">
        <v>4.8567650453473776E-2</v>
      </c>
    </row>
    <row r="939" spans="17:28" x14ac:dyDescent="0.2">
      <c r="Q939" s="141"/>
      <c r="T939" s="141"/>
      <c r="U939" s="162"/>
      <c r="X939" s="183" t="str">
        <f t="shared" si="21"/>
        <v>1w</v>
      </c>
      <c r="Y939" s="181">
        <f>_xll.qlCalendarAdvance(Calendar,Y938,X939,"f",FALSE)</f>
        <v>45483</v>
      </c>
      <c r="Z939" s="184">
        <f>_xll.qlCalendarAdvance(Calendar,Y939,NDays&amp;"D")</f>
        <v>45483</v>
      </c>
      <c r="AA939" s="185">
        <v>4.9092801067894758E-2</v>
      </c>
      <c r="AB939" s="182">
        <v>4.8597721836486363E-2</v>
      </c>
    </row>
    <row r="940" spans="17:28" x14ac:dyDescent="0.2">
      <c r="Q940" s="141"/>
      <c r="T940" s="141"/>
      <c r="U940" s="162"/>
      <c r="X940" s="183" t="str">
        <f t="shared" si="21"/>
        <v>1w</v>
      </c>
      <c r="Y940" s="181">
        <f>_xll.qlCalendarAdvance(Calendar,Y939,X940,"f",FALSE)</f>
        <v>45490</v>
      </c>
      <c r="Z940" s="184">
        <f>_xll.qlCalendarAdvance(Calendar,Y940,NDays&amp;"D")</f>
        <v>45490</v>
      </c>
      <c r="AA940" s="185">
        <v>4.9123461883166325E-2</v>
      </c>
      <c r="AB940" s="182">
        <v>4.8627850276080631E-2</v>
      </c>
    </row>
    <row r="941" spans="17:28" x14ac:dyDescent="0.2">
      <c r="Q941" s="141"/>
      <c r="T941" s="141"/>
      <c r="U941" s="162"/>
      <c r="X941" s="183" t="str">
        <f t="shared" si="21"/>
        <v>1w</v>
      </c>
      <c r="Y941" s="181">
        <f>_xll.qlCalendarAdvance(Calendar,Y940,X941,"f",FALSE)</f>
        <v>45497</v>
      </c>
      <c r="Z941" s="184">
        <f>_xll.qlCalendarAdvance(Calendar,Y941,NDays&amp;"D")</f>
        <v>45497</v>
      </c>
      <c r="AA941" s="185">
        <v>4.9154059741398019E-2</v>
      </c>
      <c r="AB941" s="182">
        <v>4.865803577225658E-2</v>
      </c>
    </row>
    <row r="942" spans="17:28" x14ac:dyDescent="0.2">
      <c r="Q942" s="141"/>
      <c r="T942" s="141"/>
      <c r="U942" s="162"/>
      <c r="X942" s="183" t="str">
        <f t="shared" si="21"/>
        <v>1w</v>
      </c>
      <c r="Y942" s="181">
        <f>_xll.qlCalendarAdvance(Calendar,Y941,X942,"f",FALSE)</f>
        <v>45504</v>
      </c>
      <c r="Z942" s="184">
        <f>_xll.qlCalendarAdvance(Calendar,Y942,NDays&amp;"D")</f>
        <v>45504</v>
      </c>
      <c r="AA942" s="185">
        <v>4.9184567330924363E-2</v>
      </c>
      <c r="AB942" s="182">
        <v>4.8688278325014211E-2</v>
      </c>
    </row>
    <row r="943" spans="17:28" x14ac:dyDescent="0.2">
      <c r="Q943" s="141"/>
      <c r="T943" s="141"/>
      <c r="U943" s="162"/>
      <c r="X943" s="183" t="str">
        <f t="shared" si="21"/>
        <v>1w</v>
      </c>
      <c r="Y943" s="181">
        <f>_xll.qlCalendarAdvance(Calendar,Y942,X943,"f",FALSE)</f>
        <v>45511</v>
      </c>
      <c r="Z943" s="184">
        <f>_xll.qlCalendarAdvance(Calendar,Y943,NDays&amp;"D")</f>
        <v>45511</v>
      </c>
      <c r="AA943" s="185">
        <v>4.9214957339255329E-2</v>
      </c>
      <c r="AB943" s="182">
        <v>4.871857793443457E-2</v>
      </c>
    </row>
    <row r="944" spans="17:28" x14ac:dyDescent="0.2">
      <c r="Q944" s="141"/>
      <c r="T944" s="141"/>
      <c r="U944" s="162"/>
      <c r="X944" s="183" t="str">
        <f t="shared" si="21"/>
        <v>1w</v>
      </c>
      <c r="Y944" s="181">
        <f>_xll.qlCalendarAdvance(Calendar,Y943,X944,"f",FALSE)</f>
        <v>45518</v>
      </c>
      <c r="Z944" s="184">
        <f>_xll.qlCalendarAdvance(Calendar,Y944,NDays&amp;"D")</f>
        <v>45518</v>
      </c>
      <c r="AA944" s="185">
        <v>4.9245202453086001E-2</v>
      </c>
      <c r="AB944" s="182">
        <v>4.8748934600436611E-2</v>
      </c>
    </row>
    <row r="945" spans="17:28" x14ac:dyDescent="0.2">
      <c r="Q945" s="141"/>
      <c r="T945" s="141"/>
      <c r="U945" s="162"/>
      <c r="X945" s="183" t="str">
        <f t="shared" si="21"/>
        <v>1w</v>
      </c>
      <c r="Y945" s="181">
        <f>_xll.qlCalendarAdvance(Calendar,Y944,X945,"f",FALSE)</f>
        <v>45525</v>
      </c>
      <c r="Z945" s="184">
        <f>_xll.qlCalendarAdvance(Calendar,Y945,NDays&amp;"D")</f>
        <v>45525</v>
      </c>
      <c r="AA945" s="185">
        <v>4.9275275358297503E-2</v>
      </c>
      <c r="AB945" s="182">
        <v>4.8779348323020333E-2</v>
      </c>
    </row>
    <row r="946" spans="17:28" x14ac:dyDescent="0.2">
      <c r="Q946" s="141"/>
      <c r="T946" s="141"/>
      <c r="U946" s="162"/>
      <c r="X946" s="183" t="str">
        <f t="shared" si="21"/>
        <v>1w</v>
      </c>
      <c r="Y946" s="181">
        <f>_xll.qlCalendarAdvance(Calendar,Y945,X946,"f",FALSE)</f>
        <v>45532</v>
      </c>
      <c r="Z946" s="184">
        <f>_xll.qlCalendarAdvance(Calendar,Y946,NDays&amp;"D")</f>
        <v>45532</v>
      </c>
      <c r="AA946" s="185">
        <v>4.9305148739978093E-2</v>
      </c>
      <c r="AB946" s="182">
        <v>4.8809819102266783E-2</v>
      </c>
    </row>
    <row r="947" spans="17:28" x14ac:dyDescent="0.2">
      <c r="Q947" s="141"/>
      <c r="T947" s="141"/>
      <c r="U947" s="162"/>
      <c r="X947" s="183" t="str">
        <f t="shared" si="21"/>
        <v>1w</v>
      </c>
      <c r="Y947" s="181">
        <f>_xll.qlCalendarAdvance(Calendar,Y946,X947,"f",FALSE)</f>
        <v>45539</v>
      </c>
      <c r="Z947" s="184">
        <f>_xll.qlCalendarAdvance(Calendar,Y947,NDays&amp;"D")</f>
        <v>45539</v>
      </c>
      <c r="AA947" s="185">
        <v>4.9329409932169339E-2</v>
      </c>
      <c r="AB947" s="182">
        <v>4.884034693817596E-2</v>
      </c>
    </row>
    <row r="948" spans="17:28" x14ac:dyDescent="0.2">
      <c r="Q948" s="141"/>
      <c r="T948" s="141"/>
      <c r="U948" s="162"/>
      <c r="X948" s="183" t="str">
        <f t="shared" si="21"/>
        <v>1w</v>
      </c>
      <c r="Y948" s="181">
        <f>_xll.qlCalendarAdvance(Calendar,Y947,X948,"f",FALSE)</f>
        <v>45546</v>
      </c>
      <c r="Z948" s="184">
        <f>_xll.qlCalendarAdvance(Calendar,Y948,NDays&amp;"D")</f>
        <v>45546</v>
      </c>
      <c r="AA948" s="185">
        <v>4.9358819632001824E-2</v>
      </c>
      <c r="AB948" s="182">
        <v>4.8870931830666819E-2</v>
      </c>
    </row>
    <row r="949" spans="17:28" x14ac:dyDescent="0.2">
      <c r="Q949" s="141"/>
      <c r="T949" s="141"/>
      <c r="U949" s="162"/>
      <c r="X949" s="183" t="str">
        <f t="shared" si="21"/>
        <v>1w</v>
      </c>
      <c r="Y949" s="181">
        <f>_xll.qlCalendarAdvance(Calendar,Y948,X949,"f",FALSE)</f>
        <v>45553</v>
      </c>
      <c r="Z949" s="184">
        <f>_xll.qlCalendarAdvance(Calendar,Y949,NDays&amp;"D")</f>
        <v>45553</v>
      </c>
      <c r="AA949" s="185">
        <v>4.9387948216542077E-2</v>
      </c>
      <c r="AB949" s="182">
        <v>4.8901550864470789E-2</v>
      </c>
    </row>
    <row r="950" spans="17:28" x14ac:dyDescent="0.2">
      <c r="Q950" s="141"/>
      <c r="T950" s="141"/>
      <c r="U950" s="162"/>
      <c r="X950" s="183" t="str">
        <f t="shared" si="21"/>
        <v>1w</v>
      </c>
      <c r="Y950" s="181">
        <f>_xll.qlCalendarAdvance(Calendar,Y949,X950,"f",FALSE)</f>
        <v>45560</v>
      </c>
      <c r="Z950" s="184">
        <f>_xll.qlCalendarAdvance(Calendar,Y950,NDays&amp;"D")</f>
        <v>45560</v>
      </c>
      <c r="AA950" s="185">
        <v>4.9427442021513883E-2</v>
      </c>
      <c r="AB950" s="182">
        <v>4.8931945939034716E-2</v>
      </c>
    </row>
    <row r="951" spans="17:28" x14ac:dyDescent="0.2">
      <c r="Q951" s="141"/>
      <c r="T951" s="141"/>
      <c r="U951" s="162"/>
      <c r="X951" s="183" t="str">
        <f t="shared" si="21"/>
        <v>1w</v>
      </c>
      <c r="Y951" s="181">
        <f>_xll.qlCalendarAdvance(Calendar,Y950,X951,"f",FALSE)</f>
        <v>45567</v>
      </c>
      <c r="Z951" s="184">
        <f>_xll.qlCalendarAdvance(Calendar,Y951,NDays&amp;"D")</f>
        <v>45567</v>
      </c>
      <c r="AA951" s="185">
        <v>4.9450621077958445E-2</v>
      </c>
      <c r="AB951" s="182">
        <v>4.8962043483705697E-2</v>
      </c>
    </row>
    <row r="952" spans="17:28" x14ac:dyDescent="0.2">
      <c r="Q952" s="141"/>
      <c r="T952" s="141"/>
      <c r="U952" s="162"/>
      <c r="X952" s="183" t="str">
        <f t="shared" si="21"/>
        <v>1w</v>
      </c>
      <c r="Y952" s="181">
        <f>_xll.qlCalendarAdvance(Calendar,Y951,X952,"f",FALSE)</f>
        <v>45574</v>
      </c>
      <c r="Z952" s="184">
        <f>_xll.qlCalendarAdvance(Calendar,Y952,NDays&amp;"D")</f>
        <v>45574</v>
      </c>
      <c r="AA952" s="185">
        <v>4.9478830775004312E-2</v>
      </c>
      <c r="AB952" s="182">
        <v>4.8991843498240595E-2</v>
      </c>
    </row>
    <row r="953" spans="17:28" x14ac:dyDescent="0.2">
      <c r="Q953" s="141"/>
      <c r="T953" s="141"/>
      <c r="U953" s="162"/>
      <c r="X953" s="183" t="str">
        <f t="shared" si="21"/>
        <v>1w</v>
      </c>
      <c r="Y953" s="181">
        <f>_xll.qlCalendarAdvance(Calendar,Y952,X953,"f",FALSE)</f>
        <v>45581</v>
      </c>
      <c r="Z953" s="184">
        <f>_xll.qlCalendarAdvance(Calendar,Y953,NDays&amp;"D")</f>
        <v>45581</v>
      </c>
      <c r="AA953" s="185">
        <v>4.9506739465336104E-2</v>
      </c>
      <c r="AB953" s="182">
        <v>4.9021345982720455E-2</v>
      </c>
    </row>
    <row r="954" spans="17:28" x14ac:dyDescent="0.2">
      <c r="Q954" s="141"/>
      <c r="T954" s="141"/>
      <c r="U954" s="162"/>
      <c r="X954" s="183" t="str">
        <f t="shared" si="21"/>
        <v>1w</v>
      </c>
      <c r="Y954" s="181">
        <f>_xll.qlCalendarAdvance(Calendar,Y953,X954,"f",FALSE)</f>
        <v>45588</v>
      </c>
      <c r="Z954" s="184">
        <f>_xll.qlCalendarAdvance(Calendar,Y954,NDays&amp;"D")</f>
        <v>45588</v>
      </c>
      <c r="AA954" s="185">
        <v>4.9534347142678008E-2</v>
      </c>
      <c r="AB954" s="182">
        <v>4.905055093706423E-2</v>
      </c>
    </row>
    <row r="955" spans="17:28" x14ac:dyDescent="0.2">
      <c r="Q955" s="141"/>
      <c r="T955" s="141"/>
      <c r="U955" s="162"/>
      <c r="X955" s="183" t="str">
        <f t="shared" si="21"/>
        <v>1w</v>
      </c>
      <c r="Y955" s="181">
        <f>_xll.qlCalendarAdvance(Calendar,Y954,X955,"f",FALSE)</f>
        <v>45595</v>
      </c>
      <c r="Z955" s="184">
        <f>_xll.qlCalendarAdvance(Calendar,Y955,NDays&amp;"D")</f>
        <v>45595</v>
      </c>
      <c r="AA955" s="185">
        <v>4.9561653800819415E-2</v>
      </c>
      <c r="AB955" s="182">
        <v>4.9079458361190875E-2</v>
      </c>
    </row>
    <row r="956" spans="17:28" x14ac:dyDescent="0.2">
      <c r="Q956" s="141"/>
      <c r="T956" s="141"/>
      <c r="U956" s="162"/>
      <c r="X956" s="183" t="str">
        <f t="shared" si="21"/>
        <v>1w</v>
      </c>
      <c r="Y956" s="181">
        <f>_xll.qlCalendarAdvance(Calendar,Y955,X956,"f",FALSE)</f>
        <v>45602</v>
      </c>
      <c r="Z956" s="184">
        <f>_xll.qlCalendarAdvance(Calendar,Y956,NDays&amp;"D")</f>
        <v>45602</v>
      </c>
      <c r="AA956" s="185">
        <v>4.9588659433620196E-2</v>
      </c>
      <c r="AB956" s="182">
        <v>4.9108068254857251E-2</v>
      </c>
    </row>
    <row r="957" spans="17:28" x14ac:dyDescent="0.2">
      <c r="Q957" s="141"/>
      <c r="T957" s="141"/>
      <c r="U957" s="162"/>
      <c r="X957" s="183" t="str">
        <f t="shared" si="21"/>
        <v>1w</v>
      </c>
      <c r="Y957" s="181">
        <f>_xll.qlCalendarAdvance(Calendar,Y956,X957,"f",FALSE)</f>
        <v>45609</v>
      </c>
      <c r="Z957" s="184">
        <f>_xll.qlCalendarAdvance(Calendar,Y957,NDays&amp;"D")</f>
        <v>45609</v>
      </c>
      <c r="AA957" s="185">
        <v>4.9615364035004508E-2</v>
      </c>
      <c r="AB957" s="182">
        <v>4.913638061822545E-2</v>
      </c>
    </row>
    <row r="958" spans="17:28" x14ac:dyDescent="0.2">
      <c r="Q958" s="141"/>
      <c r="T958" s="141"/>
      <c r="U958" s="162"/>
      <c r="X958" s="183" t="str">
        <f t="shared" si="21"/>
        <v>1w</v>
      </c>
      <c r="Y958" s="181">
        <f>_xll.qlCalendarAdvance(Calendar,Y957,X958,"f",FALSE)</f>
        <v>45616</v>
      </c>
      <c r="Z958" s="184">
        <f>_xll.qlCalendarAdvance(Calendar,Y958,NDays&amp;"D")</f>
        <v>45616</v>
      </c>
      <c r="AA958" s="185">
        <v>4.9641767598967892E-2</v>
      </c>
      <c r="AB958" s="182">
        <v>4.9164395451052334E-2</v>
      </c>
    </row>
    <row r="959" spans="17:28" x14ac:dyDescent="0.2">
      <c r="Q959" s="141"/>
      <c r="T959" s="141"/>
      <c r="U959" s="162"/>
      <c r="X959" s="183" t="str">
        <f t="shared" si="21"/>
        <v>1w</v>
      </c>
      <c r="Y959" s="181">
        <f>_xll.qlCalendarAdvance(Calendar,Y958,X959,"f",FALSE)</f>
        <v>45623</v>
      </c>
      <c r="Z959" s="184">
        <f>_xll.qlCalendarAdvance(Calendar,Y959,NDays&amp;"D")</f>
        <v>45623</v>
      </c>
      <c r="AA959" s="185">
        <v>4.9667870119571939E-2</v>
      </c>
      <c r="AB959" s="182">
        <v>4.9192112753499995E-2</v>
      </c>
    </row>
    <row r="960" spans="17:28" x14ac:dyDescent="0.2">
      <c r="Q960" s="141"/>
      <c r="T960" s="141"/>
      <c r="U960" s="162"/>
      <c r="X960" s="183" t="str">
        <f t="shared" si="21"/>
        <v>1w</v>
      </c>
      <c r="Y960" s="181">
        <f>_xll.qlCalendarAdvance(Calendar,Y959,X960,"f",FALSE)</f>
        <v>45630</v>
      </c>
      <c r="Z960" s="184">
        <f>_xll.qlCalendarAdvance(Calendar,Y960,NDays&amp;"D")</f>
        <v>45630</v>
      </c>
      <c r="AA960" s="185">
        <v>4.9683361333560293E-2</v>
      </c>
      <c r="AB960" s="182">
        <v>4.9219532525325294E-2</v>
      </c>
    </row>
    <row r="961" spans="17:28" x14ac:dyDescent="0.2">
      <c r="Q961" s="141"/>
      <c r="T961" s="141"/>
      <c r="U961" s="162"/>
      <c r="X961" s="183" t="str">
        <f t="shared" si="21"/>
        <v>1w</v>
      </c>
      <c r="Y961" s="181">
        <f>_xll.qlCalendarAdvance(Calendar,Y960,X961,"f",FALSE)</f>
        <v>45637</v>
      </c>
      <c r="Z961" s="184">
        <f>_xll.qlCalendarAdvance(Calendar,Y961,NDays&amp;"D")</f>
        <v>45637</v>
      </c>
      <c r="AA961" s="185">
        <v>4.9708897846247588E-2</v>
      </c>
      <c r="AB961" s="182">
        <v>4.9246654766447184E-2</v>
      </c>
    </row>
    <row r="962" spans="17:28" x14ac:dyDescent="0.2">
      <c r="Q962" s="141"/>
      <c r="T962" s="141"/>
      <c r="U962" s="162"/>
      <c r="X962" s="183" t="str">
        <f t="shared" si="21"/>
        <v>1w</v>
      </c>
      <c r="Y962" s="181">
        <f>_xll.qlCalendarAdvance(Calendar,Y961,X962,"f",FALSE)</f>
        <v>45644</v>
      </c>
      <c r="Z962" s="184">
        <f>_xll.qlCalendarAdvance(Calendar,Y962,NDays&amp;"D")</f>
        <v>45644</v>
      </c>
      <c r="AA962" s="185">
        <v>4.9734133376976464E-2</v>
      </c>
      <c r="AB962" s="182">
        <v>4.9273479476865667E-2</v>
      </c>
    </row>
    <row r="963" spans="17:28" x14ac:dyDescent="0.2">
      <c r="Q963" s="141"/>
      <c r="T963" s="141"/>
      <c r="U963" s="162"/>
      <c r="X963" s="183" t="str">
        <f t="shared" si="21"/>
        <v>1w</v>
      </c>
      <c r="Y963" s="181">
        <f>_xll.qlCalendarAdvance(Calendar,Y962,X963,"f",FALSE)</f>
        <v>45653</v>
      </c>
      <c r="Z963" s="184">
        <f>_xll.qlCalendarAdvance(Calendar,Y963,NDays&amp;"D")</f>
        <v>45653</v>
      </c>
      <c r="AA963" s="185">
        <v>4.9766136791214645E-2</v>
      </c>
      <c r="AB963" s="182">
        <v>4.9317944567666146E-2</v>
      </c>
    </row>
    <row r="964" spans="17:28" x14ac:dyDescent="0.2">
      <c r="Q964" s="141"/>
      <c r="T964" s="141"/>
      <c r="U964" s="162"/>
      <c r="X964" s="183" t="str">
        <f t="shared" si="21"/>
        <v>1w</v>
      </c>
      <c r="Y964" s="181">
        <f>_xll.qlCalendarAdvance(Calendar,Y963,X964,"f",FALSE)</f>
        <v>45660</v>
      </c>
      <c r="Z964" s="184">
        <f>_xll.qlCalendarAdvance(Calendar,Y964,NDays&amp;"D")</f>
        <v>45660</v>
      </c>
      <c r="AA964" s="185">
        <v>4.9790684342441806E-2</v>
      </c>
      <c r="AB964" s="182">
        <v>4.9344053758293059E-2</v>
      </c>
    </row>
    <row r="965" spans="17:28" x14ac:dyDescent="0.2">
      <c r="Q965" s="141"/>
      <c r="T965" s="141"/>
      <c r="U965" s="162"/>
      <c r="X965" s="183" t="str">
        <f t="shared" si="21"/>
        <v>1w</v>
      </c>
      <c r="Y965" s="181">
        <f>_xll.qlCalendarAdvance(Calendar,Y964,X965,"f",FALSE)</f>
        <v>45667</v>
      </c>
      <c r="Z965" s="184">
        <f>_xll.qlCalendarAdvance(Calendar,Y965,NDays&amp;"D")</f>
        <v>45667</v>
      </c>
      <c r="AA965" s="185">
        <v>4.9814930893718273E-2</v>
      </c>
      <c r="AB965" s="182">
        <v>4.9369865341222605E-2</v>
      </c>
    </row>
    <row r="966" spans="17:28" x14ac:dyDescent="0.2">
      <c r="Q966" s="141"/>
      <c r="T966" s="141"/>
      <c r="U966" s="162"/>
      <c r="X966" s="183" t="str">
        <f t="shared" si="21"/>
        <v>1w</v>
      </c>
      <c r="Y966" s="181">
        <f>_xll.qlCalendarAdvance(Calendar,Y965,X966,"f",FALSE)</f>
        <v>45674</v>
      </c>
      <c r="Z966" s="184">
        <f>_xll.qlCalendarAdvance(Calendar,Y966,NDays&amp;"D")</f>
        <v>45674</v>
      </c>
      <c r="AA966" s="185">
        <v>4.9838876439706699E-2</v>
      </c>
      <c r="AB966" s="182">
        <v>4.9395379316265663E-2</v>
      </c>
    </row>
    <row r="967" spans="17:28" x14ac:dyDescent="0.2">
      <c r="Q967" s="141"/>
      <c r="T967" s="141"/>
      <c r="U967" s="162"/>
      <c r="X967" s="183" t="str">
        <f t="shared" si="21"/>
        <v>1w</v>
      </c>
      <c r="Y967" s="181">
        <f>_xll.qlCalendarAdvance(Calendar,Y966,X967,"f",FALSE)</f>
        <v>45681</v>
      </c>
      <c r="Z967" s="184">
        <f>_xll.qlCalendarAdvance(Calendar,Y967,NDays&amp;"D")</f>
        <v>45681</v>
      </c>
      <c r="AA967" s="185">
        <v>4.9862520975140878E-2</v>
      </c>
      <c r="AB967" s="182">
        <v>4.9425729379758143E-2</v>
      </c>
    </row>
    <row r="968" spans="17:28" x14ac:dyDescent="0.2">
      <c r="Q968" s="141"/>
      <c r="T968" s="141"/>
      <c r="U968" s="162"/>
      <c r="X968" s="183" t="str">
        <f t="shared" si="21"/>
        <v>1w</v>
      </c>
      <c r="Y968" s="181">
        <f>_xll.qlCalendarAdvance(Calendar,Y967,X968,"f",FALSE)</f>
        <v>45688</v>
      </c>
      <c r="Z968" s="184">
        <f>_xll.qlCalendarAdvance(Calendar,Y968,NDays&amp;"D")</f>
        <v>45688</v>
      </c>
      <c r="AA968" s="185">
        <v>4.9880858146749689E-2</v>
      </c>
      <c r="AB968" s="182">
        <v>4.9445514441881874E-2</v>
      </c>
    </row>
    <row r="969" spans="17:28" x14ac:dyDescent="0.2">
      <c r="Q969" s="141"/>
      <c r="T969" s="141"/>
      <c r="U969" s="162"/>
      <c r="X969" s="183" t="str">
        <f t="shared" si="21"/>
        <v>1w</v>
      </c>
      <c r="Y969" s="181">
        <f>_xll.qlCalendarAdvance(Calendar,Y968,X969,"f",FALSE)</f>
        <v>45695</v>
      </c>
      <c r="Z969" s="184">
        <f>_xll.qlCalendarAdvance(Calendar,Y969,NDays&amp;"D")</f>
        <v>45695</v>
      </c>
      <c r="AA969" s="185">
        <v>4.9903919014033134E-2</v>
      </c>
      <c r="AB969" s="182">
        <v>4.9470135592184869E-2</v>
      </c>
    </row>
    <row r="970" spans="17:28" x14ac:dyDescent="0.2">
      <c r="Q970" s="141"/>
      <c r="T970" s="141"/>
      <c r="U970" s="162"/>
      <c r="X970" s="183" t="str">
        <f t="shared" si="21"/>
        <v>1w</v>
      </c>
      <c r="Y970" s="181">
        <f>_xll.qlCalendarAdvance(Calendar,Y969,X970,"f",FALSE)</f>
        <v>45702</v>
      </c>
      <c r="Z970" s="184">
        <f>_xll.qlCalendarAdvance(Calendar,Y970,NDays&amp;"D")</f>
        <v>45702</v>
      </c>
      <c r="AA970" s="185">
        <v>4.9926678895193144E-2</v>
      </c>
      <c r="AB970" s="182">
        <v>4.9494459133817933E-2</v>
      </c>
    </row>
    <row r="971" spans="17:28" x14ac:dyDescent="0.2">
      <c r="Q971" s="141"/>
      <c r="T971" s="141"/>
      <c r="U971" s="162"/>
      <c r="X971" s="183" t="str">
        <f t="shared" si="21"/>
        <v>1w</v>
      </c>
      <c r="Y971" s="181">
        <f>_xll.qlCalendarAdvance(Calendar,Y970,X971,"f",FALSE)</f>
        <v>45709</v>
      </c>
      <c r="Z971" s="184">
        <f>_xll.qlCalendarAdvance(Calendar,Y971,NDays&amp;"D")</f>
        <v>45709</v>
      </c>
      <c r="AA971" s="185">
        <v>4.9949137785277715E-2</v>
      </c>
      <c r="AB971" s="182">
        <v>4.9518485066645988E-2</v>
      </c>
    </row>
    <row r="972" spans="17:28" x14ac:dyDescent="0.2">
      <c r="Q972" s="141"/>
      <c r="T972" s="141"/>
      <c r="U972" s="162"/>
      <c r="X972" s="183" t="str">
        <f t="shared" si="21"/>
        <v>1w</v>
      </c>
      <c r="Y972" s="181">
        <f>_xll.qlCalendarAdvance(Calendar,Y971,X972,"f",FALSE)</f>
        <v>45716</v>
      </c>
      <c r="Z972" s="184">
        <f>_xll.qlCalendarAdvance(Calendar,Y972,NDays&amp;"D")</f>
        <v>45716</v>
      </c>
      <c r="AA972" s="185">
        <v>4.9981159625252347E-2</v>
      </c>
      <c r="AB972" s="182">
        <v>4.9542213390533961E-2</v>
      </c>
    </row>
    <row r="973" spans="17:28" x14ac:dyDescent="0.2">
      <c r="Q973" s="141"/>
      <c r="T973" s="141"/>
      <c r="U973" s="162"/>
      <c r="X973" s="183" t="str">
        <f t="shared" si="21"/>
        <v>1w</v>
      </c>
      <c r="Y973" s="181">
        <f>_xll.qlCalendarAdvance(Calendar,Y972,X973,"f",FALSE)</f>
        <v>45723</v>
      </c>
      <c r="Z973" s="184">
        <f>_xll.qlCalendarAdvance(Calendar,Y973,NDays&amp;"D")</f>
        <v>45723</v>
      </c>
      <c r="AA973" s="185">
        <v>5.0022617262648714E-2</v>
      </c>
      <c r="AB973" s="182">
        <v>4.9565644105238713E-2</v>
      </c>
    </row>
    <row r="974" spans="17:28" x14ac:dyDescent="0.2">
      <c r="Q974" s="141"/>
      <c r="T974" s="141"/>
      <c r="U974" s="162"/>
      <c r="X974" s="183" t="str">
        <f t="shared" si="21"/>
        <v>1w</v>
      </c>
      <c r="Y974" s="181">
        <f>_xll.qlCalendarAdvance(Calendar,Y973,X974,"f",FALSE)</f>
        <v>45730</v>
      </c>
      <c r="Z974" s="184">
        <f>_xll.qlCalendarAdvance(Calendar,Y974,NDays&amp;"D")</f>
        <v>45730</v>
      </c>
      <c r="AA974" s="185">
        <v>5.0039172801915187E-2</v>
      </c>
      <c r="AB974" s="182">
        <v>4.9588777210625164E-2</v>
      </c>
    </row>
    <row r="975" spans="17:28" x14ac:dyDescent="0.2">
      <c r="Q975" s="141"/>
      <c r="T975" s="141"/>
      <c r="U975" s="162"/>
      <c r="X975" s="183" t="str">
        <f t="shared" si="21"/>
        <v>1w</v>
      </c>
      <c r="Y975" s="181">
        <f>_xll.qlCalendarAdvance(Calendar,Y974,X975,"f",FALSE)</f>
        <v>45737</v>
      </c>
      <c r="Z975" s="184">
        <f>_xll.qlCalendarAdvance(Calendar,Y975,NDays&amp;"D")</f>
        <v>45737</v>
      </c>
      <c r="AA975" s="185">
        <v>5.0060334584691037E-2</v>
      </c>
      <c r="AB975" s="182">
        <v>4.9611612706531215E-2</v>
      </c>
    </row>
    <row r="976" spans="17:28" x14ac:dyDescent="0.2">
      <c r="Q976" s="141"/>
      <c r="T976" s="141"/>
      <c r="U976" s="162"/>
      <c r="X976" s="183" t="str">
        <f t="shared" si="21"/>
        <v>1w</v>
      </c>
      <c r="Y976" s="181">
        <f>_xll.qlCalendarAdvance(Calendar,Y975,X976,"f",FALSE)</f>
        <v>45744</v>
      </c>
      <c r="Z976" s="184">
        <f>_xll.qlCalendarAdvance(Calendar,Y976,NDays&amp;"D")</f>
        <v>45744</v>
      </c>
      <c r="AA976" s="185">
        <v>5.0081195151789985E-2</v>
      </c>
      <c r="AB976" s="182">
        <v>4.9634150592794787E-2</v>
      </c>
    </row>
    <row r="977" spans="17:28" x14ac:dyDescent="0.2">
      <c r="Q977" s="141"/>
      <c r="T977" s="141"/>
      <c r="U977" s="162"/>
      <c r="X977" s="183" t="str">
        <f t="shared" si="21"/>
        <v>1w</v>
      </c>
      <c r="Y977" s="181">
        <f>_xll.qlCalendarAdvance(Calendar,Y976,X977,"f",FALSE)</f>
        <v>45751</v>
      </c>
      <c r="Z977" s="184">
        <f>_xll.qlCalendarAdvance(Calendar,Y977,NDays&amp;"D")</f>
        <v>45751</v>
      </c>
      <c r="AA977" s="185">
        <v>5.0087247879783359E-2</v>
      </c>
      <c r="AB977" s="182">
        <v>4.9656390869199749E-2</v>
      </c>
    </row>
    <row r="978" spans="17:28" x14ac:dyDescent="0.2">
      <c r="Q978" s="141"/>
      <c r="T978" s="141"/>
      <c r="U978" s="162"/>
      <c r="X978" s="183" t="str">
        <f t="shared" si="21"/>
        <v>1w</v>
      </c>
      <c r="Y978" s="181">
        <f>_xll.qlCalendarAdvance(Calendar,Y977,X978,"f",FALSE)</f>
        <v>45758</v>
      </c>
      <c r="Z978" s="184">
        <f>_xll.qlCalendarAdvance(Calendar,Y978,NDays&amp;"D")</f>
        <v>45758</v>
      </c>
      <c r="AA978" s="185">
        <v>5.0107562236076493E-2</v>
      </c>
      <c r="AB978" s="182">
        <v>4.9678333535638039E-2</v>
      </c>
    </row>
    <row r="979" spans="17:28" x14ac:dyDescent="0.2">
      <c r="Q979" s="141"/>
      <c r="T979" s="141"/>
      <c r="U979" s="162"/>
      <c r="X979" s="183" t="str">
        <f t="shared" si="21"/>
        <v>1w</v>
      </c>
      <c r="Y979" s="181">
        <f>_xll.qlCalendarAdvance(Calendar,Y978,X979,"f",FALSE)</f>
        <v>45769</v>
      </c>
      <c r="Z979" s="184">
        <f>_xll.qlCalendarAdvance(Calendar,Y979,NDays&amp;"D")</f>
        <v>45769</v>
      </c>
      <c r="AA979" s="185">
        <v>5.0138876431356318E-2</v>
      </c>
      <c r="AB979" s="182">
        <v>4.9702397633997197E-2</v>
      </c>
    </row>
    <row r="980" spans="17:28" x14ac:dyDescent="0.2">
      <c r="Q980" s="141"/>
      <c r="T980" s="141"/>
      <c r="U980" s="162"/>
      <c r="X980" s="183" t="str">
        <f t="shared" si="21"/>
        <v>1w</v>
      </c>
      <c r="Y980" s="181">
        <f>_xll.qlCalendarAdvance(Calendar,Y979,X980,"f",FALSE)</f>
        <v>45776</v>
      </c>
      <c r="Z980" s="184">
        <f>_xll.qlCalendarAdvance(Calendar,Y980,NDays&amp;"D")</f>
        <v>45776</v>
      </c>
      <c r="AA980" s="185">
        <v>5.0158416498633215E-2</v>
      </c>
      <c r="AB980" s="182">
        <v>4.9723611753453856E-2</v>
      </c>
    </row>
    <row r="981" spans="17:28" x14ac:dyDescent="0.2">
      <c r="Q981" s="141"/>
      <c r="T981" s="141"/>
      <c r="U981" s="162"/>
      <c r="X981" s="183" t="str">
        <f t="shared" ref="X981:X1044" si="22">X980</f>
        <v>1w</v>
      </c>
      <c r="Y981" s="181">
        <f>_xll.qlCalendarAdvance(Calendar,Y980,X981,"f",FALSE)</f>
        <v>45783</v>
      </c>
      <c r="Z981" s="184">
        <f>_xll.qlCalendarAdvance(Calendar,Y981,NDays&amp;"D")</f>
        <v>45783</v>
      </c>
      <c r="AA981" s="185">
        <v>5.0182406341241152E-2</v>
      </c>
      <c r="AB981" s="182">
        <v>4.9744528341153504E-2</v>
      </c>
    </row>
    <row r="982" spans="17:28" x14ac:dyDescent="0.2">
      <c r="Q982" s="141"/>
      <c r="T982" s="141"/>
      <c r="U982" s="162"/>
      <c r="X982" s="183" t="str">
        <f t="shared" si="22"/>
        <v>1w</v>
      </c>
      <c r="Y982" s="181">
        <f>_xll.qlCalendarAdvance(Calendar,Y981,X982,"f",FALSE)</f>
        <v>45790</v>
      </c>
      <c r="Z982" s="184">
        <f>_xll.qlCalendarAdvance(Calendar,Y982,NDays&amp;"D")</f>
        <v>45790</v>
      </c>
      <c r="AA982" s="185">
        <v>5.0201325239603176E-2</v>
      </c>
      <c r="AB982" s="182">
        <v>4.9765147396853004E-2</v>
      </c>
    </row>
    <row r="983" spans="17:28" x14ac:dyDescent="0.2">
      <c r="Q983" s="141"/>
      <c r="T983" s="141"/>
      <c r="U983" s="162"/>
      <c r="X983" s="183" t="str">
        <f t="shared" si="22"/>
        <v>1w</v>
      </c>
      <c r="Y983" s="181">
        <f>_xll.qlCalendarAdvance(Calendar,Y982,X983,"f",FALSE)</f>
        <v>45797</v>
      </c>
      <c r="Z983" s="184">
        <f>_xll.qlCalendarAdvance(Calendar,Y983,NDays&amp;"D")</f>
        <v>45797</v>
      </c>
      <c r="AA983" s="185">
        <v>5.0219942968748037E-2</v>
      </c>
      <c r="AB983" s="182">
        <v>4.9785468920552356E-2</v>
      </c>
    </row>
    <row r="984" spans="17:28" x14ac:dyDescent="0.2">
      <c r="Q984" s="141"/>
      <c r="T984" s="141"/>
      <c r="U984" s="162"/>
      <c r="X984" s="183" t="str">
        <f t="shared" si="22"/>
        <v>1w</v>
      </c>
      <c r="Y984" s="181">
        <f>_xll.qlCalendarAdvance(Calendar,Y983,X984,"f",FALSE)</f>
        <v>45804</v>
      </c>
      <c r="Z984" s="184">
        <f>_xll.qlCalendarAdvance(Calendar,Y984,NDays&amp;"D")</f>
        <v>45804</v>
      </c>
      <c r="AA984" s="185">
        <v>5.0238259524489529E-2</v>
      </c>
      <c r="AB984" s="182">
        <v>4.9805492912251559E-2</v>
      </c>
    </row>
    <row r="985" spans="17:28" x14ac:dyDescent="0.2">
      <c r="Q985" s="141"/>
      <c r="T985" s="141"/>
      <c r="U985" s="162"/>
      <c r="X985" s="183" t="str">
        <f t="shared" si="22"/>
        <v>1w</v>
      </c>
      <c r="Y985" s="181">
        <f>_xll.qlCalendarAdvance(Calendar,Y984,X985,"f",FALSE)</f>
        <v>45811</v>
      </c>
      <c r="Z985" s="184">
        <f>_xll.qlCalendarAdvance(Calendar,Y985,NDays&amp;"D")</f>
        <v>45811</v>
      </c>
      <c r="AA985" s="185">
        <v>5.0256274902707489E-2</v>
      </c>
      <c r="AB985" s="182">
        <v>4.9825219371707474E-2</v>
      </c>
    </row>
    <row r="986" spans="17:28" x14ac:dyDescent="0.2">
      <c r="Q986" s="141"/>
      <c r="T986" s="141"/>
      <c r="U986" s="162"/>
      <c r="X986" s="183" t="str">
        <f t="shared" si="22"/>
        <v>1w</v>
      </c>
      <c r="Y986" s="181">
        <f>_xll.qlCalendarAdvance(Calendar,Y985,X986,"f",FALSE)</f>
        <v>45818</v>
      </c>
      <c r="Z986" s="184">
        <f>_xll.qlCalendarAdvance(Calendar,Y986,NDays&amp;"D")</f>
        <v>45818</v>
      </c>
      <c r="AA986" s="185">
        <v>5.027398909934961E-2</v>
      </c>
      <c r="AB986" s="182">
        <v>4.9844648299163241E-2</v>
      </c>
    </row>
    <row r="987" spans="17:28" x14ac:dyDescent="0.2">
      <c r="Q987" s="141"/>
      <c r="T987" s="141"/>
      <c r="U987" s="162"/>
      <c r="X987" s="183" t="str">
        <f t="shared" si="22"/>
        <v>1w</v>
      </c>
      <c r="Y987" s="181">
        <f>_xll.qlCalendarAdvance(Calendar,Y986,X987,"f",FALSE)</f>
        <v>45825</v>
      </c>
      <c r="Z987" s="184">
        <f>_xll.qlCalendarAdvance(Calendar,Y987,NDays&amp;"D")</f>
        <v>45825</v>
      </c>
      <c r="AA987" s="185">
        <v>5.0291402110432294E-2</v>
      </c>
      <c r="AB987" s="182">
        <v>4.9863779694456767E-2</v>
      </c>
    </row>
    <row r="988" spans="17:28" x14ac:dyDescent="0.2">
      <c r="Q988" s="141"/>
      <c r="T988" s="141"/>
      <c r="U988" s="162"/>
      <c r="X988" s="183" t="str">
        <f t="shared" si="22"/>
        <v>1w</v>
      </c>
      <c r="Y988" s="181">
        <f>_xll.qlCalendarAdvance(Calendar,Y987,X988,"f",FALSE)</f>
        <v>45832</v>
      </c>
      <c r="Z988" s="184">
        <f>_xll.qlCalendarAdvance(Calendar,Y988,NDays&amp;"D")</f>
        <v>45832</v>
      </c>
      <c r="AA988" s="185">
        <v>5.0308513932036246E-2</v>
      </c>
      <c r="AB988" s="182">
        <v>4.9882613557425959E-2</v>
      </c>
    </row>
    <row r="989" spans="17:28" x14ac:dyDescent="0.2">
      <c r="Q989" s="141"/>
      <c r="T989" s="141"/>
      <c r="U989" s="162"/>
      <c r="X989" s="183" t="str">
        <f t="shared" si="22"/>
        <v>1w</v>
      </c>
      <c r="Y989" s="181">
        <f>_xll.qlCalendarAdvance(Calendar,Y988,X989,"f",FALSE)</f>
        <v>45839</v>
      </c>
      <c r="Z989" s="184">
        <f>_xll.qlCalendarAdvance(Calendar,Y989,NDays&amp;"D")</f>
        <v>45839</v>
      </c>
      <c r="AA989" s="185">
        <v>5.0325324560313522E-2</v>
      </c>
      <c r="AB989" s="182">
        <v>4.9901149888151863E-2</v>
      </c>
    </row>
    <row r="990" spans="17:28" x14ac:dyDescent="0.2">
      <c r="Q990" s="141"/>
      <c r="T990" s="141"/>
      <c r="U990" s="162"/>
      <c r="X990" s="183" t="str">
        <f t="shared" si="22"/>
        <v>1w</v>
      </c>
      <c r="Y990" s="181">
        <f>_xll.qlCalendarAdvance(Calendar,Y989,X990,"f",FALSE)</f>
        <v>45846</v>
      </c>
      <c r="Z990" s="184">
        <f>_xll.qlCalendarAdvance(Calendar,Y990,NDays&amp;"D")</f>
        <v>45846</v>
      </c>
      <c r="AA990" s="185">
        <v>5.0341833991484917E-2</v>
      </c>
      <c r="AB990" s="182">
        <v>4.9919388686553434E-2</v>
      </c>
    </row>
    <row r="991" spans="17:28" x14ac:dyDescent="0.2">
      <c r="Q991" s="141"/>
      <c r="T991" s="141"/>
      <c r="U991" s="162"/>
      <c r="X991" s="183" t="str">
        <f t="shared" si="22"/>
        <v>1w</v>
      </c>
      <c r="Y991" s="181">
        <f>_xll.qlCalendarAdvance(Calendar,Y990,X991,"f",FALSE)</f>
        <v>45853</v>
      </c>
      <c r="Z991" s="184">
        <f>_xll.qlCalendarAdvance(Calendar,Y991,NDays&amp;"D")</f>
        <v>45853</v>
      </c>
      <c r="AA991" s="185">
        <v>5.0358042221833738E-2</v>
      </c>
      <c r="AB991" s="182">
        <v>4.9937329952630671E-2</v>
      </c>
    </row>
    <row r="992" spans="17:28" x14ac:dyDescent="0.2">
      <c r="Q992" s="141"/>
      <c r="T992" s="141"/>
      <c r="U992" s="162"/>
      <c r="X992" s="183" t="str">
        <f t="shared" si="22"/>
        <v>1w</v>
      </c>
      <c r="Y992" s="181">
        <f>_xll.qlCalendarAdvance(Calendar,Y991,X992,"f",FALSE)</f>
        <v>45860</v>
      </c>
      <c r="Z992" s="184">
        <f>_xll.qlCalendarAdvance(Calendar,Y992,NDays&amp;"D")</f>
        <v>45860</v>
      </c>
      <c r="AA992" s="185">
        <v>5.0373949247716432E-2</v>
      </c>
      <c r="AB992" s="182">
        <v>4.9954973686221482E-2</v>
      </c>
    </row>
    <row r="993" spans="17:28" x14ac:dyDescent="0.2">
      <c r="Q993" s="141"/>
      <c r="T993" s="141"/>
      <c r="U993" s="162"/>
      <c r="X993" s="183" t="str">
        <f t="shared" si="22"/>
        <v>1w</v>
      </c>
      <c r="Y993" s="181">
        <f>_xll.qlCalendarAdvance(Calendar,Y992,X993,"f",FALSE)</f>
        <v>45867</v>
      </c>
      <c r="Z993" s="184">
        <f>_xll.qlCalendarAdvance(Calendar,Y993,NDays&amp;"D")</f>
        <v>45867</v>
      </c>
      <c r="AA993" s="185">
        <v>5.0389555065552871E-2</v>
      </c>
      <c r="AB993" s="182">
        <v>4.9972319887325867E-2</v>
      </c>
    </row>
    <row r="994" spans="17:28" x14ac:dyDescent="0.2">
      <c r="Q994" s="141"/>
      <c r="T994" s="141"/>
      <c r="U994" s="162"/>
      <c r="X994" s="183" t="str">
        <f t="shared" si="22"/>
        <v>1w</v>
      </c>
      <c r="Y994" s="181">
        <f>_xll.qlCalendarAdvance(Calendar,Y993,X994,"f",FALSE)</f>
        <v>45874</v>
      </c>
      <c r="Z994" s="184">
        <f>_xll.qlCalendarAdvance(Calendar,Y994,NDays&amp;"D")</f>
        <v>45874</v>
      </c>
      <c r="AA994" s="185">
        <v>5.0404859671835153E-2</v>
      </c>
      <c r="AB994" s="182">
        <v>4.9989368556024871E-2</v>
      </c>
    </row>
    <row r="995" spans="17:28" x14ac:dyDescent="0.2">
      <c r="Q995" s="141"/>
      <c r="T995" s="141"/>
      <c r="U995" s="162"/>
      <c r="X995" s="183" t="str">
        <f t="shared" si="22"/>
        <v>1w</v>
      </c>
      <c r="Y995" s="181">
        <f>_xll.qlCalendarAdvance(Calendar,Y994,X995,"f",FALSE)</f>
        <v>45881</v>
      </c>
      <c r="Z995" s="184">
        <f>_xll.qlCalendarAdvance(Calendar,Y995,NDays&amp;"D")</f>
        <v>45881</v>
      </c>
      <c r="AA995" s="185">
        <v>5.0419863063117937E-2</v>
      </c>
      <c r="AB995" s="182">
        <v>5.0006119692156403E-2</v>
      </c>
    </row>
    <row r="996" spans="17:28" x14ac:dyDescent="0.2">
      <c r="Q996" s="141"/>
      <c r="T996" s="141"/>
      <c r="U996" s="162"/>
      <c r="X996" s="183" t="str">
        <f t="shared" si="22"/>
        <v>1w</v>
      </c>
      <c r="Y996" s="181">
        <f>_xll.qlCalendarAdvance(Calendar,Y995,X996,"f",FALSE)</f>
        <v>45888</v>
      </c>
      <c r="Z996" s="184">
        <f>_xll.qlCalendarAdvance(Calendar,Y996,NDays&amp;"D")</f>
        <v>45888</v>
      </c>
      <c r="AA996" s="185">
        <v>5.0434565236028989E-2</v>
      </c>
      <c r="AB996" s="182">
        <v>5.0022573295639416E-2</v>
      </c>
    </row>
    <row r="997" spans="17:28" x14ac:dyDescent="0.2">
      <c r="Q997" s="141"/>
      <c r="T997" s="141"/>
      <c r="U997" s="162"/>
      <c r="X997" s="183" t="str">
        <f t="shared" si="22"/>
        <v>1w</v>
      </c>
      <c r="Y997" s="181">
        <f>_xll.qlCalendarAdvance(Calendar,Y996,X997,"f",FALSE)</f>
        <v>45895</v>
      </c>
      <c r="Z997" s="184">
        <f>_xll.qlCalendarAdvance(Calendar,Y997,NDays&amp;"D")</f>
        <v>45895</v>
      </c>
      <c r="AA997" s="185">
        <v>5.0448966187259511E-2</v>
      </c>
      <c r="AB997" s="182">
        <v>5.0038729366554957E-2</v>
      </c>
    </row>
    <row r="998" spans="17:28" x14ac:dyDescent="0.2">
      <c r="Q998" s="141"/>
      <c r="T998" s="141"/>
      <c r="U998" s="162"/>
      <c r="X998" s="183" t="str">
        <f t="shared" si="22"/>
        <v>1w</v>
      </c>
      <c r="Y998" s="181">
        <f>_xll.qlCalendarAdvance(Calendar,Y997,X998,"f",FALSE)</f>
        <v>45902</v>
      </c>
      <c r="Z998" s="184">
        <f>_xll.qlCalendarAdvance(Calendar,Y998,NDays&amp;"D")</f>
        <v>45902</v>
      </c>
      <c r="AA998" s="185">
        <v>5.0458642263824786E-2</v>
      </c>
      <c r="AB998" s="182">
        <v>5.0054587904740933E-2</v>
      </c>
    </row>
    <row r="999" spans="17:28" x14ac:dyDescent="0.2">
      <c r="Q999" s="141"/>
      <c r="T999" s="141"/>
      <c r="U999" s="162"/>
      <c r="X999" s="183" t="str">
        <f t="shared" si="22"/>
        <v>1w</v>
      </c>
      <c r="Y999" s="181">
        <f>_xll.qlCalendarAdvance(Calendar,Y998,X999,"f",FALSE)</f>
        <v>45909</v>
      </c>
      <c r="Z999" s="184">
        <f>_xll.qlCalendarAdvance(Calendar,Y999,NDays&amp;"D")</f>
        <v>45909</v>
      </c>
      <c r="AA999" s="185">
        <v>5.0472460379873733E-2</v>
      </c>
      <c r="AB999" s="182">
        <v>5.0070148910359435E-2</v>
      </c>
    </row>
    <row r="1000" spans="17:28" x14ac:dyDescent="0.2">
      <c r="Q1000" s="141"/>
      <c r="T1000" s="141"/>
      <c r="U1000" s="162"/>
      <c r="X1000" s="183" t="str">
        <f t="shared" si="22"/>
        <v>1w</v>
      </c>
      <c r="Y1000" s="181">
        <f>_xll.qlCalendarAdvance(Calendar,Y999,X1000,"f",FALSE)</f>
        <v>45916</v>
      </c>
      <c r="Z1000" s="184">
        <f>_xll.qlCalendarAdvance(Calendar,Y1000,NDays&amp;"D")</f>
        <v>45916</v>
      </c>
      <c r="AA1000" s="185">
        <v>5.0485977305828295E-2</v>
      </c>
      <c r="AB1000" s="182">
        <v>5.0085412383086281E-2</v>
      </c>
    </row>
    <row r="1001" spans="17:28" x14ac:dyDescent="0.2">
      <c r="Q1001" s="141"/>
      <c r="T1001" s="141"/>
      <c r="U1001" s="162"/>
      <c r="X1001" s="183" t="str">
        <f t="shared" si="22"/>
        <v>1w</v>
      </c>
      <c r="Y1001" s="181">
        <f>_xll.qlCalendarAdvance(Calendar,Y1000,X1001,"f",FALSE)</f>
        <v>45923</v>
      </c>
      <c r="Z1001" s="184">
        <f>_xll.qlCalendarAdvance(Calendar,Y1001,NDays&amp;"D")</f>
        <v>45923</v>
      </c>
      <c r="AA1001" s="185">
        <v>5.0499193038684408E-2</v>
      </c>
      <c r="AB1001" s="182">
        <v>5.0100378323164607E-2</v>
      </c>
    </row>
    <row r="1002" spans="17:28" x14ac:dyDescent="0.2">
      <c r="Q1002" s="141"/>
      <c r="T1002" s="141"/>
      <c r="U1002" s="162"/>
      <c r="X1002" s="183" t="str">
        <f t="shared" si="22"/>
        <v>1w</v>
      </c>
      <c r="Y1002" s="181">
        <f>_xll.qlCalendarAdvance(Calendar,Y1001,X1002,"f",FALSE)</f>
        <v>45930</v>
      </c>
      <c r="Z1002" s="184">
        <f>_xll.qlCalendarAdvance(Calendar,Y1002,NDays&amp;"D")</f>
        <v>45930</v>
      </c>
      <c r="AA1002" s="185">
        <v>5.0516452507205052E-2</v>
      </c>
      <c r="AB1002" s="182">
        <v>5.0115046730351276E-2</v>
      </c>
    </row>
    <row r="1003" spans="17:28" x14ac:dyDescent="0.2">
      <c r="Q1003" s="141"/>
      <c r="T1003" s="141"/>
      <c r="U1003" s="162"/>
      <c r="X1003" s="183" t="str">
        <f t="shared" si="22"/>
        <v>1w</v>
      </c>
      <c r="Y1003" s="181">
        <f>_xll.qlCalendarAdvance(Calendar,Y1002,X1003,"f",FALSE)</f>
        <v>45937</v>
      </c>
      <c r="Z1003" s="184">
        <f>_xll.qlCalendarAdvance(Calendar,Y1003,NDays&amp;"D")</f>
        <v>45937</v>
      </c>
      <c r="AA1003" s="185">
        <v>5.0529046062700478E-2</v>
      </c>
      <c r="AB1003" s="182">
        <v>5.0129417604727333E-2</v>
      </c>
    </row>
    <row r="1004" spans="17:28" x14ac:dyDescent="0.2">
      <c r="Q1004" s="141"/>
      <c r="T1004" s="141"/>
      <c r="U1004" s="162"/>
      <c r="X1004" s="183" t="str">
        <f t="shared" si="22"/>
        <v>1w</v>
      </c>
      <c r="Y1004" s="181">
        <f>_xll.qlCalendarAdvance(Calendar,Y1003,X1004,"f",FALSE)</f>
        <v>45944</v>
      </c>
      <c r="Z1004" s="184">
        <f>_xll.qlCalendarAdvance(Calendar,Y1004,NDays&amp;"D")</f>
        <v>45944</v>
      </c>
      <c r="AA1004" s="185">
        <v>5.0541338375262743E-2</v>
      </c>
      <c r="AB1004" s="182">
        <v>5.0143490946211733E-2</v>
      </c>
    </row>
    <row r="1005" spans="17:28" x14ac:dyDescent="0.2">
      <c r="Q1005" s="141"/>
      <c r="T1005" s="141"/>
      <c r="U1005" s="162"/>
      <c r="X1005" s="183" t="str">
        <f t="shared" si="22"/>
        <v>1w</v>
      </c>
      <c r="Y1005" s="181">
        <f>_xll.qlCalendarAdvance(Calendar,Y1004,X1005,"f",FALSE)</f>
        <v>45951</v>
      </c>
      <c r="Z1005" s="184">
        <f>_xll.qlCalendarAdvance(Calendar,Y1005,NDays&amp;"D")</f>
        <v>45951</v>
      </c>
      <c r="AA1005" s="185">
        <v>5.0553329442127468E-2</v>
      </c>
      <c r="AB1005" s="182">
        <v>5.0157266754723429E-2</v>
      </c>
    </row>
    <row r="1006" spans="17:28" x14ac:dyDescent="0.2">
      <c r="Q1006" s="141"/>
      <c r="T1006" s="141"/>
      <c r="U1006" s="162"/>
      <c r="X1006" s="183" t="str">
        <f t="shared" si="22"/>
        <v>1w</v>
      </c>
      <c r="Y1006" s="181">
        <f>_xll.qlCalendarAdvance(Calendar,Y1005,X1006,"f",FALSE)</f>
        <v>45958</v>
      </c>
      <c r="Z1006" s="184">
        <f>_xll.qlCalendarAdvance(Calendar,Y1006,NDays&amp;"D")</f>
        <v>45958</v>
      </c>
      <c r="AA1006" s="185">
        <v>5.056501926059722E-2</v>
      </c>
      <c r="AB1006" s="182">
        <v>5.0170745030343467E-2</v>
      </c>
    </row>
    <row r="1007" spans="17:28" x14ac:dyDescent="0.2">
      <c r="Q1007" s="141"/>
      <c r="T1007" s="141"/>
      <c r="U1007" s="162"/>
      <c r="X1007" s="183" t="str">
        <f t="shared" si="22"/>
        <v>1w</v>
      </c>
      <c r="Y1007" s="181">
        <f>_xll.qlCalendarAdvance(Calendar,Y1006,X1007,"f",FALSE)</f>
        <v>45965</v>
      </c>
      <c r="Z1007" s="184">
        <f>_xll.qlCalendarAdvance(Calendar,Y1007,NDays&amp;"D")</f>
        <v>45965</v>
      </c>
      <c r="AA1007" s="185">
        <v>5.0576407828041514E-2</v>
      </c>
      <c r="AB1007" s="182">
        <v>5.0183925772990801E-2</v>
      </c>
    </row>
    <row r="1008" spans="17:28" x14ac:dyDescent="0.2">
      <c r="Q1008" s="141"/>
      <c r="T1008" s="141"/>
      <c r="U1008" s="162"/>
      <c r="X1008" s="183" t="str">
        <f t="shared" si="22"/>
        <v>1w</v>
      </c>
      <c r="Y1008" s="181">
        <f>_xll.qlCalendarAdvance(Calendar,Y1007,X1008,"f",FALSE)</f>
        <v>45972</v>
      </c>
      <c r="Z1008" s="184">
        <f>_xll.qlCalendarAdvance(Calendar,Y1008,NDays&amp;"D")</f>
        <v>45972</v>
      </c>
      <c r="AA1008" s="185">
        <v>5.0587495141900356E-2</v>
      </c>
      <c r="AB1008" s="182">
        <v>5.0196808982584384E-2</v>
      </c>
    </row>
    <row r="1009" spans="17:28" x14ac:dyDescent="0.2">
      <c r="Q1009" s="141"/>
      <c r="T1009" s="141"/>
      <c r="U1009" s="162"/>
      <c r="X1009" s="183" t="str">
        <f t="shared" si="22"/>
        <v>1w</v>
      </c>
      <c r="Y1009" s="181">
        <f>_xll.qlCalendarAdvance(Calendar,Y1008,X1009,"f",FALSE)</f>
        <v>45979</v>
      </c>
      <c r="Z1009" s="184">
        <f>_xll.qlCalendarAdvance(Calendar,Y1009,NDays&amp;"D")</f>
        <v>45979</v>
      </c>
      <c r="AA1009" s="185">
        <v>5.0598281199677159E-2</v>
      </c>
      <c r="AB1009" s="182">
        <v>5.0209394659043172E-2</v>
      </c>
    </row>
    <row r="1010" spans="17:28" x14ac:dyDescent="0.2">
      <c r="Q1010" s="141"/>
      <c r="T1010" s="141"/>
      <c r="U1010" s="162"/>
      <c r="X1010" s="183" t="str">
        <f t="shared" si="22"/>
        <v>1w</v>
      </c>
      <c r="Y1010" s="181">
        <f>_xll.qlCalendarAdvance(Calendar,Y1009,X1010,"f",FALSE)</f>
        <v>45986</v>
      </c>
      <c r="Z1010" s="184">
        <f>_xll.qlCalendarAdvance(Calendar,Y1010,NDays&amp;"D")</f>
        <v>45986</v>
      </c>
      <c r="AA1010" s="185">
        <v>5.0608765998948466E-2</v>
      </c>
      <c r="AB1010" s="182">
        <v>5.0221682802610301E-2</v>
      </c>
    </row>
    <row r="1011" spans="17:28" x14ac:dyDescent="0.2">
      <c r="Q1011" s="141"/>
      <c r="T1011" s="141"/>
      <c r="U1011" s="162"/>
      <c r="X1011" s="183" t="str">
        <f t="shared" si="22"/>
        <v>1w</v>
      </c>
      <c r="Y1011" s="181">
        <f>_xll.qlCalendarAdvance(Calendar,Y1010,X1011,"f",FALSE)</f>
        <v>45993</v>
      </c>
      <c r="Z1011" s="184">
        <f>_xll.qlCalendarAdvance(Calendar,Y1011,NDays&amp;"D")</f>
        <v>45993</v>
      </c>
      <c r="AA1011" s="185">
        <v>5.0610617185904157E-2</v>
      </c>
      <c r="AB1011" s="182">
        <v>5.0233673412961588E-2</v>
      </c>
    </row>
    <row r="1012" spans="17:28" x14ac:dyDescent="0.2">
      <c r="Q1012" s="141"/>
      <c r="T1012" s="141"/>
      <c r="U1012" s="162"/>
      <c r="X1012" s="183" t="str">
        <f t="shared" si="22"/>
        <v>1w</v>
      </c>
      <c r="Y1012" s="181">
        <f>_xll.qlCalendarAdvance(Calendar,Y1011,X1012,"f",FALSE)</f>
        <v>46000</v>
      </c>
      <c r="Z1012" s="184">
        <f>_xll.qlCalendarAdvance(Calendar,Y1012,NDays&amp;"D")</f>
        <v>46000</v>
      </c>
      <c r="AA1012" s="185">
        <v>5.0620539763786582E-2</v>
      </c>
      <c r="AB1012" s="182">
        <v>5.0245366490178078E-2</v>
      </c>
    </row>
    <row r="1013" spans="17:28" x14ac:dyDescent="0.2">
      <c r="Q1013" s="141"/>
      <c r="T1013" s="141"/>
      <c r="U1013" s="162"/>
      <c r="X1013" s="183" t="str">
        <f t="shared" si="22"/>
        <v>1w</v>
      </c>
      <c r="Y1013" s="181">
        <f>_xll.qlCalendarAdvance(Calendar,Y1012,X1013,"f",FALSE)</f>
        <v>46007</v>
      </c>
      <c r="Z1013" s="184">
        <f>_xll.qlCalendarAdvance(Calendar,Y1013,NDays&amp;"D")</f>
        <v>46007</v>
      </c>
      <c r="AA1013" s="185">
        <v>5.063016115911384E-2</v>
      </c>
      <c r="AB1013" s="182">
        <v>5.0256762034259772E-2</v>
      </c>
    </row>
    <row r="1014" spans="17:28" x14ac:dyDescent="0.2">
      <c r="Q1014" s="141"/>
      <c r="T1014" s="141"/>
      <c r="U1014" s="162"/>
      <c r="X1014" s="183" t="str">
        <f t="shared" si="22"/>
        <v>1w</v>
      </c>
      <c r="Y1014" s="181">
        <f>_xll.qlCalendarAdvance(Calendar,Y1013,X1014,"f",FALSE)</f>
        <v>46014</v>
      </c>
      <c r="Z1014" s="184">
        <f>_xll.qlCalendarAdvance(Calendar,Y1014,NDays&amp;"D")</f>
        <v>46014</v>
      </c>
      <c r="AA1014" s="185">
        <v>5.0639481369767016E-2</v>
      </c>
      <c r="AB1014" s="182">
        <v>5.0267860045125623E-2</v>
      </c>
    </row>
    <row r="1015" spans="17:28" x14ac:dyDescent="0.2">
      <c r="Q1015" s="141"/>
      <c r="T1015" s="141"/>
      <c r="U1015" s="162"/>
      <c r="X1015" s="183" t="str">
        <f t="shared" si="22"/>
        <v>1w</v>
      </c>
      <c r="Y1015" s="181">
        <f>_xll.qlCalendarAdvance(Calendar,Y1014,X1015,"f",FALSE)</f>
        <v>46021</v>
      </c>
      <c r="Z1015" s="184">
        <f>_xll.qlCalendarAdvance(Calendar,Y1015,NDays&amp;"D")</f>
        <v>46021</v>
      </c>
      <c r="AA1015" s="185">
        <v>5.0648500393697449E-2</v>
      </c>
      <c r="AB1015" s="182">
        <v>5.0278660522775631E-2</v>
      </c>
    </row>
    <row r="1016" spans="17:28" x14ac:dyDescent="0.2">
      <c r="Q1016" s="141"/>
      <c r="T1016" s="141"/>
      <c r="U1016" s="162"/>
      <c r="X1016" s="183" t="str">
        <f t="shared" si="22"/>
        <v>1w</v>
      </c>
      <c r="Y1016" s="181">
        <f>_xll.qlCalendarAdvance(Calendar,Y1015,X1016,"f",FALSE)</f>
        <v>46028</v>
      </c>
      <c r="Z1016" s="184">
        <f>_xll.qlCalendarAdvance(Calendar,Y1016,NDays&amp;"D")</f>
        <v>46028</v>
      </c>
      <c r="AA1016" s="185">
        <v>5.0661284019468407E-2</v>
      </c>
      <c r="AB1016" s="182">
        <v>5.0289163467209796E-2</v>
      </c>
    </row>
    <row r="1017" spans="17:28" x14ac:dyDescent="0.2">
      <c r="Q1017" s="141"/>
      <c r="T1017" s="141"/>
      <c r="U1017" s="162"/>
      <c r="X1017" s="183" t="str">
        <f t="shared" si="22"/>
        <v>1w</v>
      </c>
      <c r="Y1017" s="181">
        <f>_xll.qlCalendarAdvance(Calendar,Y1016,X1017,"f",FALSE)</f>
        <v>46035</v>
      </c>
      <c r="Z1017" s="184">
        <f>_xll.qlCalendarAdvance(Calendar,Y1017,NDays&amp;"D")</f>
        <v>46035</v>
      </c>
      <c r="AA1017" s="185">
        <v>5.0665634873514165E-2</v>
      </c>
      <c r="AB1017" s="182">
        <v>5.0299368878266026E-2</v>
      </c>
    </row>
    <row r="1018" spans="17:28" x14ac:dyDescent="0.2">
      <c r="Q1018" s="141"/>
      <c r="T1018" s="141"/>
      <c r="U1018" s="162"/>
      <c r="X1018" s="183" t="str">
        <f t="shared" si="22"/>
        <v>1w</v>
      </c>
      <c r="Y1018" s="181">
        <f>_xll.qlCalendarAdvance(Calendar,Y1017,X1018,"f",FALSE)</f>
        <v>46042</v>
      </c>
      <c r="Z1018" s="184">
        <f>_xll.qlCalendarAdvance(Calendar,Y1018,NDays&amp;"D")</f>
        <v>46042</v>
      </c>
      <c r="AA1018" s="185">
        <v>5.0673750325630006E-2</v>
      </c>
      <c r="AB1018" s="182">
        <v>5.0309276756106414E-2</v>
      </c>
    </row>
    <row r="1019" spans="17:28" x14ac:dyDescent="0.2">
      <c r="Q1019" s="141"/>
      <c r="T1019" s="141"/>
      <c r="U1019" s="162"/>
      <c r="X1019" s="183" t="str">
        <f t="shared" si="22"/>
        <v>1w</v>
      </c>
      <c r="Y1019" s="181">
        <f>_xll.qlCalendarAdvance(Calendar,Y1018,X1019,"f",FALSE)</f>
        <v>46049</v>
      </c>
      <c r="Z1019" s="184">
        <f>_xll.qlCalendarAdvance(Calendar,Y1019,NDays&amp;"D")</f>
        <v>46049</v>
      </c>
      <c r="AA1019" s="185">
        <v>5.0681564583480387E-2</v>
      </c>
      <c r="AB1019" s="182">
        <v>5.0318887100568865E-2</v>
      </c>
    </row>
    <row r="1020" spans="17:28" x14ac:dyDescent="0.2">
      <c r="Q1020" s="141"/>
      <c r="T1020" s="141"/>
      <c r="U1020" s="162"/>
      <c r="X1020" s="183" t="str">
        <f t="shared" si="22"/>
        <v>1w</v>
      </c>
      <c r="Y1020" s="181">
        <f>_xll.qlCalendarAdvance(Calendar,Y1019,X1020,"f",FALSE)</f>
        <v>46056</v>
      </c>
      <c r="Z1020" s="184">
        <f>_xll.qlCalendarAdvance(Calendar,Y1020,NDays&amp;"D")</f>
        <v>46056</v>
      </c>
      <c r="AA1020" s="185">
        <v>5.0689077645347136E-2</v>
      </c>
      <c r="AB1020" s="182">
        <v>5.0328199911734428E-2</v>
      </c>
    </row>
    <row r="1021" spans="17:28" x14ac:dyDescent="0.2">
      <c r="Q1021" s="141"/>
      <c r="T1021" s="141"/>
      <c r="U1021" s="162"/>
      <c r="X1021" s="183" t="str">
        <f t="shared" si="22"/>
        <v>1w</v>
      </c>
      <c r="Y1021" s="181">
        <f>_xll.qlCalendarAdvance(Calendar,Y1020,X1021,"f",FALSE)</f>
        <v>46063</v>
      </c>
      <c r="Z1021" s="184">
        <f>_xll.qlCalendarAdvance(Calendar,Y1021,NDays&amp;"D")</f>
        <v>46063</v>
      </c>
      <c r="AA1021" s="185">
        <v>5.0696289509576907E-2</v>
      </c>
      <c r="AB1021" s="182">
        <v>5.0337215189522055E-2</v>
      </c>
    </row>
    <row r="1022" spans="17:28" x14ac:dyDescent="0.2">
      <c r="Q1022" s="141"/>
      <c r="T1022" s="141"/>
      <c r="U1022" s="162"/>
      <c r="X1022" s="183" t="str">
        <f t="shared" si="22"/>
        <v>1w</v>
      </c>
      <c r="Y1022" s="181">
        <f>_xll.qlCalendarAdvance(Calendar,Y1021,X1022,"f",FALSE)</f>
        <v>46070</v>
      </c>
      <c r="Z1022" s="184">
        <f>_xll.qlCalendarAdvance(Calendar,Y1022,NDays&amp;"D")</f>
        <v>46070</v>
      </c>
      <c r="AA1022" s="185">
        <v>5.0703200174580292E-2</v>
      </c>
      <c r="AB1022" s="182">
        <v>5.0345932933850701E-2</v>
      </c>
    </row>
    <row r="1023" spans="17:28" x14ac:dyDescent="0.2">
      <c r="Q1023" s="141"/>
      <c r="T1023" s="141"/>
      <c r="U1023" s="162"/>
      <c r="X1023" s="183" t="str">
        <f t="shared" si="22"/>
        <v>1w</v>
      </c>
      <c r="Y1023" s="181">
        <f>_xll.qlCalendarAdvance(Calendar,Y1022,X1023,"f",FALSE)</f>
        <v>46077</v>
      </c>
      <c r="Z1023" s="184">
        <f>_xll.qlCalendarAdvance(Calendar,Y1023,NDays&amp;"D")</f>
        <v>46077</v>
      </c>
      <c r="AA1023" s="185">
        <v>5.0709809638838116E-2</v>
      </c>
      <c r="AB1023" s="182">
        <v>5.0354353144801411E-2</v>
      </c>
    </row>
    <row r="1024" spans="17:28" x14ac:dyDescent="0.2">
      <c r="Q1024" s="141"/>
      <c r="T1024" s="141"/>
      <c r="U1024" s="162"/>
      <c r="X1024" s="183" t="str">
        <f t="shared" si="22"/>
        <v>1w</v>
      </c>
      <c r="Y1024" s="181">
        <f>_xll.qlCalendarAdvance(Calendar,Y1023,X1024,"f",FALSE)</f>
        <v>46084</v>
      </c>
      <c r="Z1024" s="184">
        <f>_xll.qlCalendarAdvance(Calendar,Y1024,NDays&amp;"D")</f>
        <v>46084</v>
      </c>
      <c r="AA1024" s="185">
        <v>5.0723919848087433E-2</v>
      </c>
      <c r="AB1024" s="182">
        <v>5.0362475822374186E-2</v>
      </c>
    </row>
    <row r="1025" spans="17:28" x14ac:dyDescent="0.2">
      <c r="Q1025" s="141"/>
      <c r="T1025" s="141"/>
      <c r="U1025" s="162"/>
      <c r="X1025" s="183" t="str">
        <f t="shared" si="22"/>
        <v>1w</v>
      </c>
      <c r="Y1025" s="181">
        <f>_xll.qlCalendarAdvance(Calendar,Y1024,X1025,"f",FALSE)</f>
        <v>46091</v>
      </c>
      <c r="Z1025" s="184">
        <f>_xll.qlCalendarAdvance(Calendar,Y1025,NDays&amp;"D")</f>
        <v>46091</v>
      </c>
      <c r="AA1025" s="185">
        <v>5.0729885524682647E-2</v>
      </c>
      <c r="AB1025" s="182">
        <v>5.037030096648798E-2</v>
      </c>
    </row>
    <row r="1026" spans="17:28" x14ac:dyDescent="0.2">
      <c r="Q1026" s="141"/>
      <c r="T1026" s="141"/>
      <c r="U1026" s="162"/>
      <c r="X1026" s="183" t="str">
        <f t="shared" si="22"/>
        <v>1w</v>
      </c>
      <c r="Y1026" s="181">
        <f>_xll.qlCalendarAdvance(Calendar,Y1025,X1026,"f",FALSE)</f>
        <v>46098</v>
      </c>
      <c r="Z1026" s="184">
        <f>_xll.qlCalendarAdvance(Calendar,Y1026,NDays&amp;"D")</f>
        <v>46098</v>
      </c>
      <c r="AA1026" s="185">
        <v>5.0735549913166679E-2</v>
      </c>
      <c r="AB1026" s="182">
        <v>5.0377828577061745E-2</v>
      </c>
    </row>
    <row r="1027" spans="17:28" x14ac:dyDescent="0.2">
      <c r="Q1027" s="141"/>
      <c r="T1027" s="141"/>
      <c r="U1027" s="162"/>
      <c r="X1027" s="183" t="str">
        <f t="shared" si="22"/>
        <v>1w</v>
      </c>
      <c r="Y1027" s="181">
        <f>_xll.qlCalendarAdvance(Calendar,Y1026,X1027,"f",FALSE)</f>
        <v>46105</v>
      </c>
      <c r="Z1027" s="184">
        <f>_xll.qlCalendarAdvance(Calendar,Y1027,NDays&amp;"D")</f>
        <v>46105</v>
      </c>
      <c r="AA1027" s="185">
        <v>5.074091301226482E-2</v>
      </c>
      <c r="AB1027" s="182">
        <v>5.0385058654176529E-2</v>
      </c>
    </row>
    <row r="1028" spans="17:28" x14ac:dyDescent="0.2">
      <c r="Q1028" s="141"/>
      <c r="T1028" s="141"/>
      <c r="U1028" s="162"/>
      <c r="X1028" s="183" t="str">
        <f t="shared" si="22"/>
        <v>1w</v>
      </c>
      <c r="Y1028" s="181">
        <f>_xll.qlCalendarAdvance(Calendar,Y1027,X1028,"f",FALSE)</f>
        <v>46112</v>
      </c>
      <c r="Z1028" s="184">
        <f>_xll.qlCalendarAdvance(Calendar,Y1028,NDays&amp;"D")</f>
        <v>46112</v>
      </c>
      <c r="AA1028" s="185">
        <v>5.0742157681099999E-2</v>
      </c>
      <c r="AB1028" s="182">
        <v>5.0391991197832331E-2</v>
      </c>
    </row>
    <row r="1029" spans="17:28" x14ac:dyDescent="0.2">
      <c r="Q1029" s="141"/>
      <c r="T1029" s="141"/>
      <c r="U1029" s="162"/>
      <c r="X1029" s="183" t="str">
        <f t="shared" si="22"/>
        <v>1w</v>
      </c>
      <c r="Y1029" s="181">
        <f>_xll.qlCalendarAdvance(Calendar,Y1028,X1029,"f",FALSE)</f>
        <v>46119</v>
      </c>
      <c r="Z1029" s="184">
        <f>_xll.qlCalendarAdvance(Calendar,Y1029,NDays&amp;"D")</f>
        <v>46119</v>
      </c>
      <c r="AA1029" s="185">
        <v>5.0746939058193948E-2</v>
      </c>
      <c r="AB1029" s="182">
        <v>5.0398626207704966E-2</v>
      </c>
    </row>
    <row r="1030" spans="17:28" x14ac:dyDescent="0.2">
      <c r="Q1030" s="141"/>
      <c r="T1030" s="141"/>
      <c r="U1030" s="162"/>
      <c r="X1030" s="183" t="str">
        <f t="shared" si="22"/>
        <v>1w</v>
      </c>
      <c r="Y1030" s="181">
        <f>_xll.qlCalendarAdvance(Calendar,Y1029,X1030,"f",FALSE)</f>
        <v>46126</v>
      </c>
      <c r="Z1030" s="184">
        <f>_xll.qlCalendarAdvance(Calendar,Y1030,NDays&amp;"D")</f>
        <v>46126</v>
      </c>
      <c r="AA1030" s="185">
        <v>5.0751419184124694E-2</v>
      </c>
      <c r="AB1030" s="182">
        <v>5.0404963684280712E-2</v>
      </c>
    </row>
    <row r="1031" spans="17:28" x14ac:dyDescent="0.2">
      <c r="Q1031" s="141"/>
      <c r="T1031" s="141"/>
      <c r="U1031" s="162"/>
      <c r="X1031" s="183" t="str">
        <f t="shared" si="22"/>
        <v>1w</v>
      </c>
      <c r="Y1031" s="181">
        <f>_xll.qlCalendarAdvance(Calendar,Y1030,X1031,"f",FALSE)</f>
        <v>46133</v>
      </c>
      <c r="Z1031" s="184">
        <f>_xll.qlCalendarAdvance(Calendar,Y1031,NDays&amp;"D")</f>
        <v>46133</v>
      </c>
      <c r="AA1031" s="185">
        <v>5.0755598057892058E-2</v>
      </c>
      <c r="AB1031" s="182">
        <v>5.0411003627397477E-2</v>
      </c>
    </row>
    <row r="1032" spans="17:28" x14ac:dyDescent="0.2">
      <c r="Q1032" s="141"/>
      <c r="T1032" s="141"/>
      <c r="U1032" s="162"/>
      <c r="X1032" s="183" t="str">
        <f t="shared" si="22"/>
        <v>1w</v>
      </c>
      <c r="Y1032" s="181">
        <f>_xll.qlCalendarAdvance(Calendar,Y1031,X1032,"f",FALSE)</f>
        <v>46140</v>
      </c>
      <c r="Z1032" s="184">
        <f>_xll.qlCalendarAdvance(Calendar,Y1032,NDays&amp;"D")</f>
        <v>46140</v>
      </c>
      <c r="AA1032" s="185">
        <v>5.0759475678569803E-2</v>
      </c>
      <c r="AB1032" s="182">
        <v>5.0416746036731075E-2</v>
      </c>
    </row>
    <row r="1033" spans="17:28" x14ac:dyDescent="0.2">
      <c r="Q1033" s="141"/>
      <c r="T1033" s="141"/>
      <c r="U1033" s="162"/>
      <c r="X1033" s="183" t="str">
        <f t="shared" si="22"/>
        <v>1w</v>
      </c>
      <c r="Y1033" s="181">
        <f>_xll.qlCalendarAdvance(Calendar,Y1032,X1033,"f",FALSE)</f>
        <v>46147</v>
      </c>
      <c r="Z1033" s="184">
        <f>_xll.qlCalendarAdvance(Calendar,Y1033,NDays&amp;"D")</f>
        <v>46147</v>
      </c>
      <c r="AA1033" s="185">
        <v>5.0766764466953176E-2</v>
      </c>
      <c r="AB1033" s="182">
        <v>5.0422190912605691E-2</v>
      </c>
    </row>
    <row r="1034" spans="17:28" x14ac:dyDescent="0.2">
      <c r="Q1034" s="141"/>
      <c r="T1034" s="141"/>
      <c r="U1034" s="162"/>
      <c r="X1034" s="183" t="str">
        <f t="shared" si="22"/>
        <v>1w</v>
      </c>
      <c r="Y1034" s="181">
        <f>_xll.qlCalendarAdvance(Calendar,Y1033,X1034,"f",FALSE)</f>
        <v>46154</v>
      </c>
      <c r="Z1034" s="184">
        <f>_xll.qlCalendarAdvance(Calendar,Y1034,NDays&amp;"D")</f>
        <v>46154</v>
      </c>
      <c r="AA1034" s="185">
        <v>5.0770018510370885E-2</v>
      </c>
      <c r="AB1034" s="182">
        <v>5.0427338254778187E-2</v>
      </c>
    </row>
    <row r="1035" spans="17:28" x14ac:dyDescent="0.2">
      <c r="Q1035" s="141"/>
      <c r="T1035" s="141"/>
      <c r="U1035" s="162"/>
      <c r="X1035" s="183" t="str">
        <f t="shared" si="22"/>
        <v>1w</v>
      </c>
      <c r="Y1035" s="181">
        <f>_xll.qlCalendarAdvance(Calendar,Y1034,X1035,"f",FALSE)</f>
        <v>46161</v>
      </c>
      <c r="Z1035" s="184">
        <f>_xll.qlCalendarAdvance(Calendar,Y1035,NDays&amp;"D")</f>
        <v>46161</v>
      </c>
      <c r="AA1035" s="185">
        <v>5.0772971256648682E-2</v>
      </c>
      <c r="AB1035" s="182">
        <v>5.0432188063410655E-2</v>
      </c>
    </row>
    <row r="1036" spans="17:28" x14ac:dyDescent="0.2">
      <c r="Q1036" s="141"/>
      <c r="T1036" s="141"/>
      <c r="U1036" s="162"/>
      <c r="X1036" s="183" t="str">
        <f t="shared" si="22"/>
        <v>1w</v>
      </c>
      <c r="Y1036" s="181">
        <f>_xll.qlCalendarAdvance(Calendar,Y1035,X1036,"f",FALSE)</f>
        <v>46168</v>
      </c>
      <c r="Z1036" s="184">
        <f>_xll.qlCalendarAdvance(Calendar,Y1036,NDays&amp;"D")</f>
        <v>46168</v>
      </c>
      <c r="AA1036" s="185">
        <v>5.077562270512323E-2</v>
      </c>
      <c r="AB1036" s="182">
        <v>5.0436740338341002E-2</v>
      </c>
    </row>
    <row r="1037" spans="17:28" x14ac:dyDescent="0.2">
      <c r="Q1037" s="141"/>
      <c r="T1037" s="141"/>
      <c r="U1037" s="162"/>
      <c r="X1037" s="183" t="str">
        <f t="shared" si="22"/>
        <v>1w</v>
      </c>
      <c r="Y1037" s="181">
        <f>_xll.qlCalendarAdvance(Calendar,Y1036,X1037,"f",FALSE)</f>
        <v>46175</v>
      </c>
      <c r="Z1037" s="184">
        <f>_xll.qlCalendarAdvance(Calendar,Y1037,NDays&amp;"D")</f>
        <v>46175</v>
      </c>
      <c r="AA1037" s="185">
        <v>5.0777972855199888E-2</v>
      </c>
      <c r="AB1037" s="182">
        <v>5.0440995079650275E-2</v>
      </c>
    </row>
    <row r="1038" spans="17:28" x14ac:dyDescent="0.2">
      <c r="Q1038" s="141"/>
      <c r="T1038" s="141"/>
      <c r="U1038" s="162"/>
      <c r="X1038" s="183" t="str">
        <f t="shared" si="22"/>
        <v>1w</v>
      </c>
      <c r="Y1038" s="181">
        <f>_xll.qlCalendarAdvance(Calendar,Y1037,X1038,"f",FALSE)</f>
        <v>46182</v>
      </c>
      <c r="Z1038" s="184">
        <f>_xll.qlCalendarAdvance(Calendar,Y1038,NDays&amp;"D")</f>
        <v>46182</v>
      </c>
      <c r="AA1038" s="185">
        <v>5.0780021706345692E-2</v>
      </c>
      <c r="AB1038" s="182">
        <v>5.0444952287338474E-2</v>
      </c>
    </row>
    <row r="1039" spans="17:28" x14ac:dyDescent="0.2">
      <c r="Q1039" s="141"/>
      <c r="T1039" s="141"/>
      <c r="U1039" s="162"/>
      <c r="X1039" s="183" t="str">
        <f t="shared" si="22"/>
        <v>1w</v>
      </c>
      <c r="Y1039" s="181">
        <f>_xll.qlCalendarAdvance(Calendar,Y1038,X1039,"f",FALSE)</f>
        <v>46189</v>
      </c>
      <c r="Z1039" s="184">
        <f>_xll.qlCalendarAdvance(Calendar,Y1039,NDays&amp;"D")</f>
        <v>46189</v>
      </c>
      <c r="AA1039" s="185">
        <v>5.0781769258103439E-2</v>
      </c>
      <c r="AB1039" s="182">
        <v>5.0448611961405598E-2</v>
      </c>
    </row>
    <row r="1040" spans="17:28" x14ac:dyDescent="0.2">
      <c r="Q1040" s="141"/>
      <c r="T1040" s="141"/>
      <c r="U1040" s="162"/>
      <c r="X1040" s="183" t="str">
        <f t="shared" si="22"/>
        <v>1w</v>
      </c>
      <c r="Y1040" s="181">
        <f>_xll.qlCalendarAdvance(Calendar,Y1039,X1040,"f",FALSE)</f>
        <v>46196</v>
      </c>
      <c r="Z1040" s="184">
        <f>_xll.qlCalendarAdvance(Calendar,Y1040,NDays&amp;"D")</f>
        <v>46196</v>
      </c>
      <c r="AA1040" s="185">
        <v>5.0783220373836681E-2</v>
      </c>
      <c r="AB1040" s="182">
        <v>5.0451974101770602E-2</v>
      </c>
    </row>
    <row r="1041" spans="17:28" x14ac:dyDescent="0.2">
      <c r="Q1041" s="141"/>
      <c r="T1041" s="141"/>
      <c r="U1041" s="162"/>
      <c r="X1041" s="183" t="str">
        <f t="shared" si="22"/>
        <v>1w</v>
      </c>
      <c r="Y1041" s="181">
        <f>_xll.qlCalendarAdvance(Calendar,Y1040,X1041,"f",FALSE)</f>
        <v>46203</v>
      </c>
      <c r="Z1041" s="184">
        <f>_xll.qlCalendarAdvance(Calendar,Y1041,NDays&amp;"D")</f>
        <v>46203</v>
      </c>
      <c r="AA1041" s="185">
        <v>5.0784399372022865E-2</v>
      </c>
      <c r="AB1041" s="182">
        <v>5.0455038708595579E-2</v>
      </c>
    </row>
    <row r="1042" spans="17:28" x14ac:dyDescent="0.2">
      <c r="Q1042" s="141"/>
      <c r="T1042" s="141"/>
      <c r="U1042" s="162"/>
      <c r="X1042" s="183" t="str">
        <f t="shared" si="22"/>
        <v>1w</v>
      </c>
      <c r="Y1042" s="181">
        <f>_xll.qlCalendarAdvance(Calendar,Y1041,X1042,"f",FALSE)</f>
        <v>46210</v>
      </c>
      <c r="Z1042" s="184">
        <f>_xll.qlCalendarAdvance(Calendar,Y1042,NDays&amp;"D")</f>
        <v>46210</v>
      </c>
      <c r="AA1042" s="185">
        <v>5.078533543498398E-2</v>
      </c>
      <c r="AB1042" s="182">
        <v>5.0457805781556342E-2</v>
      </c>
    </row>
    <row r="1043" spans="17:28" x14ac:dyDescent="0.2">
      <c r="Q1043" s="141"/>
      <c r="T1043" s="141"/>
      <c r="U1043" s="162"/>
      <c r="X1043" s="183" t="str">
        <f t="shared" si="22"/>
        <v>1w</v>
      </c>
      <c r="Y1043" s="181">
        <f>_xll.qlCalendarAdvance(Calendar,Y1042,X1043,"f",FALSE)</f>
        <v>46217</v>
      </c>
      <c r="Z1043" s="184">
        <f>_xll.qlCalendarAdvance(Calendar,Y1043,NDays&amp;"D")</f>
        <v>46217</v>
      </c>
      <c r="AA1043" s="185">
        <v>5.0786057745120426E-2</v>
      </c>
      <c r="AB1043" s="182">
        <v>5.0460275320814985E-2</v>
      </c>
    </row>
    <row r="1044" spans="17:28" x14ac:dyDescent="0.2">
      <c r="Q1044" s="141"/>
      <c r="T1044" s="141"/>
      <c r="U1044" s="162"/>
      <c r="X1044" s="183" t="str">
        <f t="shared" si="22"/>
        <v>1w</v>
      </c>
      <c r="Y1044" s="181">
        <f>_xll.qlCalendarAdvance(Calendar,Y1043,X1044,"f",FALSE)</f>
        <v>46224</v>
      </c>
      <c r="Z1044" s="184">
        <f>_xll.qlCalendarAdvance(Calendar,Y1044,NDays&amp;"D")</f>
        <v>46224</v>
      </c>
      <c r="AA1044" s="185">
        <v>5.0786595484891631E-2</v>
      </c>
      <c r="AB1044" s="182">
        <v>5.0462447326533599E-2</v>
      </c>
    </row>
    <row r="1045" spans="17:28" x14ac:dyDescent="0.2">
      <c r="Q1045" s="141"/>
      <c r="T1045" s="141"/>
      <c r="U1045" s="162"/>
      <c r="X1045" s="183" t="str">
        <f t="shared" ref="X1045:X1108" si="23">X1044</f>
        <v>1w</v>
      </c>
      <c r="Y1045" s="181">
        <f>_xll.qlCalendarAdvance(Calendar,Y1044,X1045,"f",FALSE)</f>
        <v>46231</v>
      </c>
      <c r="Z1045" s="184">
        <f>_xll.qlCalendarAdvance(Calendar,Y1045,NDays&amp;"D")</f>
        <v>46231</v>
      </c>
      <c r="AA1045" s="185">
        <v>5.0786977836794887E-2</v>
      </c>
      <c r="AB1045" s="182">
        <v>5.0464321798469047E-2</v>
      </c>
    </row>
    <row r="1046" spans="17:28" x14ac:dyDescent="0.2">
      <c r="Q1046" s="141"/>
      <c r="T1046" s="141"/>
      <c r="U1046" s="162"/>
      <c r="X1046" s="183" t="str">
        <f t="shared" si="23"/>
        <v>1w</v>
      </c>
      <c r="Y1046" s="181">
        <f>_xll.qlCalendarAdvance(Calendar,Y1045,X1046,"f",FALSE)</f>
        <v>46238</v>
      </c>
      <c r="Z1046" s="184">
        <f>_xll.qlCalendarAdvance(Calendar,Y1046,NDays&amp;"D")</f>
        <v>46238</v>
      </c>
      <c r="AA1046" s="185">
        <v>5.0787233983369776E-2</v>
      </c>
      <c r="AB1046" s="182">
        <v>5.0465898736702375E-2</v>
      </c>
    </row>
    <row r="1047" spans="17:28" x14ac:dyDescent="0.2">
      <c r="Q1047" s="141"/>
      <c r="T1047" s="141"/>
      <c r="U1047" s="162"/>
      <c r="X1047" s="183" t="str">
        <f t="shared" si="23"/>
        <v>1w</v>
      </c>
      <c r="Y1047" s="181">
        <f>_xll.qlCalendarAdvance(Calendar,Y1046,X1047,"f",FALSE)</f>
        <v>46245</v>
      </c>
      <c r="Z1047" s="184">
        <f>_xll.qlCalendarAdvance(Calendar,Y1047,NDays&amp;"D")</f>
        <v>46245</v>
      </c>
      <c r="AA1047" s="185">
        <v>5.078739310716382E-2</v>
      </c>
      <c r="AB1047" s="182">
        <v>5.0467178141233582E-2</v>
      </c>
    </row>
    <row r="1048" spans="17:28" x14ac:dyDescent="0.2">
      <c r="Q1048" s="141"/>
      <c r="T1048" s="141"/>
      <c r="U1048" s="162"/>
      <c r="X1048" s="183" t="str">
        <f t="shared" si="23"/>
        <v>1w</v>
      </c>
      <c r="Y1048" s="181">
        <f>_xll.qlCalendarAdvance(Calendar,Y1047,X1048,"f",FALSE)</f>
        <v>46252</v>
      </c>
      <c r="Z1048" s="184">
        <f>_xll.qlCalendarAdvance(Calendar,Y1048,NDays&amp;"D")</f>
        <v>46252</v>
      </c>
      <c r="AA1048" s="185">
        <v>5.078748439075096E-2</v>
      </c>
      <c r="AB1048" s="182">
        <v>5.0468160011981622E-2</v>
      </c>
    </row>
    <row r="1049" spans="17:28" x14ac:dyDescent="0.2">
      <c r="Q1049" s="141"/>
      <c r="T1049" s="141"/>
      <c r="U1049" s="162"/>
      <c r="X1049" s="183" t="str">
        <f t="shared" si="23"/>
        <v>1w</v>
      </c>
      <c r="Y1049" s="181">
        <f>_xll.qlCalendarAdvance(Calendar,Y1048,X1049,"f",FALSE)</f>
        <v>46259</v>
      </c>
      <c r="Z1049" s="184">
        <f>_xll.qlCalendarAdvance(Calendar,Y1049,NDays&amp;"D")</f>
        <v>46259</v>
      </c>
      <c r="AA1049" s="185">
        <v>5.0787537016701613E-2</v>
      </c>
      <c r="AB1049" s="182">
        <v>5.0468844349108588E-2</v>
      </c>
    </row>
    <row r="1050" spans="17:28" x14ac:dyDescent="0.2">
      <c r="Q1050" s="141"/>
      <c r="T1050" s="141"/>
      <c r="U1050" s="162"/>
      <c r="X1050" s="183" t="str">
        <f t="shared" si="23"/>
        <v>1w</v>
      </c>
      <c r="Y1050" s="181">
        <f>_xll.qlCalendarAdvance(Calendar,Y1049,X1050,"f",FALSE)</f>
        <v>46266</v>
      </c>
      <c r="Z1050" s="184">
        <f>_xll.qlCalendarAdvance(Calendar,Y1050,NDays&amp;"D")</f>
        <v>46266</v>
      </c>
      <c r="AA1050" s="185">
        <v>5.0784050151362836E-2</v>
      </c>
      <c r="AB1050" s="182">
        <v>5.046923115261448E-2</v>
      </c>
    </row>
    <row r="1051" spans="17:28" x14ac:dyDescent="0.2">
      <c r="Q1051" s="141"/>
      <c r="T1051" s="141"/>
      <c r="U1051" s="162"/>
      <c r="X1051" s="183" t="str">
        <f t="shared" si="23"/>
        <v>1w</v>
      </c>
      <c r="Y1051" s="181">
        <f>_xll.qlCalendarAdvance(Calendar,Y1050,X1051,"f",FALSE)</f>
        <v>46273</v>
      </c>
      <c r="Z1051" s="184">
        <f>_xll.qlCalendarAdvance(Calendar,Y1051,NDays&amp;"D")</f>
        <v>46273</v>
      </c>
      <c r="AA1051" s="185">
        <v>5.0784107573567445E-2</v>
      </c>
      <c r="AB1051" s="182">
        <v>5.0469320422256159E-2</v>
      </c>
    </row>
    <row r="1052" spans="17:28" x14ac:dyDescent="0.2">
      <c r="Q1052" s="141"/>
      <c r="T1052" s="141"/>
      <c r="U1052" s="162"/>
      <c r="X1052" s="183" t="str">
        <f t="shared" si="23"/>
        <v>1w</v>
      </c>
      <c r="Y1052" s="181">
        <f>_xll.qlCalendarAdvance(Calendar,Y1051,X1052,"f",FALSE)</f>
        <v>46280</v>
      </c>
      <c r="Z1052" s="184">
        <f>_xll.qlCalendarAdvance(Calendar,Y1052,NDays&amp;"D")</f>
        <v>46280</v>
      </c>
      <c r="AA1052" s="185">
        <v>5.0784213512670116E-2</v>
      </c>
      <c r="AB1052" s="182">
        <v>5.0469112158276763E-2</v>
      </c>
    </row>
    <row r="1053" spans="17:28" x14ac:dyDescent="0.2">
      <c r="Q1053" s="141"/>
      <c r="T1053" s="141"/>
      <c r="U1053" s="162"/>
      <c r="X1053" s="183" t="str">
        <f t="shared" si="23"/>
        <v>1w</v>
      </c>
      <c r="Y1053" s="181">
        <f>_xll.qlCalendarAdvance(Calendar,Y1052,X1053,"f",FALSE)</f>
        <v>46287</v>
      </c>
      <c r="Z1053" s="184">
        <f>_xll.qlCalendarAdvance(Calendar,Y1053,NDays&amp;"D")</f>
        <v>46287</v>
      </c>
      <c r="AA1053" s="185">
        <v>5.0784394371740274E-2</v>
      </c>
      <c r="AB1053" s="182">
        <v>5.0468769968884386E-2</v>
      </c>
    </row>
    <row r="1054" spans="17:28" x14ac:dyDescent="0.2">
      <c r="Q1054" s="141"/>
      <c r="T1054" s="141"/>
      <c r="U1054" s="162"/>
      <c r="X1054" s="183" t="str">
        <f t="shared" si="23"/>
        <v>1w</v>
      </c>
      <c r="Y1054" s="181">
        <f>_xll.qlCalendarAdvance(Calendar,Y1053,X1054,"f",FALSE)</f>
        <v>46294</v>
      </c>
      <c r="Z1054" s="184">
        <f>_xll.qlCalendarAdvance(Calendar,Y1054,NDays&amp;"D")</f>
        <v>46294</v>
      </c>
      <c r="AA1054" s="185">
        <v>5.0784657446748489E-2</v>
      </c>
      <c r="AB1054" s="182">
        <v>5.0468507704659604E-2</v>
      </c>
    </row>
    <row r="1055" spans="17:28" x14ac:dyDescent="0.2">
      <c r="Q1055" s="141"/>
      <c r="T1055" s="141"/>
      <c r="U1055" s="162"/>
      <c r="X1055" s="183" t="str">
        <f t="shared" si="23"/>
        <v>1w</v>
      </c>
      <c r="Y1055" s="181">
        <f>_xll.qlCalendarAdvance(Calendar,Y1054,X1055,"f",FALSE)</f>
        <v>46301</v>
      </c>
      <c r="Z1055" s="184">
        <f>_xll.qlCalendarAdvance(Calendar,Y1055,NDays&amp;"D")</f>
        <v>46301</v>
      </c>
      <c r="AA1055" s="185">
        <v>5.078856174610865E-2</v>
      </c>
      <c r="AB1055" s="182">
        <v>5.0468326653833051E-2</v>
      </c>
    </row>
    <row r="1056" spans="17:28" x14ac:dyDescent="0.2">
      <c r="Q1056" s="141"/>
      <c r="T1056" s="141"/>
      <c r="U1056" s="162"/>
      <c r="X1056" s="183" t="str">
        <f t="shared" si="23"/>
        <v>1w</v>
      </c>
      <c r="Y1056" s="181">
        <f>_xll.qlCalendarAdvance(Calendar,Y1055,X1056,"f",FALSE)</f>
        <v>46308</v>
      </c>
      <c r="Z1056" s="184">
        <f>_xll.qlCalendarAdvance(Calendar,Y1056,NDays&amp;"D")</f>
        <v>46308</v>
      </c>
      <c r="AA1056" s="185">
        <v>5.0788995215241994E-2</v>
      </c>
      <c r="AB1056" s="182">
        <v>5.046822681632368E-2</v>
      </c>
    </row>
    <row r="1057" spans="17:28" x14ac:dyDescent="0.2">
      <c r="Q1057" s="141"/>
      <c r="T1057" s="141"/>
      <c r="U1057" s="162"/>
      <c r="X1057" s="183" t="str">
        <f t="shared" si="23"/>
        <v>1w</v>
      </c>
      <c r="Y1057" s="181">
        <f>_xll.qlCalendarAdvance(Calendar,Y1056,X1057,"f",FALSE)</f>
        <v>46315</v>
      </c>
      <c r="Z1057" s="184">
        <f>_xll.qlCalendarAdvance(Calendar,Y1057,NDays&amp;"D")</f>
        <v>46315</v>
      </c>
      <c r="AA1057" s="185">
        <v>5.0789510926086127E-2</v>
      </c>
      <c r="AB1057" s="182">
        <v>5.0468208192212538E-2</v>
      </c>
    </row>
    <row r="1058" spans="17:28" x14ac:dyDescent="0.2">
      <c r="Q1058" s="141"/>
      <c r="T1058" s="141"/>
      <c r="U1058" s="162"/>
      <c r="X1058" s="183" t="str">
        <f t="shared" si="23"/>
        <v>1w</v>
      </c>
      <c r="Y1058" s="181">
        <f>_xll.qlCalendarAdvance(Calendar,Y1057,X1058,"f",FALSE)</f>
        <v>46322</v>
      </c>
      <c r="Z1058" s="184">
        <f>_xll.qlCalendarAdvance(Calendar,Y1058,NDays&amp;"D")</f>
        <v>46322</v>
      </c>
      <c r="AA1058" s="185">
        <v>5.0790108878670137E-2</v>
      </c>
      <c r="AB1058" s="182">
        <v>5.0468270781418578E-2</v>
      </c>
    </row>
    <row r="1059" spans="17:28" x14ac:dyDescent="0.2">
      <c r="Q1059" s="141"/>
      <c r="T1059" s="141"/>
      <c r="U1059" s="162"/>
      <c r="X1059" s="183" t="str">
        <f t="shared" si="23"/>
        <v>1w</v>
      </c>
      <c r="Y1059" s="181">
        <f>_xll.qlCalendarAdvance(Calendar,Y1058,X1059,"f",FALSE)</f>
        <v>46329</v>
      </c>
      <c r="Z1059" s="184">
        <f>_xll.qlCalendarAdvance(Calendar,Y1059,NDays&amp;"D")</f>
        <v>46329</v>
      </c>
      <c r="AA1059" s="185">
        <v>5.0790789073031889E-2</v>
      </c>
      <c r="AB1059" s="182">
        <v>5.0468414584103893E-2</v>
      </c>
    </row>
    <row r="1060" spans="17:28" x14ac:dyDescent="0.2">
      <c r="Q1060" s="141"/>
      <c r="T1060" s="141"/>
      <c r="U1060" s="162"/>
      <c r="X1060" s="183" t="str">
        <f t="shared" si="23"/>
        <v>1w</v>
      </c>
      <c r="Y1060" s="181">
        <f>_xll.qlCalendarAdvance(Calendar,Y1059,X1060,"f",FALSE)</f>
        <v>46336</v>
      </c>
      <c r="Z1060" s="184">
        <f>_xll.qlCalendarAdvance(Calendar,Y1060,NDays&amp;"D")</f>
        <v>46336</v>
      </c>
      <c r="AA1060" s="185">
        <v>5.0791551509214557E-2</v>
      </c>
      <c r="AB1060" s="182">
        <v>5.0468639600025345E-2</v>
      </c>
    </row>
    <row r="1061" spans="17:28" x14ac:dyDescent="0.2">
      <c r="Q1061" s="141"/>
      <c r="T1061" s="141"/>
      <c r="U1061" s="162"/>
      <c r="X1061" s="183" t="str">
        <f t="shared" si="23"/>
        <v>1w</v>
      </c>
      <c r="Y1061" s="181">
        <f>_xll.qlCalendarAdvance(Calendar,Y1060,X1061,"f",FALSE)</f>
        <v>46343</v>
      </c>
      <c r="Z1061" s="184">
        <f>_xll.qlCalendarAdvance(Calendar,Y1061,NDays&amp;"D")</f>
        <v>46343</v>
      </c>
      <c r="AA1061" s="185">
        <v>5.0792396187263063E-2</v>
      </c>
      <c r="AB1061" s="182">
        <v>5.0468945829426071E-2</v>
      </c>
    </row>
    <row r="1062" spans="17:28" x14ac:dyDescent="0.2">
      <c r="Q1062" s="141"/>
      <c r="T1062" s="141"/>
      <c r="U1062" s="162"/>
      <c r="X1062" s="183" t="str">
        <f t="shared" si="23"/>
        <v>1w</v>
      </c>
      <c r="Y1062" s="181">
        <f>_xll.qlCalendarAdvance(Calendar,Y1061,X1062,"f",FALSE)</f>
        <v>46350</v>
      </c>
      <c r="Z1062" s="184">
        <f>_xll.qlCalendarAdvance(Calendar,Y1062,NDays&amp;"D")</f>
        <v>46350</v>
      </c>
      <c r="AA1062" s="185">
        <v>5.0793323107229386E-2</v>
      </c>
      <c r="AB1062" s="182">
        <v>5.0469333272062933E-2</v>
      </c>
    </row>
    <row r="1063" spans="17:28" x14ac:dyDescent="0.2">
      <c r="Q1063" s="141"/>
      <c r="T1063" s="141"/>
      <c r="U1063" s="162"/>
      <c r="X1063" s="183" t="str">
        <f t="shared" si="23"/>
        <v>1w</v>
      </c>
      <c r="Y1063" s="181">
        <f>_xll.qlCalendarAdvance(Calendar,Y1062,X1063,"f",FALSE)</f>
        <v>46357</v>
      </c>
      <c r="Z1063" s="184">
        <f>_xll.qlCalendarAdvance(Calendar,Y1063,NDays&amp;"D")</f>
        <v>46357</v>
      </c>
      <c r="AA1063" s="185">
        <v>5.0787119615941824E-2</v>
      </c>
      <c r="AB1063" s="182">
        <v>5.0469801928016977E-2</v>
      </c>
    </row>
    <row r="1064" spans="17:28" x14ac:dyDescent="0.2">
      <c r="Q1064" s="141"/>
      <c r="T1064" s="141"/>
      <c r="U1064" s="162"/>
      <c r="X1064" s="183" t="str">
        <f t="shared" si="23"/>
        <v>1w</v>
      </c>
      <c r="Y1064" s="181">
        <f>_xll.qlCalendarAdvance(Calendar,Y1063,X1064,"f",FALSE)</f>
        <v>46364</v>
      </c>
      <c r="Z1064" s="184">
        <f>_xll.qlCalendarAdvance(Calendar,Y1064,NDays&amp;"D")</f>
        <v>46364</v>
      </c>
      <c r="AA1064" s="185">
        <v>5.0788198972498214E-2</v>
      </c>
      <c r="AB1064" s="182">
        <v>5.0470351797450297E-2</v>
      </c>
    </row>
    <row r="1065" spans="17:28" x14ac:dyDescent="0.2">
      <c r="Q1065" s="141"/>
      <c r="T1065" s="141"/>
      <c r="U1065" s="162"/>
      <c r="X1065" s="183" t="str">
        <f t="shared" si="23"/>
        <v>1w</v>
      </c>
      <c r="Y1065" s="181">
        <f>_xll.qlCalendarAdvance(Calendar,Y1064,X1065,"f",FALSE)</f>
        <v>46371</v>
      </c>
      <c r="Z1065" s="184">
        <f>_xll.qlCalendarAdvance(Calendar,Y1065,NDays&amp;"D")</f>
        <v>46371</v>
      </c>
      <c r="AA1065" s="185">
        <v>5.0789360548400171E-2</v>
      </c>
      <c r="AB1065" s="182">
        <v>5.0470982880281845E-2</v>
      </c>
    </row>
    <row r="1066" spans="17:28" x14ac:dyDescent="0.2">
      <c r="Q1066" s="141"/>
      <c r="T1066" s="141"/>
      <c r="U1066" s="162"/>
      <c r="X1066" s="183" t="str">
        <f t="shared" si="23"/>
        <v>1w</v>
      </c>
      <c r="Y1066" s="181">
        <f>_xll.qlCalendarAdvance(Calendar,Y1065,X1066,"f",FALSE)</f>
        <v>46378</v>
      </c>
      <c r="Z1066" s="184">
        <f>_xll.qlCalendarAdvance(Calendar,Y1066,NDays&amp;"D")</f>
        <v>46378</v>
      </c>
      <c r="AA1066" s="185">
        <v>5.0790604343717939E-2</v>
      </c>
      <c r="AB1066" s="182">
        <v>5.0471695176430575E-2</v>
      </c>
    </row>
    <row r="1067" spans="17:28" x14ac:dyDescent="0.2">
      <c r="Q1067" s="141"/>
      <c r="T1067" s="141"/>
      <c r="U1067" s="162"/>
      <c r="X1067" s="183" t="str">
        <f t="shared" si="23"/>
        <v>1w</v>
      </c>
      <c r="Y1067" s="181">
        <f>_xll.qlCalendarAdvance(Calendar,Y1066,X1067,"f",FALSE)</f>
        <v>46385</v>
      </c>
      <c r="Z1067" s="184">
        <f>_xll.qlCalendarAdvance(Calendar,Y1067,NDays&amp;"D")</f>
        <v>46385</v>
      </c>
      <c r="AA1067" s="185">
        <v>5.0795560390824779E-2</v>
      </c>
      <c r="AB1067" s="182">
        <v>5.0472488685896488E-2</v>
      </c>
    </row>
    <row r="1068" spans="17:28" x14ac:dyDescent="0.2">
      <c r="Q1068" s="141"/>
      <c r="T1068" s="141"/>
      <c r="U1068" s="162"/>
      <c r="X1068" s="183" t="str">
        <f t="shared" si="23"/>
        <v>1w</v>
      </c>
      <c r="Y1068" s="181">
        <f>_xll.qlCalendarAdvance(Calendar,Y1067,X1068,"f",FALSE)</f>
        <v>46392</v>
      </c>
      <c r="Z1068" s="184">
        <f>_xll.qlCalendarAdvance(Calendar,Y1068,NDays&amp;"D")</f>
        <v>46392</v>
      </c>
      <c r="AA1068" s="185">
        <v>5.0793338592898057E-2</v>
      </c>
      <c r="AB1068" s="182">
        <v>5.0473363408841676E-2</v>
      </c>
    </row>
    <row r="1069" spans="17:28" x14ac:dyDescent="0.2">
      <c r="Q1069" s="141"/>
      <c r="T1069" s="141"/>
      <c r="U1069" s="162"/>
      <c r="X1069" s="183" t="str">
        <f t="shared" si="23"/>
        <v>1w</v>
      </c>
      <c r="Y1069" s="181">
        <f>_xll.qlCalendarAdvance(Calendar,Y1068,X1069,"f",FALSE)</f>
        <v>46399</v>
      </c>
      <c r="Z1069" s="184">
        <f>_xll.qlCalendarAdvance(Calendar,Y1069,NDays&amp;"D")</f>
        <v>46399</v>
      </c>
      <c r="AA1069" s="185">
        <v>5.0794829046927906E-2</v>
      </c>
      <c r="AB1069" s="182">
        <v>5.0474319345023E-2</v>
      </c>
    </row>
    <row r="1070" spans="17:28" x14ac:dyDescent="0.2">
      <c r="Q1070" s="141"/>
      <c r="T1070" s="141"/>
      <c r="U1070" s="162"/>
      <c r="X1070" s="183" t="str">
        <f t="shared" si="23"/>
        <v>1w</v>
      </c>
      <c r="Y1070" s="181">
        <f>_xll.qlCalendarAdvance(Calendar,Y1069,X1070,"f",FALSE)</f>
        <v>46406</v>
      </c>
      <c r="Z1070" s="184">
        <f>_xll.qlCalendarAdvance(Calendar,Y1070,NDays&amp;"D")</f>
        <v>46406</v>
      </c>
      <c r="AA1070" s="185">
        <v>5.0796401720700449E-2</v>
      </c>
      <c r="AB1070" s="182">
        <v>5.0475356494683599E-2</v>
      </c>
    </row>
    <row r="1071" spans="17:28" x14ac:dyDescent="0.2">
      <c r="Q1071" s="141"/>
      <c r="T1071" s="141"/>
      <c r="U1071" s="162"/>
      <c r="X1071" s="183" t="str">
        <f t="shared" si="23"/>
        <v>1w</v>
      </c>
      <c r="Y1071" s="181">
        <f>_xll.qlCalendarAdvance(Calendar,Y1070,X1071,"f",FALSE)</f>
        <v>46414</v>
      </c>
      <c r="Z1071" s="184">
        <f>_xll.qlCalendarAdvance(Calendar,Y1071,NDays&amp;"D")</f>
        <v>46414</v>
      </c>
      <c r="AA1071" s="185">
        <v>5.0798299739512547E-2</v>
      </c>
      <c r="AB1071" s="182">
        <v>5.04766412534563E-2</v>
      </c>
    </row>
    <row r="1072" spans="17:28" x14ac:dyDescent="0.2">
      <c r="Q1072" s="141"/>
      <c r="T1072" s="141"/>
      <c r="U1072" s="162"/>
      <c r="X1072" s="183" t="str">
        <f t="shared" si="23"/>
        <v>1w</v>
      </c>
      <c r="Y1072" s="181">
        <f>_xll.qlCalendarAdvance(Calendar,Y1071,X1072,"f",FALSE)</f>
        <v>46421</v>
      </c>
      <c r="Z1072" s="184">
        <f>_xll.qlCalendarAdvance(Calendar,Y1072,NDays&amp;"D")</f>
        <v>46421</v>
      </c>
      <c r="AA1072" s="185">
        <v>5.0796388159343127E-2</v>
      </c>
      <c r="AB1072" s="182">
        <v>5.0477852431688452E-2</v>
      </c>
    </row>
    <row r="1073" spans="17:28" x14ac:dyDescent="0.2">
      <c r="Q1073" s="141"/>
      <c r="T1073" s="141"/>
      <c r="U1073" s="162"/>
      <c r="X1073" s="183" t="str">
        <f t="shared" si="23"/>
        <v>1w</v>
      </c>
      <c r="Y1073" s="181">
        <f>_xll.qlCalendarAdvance(Calendar,Y1072,X1073,"f",FALSE)</f>
        <v>46428</v>
      </c>
      <c r="Z1073" s="184">
        <f>_xll.qlCalendarAdvance(Calendar,Y1073,NDays&amp;"D")</f>
        <v>46428</v>
      </c>
      <c r="AA1073" s="185">
        <v>5.0798213113353294E-2</v>
      </c>
      <c r="AB1073" s="182">
        <v>5.0479144823318833E-2</v>
      </c>
    </row>
    <row r="1074" spans="17:28" x14ac:dyDescent="0.2">
      <c r="Q1074" s="141"/>
      <c r="T1074" s="141"/>
      <c r="U1074" s="162"/>
      <c r="X1074" s="183" t="str">
        <f t="shared" si="23"/>
        <v>1w</v>
      </c>
      <c r="Y1074" s="181">
        <f>_xll.qlCalendarAdvance(Calendar,Y1073,X1074,"f",FALSE)</f>
        <v>46435</v>
      </c>
      <c r="Z1074" s="184">
        <f>_xll.qlCalendarAdvance(Calendar,Y1074,NDays&amp;"D")</f>
        <v>46435</v>
      </c>
      <c r="AA1074" s="185">
        <v>5.080012027614024E-2</v>
      </c>
      <c r="AB1074" s="182">
        <v>5.0480518428266397E-2</v>
      </c>
    </row>
    <row r="1075" spans="17:28" x14ac:dyDescent="0.2">
      <c r="Q1075" s="141"/>
      <c r="T1075" s="141"/>
      <c r="U1075" s="162"/>
      <c r="X1075" s="183" t="str">
        <f t="shared" si="23"/>
        <v>1w</v>
      </c>
      <c r="Y1075" s="181">
        <f>_xll.qlCalendarAdvance(Calendar,Y1074,X1075,"f",FALSE)</f>
        <v>46442</v>
      </c>
      <c r="Z1075" s="184">
        <f>_xll.qlCalendarAdvance(Calendar,Y1075,NDays&amp;"D")</f>
        <v>46442</v>
      </c>
      <c r="AA1075" s="185">
        <v>5.0802109647817797E-2</v>
      </c>
      <c r="AB1075" s="182">
        <v>5.0481973246774281E-2</v>
      </c>
    </row>
    <row r="1076" spans="17:28" x14ac:dyDescent="0.2">
      <c r="Q1076" s="141"/>
      <c r="T1076" s="141"/>
      <c r="U1076" s="162"/>
      <c r="X1076" s="183" t="str">
        <f t="shared" si="23"/>
        <v>1w</v>
      </c>
      <c r="Y1076" s="181">
        <f>_xll.qlCalendarAdvance(Calendar,Y1075,X1076,"f",FALSE)</f>
        <v>46449</v>
      </c>
      <c r="Z1076" s="184">
        <f>_xll.qlCalendarAdvance(Calendar,Y1076,NDays&amp;"D")</f>
        <v>46449</v>
      </c>
      <c r="AA1076" s="185">
        <v>5.0815239045136358E-2</v>
      </c>
      <c r="AB1076" s="182">
        <v>5.0483509278437255E-2</v>
      </c>
    </row>
    <row r="1077" spans="17:28" x14ac:dyDescent="0.2">
      <c r="Q1077" s="141"/>
      <c r="T1077" s="141"/>
      <c r="U1077" s="162"/>
      <c r="X1077" s="183" t="str">
        <f t="shared" si="23"/>
        <v>1w</v>
      </c>
      <c r="Y1077" s="181">
        <f>_xll.qlCalendarAdvance(Calendar,Y1076,X1077,"f",FALSE)</f>
        <v>46456</v>
      </c>
      <c r="Z1077" s="184">
        <f>_xll.qlCalendarAdvance(Calendar,Y1077,NDays&amp;"D")</f>
        <v>46456</v>
      </c>
      <c r="AA1077" s="185">
        <v>5.0817411352588514E-2</v>
      </c>
      <c r="AB1077" s="182">
        <v>5.0485126523579504E-2</v>
      </c>
    </row>
    <row r="1078" spans="17:28" x14ac:dyDescent="0.2">
      <c r="Q1078" s="141"/>
      <c r="T1078" s="141"/>
      <c r="U1078" s="162"/>
      <c r="X1078" s="183" t="str">
        <f t="shared" si="23"/>
        <v>1w</v>
      </c>
      <c r="Y1078" s="181">
        <f>_xll.qlCalendarAdvance(Calendar,Y1077,X1078,"f",FALSE)</f>
        <v>46463</v>
      </c>
      <c r="Z1078" s="184">
        <f>_xll.qlCalendarAdvance(Calendar,Y1078,NDays&amp;"D")</f>
        <v>46463</v>
      </c>
      <c r="AA1078" s="185">
        <v>5.0819665903494841E-2</v>
      </c>
      <c r="AB1078" s="182">
        <v>5.048682498195789E-2</v>
      </c>
    </row>
    <row r="1079" spans="17:28" x14ac:dyDescent="0.2">
      <c r="Q1079" s="141"/>
      <c r="T1079" s="141"/>
      <c r="U1079" s="162"/>
      <c r="X1079" s="183" t="str">
        <f t="shared" si="23"/>
        <v>1w</v>
      </c>
      <c r="Y1079" s="181">
        <f>_xll.qlCalendarAdvance(Calendar,Y1078,X1079,"f",FALSE)</f>
        <v>46470</v>
      </c>
      <c r="Z1079" s="184">
        <f>_xll.qlCalendarAdvance(Calendar,Y1079,NDays&amp;"D")</f>
        <v>46470</v>
      </c>
      <c r="AA1079" s="185">
        <v>5.0822002697994535E-2</v>
      </c>
      <c r="AB1079" s="182">
        <v>5.048860465381555E-2</v>
      </c>
    </row>
    <row r="1080" spans="17:28" x14ac:dyDescent="0.2">
      <c r="Q1080" s="141"/>
      <c r="T1080" s="141"/>
      <c r="U1080" s="162"/>
      <c r="X1080" s="183" t="str">
        <f t="shared" si="23"/>
        <v>1w</v>
      </c>
      <c r="Y1080" s="181">
        <f>_xll.qlCalendarAdvance(Calendar,Y1079,X1080,"f",FALSE)</f>
        <v>46477</v>
      </c>
      <c r="Z1080" s="184">
        <f>_xll.qlCalendarAdvance(Calendar,Y1080,NDays&amp;"D")</f>
        <v>46477</v>
      </c>
      <c r="AA1080" s="185">
        <v>5.0820710102123211E-2</v>
      </c>
      <c r="AB1080" s="182">
        <v>5.0490465539152485E-2</v>
      </c>
    </row>
    <row r="1081" spans="17:28" x14ac:dyDescent="0.2">
      <c r="Q1081" s="141"/>
      <c r="T1081" s="141"/>
      <c r="U1081" s="162"/>
      <c r="X1081" s="183" t="str">
        <f t="shared" si="23"/>
        <v>1w</v>
      </c>
      <c r="Y1081" s="181">
        <f>_xll.qlCalendarAdvance(Calendar,Y1080,X1081,"f",FALSE)</f>
        <v>46484</v>
      </c>
      <c r="Z1081" s="184">
        <f>_xll.qlCalendarAdvance(Calendar,Y1081,NDays&amp;"D")</f>
        <v>46484</v>
      </c>
      <c r="AA1081" s="185">
        <v>5.0823205164418711E-2</v>
      </c>
      <c r="AB1081" s="182">
        <v>5.0492407637725556E-2</v>
      </c>
    </row>
    <row r="1082" spans="17:28" x14ac:dyDescent="0.2">
      <c r="Q1082" s="141"/>
      <c r="T1082" s="141"/>
      <c r="U1082" s="162"/>
      <c r="X1082" s="183" t="str">
        <f t="shared" si="23"/>
        <v>1w</v>
      </c>
      <c r="Y1082" s="181">
        <f>_xll.qlCalendarAdvance(Calendar,Y1081,X1082,"f",FALSE)</f>
        <v>46491</v>
      </c>
      <c r="Z1082" s="184">
        <f>_xll.qlCalendarAdvance(Calendar,Y1082,NDays&amp;"D")</f>
        <v>46491</v>
      </c>
      <c r="AA1082" s="185">
        <v>5.0825782459344236E-2</v>
      </c>
      <c r="AB1082" s="182">
        <v>5.0494430949696856E-2</v>
      </c>
    </row>
    <row r="1083" spans="17:28" x14ac:dyDescent="0.2">
      <c r="Q1083" s="141"/>
      <c r="T1083" s="141"/>
      <c r="U1083" s="162"/>
      <c r="X1083" s="183" t="str">
        <f t="shared" si="23"/>
        <v>1w</v>
      </c>
      <c r="Y1083" s="181">
        <f>_xll.qlCalendarAdvance(Calendar,Y1082,X1083,"f",FALSE)</f>
        <v>46498</v>
      </c>
      <c r="Z1083" s="184">
        <f>_xll.qlCalendarAdvance(Calendar,Y1083,NDays&amp;"D")</f>
        <v>46498</v>
      </c>
      <c r="AA1083" s="185">
        <v>5.0828441987056529E-2</v>
      </c>
      <c r="AB1083" s="182">
        <v>5.049653547514743E-2</v>
      </c>
    </row>
    <row r="1084" spans="17:28" x14ac:dyDescent="0.2">
      <c r="Q1084" s="141"/>
      <c r="T1084" s="141"/>
      <c r="U1084" s="162"/>
      <c r="X1084" s="183" t="str">
        <f t="shared" si="23"/>
        <v>1w</v>
      </c>
      <c r="Y1084" s="181">
        <f>_xll.qlCalendarAdvance(Calendar,Y1083,X1084,"f",FALSE)</f>
        <v>46505</v>
      </c>
      <c r="Z1084" s="184">
        <f>_xll.qlCalendarAdvance(Calendar,Y1084,NDays&amp;"D")</f>
        <v>46505</v>
      </c>
      <c r="AA1084" s="185">
        <v>5.0831183747716793E-2</v>
      </c>
      <c r="AB1084" s="182">
        <v>5.0498721213915188E-2</v>
      </c>
    </row>
    <row r="1085" spans="17:28" x14ac:dyDescent="0.2">
      <c r="Q1085" s="141"/>
      <c r="T1085" s="141"/>
      <c r="U1085" s="162"/>
      <c r="X1085" s="183" t="str">
        <f t="shared" si="23"/>
        <v>1w</v>
      </c>
      <c r="Y1085" s="181">
        <f>_xll.qlCalendarAdvance(Calendar,Y1084,X1085,"f",FALSE)</f>
        <v>46512</v>
      </c>
      <c r="Z1085" s="184">
        <f>_xll.qlCalendarAdvance(Calendar,Y1085,NDays&amp;"D")</f>
        <v>46512</v>
      </c>
      <c r="AA1085" s="185">
        <v>5.0837750588827439E-2</v>
      </c>
      <c r="AB1085" s="182">
        <v>5.0500988166000127E-2</v>
      </c>
    </row>
    <row r="1086" spans="17:28" x14ac:dyDescent="0.2">
      <c r="Q1086" s="141"/>
      <c r="T1086" s="141"/>
      <c r="U1086" s="162"/>
      <c r="X1086" s="183" t="str">
        <f t="shared" si="23"/>
        <v>1w</v>
      </c>
      <c r="Y1086" s="181">
        <f>_xll.qlCalendarAdvance(Calendar,Y1085,X1086,"f",FALSE)</f>
        <v>46519</v>
      </c>
      <c r="Z1086" s="184">
        <f>_xll.qlCalendarAdvance(Calendar,Y1086,NDays&amp;"D")</f>
        <v>46519</v>
      </c>
      <c r="AA1086" s="185">
        <v>5.0840663092776989E-2</v>
      </c>
      <c r="AB1086" s="182">
        <v>5.0503336331564341E-2</v>
      </c>
    </row>
    <row r="1087" spans="17:28" x14ac:dyDescent="0.2">
      <c r="Q1087" s="141"/>
      <c r="T1087" s="141"/>
      <c r="U1087" s="162"/>
      <c r="X1087" s="183" t="str">
        <f t="shared" si="23"/>
        <v>1w</v>
      </c>
      <c r="Y1087" s="181">
        <f>_xll.qlCalendarAdvance(Calendar,Y1086,X1087,"f",FALSE)</f>
        <v>46526</v>
      </c>
      <c r="Z1087" s="184">
        <f>_xll.qlCalendarAdvance(Calendar,Y1087,NDays&amp;"D")</f>
        <v>46526</v>
      </c>
      <c r="AA1087" s="185">
        <v>5.0843657841606951E-2</v>
      </c>
      <c r="AB1087" s="182">
        <v>5.0505765710445738E-2</v>
      </c>
    </row>
    <row r="1088" spans="17:28" x14ac:dyDescent="0.2">
      <c r="Q1088" s="141"/>
      <c r="T1088" s="141"/>
      <c r="U1088" s="162"/>
      <c r="X1088" s="183" t="str">
        <f t="shared" si="23"/>
        <v>1w</v>
      </c>
      <c r="Y1088" s="181">
        <f>_xll.qlCalendarAdvance(Calendar,Y1087,X1088,"f",FALSE)</f>
        <v>46533</v>
      </c>
      <c r="Z1088" s="184">
        <f>_xll.qlCalendarAdvance(Calendar,Y1088,NDays&amp;"D")</f>
        <v>46533</v>
      </c>
      <c r="AA1088" s="185">
        <v>5.084673483550408E-2</v>
      </c>
      <c r="AB1088" s="182">
        <v>5.0508276302725363E-2</v>
      </c>
    </row>
    <row r="1089" spans="17:28" x14ac:dyDescent="0.2">
      <c r="Q1089" s="141"/>
      <c r="T1089" s="141"/>
      <c r="U1089" s="162"/>
      <c r="X1089" s="183" t="str">
        <f t="shared" si="23"/>
        <v>1w</v>
      </c>
      <c r="Y1089" s="181">
        <f>_xll.qlCalendarAdvance(Calendar,Y1088,X1089,"f",FALSE)</f>
        <v>46540</v>
      </c>
      <c r="Z1089" s="184">
        <f>_xll.qlCalendarAdvance(Calendar,Y1089,NDays&amp;"D")</f>
        <v>46540</v>
      </c>
      <c r="AA1089" s="185">
        <v>5.0849894074656017E-2</v>
      </c>
      <c r="AB1089" s="182">
        <v>5.0510868108403217E-2</v>
      </c>
    </row>
    <row r="1090" spans="17:28" x14ac:dyDescent="0.2">
      <c r="Q1090" s="141"/>
      <c r="T1090" s="141"/>
      <c r="U1090" s="162"/>
      <c r="X1090" s="183" t="str">
        <f t="shared" si="23"/>
        <v>1w</v>
      </c>
      <c r="Y1090" s="181">
        <f>_xll.qlCalendarAdvance(Calendar,Y1089,X1090,"f",FALSE)</f>
        <v>46547</v>
      </c>
      <c r="Z1090" s="184">
        <f>_xll.qlCalendarAdvance(Calendar,Y1090,NDays&amp;"D")</f>
        <v>46547</v>
      </c>
      <c r="AA1090" s="185">
        <v>5.0853135559255691E-2</v>
      </c>
      <c r="AB1090" s="182">
        <v>5.0513541127398254E-2</v>
      </c>
    </row>
    <row r="1091" spans="17:28" x14ac:dyDescent="0.2">
      <c r="Q1091" s="141"/>
      <c r="T1091" s="141"/>
      <c r="U1091" s="162"/>
      <c r="X1091" s="183" t="str">
        <f t="shared" si="23"/>
        <v>1w</v>
      </c>
      <c r="Y1091" s="181">
        <f>_xll.qlCalendarAdvance(Calendar,Y1090,X1091,"f",FALSE)</f>
        <v>46554</v>
      </c>
      <c r="Z1091" s="184">
        <f>_xll.qlCalendarAdvance(Calendar,Y1091,NDays&amp;"D")</f>
        <v>46554</v>
      </c>
      <c r="AA1091" s="185">
        <v>5.0856459289503955E-2</v>
      </c>
      <c r="AB1091" s="182">
        <v>5.0516295359953611E-2</v>
      </c>
    </row>
    <row r="1092" spans="17:28" x14ac:dyDescent="0.2">
      <c r="Q1092" s="141"/>
      <c r="T1092" s="141"/>
      <c r="U1092" s="162"/>
      <c r="X1092" s="183" t="str">
        <f t="shared" si="23"/>
        <v>1w</v>
      </c>
      <c r="Y1092" s="181">
        <f>_xll.qlCalendarAdvance(Calendar,Y1091,X1092,"f",FALSE)</f>
        <v>46561</v>
      </c>
      <c r="Z1092" s="184">
        <f>_xll.qlCalendarAdvance(Calendar,Y1092,NDays&amp;"D")</f>
        <v>46561</v>
      </c>
      <c r="AA1092" s="185">
        <v>5.08598652656043E-2</v>
      </c>
      <c r="AB1092" s="182">
        <v>5.0519130805745105E-2</v>
      </c>
    </row>
    <row r="1093" spans="17:28" x14ac:dyDescent="0.2">
      <c r="Q1093" s="141"/>
      <c r="T1093" s="141"/>
      <c r="U1093" s="162"/>
      <c r="X1093" s="183" t="str">
        <f t="shared" si="23"/>
        <v>1w</v>
      </c>
      <c r="Y1093" s="181">
        <f>_xll.qlCalendarAdvance(Calendar,Y1092,X1093,"f",FALSE)</f>
        <v>46568</v>
      </c>
      <c r="Z1093" s="184">
        <f>_xll.qlCalendarAdvance(Calendar,Y1093,NDays&amp;"D")</f>
        <v>46568</v>
      </c>
      <c r="AA1093" s="185">
        <v>5.0863353487766397E-2</v>
      </c>
      <c r="AB1093" s="182">
        <v>5.052204746509692E-2</v>
      </c>
    </row>
    <row r="1094" spans="17:28" x14ac:dyDescent="0.2">
      <c r="Q1094" s="141"/>
      <c r="T1094" s="141"/>
      <c r="U1094" s="162"/>
      <c r="X1094" s="183" t="str">
        <f t="shared" si="23"/>
        <v>1w</v>
      </c>
      <c r="Y1094" s="181">
        <f>_xll.qlCalendarAdvance(Calendar,Y1093,X1094,"f",FALSE)</f>
        <v>46575</v>
      </c>
      <c r="Z1094" s="184">
        <f>_xll.qlCalendarAdvance(Calendar,Y1094,NDays&amp;"D")</f>
        <v>46575</v>
      </c>
      <c r="AA1094" s="185">
        <v>5.0866923956201668E-2</v>
      </c>
      <c r="AB1094" s="182">
        <v>5.0525045337765917E-2</v>
      </c>
    </row>
    <row r="1095" spans="17:28" x14ac:dyDescent="0.2">
      <c r="Q1095" s="141"/>
      <c r="T1095" s="141"/>
      <c r="U1095" s="162"/>
      <c r="X1095" s="183" t="str">
        <f t="shared" si="23"/>
        <v>1w</v>
      </c>
      <c r="Y1095" s="181">
        <f>_xll.qlCalendarAdvance(Calendar,Y1094,X1095,"f",FALSE)</f>
        <v>46582</v>
      </c>
      <c r="Z1095" s="184">
        <f>_xll.qlCalendarAdvance(Calendar,Y1095,NDays&amp;"D")</f>
        <v>46582</v>
      </c>
      <c r="AA1095" s="185">
        <v>5.087057667113299E-2</v>
      </c>
      <c r="AB1095" s="182">
        <v>5.0528124423752097E-2</v>
      </c>
    </row>
    <row r="1096" spans="17:28" x14ac:dyDescent="0.2">
      <c r="Q1096" s="141"/>
      <c r="T1096" s="141"/>
      <c r="U1096" s="162"/>
      <c r="X1096" s="183" t="str">
        <f t="shared" si="23"/>
        <v>1w</v>
      </c>
      <c r="Y1096" s="181">
        <f>_xll.qlCalendarAdvance(Calendar,Y1095,X1096,"f",FALSE)</f>
        <v>46589</v>
      </c>
      <c r="Z1096" s="184">
        <f>_xll.qlCalendarAdvance(Calendar,Y1096,NDays&amp;"D")</f>
        <v>46589</v>
      </c>
      <c r="AA1096" s="185">
        <v>5.087431163278236E-2</v>
      </c>
      <c r="AB1096" s="182">
        <v>5.0531284723217551E-2</v>
      </c>
    </row>
    <row r="1097" spans="17:28" x14ac:dyDescent="0.2">
      <c r="Q1097" s="141"/>
      <c r="T1097" s="141"/>
      <c r="U1097" s="162"/>
      <c r="X1097" s="183" t="str">
        <f t="shared" si="23"/>
        <v>1w</v>
      </c>
      <c r="Y1097" s="181">
        <f>_xll.qlCalendarAdvance(Calendar,Y1096,X1097,"f",FALSE)</f>
        <v>46596</v>
      </c>
      <c r="Z1097" s="184">
        <f>_xll.qlCalendarAdvance(Calendar,Y1097,NDays&amp;"D")</f>
        <v>46596</v>
      </c>
      <c r="AA1097" s="185">
        <v>5.0878128841380578E-2</v>
      </c>
      <c r="AB1097" s="182">
        <v>5.0534526236081234E-2</v>
      </c>
    </row>
    <row r="1098" spans="17:28" x14ac:dyDescent="0.2">
      <c r="Q1098" s="141"/>
      <c r="T1098" s="141"/>
      <c r="U1098" s="162"/>
      <c r="X1098" s="183" t="str">
        <f t="shared" si="23"/>
        <v>1w</v>
      </c>
      <c r="Y1098" s="181">
        <f>_xll.qlCalendarAdvance(Calendar,Y1097,X1098,"f",FALSE)</f>
        <v>46603</v>
      </c>
      <c r="Z1098" s="184">
        <f>_xll.qlCalendarAdvance(Calendar,Y1098,NDays&amp;"D")</f>
        <v>46603</v>
      </c>
      <c r="AA1098" s="185">
        <v>5.0882028297161097E-2</v>
      </c>
      <c r="AB1098" s="182">
        <v>5.0537848962343146E-2</v>
      </c>
    </row>
    <row r="1099" spans="17:28" x14ac:dyDescent="0.2">
      <c r="Q1099" s="141"/>
      <c r="T1099" s="141"/>
      <c r="U1099" s="162"/>
      <c r="X1099" s="183" t="str">
        <f t="shared" si="23"/>
        <v>1w</v>
      </c>
      <c r="Y1099" s="181">
        <f>_xll.qlCalendarAdvance(Calendar,Y1098,X1099,"f",FALSE)</f>
        <v>46610</v>
      </c>
      <c r="Z1099" s="184">
        <f>_xll.qlCalendarAdvance(Calendar,Y1099,NDays&amp;"D")</f>
        <v>46610</v>
      </c>
      <c r="AA1099" s="185">
        <v>5.0886010000362657E-2</v>
      </c>
      <c r="AB1099" s="182">
        <v>5.0541252902084333E-2</v>
      </c>
    </row>
    <row r="1100" spans="17:28" x14ac:dyDescent="0.2">
      <c r="Q1100" s="141"/>
      <c r="T1100" s="141"/>
      <c r="U1100" s="162"/>
      <c r="X1100" s="183" t="str">
        <f t="shared" si="23"/>
        <v>1w</v>
      </c>
      <c r="Y1100" s="181">
        <f>_xll.qlCalendarAdvance(Calendar,Y1099,X1100,"f",FALSE)</f>
        <v>46617</v>
      </c>
      <c r="Z1100" s="184">
        <f>_xll.qlCalendarAdvance(Calendar,Y1100,NDays&amp;"D")</f>
        <v>46617</v>
      </c>
      <c r="AA1100" s="185">
        <v>5.0890073951231914E-2</v>
      </c>
      <c r="AB1100" s="182">
        <v>5.0544738055142702E-2</v>
      </c>
    </row>
    <row r="1101" spans="17:28" x14ac:dyDescent="0.2">
      <c r="Q1101" s="141"/>
      <c r="T1101" s="141"/>
      <c r="U1101" s="162"/>
      <c r="X1101" s="183" t="str">
        <f t="shared" si="23"/>
        <v>1w</v>
      </c>
      <c r="Y1101" s="181">
        <f>_xll.qlCalendarAdvance(Calendar,Y1100,X1101,"f",FALSE)</f>
        <v>46624</v>
      </c>
      <c r="Z1101" s="184">
        <f>_xll.qlCalendarAdvance(Calendar,Y1101,NDays&amp;"D")</f>
        <v>46624</v>
      </c>
      <c r="AA1101" s="185">
        <v>5.0894220150016413E-2</v>
      </c>
      <c r="AB1101" s="182">
        <v>5.0548304421680346E-2</v>
      </c>
    </row>
    <row r="1102" spans="17:28" x14ac:dyDescent="0.2">
      <c r="Q1102" s="141"/>
      <c r="T1102" s="141"/>
      <c r="U1102" s="162"/>
      <c r="X1102" s="183" t="str">
        <f t="shared" si="23"/>
        <v>1w</v>
      </c>
      <c r="Y1102" s="181">
        <f>_xll.qlCalendarAdvance(Calendar,Y1101,X1102,"f",FALSE)</f>
        <v>46631</v>
      </c>
      <c r="Z1102" s="184">
        <f>_xll.qlCalendarAdvance(Calendar,Y1102,NDays&amp;"D")</f>
        <v>46631</v>
      </c>
      <c r="AA1102" s="185">
        <v>5.0894597487838936E-2</v>
      </c>
      <c r="AB1102" s="182">
        <v>5.0551952001697265E-2</v>
      </c>
    </row>
    <row r="1103" spans="17:28" x14ac:dyDescent="0.2">
      <c r="Q1103" s="141"/>
      <c r="T1103" s="141"/>
      <c r="U1103" s="162"/>
      <c r="X1103" s="183" t="str">
        <f t="shared" si="23"/>
        <v>1w</v>
      </c>
      <c r="Y1103" s="181">
        <f>_xll.qlCalendarAdvance(Calendar,Y1102,X1103,"f",FALSE)</f>
        <v>46638</v>
      </c>
      <c r="Z1103" s="184">
        <f>_xll.qlCalendarAdvance(Calendar,Y1103,NDays&amp;"D")</f>
        <v>46638</v>
      </c>
      <c r="AA1103" s="185">
        <v>5.0898901711854308E-2</v>
      </c>
      <c r="AB1103" s="182">
        <v>5.055568079495032E-2</v>
      </c>
    </row>
    <row r="1104" spans="17:28" x14ac:dyDescent="0.2">
      <c r="Q1104" s="141"/>
      <c r="T1104" s="141"/>
      <c r="U1104" s="162"/>
      <c r="X1104" s="183" t="str">
        <f t="shared" si="23"/>
        <v>1w</v>
      </c>
      <c r="Y1104" s="181">
        <f>_xll.qlCalendarAdvance(Calendar,Y1103,X1104,"f",FALSE)</f>
        <v>46645</v>
      </c>
      <c r="Z1104" s="184">
        <f>_xll.qlCalendarAdvance(Calendar,Y1104,NDays&amp;"D")</f>
        <v>46645</v>
      </c>
      <c r="AA1104" s="185">
        <v>5.0903288173097076E-2</v>
      </c>
      <c r="AB1104" s="182">
        <v>5.0559490801682649E-2</v>
      </c>
    </row>
    <row r="1105" spans="17:28" x14ac:dyDescent="0.2">
      <c r="Q1105" s="141"/>
      <c r="T1105" s="141"/>
      <c r="U1105" s="162"/>
      <c r="X1105" s="183" t="str">
        <f t="shared" si="23"/>
        <v>1w</v>
      </c>
      <c r="Y1105" s="181">
        <f>_xll.qlCalendarAdvance(Calendar,Y1104,X1105,"f",FALSE)</f>
        <v>46652</v>
      </c>
      <c r="Z1105" s="184">
        <f>_xll.qlCalendarAdvance(Calendar,Y1105,NDays&amp;"D")</f>
        <v>46652</v>
      </c>
      <c r="AA1105" s="185">
        <v>5.0907756871835311E-2</v>
      </c>
      <c r="AB1105" s="182">
        <v>5.0563382021975301E-2</v>
      </c>
    </row>
    <row r="1106" spans="17:28" x14ac:dyDescent="0.2">
      <c r="Q1106" s="141"/>
      <c r="T1106" s="141"/>
      <c r="U1106" s="162"/>
      <c r="X1106" s="183" t="str">
        <f t="shared" si="23"/>
        <v>1w</v>
      </c>
      <c r="Y1106" s="181">
        <f>_xll.qlCalendarAdvance(Calendar,Y1105,X1106,"f",FALSE)</f>
        <v>46659</v>
      </c>
      <c r="Z1106" s="184">
        <f>_xll.qlCalendarAdvance(Calendar,Y1106,NDays&amp;"D")</f>
        <v>46659</v>
      </c>
      <c r="AA1106" s="185">
        <v>5.0912307808338879E-2</v>
      </c>
      <c r="AB1106" s="182">
        <v>5.0567354455585134E-2</v>
      </c>
    </row>
    <row r="1107" spans="17:28" x14ac:dyDescent="0.2">
      <c r="Q1107" s="141"/>
      <c r="T1107" s="141"/>
      <c r="U1107" s="162"/>
      <c r="X1107" s="183" t="str">
        <f t="shared" si="23"/>
        <v>1w</v>
      </c>
      <c r="Y1107" s="181">
        <f>_xll.qlCalendarAdvance(Calendar,Y1106,X1107,"f",FALSE)</f>
        <v>46666</v>
      </c>
      <c r="Z1107" s="184">
        <f>_xll.qlCalendarAdvance(Calendar,Y1107,NDays&amp;"D")</f>
        <v>46666</v>
      </c>
      <c r="AA1107" s="185">
        <v>5.0920824563570569E-2</v>
      </c>
      <c r="AB1107" s="182">
        <v>5.0571408102593196E-2</v>
      </c>
    </row>
    <row r="1108" spans="17:28" x14ac:dyDescent="0.2">
      <c r="Q1108" s="141"/>
      <c r="T1108" s="141"/>
      <c r="U1108" s="162"/>
      <c r="X1108" s="183" t="str">
        <f t="shared" si="23"/>
        <v>1w</v>
      </c>
      <c r="Y1108" s="181">
        <f>_xll.qlCalendarAdvance(Calendar,Y1107,X1108,"f",FALSE)</f>
        <v>46673</v>
      </c>
      <c r="Z1108" s="184">
        <f>_xll.qlCalendarAdvance(Calendar,Y1108,NDays&amp;"D")</f>
        <v>46673</v>
      </c>
      <c r="AA1108" s="185">
        <v>5.0925546505178373E-2</v>
      </c>
      <c r="AB1108" s="182">
        <v>5.0575542963080533E-2</v>
      </c>
    </row>
    <row r="1109" spans="17:28" x14ac:dyDescent="0.2">
      <c r="Q1109" s="141"/>
      <c r="T1109" s="141"/>
      <c r="U1109" s="162"/>
      <c r="X1109" s="183" t="str">
        <f t="shared" ref="X1109:X1172" si="24">X1108</f>
        <v>1w</v>
      </c>
      <c r="Y1109" s="181">
        <f>_xll.qlCalendarAdvance(Calendar,Y1108,X1109,"f",FALSE)</f>
        <v>46680</v>
      </c>
      <c r="Z1109" s="184">
        <f>_xll.qlCalendarAdvance(Calendar,Y1109,NDays&amp;"D")</f>
        <v>46680</v>
      </c>
      <c r="AA1109" s="185">
        <v>5.0930350696879984E-2</v>
      </c>
      <c r="AB1109" s="182">
        <v>5.0579759036966099E-2</v>
      </c>
    </row>
    <row r="1110" spans="17:28" x14ac:dyDescent="0.2">
      <c r="Q1110" s="141"/>
      <c r="T1110" s="141"/>
      <c r="U1110" s="162"/>
      <c r="X1110" s="183" t="str">
        <f t="shared" si="24"/>
        <v>1w</v>
      </c>
      <c r="Y1110" s="181">
        <f>_xll.qlCalendarAdvance(Calendar,Y1109,X1110,"f",FALSE)</f>
        <v>46687</v>
      </c>
      <c r="Z1110" s="184">
        <f>_xll.qlCalendarAdvance(Calendar,Y1110,NDays&amp;"D")</f>
        <v>46687</v>
      </c>
      <c r="AA1110" s="185">
        <v>5.0935237138971384E-2</v>
      </c>
      <c r="AB1110" s="182">
        <v>5.0584056324330939E-2</v>
      </c>
    </row>
    <row r="1111" spans="17:28" x14ac:dyDescent="0.2">
      <c r="Q1111" s="141"/>
      <c r="T1111" s="141"/>
      <c r="U1111" s="162"/>
      <c r="X1111" s="183" t="str">
        <f t="shared" si="24"/>
        <v>1w</v>
      </c>
      <c r="Y1111" s="181">
        <f>_xll.qlCalendarAdvance(Calendar,Y1110,X1111,"f",FALSE)</f>
        <v>46694</v>
      </c>
      <c r="Z1111" s="184">
        <f>_xll.qlCalendarAdvance(Calendar,Y1111,NDays&amp;"D")</f>
        <v>46694</v>
      </c>
      <c r="AA1111" s="185">
        <v>5.0940205831750345E-2</v>
      </c>
      <c r="AB1111" s="182">
        <v>5.0588434825094009E-2</v>
      </c>
    </row>
    <row r="1112" spans="17:28" x14ac:dyDescent="0.2">
      <c r="Q1112" s="141"/>
      <c r="T1112" s="141"/>
      <c r="U1112" s="162"/>
      <c r="X1112" s="183" t="str">
        <f t="shared" si="24"/>
        <v>1w</v>
      </c>
      <c r="Y1112" s="181">
        <f>_xll.qlCalendarAdvance(Calendar,Y1111,X1112,"f",FALSE)</f>
        <v>46701</v>
      </c>
      <c r="Z1112" s="184">
        <f>_xll.qlCalendarAdvance(Calendar,Y1112,NDays&amp;"D")</f>
        <v>46701</v>
      </c>
      <c r="AA1112" s="185">
        <v>5.094525677552518E-2</v>
      </c>
      <c r="AB1112" s="182">
        <v>5.0592894539336353E-2</v>
      </c>
    </row>
    <row r="1113" spans="17:28" x14ac:dyDescent="0.2">
      <c r="Q1113" s="141"/>
      <c r="T1113" s="141"/>
      <c r="U1113" s="162"/>
      <c r="X1113" s="183" t="str">
        <f t="shared" si="24"/>
        <v>1w</v>
      </c>
      <c r="Y1113" s="181">
        <f>_xll.qlCalendarAdvance(Calendar,Y1112,X1113,"f",FALSE)</f>
        <v>46708</v>
      </c>
      <c r="Z1113" s="184">
        <f>_xll.qlCalendarAdvance(Calendar,Y1113,NDays&amp;"D")</f>
        <v>46708</v>
      </c>
      <c r="AA1113" s="185">
        <v>5.0950389970604228E-2</v>
      </c>
      <c r="AB1113" s="182">
        <v>5.0597435466976926E-2</v>
      </c>
    </row>
    <row r="1114" spans="17:28" x14ac:dyDescent="0.2">
      <c r="Q1114" s="141"/>
      <c r="T1114" s="141"/>
      <c r="U1114" s="162"/>
      <c r="X1114" s="183" t="str">
        <f t="shared" si="24"/>
        <v>1w</v>
      </c>
      <c r="Y1114" s="181">
        <f>_xll.qlCalendarAdvance(Calendar,Y1113,X1114,"f",FALSE)</f>
        <v>46715</v>
      </c>
      <c r="Z1114" s="184">
        <f>_xll.qlCalendarAdvance(Calendar,Y1114,NDays&amp;"D")</f>
        <v>46715</v>
      </c>
      <c r="AA1114" s="185">
        <v>5.095560541730286E-2</v>
      </c>
      <c r="AB1114" s="182">
        <v>5.0602057608096773E-2</v>
      </c>
    </row>
    <row r="1115" spans="17:28" x14ac:dyDescent="0.2">
      <c r="Q1115" s="141"/>
      <c r="T1115" s="141"/>
      <c r="U1115" s="162"/>
      <c r="X1115" s="183" t="str">
        <f t="shared" si="24"/>
        <v>1w</v>
      </c>
      <c r="Y1115" s="181">
        <f>_xll.qlCalendarAdvance(Calendar,Y1114,X1115,"f",FALSE)</f>
        <v>46722</v>
      </c>
      <c r="Z1115" s="184">
        <f>_xll.qlCalendarAdvance(Calendar,Y1115,NDays&amp;"D")</f>
        <v>46722</v>
      </c>
      <c r="AA1115" s="185">
        <v>5.0956966983582971E-2</v>
      </c>
      <c r="AB1115" s="182">
        <v>5.0606760962695896E-2</v>
      </c>
    </row>
    <row r="1116" spans="17:28" x14ac:dyDescent="0.2">
      <c r="Q1116" s="141"/>
      <c r="T1116" s="141"/>
      <c r="U1116" s="162"/>
      <c r="X1116" s="183" t="str">
        <f t="shared" si="24"/>
        <v>1w</v>
      </c>
      <c r="Y1116" s="181">
        <f>_xll.qlCalendarAdvance(Calendar,Y1115,X1116,"f",FALSE)</f>
        <v>46729</v>
      </c>
      <c r="Z1116" s="184">
        <f>_xll.qlCalendarAdvance(Calendar,Y1116,NDays&amp;"D")</f>
        <v>46729</v>
      </c>
      <c r="AA1116" s="185">
        <v>5.0962340313769165E-2</v>
      </c>
      <c r="AB1116" s="182">
        <v>5.0611545530693247E-2</v>
      </c>
    </row>
    <row r="1117" spans="17:28" x14ac:dyDescent="0.2">
      <c r="Q1117" s="141"/>
      <c r="T1117" s="141"/>
      <c r="U1117" s="162"/>
      <c r="X1117" s="183" t="str">
        <f t="shared" si="24"/>
        <v>1w</v>
      </c>
      <c r="Y1117" s="181">
        <f>_xll.qlCalendarAdvance(Calendar,Y1116,X1117,"f",FALSE)</f>
        <v>46736</v>
      </c>
      <c r="Z1117" s="184">
        <f>_xll.qlCalendarAdvance(Calendar,Y1117,NDays&amp;"D")</f>
        <v>46736</v>
      </c>
      <c r="AA1117" s="185">
        <v>5.096779588503824E-2</v>
      </c>
      <c r="AB1117" s="182">
        <v>5.0616411312169873E-2</v>
      </c>
    </row>
    <row r="1118" spans="17:28" x14ac:dyDescent="0.2">
      <c r="Q1118" s="141"/>
      <c r="T1118" s="141"/>
      <c r="U1118" s="162"/>
      <c r="X1118" s="183" t="str">
        <f t="shared" si="24"/>
        <v>1w</v>
      </c>
      <c r="Y1118" s="181">
        <f>_xll.qlCalendarAdvance(Calendar,Y1117,X1118,"f",FALSE)</f>
        <v>46743</v>
      </c>
      <c r="Z1118" s="184">
        <f>_xll.qlCalendarAdvance(Calendar,Y1118,NDays&amp;"D")</f>
        <v>46743</v>
      </c>
      <c r="AA1118" s="185">
        <v>5.0973333697717949E-2</v>
      </c>
      <c r="AB1118" s="182">
        <v>5.0621358307125774E-2</v>
      </c>
    </row>
    <row r="1119" spans="17:28" x14ac:dyDescent="0.2">
      <c r="Q1119" s="141"/>
      <c r="T1119" s="141"/>
      <c r="U1119" s="162"/>
      <c r="X1119" s="183" t="str">
        <f t="shared" si="24"/>
        <v>1w</v>
      </c>
      <c r="Y1119" s="181">
        <f>_xll.qlCalendarAdvance(Calendar,Y1118,X1119,"f",FALSE)</f>
        <v>46750</v>
      </c>
      <c r="Z1119" s="184">
        <f>_xll.qlCalendarAdvance(Calendar,Y1119,NDays&amp;"D")</f>
        <v>46750</v>
      </c>
      <c r="AA1119" s="185">
        <v>5.097895375214672E-2</v>
      </c>
      <c r="AB1119" s="182">
        <v>5.062638651556095E-2</v>
      </c>
    </row>
    <row r="1120" spans="17:28" x14ac:dyDescent="0.2">
      <c r="Q1120" s="141"/>
      <c r="T1120" s="141"/>
      <c r="U1120" s="162"/>
      <c r="X1120" s="183" t="str">
        <f t="shared" si="24"/>
        <v>1w</v>
      </c>
      <c r="Y1120" s="181">
        <f>_xll.qlCalendarAdvance(Calendar,Y1119,X1120,"f",FALSE)</f>
        <v>46757</v>
      </c>
      <c r="Z1120" s="184">
        <f>_xll.qlCalendarAdvance(Calendar,Y1120,NDays&amp;"D")</f>
        <v>46757</v>
      </c>
      <c r="AA1120" s="185">
        <v>5.0984656048666553E-2</v>
      </c>
      <c r="AB1120" s="182">
        <v>5.0631495937475401E-2</v>
      </c>
    </row>
    <row r="1121" spans="17:28" x14ac:dyDescent="0.2">
      <c r="Q1121" s="141"/>
      <c r="T1121" s="141"/>
      <c r="U1121" s="162"/>
      <c r="X1121" s="183" t="str">
        <f t="shared" si="24"/>
        <v>1w</v>
      </c>
      <c r="Y1121" s="181">
        <f>_xll.qlCalendarAdvance(Calendar,Y1120,X1121,"f",FALSE)</f>
        <v>46764</v>
      </c>
      <c r="Z1121" s="184">
        <f>_xll.qlCalendarAdvance(Calendar,Y1121,NDays&amp;"D")</f>
        <v>46764</v>
      </c>
      <c r="AA1121" s="185">
        <v>5.0990440587622116E-2</v>
      </c>
      <c r="AB1121" s="182">
        <v>5.0636686572788081E-2</v>
      </c>
    </row>
    <row r="1122" spans="17:28" x14ac:dyDescent="0.2">
      <c r="Q1122" s="141"/>
      <c r="T1122" s="141"/>
      <c r="U1122" s="162"/>
      <c r="X1122" s="183" t="str">
        <f t="shared" si="24"/>
        <v>1w</v>
      </c>
      <c r="Y1122" s="181">
        <f>_xll.qlCalendarAdvance(Calendar,Y1121,X1122,"f",FALSE)</f>
        <v>46771</v>
      </c>
      <c r="Z1122" s="184">
        <f>_xll.qlCalendarAdvance(Calendar,Y1122,NDays&amp;"D")</f>
        <v>46771</v>
      </c>
      <c r="AA1122" s="185">
        <v>5.0996307369366091E-2</v>
      </c>
      <c r="AB1122" s="182">
        <v>5.0641958421661082E-2</v>
      </c>
    </row>
    <row r="1123" spans="17:28" x14ac:dyDescent="0.2">
      <c r="Q1123" s="141"/>
      <c r="T1123" s="141"/>
      <c r="U1123" s="162"/>
      <c r="X1123" s="183" t="str">
        <f t="shared" si="24"/>
        <v>1w</v>
      </c>
      <c r="Y1123" s="181">
        <f>_xll.qlCalendarAdvance(Calendar,Y1122,X1123,"f",FALSE)</f>
        <v>46779</v>
      </c>
      <c r="Z1123" s="184">
        <f>_xll.qlCalendarAdvance(Calendar,Y1123,NDays&amp;"D")</f>
        <v>46779</v>
      </c>
      <c r="AA1123" s="185">
        <v>5.1003112968697743E-2</v>
      </c>
      <c r="AB1123" s="182">
        <v>5.0648082836803887E-2</v>
      </c>
    </row>
    <row r="1124" spans="17:28" x14ac:dyDescent="0.2">
      <c r="Q1124" s="141"/>
      <c r="T1124" s="141"/>
      <c r="U1124" s="162"/>
      <c r="X1124" s="183" t="str">
        <f t="shared" si="24"/>
        <v>1w</v>
      </c>
      <c r="Y1124" s="181">
        <f>_xll.qlCalendarAdvance(Calendar,Y1123,X1124,"f",FALSE)</f>
        <v>46786</v>
      </c>
      <c r="Z1124" s="184">
        <f>_xll.qlCalendarAdvance(Calendar,Y1124,NDays&amp;"D")</f>
        <v>46786</v>
      </c>
      <c r="AA1124" s="185">
        <v>5.1005159905226277E-2</v>
      </c>
      <c r="AB1124" s="182">
        <v>5.0653528714572627E-2</v>
      </c>
    </row>
    <row r="1125" spans="17:28" x14ac:dyDescent="0.2">
      <c r="Q1125" s="141"/>
      <c r="T1125" s="141"/>
      <c r="U1125" s="162"/>
      <c r="X1125" s="183" t="str">
        <f t="shared" si="24"/>
        <v>1w</v>
      </c>
      <c r="Y1125" s="181">
        <f>_xll.qlCalendarAdvance(Calendar,Y1124,X1125,"f",FALSE)</f>
        <v>46793</v>
      </c>
      <c r="Z1125" s="184">
        <f>_xll.qlCalendarAdvance(Calendar,Y1125,NDays&amp;"D")</f>
        <v>46793</v>
      </c>
      <c r="AA1125" s="185">
        <v>5.1011278442266043E-2</v>
      </c>
      <c r="AB1125" s="182">
        <v>5.0659055805739595E-2</v>
      </c>
    </row>
    <row r="1126" spans="17:28" x14ac:dyDescent="0.2">
      <c r="Q1126" s="141"/>
      <c r="T1126" s="141"/>
      <c r="U1126" s="162"/>
      <c r="X1126" s="183" t="str">
        <f t="shared" si="24"/>
        <v>1w</v>
      </c>
      <c r="Y1126" s="181">
        <f>_xll.qlCalendarAdvance(Calendar,Y1125,X1126,"f",FALSE)</f>
        <v>46800</v>
      </c>
      <c r="Z1126" s="184">
        <f>_xll.qlCalendarAdvance(Calendar,Y1126,NDays&amp;"D")</f>
        <v>46800</v>
      </c>
      <c r="AA1126" s="185">
        <v>5.1017479212048321E-2</v>
      </c>
      <c r="AB1126" s="182">
        <v>5.0664664110466884E-2</v>
      </c>
    </row>
    <row r="1127" spans="17:28" x14ac:dyDescent="0.2">
      <c r="Q1127" s="141"/>
      <c r="T1127" s="141"/>
      <c r="U1127" s="162"/>
      <c r="X1127" s="183" t="str">
        <f t="shared" si="24"/>
        <v>1w</v>
      </c>
      <c r="Y1127" s="181">
        <f>_xll.qlCalendarAdvance(Calendar,Y1126,X1127,"f",FALSE)</f>
        <v>46807</v>
      </c>
      <c r="Z1127" s="184">
        <f>_xll.qlCalendarAdvance(Calendar,Y1127,NDays&amp;"D")</f>
        <v>46807</v>
      </c>
      <c r="AA1127" s="185">
        <v>5.1023762214948636E-2</v>
      </c>
      <c r="AB1127" s="182">
        <v>5.0670353628592402E-2</v>
      </c>
    </row>
    <row r="1128" spans="17:28" x14ac:dyDescent="0.2">
      <c r="Q1128" s="141"/>
      <c r="T1128" s="141"/>
      <c r="U1128" s="162"/>
      <c r="X1128" s="183" t="str">
        <f t="shared" si="24"/>
        <v>1w</v>
      </c>
      <c r="Y1128" s="181">
        <f>_xll.qlCalendarAdvance(Calendar,Y1127,X1128,"f",FALSE)</f>
        <v>46814</v>
      </c>
      <c r="Z1128" s="184">
        <f>_xll.qlCalendarAdvance(Calendar,Y1128,NDays&amp;"D")</f>
        <v>46814</v>
      </c>
      <c r="AA1128" s="185">
        <v>5.1038174566696966E-2</v>
      </c>
      <c r="AB1128" s="182">
        <v>5.0676124360359287E-2</v>
      </c>
    </row>
    <row r="1129" spans="17:28" x14ac:dyDescent="0.2">
      <c r="Q1129" s="141"/>
      <c r="T1129" s="141"/>
      <c r="U1129" s="162"/>
      <c r="X1129" s="183" t="str">
        <f t="shared" si="24"/>
        <v>1w</v>
      </c>
      <c r="Y1129" s="181">
        <f>_xll.qlCalendarAdvance(Calendar,Y1128,X1129,"f",FALSE)</f>
        <v>46821</v>
      </c>
      <c r="Z1129" s="184">
        <f>_xll.qlCalendarAdvance(Calendar,Y1129,NDays&amp;"D")</f>
        <v>46821</v>
      </c>
      <c r="AA1129" s="185">
        <v>5.1044635579973449E-2</v>
      </c>
      <c r="AB1129" s="182">
        <v>5.0681976305524401E-2</v>
      </c>
    </row>
    <row r="1130" spans="17:28" x14ac:dyDescent="0.2">
      <c r="Q1130" s="141"/>
      <c r="T1130" s="141"/>
      <c r="U1130" s="162"/>
      <c r="X1130" s="183" t="str">
        <f t="shared" si="24"/>
        <v>1w</v>
      </c>
      <c r="Y1130" s="181">
        <f>_xll.qlCalendarAdvance(Calendar,Y1129,X1130,"f",FALSE)</f>
        <v>46828</v>
      </c>
      <c r="Z1130" s="184">
        <f>_xll.qlCalendarAdvance(Calendar,Y1130,NDays&amp;"D")</f>
        <v>46828</v>
      </c>
      <c r="AA1130" s="185">
        <v>5.1051178850655514E-2</v>
      </c>
      <c r="AB1130" s="182">
        <v>5.068790946416879E-2</v>
      </c>
    </row>
    <row r="1131" spans="17:28" x14ac:dyDescent="0.2">
      <c r="Q1131" s="141"/>
      <c r="T1131" s="141"/>
      <c r="U1131" s="162"/>
      <c r="X1131" s="183" t="str">
        <f t="shared" si="24"/>
        <v>1w</v>
      </c>
      <c r="Y1131" s="181">
        <f>_xll.qlCalendarAdvance(Calendar,Y1130,X1131,"f",FALSE)</f>
        <v>46835</v>
      </c>
      <c r="Z1131" s="184">
        <f>_xll.qlCalendarAdvance(Calendar,Y1131,NDays&amp;"D")</f>
        <v>46835</v>
      </c>
      <c r="AA1131" s="185">
        <v>5.1057804379146636E-2</v>
      </c>
      <c r="AB1131" s="182">
        <v>5.06939238363735E-2</v>
      </c>
    </row>
    <row r="1132" spans="17:28" x14ac:dyDescent="0.2">
      <c r="Q1132" s="141"/>
      <c r="T1132" s="141"/>
      <c r="U1132" s="162"/>
      <c r="X1132" s="183" t="str">
        <f t="shared" si="24"/>
        <v>1w</v>
      </c>
      <c r="Y1132" s="181">
        <f>_xll.qlCalendarAdvance(Calendar,Y1131,X1132,"f",FALSE)</f>
        <v>46842</v>
      </c>
      <c r="Z1132" s="184">
        <f>_xll.qlCalendarAdvance(Calendar,Y1132,NDays&amp;"D")</f>
        <v>46842</v>
      </c>
      <c r="AA1132" s="185">
        <v>5.1064512165853809E-2</v>
      </c>
      <c r="AB1132" s="182">
        <v>5.0700019422138531E-2</v>
      </c>
    </row>
    <row r="1133" spans="17:28" x14ac:dyDescent="0.2">
      <c r="Q1133" s="141"/>
      <c r="T1133" s="141"/>
      <c r="U1133" s="162"/>
      <c r="X1133" s="183" t="str">
        <f t="shared" si="24"/>
        <v>1w</v>
      </c>
      <c r="Y1133" s="181">
        <f>_xll.qlCalendarAdvance(Calendar,Y1132,X1133,"f",FALSE)</f>
        <v>46849</v>
      </c>
      <c r="Z1133" s="184">
        <f>_xll.qlCalendarAdvance(Calendar,Y1133,NDays&amp;"D")</f>
        <v>46849</v>
      </c>
      <c r="AA1133" s="185">
        <v>5.106724416593076E-2</v>
      </c>
      <c r="AB1133" s="182">
        <v>5.0706196221301791E-2</v>
      </c>
    </row>
    <row r="1134" spans="17:28" x14ac:dyDescent="0.2">
      <c r="Q1134" s="141"/>
      <c r="T1134" s="141"/>
      <c r="U1134" s="162"/>
      <c r="X1134" s="183" t="str">
        <f t="shared" si="24"/>
        <v>1w</v>
      </c>
      <c r="Y1134" s="181">
        <f>_xll.qlCalendarAdvance(Calendar,Y1133,X1134,"f",FALSE)</f>
        <v>46856</v>
      </c>
      <c r="Z1134" s="184">
        <f>_xll.qlCalendarAdvance(Calendar,Y1134,NDays&amp;"D")</f>
        <v>46856</v>
      </c>
      <c r="AA1134" s="185">
        <v>5.1074109640010308E-2</v>
      </c>
      <c r="AB1134" s="182">
        <v>5.0728353570422824E-2</v>
      </c>
    </row>
    <row r="1135" spans="17:28" x14ac:dyDescent="0.2">
      <c r="Q1135" s="141"/>
      <c r="T1135" s="141"/>
      <c r="U1135" s="162"/>
      <c r="X1135" s="183" t="str">
        <f t="shared" si="24"/>
        <v>1w</v>
      </c>
      <c r="Y1135" s="181">
        <f>_xll.qlCalendarAdvance(Calendar,Y1134,X1135,"f",FALSE)</f>
        <v>46863</v>
      </c>
      <c r="Z1135" s="184">
        <f>_xll.qlCalendarAdvance(Calendar,Y1135,NDays&amp;"D")</f>
        <v>46863</v>
      </c>
      <c r="AA1135" s="185">
        <v>5.1081057361958358E-2</v>
      </c>
      <c r="AB1135" s="182">
        <v>5.0718793460390321E-2</v>
      </c>
    </row>
    <row r="1136" spans="17:28" x14ac:dyDescent="0.2">
      <c r="Q1136" s="141"/>
      <c r="T1136" s="141"/>
      <c r="U1136" s="162"/>
      <c r="X1136" s="183" t="str">
        <f t="shared" si="24"/>
        <v>1w</v>
      </c>
      <c r="Y1136" s="181">
        <f>_xll.qlCalendarAdvance(Calendar,Y1135,X1136,"f",FALSE)</f>
        <v>46870</v>
      </c>
      <c r="Z1136" s="184">
        <f>_xll.qlCalendarAdvance(Calendar,Y1136,NDays&amp;"D")</f>
        <v>46870</v>
      </c>
      <c r="AA1136" s="185">
        <v>5.1088087332198849E-2</v>
      </c>
      <c r="AB1136" s="182">
        <v>5.0725213900234545E-2</v>
      </c>
    </row>
    <row r="1137" spans="17:28" x14ac:dyDescent="0.2">
      <c r="Q1137" s="141"/>
      <c r="T1137" s="141"/>
      <c r="U1137" s="162"/>
      <c r="X1137" s="183" t="str">
        <f t="shared" si="24"/>
        <v>1w</v>
      </c>
      <c r="Y1137" s="181">
        <f>_xll.qlCalendarAdvance(Calendar,Y1136,X1137,"f",FALSE)</f>
        <v>46877</v>
      </c>
      <c r="Z1137" s="184">
        <f>_xll.qlCalendarAdvance(Calendar,Y1137,NDays&amp;"D")</f>
        <v>46877</v>
      </c>
      <c r="AA1137" s="185">
        <v>5.1099284987208136E-2</v>
      </c>
      <c r="AB1137" s="182">
        <v>5.0731715553476997E-2</v>
      </c>
    </row>
    <row r="1138" spans="17:28" x14ac:dyDescent="0.2">
      <c r="Q1138" s="141"/>
      <c r="T1138" s="141"/>
      <c r="U1138" s="162"/>
      <c r="X1138" s="183" t="str">
        <f t="shared" si="24"/>
        <v>1w</v>
      </c>
      <c r="Y1138" s="181">
        <f>_xll.qlCalendarAdvance(Calendar,Y1137,X1138,"f",FALSE)</f>
        <v>46884</v>
      </c>
      <c r="Z1138" s="184">
        <f>_xll.qlCalendarAdvance(Calendar,Y1138,NDays&amp;"D")</f>
        <v>46884</v>
      </c>
      <c r="AA1138" s="185">
        <v>5.1106486332033303E-2</v>
      </c>
      <c r="AB1138" s="182">
        <v>5.0738298420360817E-2</v>
      </c>
    </row>
    <row r="1139" spans="17:28" x14ac:dyDescent="0.2">
      <c r="Q1139" s="141"/>
      <c r="T1139" s="141"/>
      <c r="U1139" s="162"/>
      <c r="X1139" s="183" t="str">
        <f t="shared" si="24"/>
        <v>1w</v>
      </c>
      <c r="Y1139" s="181">
        <f>_xll.qlCalendarAdvance(Calendar,Y1138,X1139,"f",FALSE)</f>
        <v>46891</v>
      </c>
      <c r="Z1139" s="184">
        <f>_xll.qlCalendarAdvance(Calendar,Y1139,NDays&amp;"D")</f>
        <v>46891</v>
      </c>
      <c r="AA1139" s="185">
        <v>5.1113769938062659E-2</v>
      </c>
      <c r="AB1139" s="182">
        <v>5.0744962500886004E-2</v>
      </c>
    </row>
    <row r="1140" spans="17:28" x14ac:dyDescent="0.2">
      <c r="Q1140" s="141"/>
      <c r="T1140" s="141"/>
      <c r="U1140" s="162"/>
      <c r="X1140" s="183" t="str">
        <f t="shared" si="24"/>
        <v>1w</v>
      </c>
      <c r="Y1140" s="181">
        <f>_xll.qlCalendarAdvance(Calendar,Y1139,X1140,"f",FALSE)</f>
        <v>46898</v>
      </c>
      <c r="Z1140" s="184">
        <f>_xll.qlCalendarAdvance(Calendar,Y1140,NDays&amp;"D")</f>
        <v>46898</v>
      </c>
      <c r="AA1140" s="185">
        <v>5.112113580574372E-2</v>
      </c>
      <c r="AB1140" s="182">
        <v>5.075170779480942E-2</v>
      </c>
    </row>
    <row r="1141" spans="17:28" x14ac:dyDescent="0.2">
      <c r="Q1141" s="141"/>
      <c r="T1141" s="141"/>
      <c r="U1141" s="162"/>
      <c r="X1141" s="183" t="str">
        <f t="shared" si="24"/>
        <v>1w</v>
      </c>
      <c r="Y1141" s="181">
        <f>_xll.qlCalendarAdvance(Calendar,Y1140,X1141,"f",FALSE)</f>
        <v>46905</v>
      </c>
      <c r="Z1141" s="184">
        <f>_xll.qlCalendarAdvance(Calendar,Y1141,NDays&amp;"D")</f>
        <v>46905</v>
      </c>
      <c r="AA1141" s="185">
        <v>5.1128583935530172E-2</v>
      </c>
      <c r="AB1141" s="182">
        <v>5.0758534302374203E-2</v>
      </c>
    </row>
    <row r="1142" spans="17:28" x14ac:dyDescent="0.2">
      <c r="Q1142" s="141"/>
      <c r="T1142" s="141"/>
      <c r="U1142" s="162"/>
      <c r="X1142" s="183" t="str">
        <f t="shared" si="24"/>
        <v>1w</v>
      </c>
      <c r="Y1142" s="181">
        <f>_xll.qlCalendarAdvance(Calendar,Y1141,X1142,"f",FALSE)</f>
        <v>46912</v>
      </c>
      <c r="Z1142" s="184">
        <f>_xll.qlCalendarAdvance(Calendar,Y1142,NDays&amp;"D")</f>
        <v>46912</v>
      </c>
      <c r="AA1142" s="185">
        <v>5.1136114327876576E-2</v>
      </c>
      <c r="AB1142" s="182">
        <v>5.0765442023418261E-2</v>
      </c>
    </row>
    <row r="1143" spans="17:28" x14ac:dyDescent="0.2">
      <c r="Q1143" s="141"/>
      <c r="T1143" s="141"/>
      <c r="U1143" s="162"/>
      <c r="X1143" s="183" t="str">
        <f t="shared" si="24"/>
        <v>1w</v>
      </c>
      <c r="Y1143" s="181">
        <f>_xll.qlCalendarAdvance(Calendar,Y1142,X1143,"f",FALSE)</f>
        <v>46919</v>
      </c>
      <c r="Z1143" s="184">
        <f>_xll.qlCalendarAdvance(Calendar,Y1143,NDays&amp;"D")</f>
        <v>46919</v>
      </c>
      <c r="AA1143" s="185">
        <v>5.1143726983248067E-2</v>
      </c>
      <c r="AB1143" s="182">
        <v>5.0772430958184733E-2</v>
      </c>
    </row>
    <row r="1144" spans="17:28" x14ac:dyDescent="0.2">
      <c r="Q1144" s="141"/>
      <c r="T1144" s="141"/>
      <c r="U1144" s="162"/>
      <c r="X1144" s="183" t="str">
        <f t="shared" si="24"/>
        <v>1w</v>
      </c>
      <c r="Y1144" s="181">
        <f>_xll.qlCalendarAdvance(Calendar,Y1143,X1144,"f",FALSE)</f>
        <v>46926</v>
      </c>
      <c r="Z1144" s="184">
        <f>_xll.qlCalendarAdvance(Calendar,Y1144,NDays&amp;"D")</f>
        <v>46926</v>
      </c>
      <c r="AA1144" s="185">
        <v>5.1151421902109785E-2</v>
      </c>
      <c r="AB1144" s="182">
        <v>5.0779501106268388E-2</v>
      </c>
    </row>
    <row r="1145" spans="17:28" x14ac:dyDescent="0.2">
      <c r="Q1145" s="141"/>
      <c r="T1145" s="141"/>
      <c r="U1145" s="162"/>
      <c r="X1145" s="183" t="str">
        <f t="shared" si="24"/>
        <v>1w</v>
      </c>
      <c r="Y1145" s="181">
        <f>_xll.qlCalendarAdvance(Calendar,Y1144,X1145,"f",FALSE)</f>
        <v>46933</v>
      </c>
      <c r="Z1145" s="184">
        <f>_xll.qlCalendarAdvance(Calendar,Y1145,NDays&amp;"D")</f>
        <v>46933</v>
      </c>
      <c r="AA1145" s="185">
        <v>5.1159199084935665E-2</v>
      </c>
      <c r="AB1145" s="182">
        <v>5.0786652468074456E-2</v>
      </c>
    </row>
    <row r="1146" spans="17:28" x14ac:dyDescent="0.2">
      <c r="Q1146" s="141"/>
      <c r="T1146" s="141"/>
      <c r="U1146" s="162"/>
      <c r="X1146" s="183" t="str">
        <f t="shared" si="24"/>
        <v>1w</v>
      </c>
      <c r="Y1146" s="181">
        <f>_xll.qlCalendarAdvance(Calendar,Y1145,X1146,"f",FALSE)</f>
        <v>46940</v>
      </c>
      <c r="Z1146" s="184">
        <f>_xll.qlCalendarAdvance(Calendar,Y1146,NDays&amp;"D")</f>
        <v>46940</v>
      </c>
      <c r="AA1146" s="185">
        <v>5.116705853220406E-2</v>
      </c>
      <c r="AB1146" s="182">
        <v>5.0793885043440845E-2</v>
      </c>
    </row>
    <row r="1147" spans="17:28" x14ac:dyDescent="0.2">
      <c r="Q1147" s="141"/>
      <c r="T1147" s="141"/>
      <c r="U1147" s="162"/>
      <c r="X1147" s="183" t="str">
        <f t="shared" si="24"/>
        <v>1w</v>
      </c>
      <c r="Y1147" s="181">
        <f>_xll.qlCalendarAdvance(Calendar,Y1146,X1147,"f",FALSE)</f>
        <v>46947</v>
      </c>
      <c r="Z1147" s="184">
        <f>_xll.qlCalendarAdvance(Calendar,Y1147,NDays&amp;"D")</f>
        <v>46947</v>
      </c>
      <c r="AA1147" s="185">
        <v>5.1175000244395967E-2</v>
      </c>
      <c r="AB1147" s="182">
        <v>5.0801198832367556E-2</v>
      </c>
    </row>
    <row r="1148" spans="17:28" x14ac:dyDescent="0.2">
      <c r="Q1148" s="141"/>
      <c r="T1148" s="141"/>
      <c r="U1148" s="162"/>
      <c r="X1148" s="183" t="str">
        <f t="shared" si="24"/>
        <v>1w</v>
      </c>
      <c r="Y1148" s="181">
        <f>_xll.qlCalendarAdvance(Calendar,Y1147,X1148,"f",FALSE)</f>
        <v>46954</v>
      </c>
      <c r="Z1148" s="184">
        <f>_xll.qlCalendarAdvance(Calendar,Y1148,NDays&amp;"D")</f>
        <v>46954</v>
      </c>
      <c r="AA1148" s="185">
        <v>5.1183024222000301E-2</v>
      </c>
      <c r="AB1148" s="182">
        <v>5.0808593834935634E-2</v>
      </c>
    </row>
    <row r="1149" spans="17:28" x14ac:dyDescent="0.2">
      <c r="Q1149" s="141"/>
      <c r="T1149" s="141"/>
      <c r="U1149" s="162"/>
      <c r="X1149" s="183" t="str">
        <f t="shared" si="24"/>
        <v>1w</v>
      </c>
      <c r="Y1149" s="181">
        <f>_xll.qlCalendarAdvance(Calendar,Y1148,X1149,"f",FALSE)</f>
        <v>46961</v>
      </c>
      <c r="Z1149" s="184">
        <f>_xll.qlCalendarAdvance(Calendar,Y1149,NDays&amp;"D")</f>
        <v>46961</v>
      </c>
      <c r="AA1149" s="185">
        <v>5.1191130465507752E-2</v>
      </c>
      <c r="AB1149" s="182">
        <v>5.0816070050982987E-2</v>
      </c>
    </row>
    <row r="1150" spans="17:28" x14ac:dyDescent="0.2">
      <c r="Q1150" s="141"/>
      <c r="T1150" s="141"/>
      <c r="U1150" s="162"/>
      <c r="X1150" s="183" t="str">
        <f t="shared" si="24"/>
        <v>1w</v>
      </c>
      <c r="Y1150" s="181">
        <f>_xll.qlCalendarAdvance(Calendar,Y1149,X1150,"f",FALSE)</f>
        <v>46968</v>
      </c>
      <c r="Z1150" s="184">
        <f>_xll.qlCalendarAdvance(Calendar,Y1150,NDays&amp;"D")</f>
        <v>46968</v>
      </c>
      <c r="AA1150" s="185">
        <v>5.1199318975417796E-2</v>
      </c>
      <c r="AB1150" s="182">
        <v>5.0823627480671707E-2</v>
      </c>
    </row>
    <row r="1151" spans="17:28" x14ac:dyDescent="0.2">
      <c r="Q1151" s="141"/>
      <c r="T1151" s="141"/>
      <c r="U1151" s="162"/>
      <c r="X1151" s="183" t="str">
        <f t="shared" si="24"/>
        <v>1w</v>
      </c>
      <c r="Y1151" s="181">
        <f>_xll.qlCalendarAdvance(Calendar,Y1150,X1151,"f",FALSE)</f>
        <v>46975</v>
      </c>
      <c r="Z1151" s="184">
        <f>_xll.qlCalendarAdvance(Calendar,Y1151,NDays&amp;"D")</f>
        <v>46975</v>
      </c>
      <c r="AA1151" s="185">
        <v>5.1207589752233468E-2</v>
      </c>
      <c r="AB1151" s="182">
        <v>5.0831266124001795E-2</v>
      </c>
    </row>
    <row r="1152" spans="17:28" x14ac:dyDescent="0.2">
      <c r="Q1152" s="141"/>
      <c r="T1152" s="141"/>
      <c r="U1152" s="162"/>
      <c r="X1152" s="183" t="str">
        <f t="shared" si="24"/>
        <v>1w</v>
      </c>
      <c r="Y1152" s="181">
        <f>_xll.qlCalendarAdvance(Calendar,Y1151,X1152,"f",FALSE)</f>
        <v>46982</v>
      </c>
      <c r="Z1152" s="184">
        <f>_xll.qlCalendarAdvance(Calendar,Y1152,NDays&amp;"D")</f>
        <v>46982</v>
      </c>
      <c r="AA1152" s="185">
        <v>5.1215942796462174E-2</v>
      </c>
      <c r="AB1152" s="182">
        <v>5.083898598097325E-2</v>
      </c>
    </row>
    <row r="1153" spans="17:28" x14ac:dyDescent="0.2">
      <c r="Q1153" s="141"/>
      <c r="T1153" s="141"/>
      <c r="U1153" s="162"/>
      <c r="X1153" s="183" t="str">
        <f t="shared" si="24"/>
        <v>1w</v>
      </c>
      <c r="Y1153" s="181">
        <f>_xll.qlCalendarAdvance(Calendar,Y1152,X1153,"f",FALSE)</f>
        <v>46989</v>
      </c>
      <c r="Z1153" s="184">
        <f>_xll.qlCalendarAdvance(Calendar,Y1153,NDays&amp;"D")</f>
        <v>46989</v>
      </c>
      <c r="AA1153" s="185">
        <v>5.1224378108616624E-2</v>
      </c>
      <c r="AB1153" s="182">
        <v>5.0846787051423981E-2</v>
      </c>
    </row>
    <row r="1154" spans="17:28" x14ac:dyDescent="0.2">
      <c r="Q1154" s="141"/>
      <c r="T1154" s="141"/>
      <c r="U1154" s="162"/>
      <c r="X1154" s="183" t="str">
        <f t="shared" si="24"/>
        <v>1w</v>
      </c>
      <c r="Y1154" s="181">
        <f>_xll.qlCalendarAdvance(Calendar,Y1153,X1154,"f",FALSE)</f>
        <v>46996</v>
      </c>
      <c r="Z1154" s="184">
        <f>_xll.qlCalendarAdvance(Calendar,Y1154,NDays&amp;"D")</f>
        <v>46996</v>
      </c>
      <c r="AA1154" s="185">
        <v>5.1228691765329196E-2</v>
      </c>
      <c r="AB1154" s="182">
        <v>5.0854669335597125E-2</v>
      </c>
    </row>
    <row r="1155" spans="17:28" x14ac:dyDescent="0.2">
      <c r="Q1155" s="141"/>
      <c r="T1155" s="141"/>
      <c r="U1155" s="162"/>
      <c r="X1155" s="183" t="str">
        <f t="shared" si="24"/>
        <v>1w</v>
      </c>
      <c r="Y1155" s="181">
        <f>_xll.qlCalendarAdvance(Calendar,Y1154,X1155,"f",FALSE)</f>
        <v>47003</v>
      </c>
      <c r="Z1155" s="184">
        <f>_xll.qlCalendarAdvance(Calendar,Y1155,NDays&amp;"D")</f>
        <v>47003</v>
      </c>
      <c r="AA1155" s="185">
        <v>5.1237284539930136E-2</v>
      </c>
      <c r="AB1155" s="182">
        <v>5.086263283333059E-2</v>
      </c>
    </row>
    <row r="1156" spans="17:28" x14ac:dyDescent="0.2">
      <c r="Q1156" s="141"/>
      <c r="T1156" s="141"/>
      <c r="U1156" s="162"/>
      <c r="X1156" s="183" t="str">
        <f t="shared" si="24"/>
        <v>1w</v>
      </c>
      <c r="Y1156" s="181">
        <f>_xll.qlCalendarAdvance(Calendar,Y1155,X1156,"f",FALSE)</f>
        <v>47010</v>
      </c>
      <c r="Z1156" s="184">
        <f>_xll.qlCalendarAdvance(Calendar,Y1156,NDays&amp;"D")</f>
        <v>47010</v>
      </c>
      <c r="AA1156" s="185">
        <v>5.1245959572311275E-2</v>
      </c>
      <c r="AB1156" s="182">
        <v>5.0870677544624376E-2</v>
      </c>
    </row>
    <row r="1157" spans="17:28" x14ac:dyDescent="0.2">
      <c r="Q1157" s="141"/>
      <c r="T1157" s="141"/>
      <c r="U1157" s="162"/>
      <c r="X1157" s="183" t="str">
        <f t="shared" si="24"/>
        <v>1w</v>
      </c>
      <c r="Y1157" s="181">
        <f>_xll.qlCalendarAdvance(Calendar,Y1156,X1157,"f",FALSE)</f>
        <v>47017</v>
      </c>
      <c r="Z1157" s="184">
        <f>_xll.qlCalendarAdvance(Calendar,Y1157,NDays&amp;"D")</f>
        <v>47017</v>
      </c>
      <c r="AA1157" s="185">
        <v>5.1254716863000746E-2</v>
      </c>
      <c r="AB1157" s="182">
        <v>5.0878803469802669E-2</v>
      </c>
    </row>
    <row r="1158" spans="17:28" x14ac:dyDescent="0.2">
      <c r="Q1158" s="141"/>
      <c r="T1158" s="141"/>
      <c r="U1158" s="162"/>
      <c r="X1158" s="183" t="str">
        <f t="shared" si="24"/>
        <v>1w</v>
      </c>
      <c r="Y1158" s="181">
        <f>_xll.qlCalendarAdvance(Calendar,Y1157,X1158,"f",FALSE)</f>
        <v>47024</v>
      </c>
      <c r="Z1158" s="184">
        <f>_xll.qlCalendarAdvance(Calendar,Y1158,NDays&amp;"D")</f>
        <v>47024</v>
      </c>
      <c r="AA1158" s="185">
        <v>5.1263556412527576E-2</v>
      </c>
      <c r="AB1158" s="182">
        <v>5.0887010608379191E-2</v>
      </c>
    </row>
    <row r="1159" spans="17:28" x14ac:dyDescent="0.2">
      <c r="Q1159" s="141"/>
      <c r="T1159" s="141"/>
      <c r="U1159" s="162"/>
      <c r="X1159" s="183" t="str">
        <f t="shared" si="24"/>
        <v>1w</v>
      </c>
      <c r="Y1159" s="181">
        <f>_xll.qlCalendarAdvance(Calendar,Y1158,X1159,"f",FALSE)</f>
        <v>47031</v>
      </c>
      <c r="Z1159" s="184">
        <f>_xll.qlCalendarAdvance(Calendar,Y1159,NDays&amp;"D")</f>
        <v>47031</v>
      </c>
      <c r="AA1159" s="185">
        <v>5.1276717637347397E-2</v>
      </c>
      <c r="AB1159" s="182">
        <v>5.0895298960678126E-2</v>
      </c>
    </row>
    <row r="1160" spans="17:28" x14ac:dyDescent="0.2">
      <c r="Q1160" s="141"/>
      <c r="T1160" s="141"/>
      <c r="U1160" s="162"/>
      <c r="X1160" s="183" t="str">
        <f t="shared" si="24"/>
        <v>1w</v>
      </c>
      <c r="Y1160" s="181">
        <f>_xll.qlCalendarAdvance(Calendar,Y1159,X1160,"f",FALSE)</f>
        <v>47038</v>
      </c>
      <c r="Z1160" s="184">
        <f>_xll.qlCalendarAdvance(Calendar,Y1160,NDays&amp;"D")</f>
        <v>47038</v>
      </c>
      <c r="AA1160" s="185">
        <v>5.1285728839768605E-2</v>
      </c>
      <c r="AB1160" s="182">
        <v>5.0903668526618429E-2</v>
      </c>
    </row>
    <row r="1161" spans="17:28" x14ac:dyDescent="0.2">
      <c r="Q1161" s="141"/>
      <c r="T1161" s="141"/>
      <c r="U1161" s="162"/>
      <c r="X1161" s="183" t="str">
        <f t="shared" si="24"/>
        <v>1w</v>
      </c>
      <c r="Y1161" s="181">
        <f>_xll.qlCalendarAdvance(Calendar,Y1160,X1161,"f",FALSE)</f>
        <v>47045</v>
      </c>
      <c r="Z1161" s="184">
        <f>_xll.qlCalendarAdvance(Calendar,Y1161,NDays&amp;"D")</f>
        <v>47045</v>
      </c>
      <c r="AA1161" s="185">
        <v>5.1294822314403077E-2</v>
      </c>
      <c r="AB1161" s="182">
        <v>5.0912119306200099E-2</v>
      </c>
    </row>
    <row r="1162" spans="17:28" x14ac:dyDescent="0.2">
      <c r="Q1162" s="141"/>
      <c r="T1162" s="141"/>
      <c r="U1162" s="162"/>
      <c r="X1162" s="183" t="str">
        <f t="shared" si="24"/>
        <v>1w</v>
      </c>
      <c r="Y1162" s="181">
        <f>_xll.qlCalendarAdvance(Calendar,Y1161,X1162,"f",FALSE)</f>
        <v>47052</v>
      </c>
      <c r="Z1162" s="184">
        <f>_xll.qlCalendarAdvance(Calendar,Y1162,NDays&amp;"D")</f>
        <v>47052</v>
      </c>
      <c r="AA1162" s="185">
        <v>5.13167871094641E-2</v>
      </c>
      <c r="AB1162" s="182">
        <v>5.0920651299423136E-2</v>
      </c>
    </row>
    <row r="1163" spans="17:28" x14ac:dyDescent="0.2">
      <c r="Q1163" s="141"/>
      <c r="T1163" s="141"/>
      <c r="U1163" s="162"/>
      <c r="X1163" s="183" t="str">
        <f t="shared" si="24"/>
        <v>1w</v>
      </c>
      <c r="Y1163" s="181">
        <f>_xll.qlCalendarAdvance(Calendar,Y1162,X1163,"f",FALSE)</f>
        <v>47059</v>
      </c>
      <c r="Z1163" s="184">
        <f>_xll.qlCalendarAdvance(Calendar,Y1163,NDays&amp;"D")</f>
        <v>47059</v>
      </c>
      <c r="AA1163" s="185">
        <v>5.131325608254237E-2</v>
      </c>
      <c r="AB1163" s="182">
        <v>5.0929264506368588E-2</v>
      </c>
    </row>
    <row r="1164" spans="17:28" x14ac:dyDescent="0.2">
      <c r="Q1164" s="141"/>
      <c r="T1164" s="141"/>
      <c r="U1164" s="162"/>
      <c r="X1164" s="183" t="str">
        <f t="shared" si="24"/>
        <v>1w</v>
      </c>
      <c r="Y1164" s="181">
        <f>_xll.qlCalendarAdvance(Calendar,Y1163,X1164,"f",FALSE)</f>
        <v>47066</v>
      </c>
      <c r="Z1164" s="184">
        <f>_xll.qlCalendarAdvance(Calendar,Y1164,NDays&amp;"D")</f>
        <v>47066</v>
      </c>
      <c r="AA1164" s="185">
        <v>5.1322596377179196E-2</v>
      </c>
      <c r="AB1164" s="182">
        <v>5.093795892687436E-2</v>
      </c>
    </row>
    <row r="1165" spans="17:28" x14ac:dyDescent="0.2">
      <c r="Q1165" s="141"/>
      <c r="T1165" s="141"/>
      <c r="U1165" s="162"/>
      <c r="X1165" s="183" t="str">
        <f t="shared" si="24"/>
        <v>1w</v>
      </c>
      <c r="Y1165" s="181">
        <f>_xll.qlCalendarAdvance(Calendar,Y1164,X1165,"f",FALSE)</f>
        <v>47073</v>
      </c>
      <c r="Z1165" s="184">
        <f>_xll.qlCalendarAdvance(Calendar,Y1165,NDays&amp;"D")</f>
        <v>47073</v>
      </c>
      <c r="AA1165" s="185">
        <v>5.1332018946293294E-2</v>
      </c>
      <c r="AB1165" s="182">
        <v>5.0946734561183593E-2</v>
      </c>
    </row>
    <row r="1166" spans="17:28" x14ac:dyDescent="0.2">
      <c r="Q1166" s="141"/>
      <c r="T1166" s="141"/>
      <c r="U1166" s="162"/>
      <c r="X1166" s="183" t="str">
        <f t="shared" si="24"/>
        <v>1w</v>
      </c>
      <c r="Y1166" s="181">
        <f>_xll.qlCalendarAdvance(Calendar,Y1165,X1166,"f",FALSE)</f>
        <v>47080</v>
      </c>
      <c r="Z1166" s="184">
        <f>_xll.qlCalendarAdvance(Calendar,Y1166,NDays&amp;"D")</f>
        <v>47080</v>
      </c>
      <c r="AA1166" s="185">
        <v>5.1341523790459927E-2</v>
      </c>
      <c r="AB1166" s="182">
        <v>5.0955591409134193E-2</v>
      </c>
    </row>
    <row r="1167" spans="17:28" x14ac:dyDescent="0.2">
      <c r="Q1167" s="141"/>
      <c r="T1167" s="141"/>
      <c r="U1167" s="162"/>
      <c r="X1167" s="183" t="str">
        <f t="shared" si="24"/>
        <v>1w</v>
      </c>
      <c r="Y1167" s="181">
        <f>_xll.qlCalendarAdvance(Calendar,Y1166,X1167,"f",FALSE)</f>
        <v>47087</v>
      </c>
      <c r="Z1167" s="184">
        <f>_xll.qlCalendarAdvance(Calendar,Y1167,NDays&amp;"D")</f>
        <v>47087</v>
      </c>
      <c r="AA1167" s="185">
        <v>5.1342518373070495E-2</v>
      </c>
      <c r="AB1167" s="182">
        <v>5.0964529470726161E-2</v>
      </c>
    </row>
    <row r="1168" spans="17:28" x14ac:dyDescent="0.2">
      <c r="Q1168" s="141"/>
      <c r="T1168" s="141"/>
      <c r="U1168" s="162"/>
      <c r="X1168" s="183" t="str">
        <f t="shared" si="24"/>
        <v>1w</v>
      </c>
      <c r="Y1168" s="181">
        <f>_xll.qlCalendarAdvance(Calendar,Y1167,X1168,"f",FALSE)</f>
        <v>47094</v>
      </c>
      <c r="Z1168" s="184">
        <f>_xll.qlCalendarAdvance(Calendar,Y1168,NDays&amp;"D")</f>
        <v>47094</v>
      </c>
      <c r="AA1168" s="185">
        <v>5.1352173315464218E-2</v>
      </c>
      <c r="AB1168" s="182">
        <v>5.0973548746121589E-2</v>
      </c>
    </row>
    <row r="1169" spans="17:28" x14ac:dyDescent="0.2">
      <c r="Q1169" s="141"/>
      <c r="T1169" s="141"/>
      <c r="U1169" s="162"/>
      <c r="X1169" s="183" t="str">
        <f t="shared" si="24"/>
        <v>1w</v>
      </c>
      <c r="Y1169" s="181">
        <f>_xll.qlCalendarAdvance(Calendar,Y1168,X1169,"f",FALSE)</f>
        <v>47101</v>
      </c>
      <c r="Z1169" s="184">
        <f>_xll.qlCalendarAdvance(Calendar,Y1169,NDays&amp;"D")</f>
        <v>47101</v>
      </c>
      <c r="AA1169" s="185">
        <v>5.136191051107996E-2</v>
      </c>
      <c r="AB1169" s="182">
        <v>5.0982649235158384E-2</v>
      </c>
    </row>
    <row r="1170" spans="17:28" x14ac:dyDescent="0.2">
      <c r="Q1170" s="141"/>
      <c r="T1170" s="141"/>
      <c r="U1170" s="162"/>
      <c r="X1170" s="183" t="str">
        <f t="shared" si="24"/>
        <v>1w</v>
      </c>
      <c r="Y1170" s="181">
        <f>_xll.qlCalendarAdvance(Calendar,Y1169,X1170,"f",FALSE)</f>
        <v>47108</v>
      </c>
      <c r="Z1170" s="184">
        <f>_xll.qlCalendarAdvance(Calendar,Y1170,NDays&amp;"D")</f>
        <v>47108</v>
      </c>
      <c r="AA1170" s="185">
        <v>5.1371729960502141E-2</v>
      </c>
      <c r="AB1170" s="182">
        <v>5.0991830937836546E-2</v>
      </c>
    </row>
    <row r="1171" spans="17:28" x14ac:dyDescent="0.2">
      <c r="Q1171" s="141"/>
      <c r="T1171" s="141"/>
      <c r="U1171" s="162"/>
      <c r="X1171" s="183" t="str">
        <f t="shared" si="24"/>
        <v>1w</v>
      </c>
      <c r="Y1171" s="181">
        <f>_xll.qlCalendarAdvance(Calendar,Y1170,X1171,"f",FALSE)</f>
        <v>47115</v>
      </c>
      <c r="Z1171" s="184">
        <f>_xll.qlCalendarAdvance(Calendar,Y1171,NDays&amp;"D")</f>
        <v>47115</v>
      </c>
      <c r="AA1171" s="185">
        <v>5.1381631664324204E-2</v>
      </c>
      <c r="AB1171" s="182">
        <v>5.1001093854318169E-2</v>
      </c>
    </row>
    <row r="1172" spans="17:28" x14ac:dyDescent="0.2">
      <c r="Q1172" s="141"/>
      <c r="T1172" s="141"/>
      <c r="U1172" s="162"/>
      <c r="X1172" s="183" t="str">
        <f t="shared" si="24"/>
        <v>1w</v>
      </c>
      <c r="Y1172" s="181">
        <f>_xll.qlCalendarAdvance(Calendar,Y1171,X1172,"f",FALSE)</f>
        <v>47122</v>
      </c>
      <c r="Z1172" s="184">
        <f>_xll.qlCalendarAdvance(Calendar,Y1172,NDays&amp;"D")</f>
        <v>47122</v>
      </c>
      <c r="AA1172" s="185">
        <v>5.1391615623137793E-2</v>
      </c>
      <c r="AB1172" s="182">
        <v>5.1010437984522206E-2</v>
      </c>
    </row>
    <row r="1173" spans="17:28" x14ac:dyDescent="0.2">
      <c r="Q1173" s="141"/>
      <c r="T1173" s="141"/>
      <c r="U1173" s="162"/>
      <c r="X1173" s="183" t="str">
        <f t="shared" ref="X1173:X1236" si="25">X1172</f>
        <v>1w</v>
      </c>
      <c r="Y1173" s="181">
        <f>_xll.qlCalendarAdvance(Calendar,Y1172,X1173,"f",FALSE)</f>
        <v>47129</v>
      </c>
      <c r="Z1173" s="184">
        <f>_xll.qlCalendarAdvance(Calendar,Y1173,NDays&amp;"D")</f>
        <v>47129</v>
      </c>
      <c r="AA1173" s="185">
        <v>5.1401681837544448E-2</v>
      </c>
      <c r="AB1173" s="182">
        <v>5.101986332836761E-2</v>
      </c>
    </row>
    <row r="1174" spans="17:28" x14ac:dyDescent="0.2">
      <c r="Q1174" s="141"/>
      <c r="T1174" s="141"/>
      <c r="U1174" s="162"/>
      <c r="X1174" s="183" t="str">
        <f t="shared" si="25"/>
        <v>1w</v>
      </c>
      <c r="Y1174" s="181">
        <f>_xll.qlCalendarAdvance(Calendar,Y1173,X1174,"f",FALSE)</f>
        <v>47136</v>
      </c>
      <c r="Z1174" s="184">
        <f>_xll.qlCalendarAdvance(Calendar,Y1174,NDays&amp;"D")</f>
        <v>47136</v>
      </c>
      <c r="AA1174" s="185">
        <v>5.1411830308148408E-2</v>
      </c>
      <c r="AB1174" s="182">
        <v>5.1029369886016474E-2</v>
      </c>
    </row>
    <row r="1175" spans="17:28" x14ac:dyDescent="0.2">
      <c r="Q1175" s="141"/>
      <c r="T1175" s="141"/>
      <c r="U1175" s="162"/>
      <c r="X1175" s="183" t="str">
        <f t="shared" si="25"/>
        <v>1w</v>
      </c>
      <c r="Y1175" s="181">
        <f>_xll.qlCalendarAdvance(Calendar,Y1174,X1175,"f",FALSE)</f>
        <v>47143</v>
      </c>
      <c r="Z1175" s="184">
        <f>_xll.qlCalendarAdvance(Calendar,Y1175,NDays&amp;"D")</f>
        <v>47143</v>
      </c>
      <c r="AA1175" s="185">
        <v>5.1426414896550726E-2</v>
      </c>
      <c r="AB1175" s="182">
        <v>5.1051731024146507E-2</v>
      </c>
    </row>
    <row r="1176" spans="17:28" x14ac:dyDescent="0.2">
      <c r="Q1176" s="141"/>
      <c r="T1176" s="141"/>
      <c r="U1176" s="162"/>
      <c r="X1176" s="183" t="str">
        <f t="shared" si="25"/>
        <v>1w</v>
      </c>
      <c r="Y1176" s="181">
        <f>_xll.qlCalendarAdvance(Calendar,Y1175,X1176,"f",FALSE)</f>
        <v>47150</v>
      </c>
      <c r="Z1176" s="184">
        <f>_xll.qlCalendarAdvance(Calendar,Y1176,NDays&amp;"D")</f>
        <v>47150</v>
      </c>
      <c r="AA1176" s="185">
        <v>5.142801394632189E-2</v>
      </c>
      <c r="AB1176" s="182">
        <v>5.1048626642481443E-2</v>
      </c>
    </row>
    <row r="1177" spans="17:28" x14ac:dyDescent="0.2">
      <c r="Q1177" s="141"/>
      <c r="T1177" s="141"/>
      <c r="U1177" s="162"/>
      <c r="X1177" s="183" t="str">
        <f t="shared" si="25"/>
        <v>1w</v>
      </c>
      <c r="Y1177" s="181">
        <f>_xll.qlCalendarAdvance(Calendar,Y1176,X1177,"f",FALSE)</f>
        <v>47157</v>
      </c>
      <c r="Z1177" s="184">
        <f>_xll.qlCalendarAdvance(Calendar,Y1177,NDays&amp;"D")</f>
        <v>47157</v>
      </c>
      <c r="AA1177" s="185">
        <v>5.1438401858778293E-2</v>
      </c>
      <c r="AB1177" s="182">
        <v>5.1058376841297548E-2</v>
      </c>
    </row>
    <row r="1178" spans="17:28" x14ac:dyDescent="0.2">
      <c r="Q1178" s="141"/>
      <c r="T1178" s="141"/>
      <c r="U1178" s="162"/>
      <c r="X1178" s="183" t="str">
        <f t="shared" si="25"/>
        <v>1w</v>
      </c>
      <c r="Y1178" s="181">
        <f>_xll.qlCalendarAdvance(Calendar,Y1177,X1178,"f",FALSE)</f>
        <v>47164</v>
      </c>
      <c r="Z1178" s="184">
        <f>_xll.qlCalendarAdvance(Calendar,Y1178,NDays&amp;"D")</f>
        <v>47164</v>
      </c>
      <c r="AA1178" s="185">
        <v>5.1448872018040395E-2</v>
      </c>
      <c r="AB1178" s="182">
        <v>5.1068208253836067E-2</v>
      </c>
    </row>
    <row r="1179" spans="17:28" x14ac:dyDescent="0.2">
      <c r="Q1179" s="141"/>
      <c r="T1179" s="141"/>
      <c r="U1179" s="162"/>
      <c r="X1179" s="183" t="str">
        <f t="shared" si="25"/>
        <v>1w</v>
      </c>
      <c r="Y1179" s="181">
        <f>_xll.qlCalendarAdvance(Calendar,Y1178,X1179,"f",FALSE)</f>
        <v>47171</v>
      </c>
      <c r="Z1179" s="184">
        <f>_xll.qlCalendarAdvance(Calendar,Y1179,NDays&amp;"D")</f>
        <v>47171</v>
      </c>
      <c r="AA1179" s="185">
        <v>5.1459424424731059E-2</v>
      </c>
      <c r="AB1179" s="182">
        <v>5.1078120880178046E-2</v>
      </c>
    </row>
    <row r="1180" spans="17:28" x14ac:dyDescent="0.2">
      <c r="Q1180" s="141"/>
      <c r="T1180" s="141"/>
      <c r="U1180" s="162"/>
      <c r="X1180" s="183" t="str">
        <f t="shared" si="25"/>
        <v>1w</v>
      </c>
      <c r="Y1180" s="181">
        <f>_xll.qlCalendarAdvance(Calendar,Y1179,X1180,"f",FALSE)</f>
        <v>47178</v>
      </c>
      <c r="Z1180" s="184">
        <f>_xll.qlCalendarAdvance(Calendar,Y1180,NDays&amp;"D")</f>
        <v>47178</v>
      </c>
      <c r="AA1180" s="185">
        <v>5.1483230825497411E-2</v>
      </c>
      <c r="AB1180" s="182">
        <v>5.1088114720404532E-2</v>
      </c>
    </row>
    <row r="1181" spans="17:28" x14ac:dyDescent="0.2">
      <c r="Q1181" s="141"/>
      <c r="T1181" s="141"/>
      <c r="U1181" s="162"/>
      <c r="X1181" s="183" t="str">
        <f t="shared" si="25"/>
        <v>1w</v>
      </c>
      <c r="Y1181" s="181">
        <f>_xll.qlCalendarAdvance(Calendar,Y1180,X1181,"f",FALSE)</f>
        <v>47185</v>
      </c>
      <c r="Z1181" s="184">
        <f>_xll.qlCalendarAdvance(Calendar,Y1181,NDays&amp;"D")</f>
        <v>47185</v>
      </c>
      <c r="AA1181" s="185">
        <v>5.1493969868341698E-2</v>
      </c>
      <c r="AB1181" s="182">
        <v>5.1098189774272385E-2</v>
      </c>
    </row>
    <row r="1182" spans="17:28" x14ac:dyDescent="0.2">
      <c r="Q1182" s="141"/>
      <c r="T1182" s="141"/>
      <c r="U1182" s="162"/>
      <c r="X1182" s="183" t="str">
        <f t="shared" si="25"/>
        <v>1w</v>
      </c>
      <c r="Y1182" s="181">
        <f>_xll.qlCalendarAdvance(Calendar,Y1181,X1182,"f",FALSE)</f>
        <v>47192</v>
      </c>
      <c r="Z1182" s="184">
        <f>_xll.qlCalendarAdvance(Calendar,Y1182,NDays&amp;"D")</f>
        <v>47192</v>
      </c>
      <c r="AA1182" s="185">
        <v>5.1504791196184306E-2</v>
      </c>
      <c r="AB1182" s="182">
        <v>5.1108346042024744E-2</v>
      </c>
    </row>
    <row r="1183" spans="17:28" x14ac:dyDescent="0.2">
      <c r="Q1183" s="141"/>
      <c r="T1183" s="141"/>
      <c r="U1183" s="162"/>
      <c r="X1183" s="183" t="str">
        <f t="shared" si="25"/>
        <v>1w</v>
      </c>
      <c r="Y1183" s="181">
        <f>_xll.qlCalendarAdvance(Calendar,Y1182,X1183,"f",FALSE)</f>
        <v>47199</v>
      </c>
      <c r="Z1183" s="184">
        <f>_xll.qlCalendarAdvance(Calendar,Y1183,NDays&amp;"D")</f>
        <v>47199</v>
      </c>
      <c r="AA1183" s="185">
        <v>5.1515694809691225E-2</v>
      </c>
      <c r="AB1183" s="182">
        <v>5.1118583523499517E-2</v>
      </c>
    </row>
    <row r="1184" spans="17:28" x14ac:dyDescent="0.2">
      <c r="Q1184" s="141"/>
      <c r="T1184" s="141"/>
      <c r="U1184" s="162"/>
      <c r="X1184" s="183" t="str">
        <f t="shared" si="25"/>
        <v>1w</v>
      </c>
      <c r="Y1184" s="181">
        <f>_xll.qlCalendarAdvance(Calendar,Y1183,X1184,"f",FALSE)</f>
        <v>47206</v>
      </c>
      <c r="Z1184" s="184">
        <f>_xll.qlCalendarAdvance(Calendar,Y1184,NDays&amp;"D")</f>
        <v>47206</v>
      </c>
      <c r="AA1184" s="185">
        <v>5.1526680709531959E-2</v>
      </c>
      <c r="AB1184" s="182">
        <v>5.1146194849797988E-2</v>
      </c>
    </row>
    <row r="1185" spans="17:28" x14ac:dyDescent="0.2">
      <c r="Q1185" s="141"/>
      <c r="T1185" s="141"/>
      <c r="U1185" s="162"/>
      <c r="X1185" s="183" t="str">
        <f t="shared" si="25"/>
        <v>1w</v>
      </c>
      <c r="Y1185" s="181">
        <f>_xll.qlCalendarAdvance(Calendar,Y1184,X1185,"f",FALSE)</f>
        <v>47213</v>
      </c>
      <c r="Z1185" s="184">
        <f>_xll.qlCalendarAdvance(Calendar,Y1185,NDays&amp;"D")</f>
        <v>47213</v>
      </c>
      <c r="AA1185" s="185">
        <v>5.153332017160079E-2</v>
      </c>
      <c r="AB1185" s="182">
        <v>5.1139302127859443E-2</v>
      </c>
    </row>
    <row r="1186" spans="17:28" x14ac:dyDescent="0.2">
      <c r="Q1186" s="141"/>
      <c r="T1186" s="141"/>
      <c r="U1186" s="162"/>
      <c r="X1186" s="183" t="str">
        <f t="shared" si="25"/>
        <v>1w</v>
      </c>
      <c r="Y1186" s="181">
        <f>_xll.qlCalendarAdvance(Calendar,Y1185,X1186,"f",FALSE)</f>
        <v>47220</v>
      </c>
      <c r="Z1186" s="184">
        <f>_xll.qlCalendarAdvance(Calendar,Y1186,NDays&amp;"D")</f>
        <v>47220</v>
      </c>
      <c r="AA1186" s="185">
        <v>5.1544463204875282E-2</v>
      </c>
      <c r="AB1186" s="182">
        <v>5.1149783250825642E-2</v>
      </c>
    </row>
    <row r="1187" spans="17:28" x14ac:dyDescent="0.2">
      <c r="Q1187" s="141"/>
      <c r="T1187" s="141"/>
      <c r="U1187" s="162"/>
      <c r="X1187" s="183" t="str">
        <f t="shared" si="25"/>
        <v>1w</v>
      </c>
      <c r="Y1187" s="181">
        <f>_xll.qlCalendarAdvance(Calendar,Y1186,X1187,"f",FALSE)</f>
        <v>47227</v>
      </c>
      <c r="Z1187" s="184">
        <f>_xll.qlCalendarAdvance(Calendar,Y1187,NDays&amp;"D")</f>
        <v>47227</v>
      </c>
      <c r="AA1187" s="185">
        <v>5.1555688514589325E-2</v>
      </c>
      <c r="AB1187" s="182">
        <v>5.1160345587433209E-2</v>
      </c>
    </row>
    <row r="1188" spans="17:28" x14ac:dyDescent="0.2">
      <c r="Q1188" s="141"/>
      <c r="T1188" s="141"/>
      <c r="U1188" s="162"/>
      <c r="X1188" s="183" t="str">
        <f t="shared" si="25"/>
        <v>1w</v>
      </c>
      <c r="Y1188" s="181">
        <f>_xll.qlCalendarAdvance(Calendar,Y1187,X1188,"f",FALSE)</f>
        <v>47234</v>
      </c>
      <c r="Z1188" s="184">
        <f>_xll.qlCalendarAdvance(Calendar,Y1188,NDays&amp;"D")</f>
        <v>47234</v>
      </c>
      <c r="AA1188" s="185">
        <v>5.1566996101423346E-2</v>
      </c>
      <c r="AB1188" s="182">
        <v>5.1170989138087375E-2</v>
      </c>
    </row>
    <row r="1189" spans="17:28" x14ac:dyDescent="0.2">
      <c r="Q1189" s="141"/>
      <c r="T1189" s="141"/>
      <c r="U1189" s="162"/>
      <c r="X1189" s="183" t="str">
        <f t="shared" si="25"/>
        <v>1w</v>
      </c>
      <c r="Y1189" s="181">
        <f>_xll.qlCalendarAdvance(Calendar,Y1188,X1189,"f",FALSE)</f>
        <v>47241</v>
      </c>
      <c r="Z1189" s="184">
        <f>_xll.qlCalendarAdvance(Calendar,Y1189,NDays&amp;"D")</f>
        <v>47241</v>
      </c>
      <c r="AA1189" s="185">
        <v>5.1582844527516845E-2</v>
      </c>
      <c r="AB1189" s="182">
        <v>5.1181713902463954E-2</v>
      </c>
    </row>
    <row r="1190" spans="17:28" x14ac:dyDescent="0.2">
      <c r="Q1190" s="141"/>
      <c r="T1190" s="141"/>
      <c r="U1190" s="162"/>
      <c r="X1190" s="183" t="str">
        <f t="shared" si="25"/>
        <v>1w</v>
      </c>
      <c r="Y1190" s="181">
        <f>_xll.qlCalendarAdvance(Calendar,Y1189,X1190,"f",FALSE)</f>
        <v>47248</v>
      </c>
      <c r="Z1190" s="184">
        <f>_xll.qlCalendarAdvance(Calendar,Y1190,NDays&amp;"D")</f>
        <v>47248</v>
      </c>
      <c r="AA1190" s="185">
        <v>5.1594324159699535E-2</v>
      </c>
      <c r="AB1190" s="182">
        <v>5.1192519880643994E-2</v>
      </c>
    </row>
    <row r="1191" spans="17:28" x14ac:dyDescent="0.2">
      <c r="Q1191" s="141"/>
      <c r="T1191" s="141"/>
      <c r="U1191" s="162"/>
      <c r="X1191" s="183" t="str">
        <f t="shared" si="25"/>
        <v>1w</v>
      </c>
      <c r="Y1191" s="181">
        <f>_xll.qlCalendarAdvance(Calendar,Y1190,X1191,"f",FALSE)</f>
        <v>47255</v>
      </c>
      <c r="Z1191" s="184">
        <f>_xll.qlCalendarAdvance(Calendar,Y1191,NDays&amp;"D")</f>
        <v>47255</v>
      </c>
      <c r="AA1191" s="185">
        <v>5.1605886083043589E-2</v>
      </c>
      <c r="AB1191" s="182">
        <v>5.120340707270854E-2</v>
      </c>
    </row>
    <row r="1192" spans="17:28" x14ac:dyDescent="0.2">
      <c r="Q1192" s="141"/>
      <c r="T1192" s="141"/>
      <c r="U1192" s="162"/>
      <c r="X1192" s="183" t="str">
        <f t="shared" si="25"/>
        <v>1w</v>
      </c>
      <c r="Y1192" s="181">
        <f>_xll.qlCalendarAdvance(Calendar,Y1191,X1192,"f",FALSE)</f>
        <v>47262</v>
      </c>
      <c r="Z1192" s="184">
        <f>_xll.qlCalendarAdvance(Calendar,Y1192,NDays&amp;"D")</f>
        <v>47262</v>
      </c>
      <c r="AA1192" s="185">
        <v>5.1617530298259925E-2</v>
      </c>
      <c r="AB1192" s="182">
        <v>5.1214375478576546E-2</v>
      </c>
    </row>
    <row r="1193" spans="17:28" x14ac:dyDescent="0.2">
      <c r="Q1193" s="141"/>
      <c r="T1193" s="141"/>
      <c r="U1193" s="162"/>
      <c r="X1193" s="183" t="str">
        <f t="shared" si="25"/>
        <v>1w</v>
      </c>
      <c r="Y1193" s="181">
        <f>_xll.qlCalendarAdvance(Calendar,Y1192,X1193,"f",FALSE)</f>
        <v>47269</v>
      </c>
      <c r="Z1193" s="184">
        <f>_xll.qlCalendarAdvance(Calendar,Y1193,NDays&amp;"D")</f>
        <v>47269</v>
      </c>
      <c r="AA1193" s="185">
        <v>5.1629256806062972E-2</v>
      </c>
      <c r="AB1193" s="182">
        <v>5.1225425098410104E-2</v>
      </c>
    </row>
    <row r="1194" spans="17:28" x14ac:dyDescent="0.2">
      <c r="Q1194" s="141"/>
      <c r="T1194" s="141"/>
      <c r="U1194" s="162"/>
      <c r="X1194" s="183" t="str">
        <f t="shared" si="25"/>
        <v>1w</v>
      </c>
      <c r="Y1194" s="181">
        <f>_xll.qlCalendarAdvance(Calendar,Y1193,X1194,"f",FALSE)</f>
        <v>47276</v>
      </c>
      <c r="Z1194" s="184">
        <f>_xll.qlCalendarAdvance(Calendar,Y1194,NDays&amp;"D")</f>
        <v>47276</v>
      </c>
      <c r="AA1194" s="185">
        <v>5.1641065607174227E-2</v>
      </c>
      <c r="AB1194" s="182">
        <v>5.1236555932047123E-2</v>
      </c>
    </row>
    <row r="1195" spans="17:28" x14ac:dyDescent="0.2">
      <c r="Q1195" s="141"/>
      <c r="T1195" s="141"/>
      <c r="U1195" s="162"/>
      <c r="X1195" s="183" t="str">
        <f t="shared" si="25"/>
        <v>1w</v>
      </c>
      <c r="Y1195" s="181">
        <f>_xll.qlCalendarAdvance(Calendar,Y1194,X1195,"f",FALSE)</f>
        <v>47283</v>
      </c>
      <c r="Z1195" s="184">
        <f>_xll.qlCalendarAdvance(Calendar,Y1195,NDays&amp;"D")</f>
        <v>47283</v>
      </c>
      <c r="AA1195" s="185">
        <v>5.1652956702315178E-2</v>
      </c>
      <c r="AB1195" s="182">
        <v>5.1247767979487602E-2</v>
      </c>
    </row>
    <row r="1196" spans="17:28" x14ac:dyDescent="0.2">
      <c r="Q1196" s="141"/>
      <c r="T1196" s="141"/>
      <c r="U1196" s="162"/>
      <c r="X1196" s="183" t="str">
        <f t="shared" si="25"/>
        <v>1w</v>
      </c>
      <c r="Y1196" s="181">
        <f>_xll.qlCalendarAdvance(Calendar,Y1195,X1196,"f",FALSE)</f>
        <v>47290</v>
      </c>
      <c r="Z1196" s="184">
        <f>_xll.qlCalendarAdvance(Calendar,Y1196,NDays&amp;"D")</f>
        <v>47290</v>
      </c>
      <c r="AA1196" s="185">
        <v>5.1664929605949893E-2</v>
      </c>
      <c r="AB1196" s="182">
        <v>5.1259061240812587E-2</v>
      </c>
    </row>
    <row r="1197" spans="17:28" x14ac:dyDescent="0.2">
      <c r="Q1197" s="141"/>
      <c r="T1197" s="141"/>
      <c r="U1197" s="162"/>
      <c r="X1197" s="183" t="str">
        <f t="shared" si="25"/>
        <v>1w</v>
      </c>
      <c r="Y1197" s="181">
        <f>_xll.qlCalendarAdvance(Calendar,Y1196,X1197,"f",FALSE)</f>
        <v>47297</v>
      </c>
      <c r="Z1197" s="184">
        <f>_xll.qlCalendarAdvance(Calendar,Y1197,NDays&amp;"D")</f>
        <v>47297</v>
      </c>
      <c r="AA1197" s="185">
        <v>5.1676975664715866E-2</v>
      </c>
      <c r="AB1197" s="182">
        <v>5.1270435716265217E-2</v>
      </c>
    </row>
    <row r="1198" spans="17:28" x14ac:dyDescent="0.2">
      <c r="Q1198" s="141"/>
      <c r="T1198" s="141"/>
      <c r="U1198" s="162"/>
      <c r="X1198" s="183" t="str">
        <f t="shared" si="25"/>
        <v>1w</v>
      </c>
      <c r="Y1198" s="181">
        <f>_xll.qlCalendarAdvance(Calendar,Y1197,X1198,"f",FALSE)</f>
        <v>47304</v>
      </c>
      <c r="Z1198" s="184">
        <f>_xll.qlCalendarAdvance(Calendar,Y1198,NDays&amp;"D")</f>
        <v>47304</v>
      </c>
      <c r="AA1198" s="185">
        <v>5.1689079447731594E-2</v>
      </c>
      <c r="AB1198" s="182">
        <v>5.1281891405359215E-2</v>
      </c>
    </row>
    <row r="1199" spans="17:28" x14ac:dyDescent="0.2">
      <c r="Q1199" s="141"/>
      <c r="T1199" s="141"/>
      <c r="U1199" s="162"/>
      <c r="X1199" s="183" t="str">
        <f t="shared" si="25"/>
        <v>1w</v>
      </c>
      <c r="Y1199" s="181">
        <f>_xll.qlCalendarAdvance(Calendar,Y1198,X1199,"f",FALSE)</f>
        <v>47311</v>
      </c>
      <c r="Z1199" s="184">
        <f>_xll.qlCalendarAdvance(Calendar,Y1199,NDays&amp;"D")</f>
        <v>47311</v>
      </c>
      <c r="AA1199" s="185">
        <v>5.1701225318790095E-2</v>
      </c>
      <c r="AB1199" s="182">
        <v>5.1293428308499811E-2</v>
      </c>
    </row>
    <row r="1200" spans="17:28" x14ac:dyDescent="0.2">
      <c r="Q1200" s="141"/>
      <c r="T1200" s="141"/>
      <c r="U1200" s="162"/>
      <c r="X1200" s="183" t="str">
        <f t="shared" si="25"/>
        <v>1w</v>
      </c>
      <c r="Y1200" s="181">
        <f>_xll.qlCalendarAdvance(Calendar,Y1199,X1200,"f",FALSE)</f>
        <v>47318</v>
      </c>
      <c r="Z1200" s="184">
        <f>_xll.qlCalendarAdvance(Calendar,Y1200,NDays&amp;"D")</f>
        <v>47318</v>
      </c>
      <c r="AA1200" s="185">
        <v>5.1713397641497627E-2</v>
      </c>
      <c r="AB1200" s="182">
        <v>5.1305046425443868E-2</v>
      </c>
    </row>
    <row r="1201" spans="17:28" x14ac:dyDescent="0.2">
      <c r="Q1201" s="141"/>
      <c r="T1201" s="141"/>
      <c r="U1201" s="162"/>
      <c r="X1201" s="183" t="str">
        <f t="shared" si="25"/>
        <v>1w</v>
      </c>
      <c r="Y1201" s="181">
        <f>_xll.qlCalendarAdvance(Calendar,Y1200,X1201,"f",FALSE)</f>
        <v>47325</v>
      </c>
      <c r="Z1201" s="184">
        <f>_xll.qlCalendarAdvance(Calendar,Y1201,NDays&amp;"D")</f>
        <v>47325</v>
      </c>
      <c r="AA1201" s="185">
        <v>5.1725580779268421E-2</v>
      </c>
      <c r="AB1201" s="182">
        <v>5.1316745756434523E-2</v>
      </c>
    </row>
    <row r="1202" spans="17:28" x14ac:dyDescent="0.2">
      <c r="Q1202" s="141"/>
      <c r="T1202" s="141"/>
      <c r="U1202" s="162"/>
      <c r="X1202" s="183" t="str">
        <f t="shared" si="25"/>
        <v>1w</v>
      </c>
      <c r="Y1202" s="181">
        <f>_xll.qlCalendarAdvance(Calendar,Y1201,X1202,"f",FALSE)</f>
        <v>47332</v>
      </c>
      <c r="Z1202" s="184">
        <f>_xll.qlCalendarAdvance(Calendar,Y1202,NDays&amp;"D")</f>
        <v>47332</v>
      </c>
      <c r="AA1202" s="185">
        <v>5.1737759095329919E-2</v>
      </c>
      <c r="AB1202" s="182">
        <v>5.1328526301228639E-2</v>
      </c>
    </row>
    <row r="1203" spans="17:28" x14ac:dyDescent="0.2">
      <c r="Q1203" s="141"/>
      <c r="T1203" s="141"/>
      <c r="U1203" s="162"/>
      <c r="X1203" s="183" t="str">
        <f t="shared" si="25"/>
        <v>1w</v>
      </c>
      <c r="Y1203" s="181">
        <f>_xll.qlCalendarAdvance(Calendar,Y1202,X1203,"f",FALSE)</f>
        <v>47339</v>
      </c>
      <c r="Z1203" s="184">
        <f>_xll.qlCalendarAdvance(Calendar,Y1203,NDays&amp;"D")</f>
        <v>47339</v>
      </c>
      <c r="AA1203" s="185">
        <v>5.1749916952720187E-2</v>
      </c>
      <c r="AB1203" s="182">
        <v>5.1340388060150399E-2</v>
      </c>
    </row>
    <row r="1204" spans="17:28" x14ac:dyDescent="0.2">
      <c r="Q1204" s="141"/>
      <c r="T1204" s="141"/>
      <c r="U1204" s="162"/>
      <c r="X1204" s="183" t="str">
        <f t="shared" si="25"/>
        <v>1w</v>
      </c>
      <c r="Y1204" s="181">
        <f>_xll.qlCalendarAdvance(Calendar,Y1203,X1204,"f",FALSE)</f>
        <v>47346</v>
      </c>
      <c r="Z1204" s="184">
        <f>_xll.qlCalendarAdvance(Calendar,Y1204,NDays&amp;"D")</f>
        <v>47346</v>
      </c>
      <c r="AA1204" s="185">
        <v>5.1762038714285245E-2</v>
      </c>
      <c r="AB1204" s="182">
        <v>5.135233103287562E-2</v>
      </c>
    </row>
    <row r="1205" spans="17:28" x14ac:dyDescent="0.2">
      <c r="Q1205" s="141"/>
      <c r="T1205" s="141"/>
      <c r="U1205" s="162"/>
      <c r="X1205" s="183" t="str">
        <f t="shared" si="25"/>
        <v>1w</v>
      </c>
      <c r="Y1205" s="181">
        <f>_xll.qlCalendarAdvance(Calendar,Y1204,X1205,"f",FALSE)</f>
        <v>47353</v>
      </c>
      <c r="Z1205" s="184">
        <f>_xll.qlCalendarAdvance(Calendar,Y1205,NDays&amp;"D")</f>
        <v>47353</v>
      </c>
      <c r="AA1205" s="185">
        <v>5.1774108742687855E-2</v>
      </c>
      <c r="AB1205" s="182">
        <v>5.1364355219566393E-2</v>
      </c>
    </row>
    <row r="1206" spans="17:28" x14ac:dyDescent="0.2">
      <c r="Q1206" s="141"/>
      <c r="T1206" s="141"/>
      <c r="U1206" s="162"/>
      <c r="X1206" s="183" t="str">
        <f t="shared" si="25"/>
        <v>1w</v>
      </c>
      <c r="Y1206" s="181">
        <f>_xll.qlCalendarAdvance(Calendar,Y1205,X1206,"f",FALSE)</f>
        <v>47360</v>
      </c>
      <c r="Z1206" s="184">
        <f>_xll.qlCalendarAdvance(Calendar,Y1206,NDays&amp;"D")</f>
        <v>47360</v>
      </c>
      <c r="AA1206" s="185">
        <v>5.1786111400400528E-2</v>
      </c>
      <c r="AB1206" s="182">
        <v>5.1376460620060627E-2</v>
      </c>
    </row>
    <row r="1207" spans="17:28" x14ac:dyDescent="0.2">
      <c r="Q1207" s="141"/>
      <c r="T1207" s="141"/>
      <c r="U1207" s="162"/>
      <c r="X1207" s="183" t="str">
        <f t="shared" si="25"/>
        <v>1w</v>
      </c>
      <c r="Y1207" s="181">
        <f>_xll.qlCalendarAdvance(Calendar,Y1206,X1207,"f",FALSE)</f>
        <v>47367</v>
      </c>
      <c r="Z1207" s="184">
        <f>_xll.qlCalendarAdvance(Calendar,Y1207,NDays&amp;"D")</f>
        <v>47367</v>
      </c>
      <c r="AA1207" s="185">
        <v>5.1793541369723591E-2</v>
      </c>
      <c r="AB1207" s="182">
        <v>5.1388647234844598E-2</v>
      </c>
    </row>
    <row r="1208" spans="17:28" x14ac:dyDescent="0.2">
      <c r="Q1208" s="141"/>
      <c r="T1208" s="141"/>
      <c r="U1208" s="162"/>
      <c r="X1208" s="183" t="str">
        <f t="shared" si="25"/>
        <v>1w</v>
      </c>
      <c r="Y1208" s="181">
        <f>_xll.qlCalendarAdvance(Calendar,Y1207,X1208,"f",FALSE)</f>
        <v>47374</v>
      </c>
      <c r="Z1208" s="184">
        <f>_xll.qlCalendarAdvance(Calendar,Y1208,NDays&amp;"D")</f>
        <v>47374</v>
      </c>
      <c r="AA1208" s="185">
        <v>5.1805369400430484E-2</v>
      </c>
      <c r="AB1208" s="182">
        <v>5.1400915063432029E-2</v>
      </c>
    </row>
    <row r="1209" spans="17:28" x14ac:dyDescent="0.2">
      <c r="Q1209" s="141"/>
      <c r="T1209" s="141"/>
      <c r="U1209" s="162"/>
      <c r="X1209" s="183" t="str">
        <f t="shared" si="25"/>
        <v>1w</v>
      </c>
      <c r="Y1209" s="181">
        <f>_xll.qlCalendarAdvance(Calendar,Y1208,X1209,"f",FALSE)</f>
        <v>47381</v>
      </c>
      <c r="Z1209" s="184">
        <f>_xll.qlCalendarAdvance(Calendar,Y1209,NDays&amp;"D")</f>
        <v>47381</v>
      </c>
      <c r="AA1209" s="185">
        <v>5.1817083468151871E-2</v>
      </c>
      <c r="AB1209" s="182">
        <v>5.1413238571381692E-2</v>
      </c>
    </row>
    <row r="1210" spans="17:28" x14ac:dyDescent="0.2">
      <c r="Q1210" s="141"/>
      <c r="T1210" s="141"/>
      <c r="U1210" s="162"/>
      <c r="X1210" s="183" t="str">
        <f t="shared" si="25"/>
        <v>1w</v>
      </c>
      <c r="Y1210" s="181">
        <f>_xll.qlCalendarAdvance(Calendar,Y1209,X1210,"f",FALSE)</f>
        <v>47388</v>
      </c>
      <c r="Z1210" s="184">
        <f>_xll.qlCalendarAdvance(Calendar,Y1210,NDays&amp;"D")</f>
        <v>47388</v>
      </c>
      <c r="AA1210" s="185">
        <v>5.1828674823602434E-2</v>
      </c>
      <c r="AB1210" s="182">
        <v>5.1425465931778103E-2</v>
      </c>
    </row>
    <row r="1211" spans="17:28" x14ac:dyDescent="0.2">
      <c r="Q1211" s="141"/>
      <c r="T1211" s="141"/>
      <c r="U1211" s="162"/>
      <c r="X1211" s="183" t="str">
        <f t="shared" si="25"/>
        <v>1w</v>
      </c>
      <c r="Y1211" s="181">
        <f>_xll.qlCalendarAdvance(Calendar,Y1210,X1211,"f",FALSE)</f>
        <v>47395</v>
      </c>
      <c r="Z1211" s="184">
        <f>_xll.qlCalendarAdvance(Calendar,Y1211,NDays&amp;"D")</f>
        <v>47395</v>
      </c>
      <c r="AA1211" s="185">
        <v>5.1844604132948141E-2</v>
      </c>
      <c r="AB1211" s="182">
        <v>5.143757161001794E-2</v>
      </c>
    </row>
    <row r="1212" spans="17:28" x14ac:dyDescent="0.2">
      <c r="Q1212" s="141"/>
      <c r="T1212" s="141"/>
      <c r="U1212" s="162"/>
      <c r="X1212" s="183" t="str">
        <f t="shared" si="25"/>
        <v>1w</v>
      </c>
      <c r="Y1212" s="181">
        <f>_xll.qlCalendarAdvance(Calendar,Y1211,X1212,"f",FALSE)</f>
        <v>47402</v>
      </c>
      <c r="Z1212" s="184">
        <f>_xll.qlCalendarAdvance(Calendar,Y1212,NDays&amp;"D")</f>
        <v>47402</v>
      </c>
      <c r="AA1212" s="185">
        <v>5.1855941877109284E-2</v>
      </c>
      <c r="AB1212" s="182">
        <v>5.1449555605858066E-2</v>
      </c>
    </row>
    <row r="1213" spans="17:28" x14ac:dyDescent="0.2">
      <c r="Q1213" s="141"/>
      <c r="T1213" s="141"/>
      <c r="U1213" s="162"/>
      <c r="X1213" s="183" t="str">
        <f t="shared" si="25"/>
        <v>1w</v>
      </c>
      <c r="Y1213" s="181">
        <f>_xll.qlCalendarAdvance(Calendar,Y1212,X1213,"f",FALSE)</f>
        <v>47409</v>
      </c>
      <c r="Z1213" s="184">
        <f>_xll.qlCalendarAdvance(Calendar,Y1213,NDays&amp;"D")</f>
        <v>47409</v>
      </c>
      <c r="AA1213" s="185">
        <v>5.1867156397190743E-2</v>
      </c>
      <c r="AB1213" s="182">
        <v>5.1461417919541619E-2</v>
      </c>
    </row>
    <row r="1214" spans="17:28" x14ac:dyDescent="0.2">
      <c r="Q1214" s="141"/>
      <c r="T1214" s="141"/>
      <c r="U1214" s="162"/>
      <c r="X1214" s="183" t="str">
        <f t="shared" si="25"/>
        <v>1w</v>
      </c>
      <c r="Y1214" s="181">
        <f>_xll.qlCalendarAdvance(Calendar,Y1213,X1214,"f",FALSE)</f>
        <v>47416</v>
      </c>
      <c r="Z1214" s="184">
        <f>_xll.qlCalendarAdvance(Calendar,Y1214,NDays&amp;"D")</f>
        <v>47416</v>
      </c>
      <c r="AA1214" s="185">
        <v>5.1878247692155655E-2</v>
      </c>
      <c r="AB1214" s="182">
        <v>5.1473158550906506E-2</v>
      </c>
    </row>
    <row r="1215" spans="17:28" x14ac:dyDescent="0.2">
      <c r="Q1215" s="141"/>
      <c r="T1215" s="141"/>
      <c r="U1215" s="162"/>
      <c r="X1215" s="183" t="str">
        <f t="shared" si="25"/>
        <v>1w</v>
      </c>
      <c r="Y1215" s="181">
        <f>_xll.qlCalendarAdvance(Calendar,Y1214,X1215,"f",FALSE)</f>
        <v>47423</v>
      </c>
      <c r="Z1215" s="184">
        <f>_xll.qlCalendarAdvance(Calendar,Y1215,NDays&amp;"D")</f>
        <v>47423</v>
      </c>
      <c r="AA1215" s="185">
        <v>5.1889215760987414E-2</v>
      </c>
      <c r="AB1215" s="182">
        <v>5.148477750011482E-2</v>
      </c>
    </row>
    <row r="1216" spans="17:28" x14ac:dyDescent="0.2">
      <c r="Q1216" s="141"/>
      <c r="T1216" s="141"/>
      <c r="U1216" s="162"/>
      <c r="X1216" s="183" t="str">
        <f t="shared" si="25"/>
        <v>1w</v>
      </c>
      <c r="Y1216" s="181">
        <f>_xll.qlCalendarAdvance(Calendar,Y1215,X1216,"f",FALSE)</f>
        <v>47430</v>
      </c>
      <c r="Z1216" s="184">
        <f>_xll.qlCalendarAdvance(Calendar,Y1216,NDays&amp;"D")</f>
        <v>47430</v>
      </c>
      <c r="AA1216" s="185">
        <v>5.1900060602675595E-2</v>
      </c>
      <c r="AB1216" s="182">
        <v>5.1496274766923422E-2</v>
      </c>
    </row>
    <row r="1217" spans="17:28" x14ac:dyDescent="0.2">
      <c r="Q1217" s="141"/>
      <c r="T1217" s="141"/>
      <c r="U1217" s="162"/>
      <c r="X1217" s="183" t="str">
        <f t="shared" si="25"/>
        <v>1w</v>
      </c>
      <c r="Y1217" s="181">
        <f>_xll.qlCalendarAdvance(Calendar,Y1216,X1217,"f",FALSE)</f>
        <v>47437</v>
      </c>
      <c r="Z1217" s="184">
        <f>_xll.qlCalendarAdvance(Calendar,Y1217,NDays&amp;"D")</f>
        <v>47437</v>
      </c>
      <c r="AA1217" s="185">
        <v>5.1910782216222959E-2</v>
      </c>
      <c r="AB1217" s="182">
        <v>5.1507650351494405E-2</v>
      </c>
    </row>
    <row r="1218" spans="17:28" x14ac:dyDescent="0.2">
      <c r="Q1218" s="141"/>
      <c r="T1218" s="141"/>
      <c r="U1218" s="162"/>
      <c r="X1218" s="183" t="str">
        <f t="shared" si="25"/>
        <v>1w</v>
      </c>
      <c r="Y1218" s="181">
        <f>_xll.qlCalendarAdvance(Calendar,Y1217,X1218,"f",FALSE)</f>
        <v>47444</v>
      </c>
      <c r="Z1218" s="184">
        <f>_xll.qlCalendarAdvance(Calendar,Y1218,NDays&amp;"D")</f>
        <v>47444</v>
      </c>
      <c r="AA1218" s="185">
        <v>5.1921380600642872E-2</v>
      </c>
      <c r="AB1218" s="182">
        <v>5.1518904253827769E-2</v>
      </c>
    </row>
    <row r="1219" spans="17:28" x14ac:dyDescent="0.2">
      <c r="Q1219" s="141"/>
      <c r="T1219" s="141"/>
      <c r="U1219" s="162"/>
      <c r="X1219" s="183" t="str">
        <f t="shared" si="25"/>
        <v>1w</v>
      </c>
      <c r="Y1219" s="181">
        <f>_xll.qlCalendarAdvance(Calendar,Y1218,X1219,"f",FALSE)</f>
        <v>47451</v>
      </c>
      <c r="Z1219" s="184">
        <f>_xll.qlCalendarAdvance(Calendar,Y1219,NDays&amp;"D")</f>
        <v>47451</v>
      </c>
      <c r="AA1219" s="185">
        <v>5.1927452679936419E-2</v>
      </c>
      <c r="AB1219" s="182">
        <v>5.153003647376142E-2</v>
      </c>
    </row>
    <row r="1220" spans="17:28" x14ac:dyDescent="0.2">
      <c r="Q1220" s="141"/>
      <c r="T1220" s="141"/>
      <c r="U1220" s="162"/>
      <c r="X1220" s="183" t="str">
        <f t="shared" si="25"/>
        <v>1w</v>
      </c>
      <c r="Y1220" s="181">
        <f>_xll.qlCalendarAdvance(Calendar,Y1219,X1220,"f",FALSE)</f>
        <v>47458</v>
      </c>
      <c r="Z1220" s="184">
        <f>_xll.qlCalendarAdvance(Calendar,Y1220,NDays&amp;"D")</f>
        <v>47458</v>
      </c>
      <c r="AA1220" s="185">
        <v>5.1933415915141723E-2</v>
      </c>
      <c r="AB1220" s="182">
        <v>5.154104701129536E-2</v>
      </c>
    </row>
    <row r="1221" spans="17:28" x14ac:dyDescent="0.2">
      <c r="Q1221" s="141"/>
      <c r="T1221" s="141"/>
      <c r="U1221" s="162"/>
      <c r="X1221" s="183" t="str">
        <f t="shared" si="25"/>
        <v>1w</v>
      </c>
      <c r="Y1221" s="181">
        <f>_xll.qlCalendarAdvance(Calendar,Y1220,X1221,"f",FALSE)</f>
        <v>47465</v>
      </c>
      <c r="Z1221" s="184">
        <f>_xll.qlCalendarAdvance(Calendar,Y1221,NDays&amp;"D")</f>
        <v>47465</v>
      </c>
      <c r="AA1221" s="185">
        <v>5.1943659313988255E-2</v>
      </c>
      <c r="AB1221" s="182">
        <v>5.1551935866672727E-2</v>
      </c>
    </row>
    <row r="1222" spans="17:28" x14ac:dyDescent="0.2">
      <c r="Q1222" s="141"/>
      <c r="T1222" s="141"/>
      <c r="U1222" s="162"/>
      <c r="X1222" s="183" t="str">
        <f t="shared" si="25"/>
        <v>1w</v>
      </c>
      <c r="Y1222" s="181">
        <f>_xll.qlCalendarAdvance(Calendar,Y1221,X1222,"f",FALSE)</f>
        <v>47472</v>
      </c>
      <c r="Z1222" s="184">
        <f>_xll.qlCalendarAdvance(Calendar,Y1222,NDays&amp;"D")</f>
        <v>47472</v>
      </c>
      <c r="AA1222" s="185">
        <v>5.1953779514292406E-2</v>
      </c>
      <c r="AB1222" s="182">
        <v>5.1562703039650382E-2</v>
      </c>
    </row>
    <row r="1223" spans="17:28" x14ac:dyDescent="0.2">
      <c r="Q1223" s="141"/>
      <c r="T1223" s="141"/>
      <c r="U1223" s="162"/>
      <c r="X1223" s="183" t="str">
        <f t="shared" si="25"/>
        <v>1w</v>
      </c>
      <c r="Y1223" s="181">
        <f>_xll.qlCalendarAdvance(Calendar,Y1222,X1223,"f",FALSE)</f>
        <v>47479</v>
      </c>
      <c r="Z1223" s="184">
        <f>_xll.qlCalendarAdvance(Calendar,Y1223,NDays&amp;"D")</f>
        <v>47479</v>
      </c>
      <c r="AA1223" s="185">
        <v>5.1963776515146443E-2</v>
      </c>
      <c r="AB1223" s="182">
        <v>5.1573348530228325E-2</v>
      </c>
    </row>
    <row r="1224" spans="17:28" x14ac:dyDescent="0.2">
      <c r="Q1224" s="141"/>
      <c r="T1224" s="141"/>
      <c r="U1224" s="162"/>
      <c r="X1224" s="183" t="str">
        <f t="shared" si="25"/>
        <v>1w</v>
      </c>
      <c r="Y1224" s="181">
        <f>_xll.qlCalendarAdvance(Calendar,Y1223,X1224,"f",FALSE)</f>
        <v>47486</v>
      </c>
      <c r="Z1224" s="184">
        <f>_xll.qlCalendarAdvance(Calendar,Y1224,NDays&amp;"D")</f>
        <v>47486</v>
      </c>
      <c r="AA1224" s="185">
        <v>5.1973650315650752E-2</v>
      </c>
      <c r="AB1224" s="182">
        <v>5.1583872338406556E-2</v>
      </c>
    </row>
    <row r="1225" spans="17:28" x14ac:dyDescent="0.2">
      <c r="Q1225" s="141"/>
      <c r="T1225" s="141"/>
      <c r="U1225" s="162"/>
      <c r="X1225" s="183" t="str">
        <f t="shared" si="25"/>
        <v>1w</v>
      </c>
      <c r="Y1225" s="181">
        <f>_xll.qlCalendarAdvance(Calendar,Y1224,X1225,"f",FALSE)</f>
        <v>47493</v>
      </c>
      <c r="Z1225" s="184">
        <f>_xll.qlCalendarAdvance(Calendar,Y1225,NDays&amp;"D")</f>
        <v>47493</v>
      </c>
      <c r="AA1225" s="185">
        <v>5.1983400914914726E-2</v>
      </c>
      <c r="AB1225" s="182">
        <v>5.1594274464185075E-2</v>
      </c>
    </row>
    <row r="1226" spans="17:28" x14ac:dyDescent="0.2">
      <c r="Q1226" s="141"/>
      <c r="T1226" s="141"/>
      <c r="U1226" s="162"/>
      <c r="X1226" s="183" t="str">
        <f t="shared" si="25"/>
        <v>1w</v>
      </c>
      <c r="Y1226" s="181">
        <f>_xll.qlCalendarAdvance(Calendar,Y1225,X1226,"f",FALSE)</f>
        <v>47500</v>
      </c>
      <c r="Z1226" s="184">
        <f>_xll.qlCalendarAdvance(Calendar,Y1226,NDays&amp;"D")</f>
        <v>47500</v>
      </c>
      <c r="AA1226" s="185">
        <v>5.1993028312061269E-2</v>
      </c>
      <c r="AB1226" s="182">
        <v>5.1604554907644928E-2</v>
      </c>
    </row>
    <row r="1227" spans="17:28" x14ac:dyDescent="0.2">
      <c r="Q1227" s="141"/>
      <c r="T1227" s="141"/>
      <c r="U1227" s="162"/>
      <c r="X1227" s="183" t="str">
        <f t="shared" si="25"/>
        <v>1w</v>
      </c>
      <c r="Y1227" s="181">
        <f>_xll.qlCalendarAdvance(Calendar,Y1226,X1227,"f",FALSE)</f>
        <v>47507</v>
      </c>
      <c r="Z1227" s="184">
        <f>_xll.qlCalendarAdvance(Calendar,Y1227,NDays&amp;"D")</f>
        <v>47507</v>
      </c>
      <c r="AA1227" s="185">
        <v>5.2002532506225885E-2</v>
      </c>
      <c r="AB1227" s="182">
        <v>5.161471366870507E-2</v>
      </c>
    </row>
    <row r="1228" spans="17:28" x14ac:dyDescent="0.2">
      <c r="Q1228" s="141"/>
      <c r="T1228" s="141"/>
      <c r="U1228" s="162"/>
      <c r="X1228" s="183" t="str">
        <f t="shared" si="25"/>
        <v>1w</v>
      </c>
      <c r="Y1228" s="181">
        <f>_xll.qlCalendarAdvance(Calendar,Y1227,X1228,"f",FALSE)</f>
        <v>47514</v>
      </c>
      <c r="Z1228" s="184">
        <f>_xll.qlCalendarAdvance(Calendar,Y1228,NDays&amp;"D")</f>
        <v>47514</v>
      </c>
      <c r="AA1228" s="185">
        <v>5.2007576468246254E-2</v>
      </c>
      <c r="AB1228" s="182">
        <v>5.16247507473655E-2</v>
      </c>
    </row>
    <row r="1229" spans="17:28" x14ac:dyDescent="0.2">
      <c r="Q1229" s="141"/>
      <c r="T1229" s="141"/>
      <c r="U1229" s="162"/>
      <c r="X1229" s="183" t="str">
        <f t="shared" si="25"/>
        <v>1w</v>
      </c>
      <c r="Y1229" s="181">
        <f>_xll.qlCalendarAdvance(Calendar,Y1228,X1229,"f",FALSE)</f>
        <v>47521</v>
      </c>
      <c r="Z1229" s="184">
        <f>_xll.qlCalendarAdvance(Calendar,Y1229,NDays&amp;"D")</f>
        <v>47521</v>
      </c>
      <c r="AA1229" s="185">
        <v>5.2016841742208469E-2</v>
      </c>
      <c r="AB1229" s="182">
        <v>5.1634666143545171E-2</v>
      </c>
    </row>
    <row r="1230" spans="17:28" x14ac:dyDescent="0.2">
      <c r="Q1230" s="141"/>
      <c r="T1230" s="141"/>
      <c r="U1230" s="162"/>
      <c r="X1230" s="183" t="str">
        <f t="shared" si="25"/>
        <v>1w</v>
      </c>
      <c r="Y1230" s="181">
        <f>_xll.qlCalendarAdvance(Calendar,Y1229,X1230,"f",FALSE)</f>
        <v>47528</v>
      </c>
      <c r="Z1230" s="184">
        <f>_xll.qlCalendarAdvance(Calendar,Y1230,NDays&amp;"D")</f>
        <v>47528</v>
      </c>
      <c r="AA1230" s="185">
        <v>5.2025983827931069E-2</v>
      </c>
      <c r="AB1230" s="182">
        <v>5.1644459857325131E-2</v>
      </c>
    </row>
    <row r="1231" spans="17:28" x14ac:dyDescent="0.2">
      <c r="Q1231" s="141"/>
      <c r="T1231" s="141"/>
      <c r="U1231" s="162"/>
      <c r="X1231" s="183" t="str">
        <f t="shared" si="25"/>
        <v>1w</v>
      </c>
      <c r="Y1231" s="181">
        <f>_xll.qlCalendarAdvance(Calendar,Y1230,X1231,"f",FALSE)</f>
        <v>47535</v>
      </c>
      <c r="Z1231" s="184">
        <f>_xll.qlCalendarAdvance(Calendar,Y1231,NDays&amp;"D")</f>
        <v>47535</v>
      </c>
      <c r="AA1231" s="185">
        <v>5.2035002724601785E-2</v>
      </c>
      <c r="AB1231" s="182">
        <v>5.1654131888705379E-2</v>
      </c>
    </row>
    <row r="1232" spans="17:28" x14ac:dyDescent="0.2">
      <c r="Q1232" s="141"/>
      <c r="T1232" s="141"/>
      <c r="U1232" s="162"/>
      <c r="X1232" s="183" t="str">
        <f t="shared" si="25"/>
        <v>1w</v>
      </c>
      <c r="Y1232" s="181">
        <f>_xll.qlCalendarAdvance(Calendar,Y1231,X1232,"f",FALSE)</f>
        <v>47542</v>
      </c>
      <c r="Z1232" s="184">
        <f>_xll.qlCalendarAdvance(Calendar,Y1232,NDays&amp;"D")</f>
        <v>47542</v>
      </c>
      <c r="AA1232" s="185">
        <v>5.2056818398805375E-2</v>
      </c>
      <c r="AB1232" s="182">
        <v>5.1663682237523822E-2</v>
      </c>
    </row>
    <row r="1233" spans="17:28" x14ac:dyDescent="0.2">
      <c r="Q1233" s="141"/>
      <c r="T1233" s="141"/>
      <c r="U1233" s="162"/>
      <c r="X1233" s="183" t="str">
        <f t="shared" si="25"/>
        <v>1w</v>
      </c>
      <c r="Y1233" s="181">
        <f>_xll.qlCalendarAdvance(Calendar,Y1232,X1233,"f",FALSE)</f>
        <v>47549</v>
      </c>
      <c r="Z1233" s="184">
        <f>_xll.qlCalendarAdvance(Calendar,Y1233,NDays&amp;"D")</f>
        <v>47549</v>
      </c>
      <c r="AA1233" s="185">
        <v>5.2065568235667624E-2</v>
      </c>
      <c r="AB1233" s="182">
        <v>5.1673110903942554E-2</v>
      </c>
    </row>
    <row r="1234" spans="17:28" x14ac:dyDescent="0.2">
      <c r="Q1234" s="141"/>
      <c r="T1234" s="141"/>
      <c r="U1234" s="162"/>
      <c r="X1234" s="183" t="str">
        <f t="shared" si="25"/>
        <v>1w</v>
      </c>
      <c r="Y1234" s="181">
        <f>_xll.qlCalendarAdvance(Calendar,Y1233,X1234,"f",FALSE)</f>
        <v>47556</v>
      </c>
      <c r="Z1234" s="184">
        <f>_xll.qlCalendarAdvance(Calendar,Y1234,NDays&amp;"D")</f>
        <v>47556</v>
      </c>
      <c r="AA1234" s="185">
        <v>5.2074194829163825E-2</v>
      </c>
      <c r="AB1234" s="182">
        <v>5.1682417887961574E-2</v>
      </c>
    </row>
    <row r="1235" spans="17:28" x14ac:dyDescent="0.2">
      <c r="Q1235" s="141"/>
      <c r="T1235" s="141"/>
      <c r="U1235" s="162"/>
      <c r="X1235" s="183" t="str">
        <f t="shared" si="25"/>
        <v>1w</v>
      </c>
      <c r="Y1235" s="181">
        <f>_xll.qlCalendarAdvance(Calendar,Y1234,X1235,"f",FALSE)</f>
        <v>47563</v>
      </c>
      <c r="Z1235" s="184">
        <f>_xll.qlCalendarAdvance(Calendar,Y1235,NDays&amp;"D")</f>
        <v>47563</v>
      </c>
      <c r="AA1235" s="185">
        <v>5.2082698178499358E-2</v>
      </c>
      <c r="AB1235" s="182">
        <v>5.1691603189418789E-2</v>
      </c>
    </row>
    <row r="1236" spans="17:28" x14ac:dyDescent="0.2">
      <c r="Q1236" s="141"/>
      <c r="T1236" s="141"/>
      <c r="U1236" s="162"/>
      <c r="X1236" s="183" t="str">
        <f t="shared" si="25"/>
        <v>1w</v>
      </c>
      <c r="Y1236" s="181">
        <f>_xll.qlCalendarAdvance(Calendar,Y1235,X1236,"f",FALSE)</f>
        <v>47570</v>
      </c>
      <c r="Z1236" s="184">
        <f>_xll.qlCalendarAdvance(Calendar,Y1236,NDays&amp;"D")</f>
        <v>47570</v>
      </c>
      <c r="AA1236" s="185">
        <v>5.2091078282892833E-2</v>
      </c>
      <c r="AB1236" s="182">
        <v>5.1700666808476292E-2</v>
      </c>
    </row>
    <row r="1237" spans="17:28" x14ac:dyDescent="0.2">
      <c r="Q1237" s="141"/>
      <c r="T1237" s="141"/>
      <c r="U1237" s="162"/>
      <c r="X1237" s="183" t="str">
        <f t="shared" ref="X1237:X1300" si="26">X1236</f>
        <v>1w</v>
      </c>
      <c r="Y1237" s="181">
        <f>_xll.qlCalendarAdvance(Calendar,Y1236,X1237,"f",FALSE)</f>
        <v>47577</v>
      </c>
      <c r="Z1237" s="184">
        <f>_xll.qlCalendarAdvance(Calendar,Y1237,NDays&amp;"D")</f>
        <v>47577</v>
      </c>
      <c r="AA1237" s="185">
        <v>5.2095066784961397E-2</v>
      </c>
      <c r="AB1237" s="182">
        <v>5.1709608744890945E-2</v>
      </c>
    </row>
    <row r="1238" spans="17:28" x14ac:dyDescent="0.2">
      <c r="Q1238" s="141"/>
      <c r="T1238" s="141"/>
      <c r="U1238" s="162"/>
      <c r="X1238" s="183" t="str">
        <f t="shared" si="26"/>
        <v>1w</v>
      </c>
      <c r="Y1238" s="181">
        <f>_xll.qlCalendarAdvance(Calendar,Y1237,X1238,"f",FALSE)</f>
        <v>47584</v>
      </c>
      <c r="Z1238" s="184">
        <f>_xll.qlCalendarAdvance(Calendar,Y1238,NDays&amp;"D")</f>
        <v>47584</v>
      </c>
      <c r="AA1238" s="185">
        <v>5.2103208045890609E-2</v>
      </c>
      <c r="AB1238" s="182">
        <v>5.1718428998905885E-2</v>
      </c>
    </row>
    <row r="1239" spans="17:28" x14ac:dyDescent="0.2">
      <c r="Q1239" s="141"/>
      <c r="T1239" s="141"/>
      <c r="U1239" s="162"/>
      <c r="X1239" s="183" t="str">
        <f t="shared" si="26"/>
        <v>1w</v>
      </c>
      <c r="Y1239" s="181">
        <f>_xll.qlCalendarAdvance(Calendar,Y1238,X1239,"f",FALSE)</f>
        <v>47591</v>
      </c>
      <c r="Z1239" s="184">
        <f>_xll.qlCalendarAdvance(Calendar,Y1239,NDays&amp;"D")</f>
        <v>47591</v>
      </c>
      <c r="AA1239" s="185">
        <v>5.2111226076952712E-2</v>
      </c>
      <c r="AB1239" s="182">
        <v>5.1744252862854001E-2</v>
      </c>
    </row>
    <row r="1240" spans="17:28" x14ac:dyDescent="0.2">
      <c r="Q1240" s="141"/>
      <c r="T1240" s="141"/>
      <c r="U1240" s="162"/>
      <c r="X1240" s="183" t="str">
        <f t="shared" si="26"/>
        <v>1w</v>
      </c>
      <c r="Y1240" s="181">
        <f>_xll.qlCalendarAdvance(Calendar,Y1239,X1240,"f",FALSE)</f>
        <v>47599</v>
      </c>
      <c r="Z1240" s="184">
        <f>_xll.qlCalendarAdvance(Calendar,Y1240,NDays&amp;"D")</f>
        <v>47599</v>
      </c>
      <c r="AA1240" s="185">
        <v>5.2120238646374023E-2</v>
      </c>
      <c r="AB1240" s="182">
        <v>5.1745465960483614E-2</v>
      </c>
    </row>
    <row r="1241" spans="17:28" x14ac:dyDescent="0.2">
      <c r="Q1241" s="141"/>
      <c r="T1241" s="141"/>
      <c r="U1241" s="162"/>
      <c r="X1241" s="183" t="str">
        <f t="shared" si="26"/>
        <v>1w</v>
      </c>
      <c r="Y1241" s="181">
        <f>_xll.qlCalendarAdvance(Calendar,Y1240,X1241,"f",FALSE)</f>
        <v>47606</v>
      </c>
      <c r="Z1241" s="184">
        <f>_xll.qlCalendarAdvance(Calendar,Y1241,NDays&amp;"D")</f>
        <v>47606</v>
      </c>
      <c r="AA1241" s="185">
        <v>5.214493681124191E-2</v>
      </c>
      <c r="AB1241" s="182">
        <v>5.17538887880135E-2</v>
      </c>
    </row>
    <row r="1242" spans="17:28" x14ac:dyDescent="0.2">
      <c r="Q1242" s="141"/>
      <c r="T1242" s="141"/>
      <c r="U1242" s="162"/>
      <c r="X1242" s="183" t="str">
        <f t="shared" si="26"/>
        <v>1w</v>
      </c>
      <c r="Y1242" s="181">
        <f>_xll.qlCalendarAdvance(Calendar,Y1241,X1242,"f",FALSE)</f>
        <v>47613</v>
      </c>
      <c r="Z1242" s="184">
        <f>_xll.qlCalendarAdvance(Calendar,Y1242,NDays&amp;"D")</f>
        <v>47613</v>
      </c>
      <c r="AA1242" s="185">
        <v>5.2148308830952415E-2</v>
      </c>
      <c r="AB1242" s="182">
        <v>5.1762189898861097E-2</v>
      </c>
    </row>
    <row r="1243" spans="17:28" x14ac:dyDescent="0.2">
      <c r="Q1243" s="141"/>
      <c r="T1243" s="141"/>
      <c r="U1243" s="162"/>
      <c r="X1243" s="183" t="str">
        <f t="shared" si="26"/>
        <v>1w</v>
      </c>
      <c r="Y1243" s="181">
        <f>_xll.qlCalendarAdvance(Calendar,Y1242,X1243,"f",FALSE)</f>
        <v>47620</v>
      </c>
      <c r="Z1243" s="184">
        <f>_xll.qlCalendarAdvance(Calendar,Y1243,NDays&amp;"D")</f>
        <v>47620</v>
      </c>
      <c r="AA1243" s="185">
        <v>5.2155793109488091E-2</v>
      </c>
      <c r="AB1243" s="182">
        <v>5.1770369293026405E-2</v>
      </c>
    </row>
    <row r="1244" spans="17:28" x14ac:dyDescent="0.2">
      <c r="Q1244" s="141"/>
      <c r="T1244" s="141"/>
      <c r="U1244" s="162"/>
      <c r="X1244" s="183" t="str">
        <f t="shared" si="26"/>
        <v>1w</v>
      </c>
      <c r="Y1244" s="181">
        <f>_xll.qlCalendarAdvance(Calendar,Y1243,X1244,"f",FALSE)</f>
        <v>47627</v>
      </c>
      <c r="Z1244" s="184">
        <f>_xll.qlCalendarAdvance(Calendar,Y1244,NDays&amp;"D")</f>
        <v>47627</v>
      </c>
      <c r="AA1244" s="185">
        <v>5.2163154102341527E-2</v>
      </c>
      <c r="AB1244" s="182">
        <v>5.1778426970482412E-2</v>
      </c>
    </row>
    <row r="1245" spans="17:28" x14ac:dyDescent="0.2">
      <c r="Q1245" s="141"/>
      <c r="T1245" s="141"/>
      <c r="U1245" s="162"/>
      <c r="X1245" s="183" t="str">
        <f t="shared" si="26"/>
        <v>1w</v>
      </c>
      <c r="Y1245" s="181">
        <f>_xll.qlCalendarAdvance(Calendar,Y1244,X1245,"f",FALSE)</f>
        <v>47634</v>
      </c>
      <c r="Z1245" s="184">
        <f>_xll.qlCalendarAdvance(Calendar,Y1245,NDays&amp;"D")</f>
        <v>47634</v>
      </c>
      <c r="AA1245" s="185">
        <v>5.215777614137098E-2</v>
      </c>
      <c r="AB1245" s="182">
        <v>5.1786362931175077E-2</v>
      </c>
    </row>
    <row r="1246" spans="17:28" x14ac:dyDescent="0.2">
      <c r="Q1246" s="141"/>
      <c r="T1246" s="141"/>
      <c r="U1246" s="162"/>
      <c r="X1246" s="183" t="str">
        <f t="shared" si="26"/>
        <v>1w</v>
      </c>
      <c r="Y1246" s="181">
        <f>_xll.qlCalendarAdvance(Calendar,Y1245,X1246,"f",FALSE)</f>
        <v>47641</v>
      </c>
      <c r="Z1246" s="184">
        <f>_xll.qlCalendarAdvance(Calendar,Y1246,NDays&amp;"D")</f>
        <v>47641</v>
      </c>
      <c r="AA1246" s="185">
        <v>5.2177506228245234E-2</v>
      </c>
      <c r="AB1246" s="182">
        <v>5.1798404529126152E-2</v>
      </c>
    </row>
    <row r="1247" spans="17:28" x14ac:dyDescent="0.2">
      <c r="Q1247" s="141"/>
      <c r="T1247" s="141"/>
      <c r="U1247" s="162"/>
      <c r="X1247" s="183" t="str">
        <f t="shared" si="26"/>
        <v>1w</v>
      </c>
      <c r="Y1247" s="181">
        <f>_xll.qlCalendarAdvance(Calendar,Y1246,X1247,"f",FALSE)</f>
        <v>47648</v>
      </c>
      <c r="Z1247" s="184">
        <f>_xll.qlCalendarAdvance(Calendar,Y1247,NDays&amp;"D")</f>
        <v>47648</v>
      </c>
      <c r="AA1247" s="185">
        <v>5.2184497359946173E-2</v>
      </c>
      <c r="AB1247" s="182">
        <v>5.1801869702270416E-2</v>
      </c>
    </row>
    <row r="1248" spans="17:28" x14ac:dyDescent="0.2">
      <c r="Q1248" s="141"/>
      <c r="T1248" s="141"/>
      <c r="U1248" s="162"/>
      <c r="X1248" s="183" t="str">
        <f t="shared" si="26"/>
        <v>1w</v>
      </c>
      <c r="Y1248" s="181">
        <f>_xll.qlCalendarAdvance(Calendar,Y1247,X1248,"f",FALSE)</f>
        <v>47655</v>
      </c>
      <c r="Z1248" s="184">
        <f>_xll.qlCalendarAdvance(Calendar,Y1248,NDays&amp;"D")</f>
        <v>47655</v>
      </c>
      <c r="AA1248" s="185">
        <v>5.2191365203267059E-2</v>
      </c>
      <c r="AB1248" s="182">
        <v>5.1809440512646063E-2</v>
      </c>
    </row>
    <row r="1249" spans="17:28" x14ac:dyDescent="0.2">
      <c r="Q1249" s="141"/>
      <c r="T1249" s="141"/>
      <c r="U1249" s="162"/>
      <c r="X1249" s="183" t="str">
        <f t="shared" si="26"/>
        <v>1w</v>
      </c>
      <c r="Y1249" s="181">
        <f>_xll.qlCalendarAdvance(Calendar,Y1248,X1249,"f",FALSE)</f>
        <v>47662</v>
      </c>
      <c r="Z1249" s="184">
        <f>_xll.qlCalendarAdvance(Calendar,Y1249,NDays&amp;"D")</f>
        <v>47662</v>
      </c>
      <c r="AA1249" s="185">
        <v>5.2198109757560396E-2</v>
      </c>
      <c r="AB1249" s="182">
        <v>5.1816889606123302E-2</v>
      </c>
    </row>
    <row r="1250" spans="17:28" x14ac:dyDescent="0.2">
      <c r="Q1250" s="141"/>
      <c r="T1250" s="141"/>
      <c r="U1250" s="162"/>
      <c r="X1250" s="183" t="str">
        <f t="shared" si="26"/>
        <v>1w</v>
      </c>
      <c r="Y1250" s="181">
        <f>_xll.qlCalendarAdvance(Calendar,Y1249,X1250,"f",FALSE)</f>
        <v>47669</v>
      </c>
      <c r="Z1250" s="184">
        <f>_xll.qlCalendarAdvance(Calendar,Y1250,NDays&amp;"D")</f>
        <v>47669</v>
      </c>
      <c r="AA1250" s="185">
        <v>5.2208896390388067E-2</v>
      </c>
      <c r="AB1250" s="182">
        <v>5.18242169828372E-2</v>
      </c>
    </row>
    <row r="1251" spans="17:28" x14ac:dyDescent="0.2">
      <c r="Q1251" s="141"/>
      <c r="T1251" s="141"/>
      <c r="U1251" s="162"/>
      <c r="X1251" s="183" t="str">
        <f t="shared" si="26"/>
        <v>1w</v>
      </c>
      <c r="Y1251" s="181">
        <f>_xll.qlCalendarAdvance(Calendar,Y1250,X1251,"f",FALSE)</f>
        <v>47676</v>
      </c>
      <c r="Z1251" s="184">
        <f>_xll.qlCalendarAdvance(Calendar,Y1251,NDays&amp;"D")</f>
        <v>47676</v>
      </c>
      <c r="AA1251" s="185">
        <v>5.221122899654506E-2</v>
      </c>
      <c r="AB1251" s="182">
        <v>5.1831422642571644E-2</v>
      </c>
    </row>
    <row r="1252" spans="17:28" x14ac:dyDescent="0.2">
      <c r="Q1252" s="141"/>
      <c r="T1252" s="141"/>
      <c r="U1252" s="162"/>
      <c r="X1252" s="183" t="str">
        <f t="shared" si="26"/>
        <v>1w</v>
      </c>
      <c r="Y1252" s="181">
        <f>_xll.qlCalendarAdvance(Calendar,Y1251,X1252,"f",FALSE)</f>
        <v>47683</v>
      </c>
      <c r="Z1252" s="184">
        <f>_xll.qlCalendarAdvance(Calendar,Y1252,NDays&amp;"D")</f>
        <v>47683</v>
      </c>
      <c r="AA1252" s="185">
        <v>5.2217603680003451E-2</v>
      </c>
      <c r="AB1252" s="182">
        <v>5.1838506585488726E-2</v>
      </c>
    </row>
    <row r="1253" spans="17:28" x14ac:dyDescent="0.2">
      <c r="Q1253" s="141"/>
      <c r="T1253" s="141"/>
      <c r="U1253" s="162"/>
      <c r="X1253" s="183" t="str">
        <f t="shared" si="26"/>
        <v>1w</v>
      </c>
      <c r="Y1253" s="181">
        <f>_xll.qlCalendarAdvance(Calendar,Y1252,X1253,"f",FALSE)</f>
        <v>47690</v>
      </c>
      <c r="Z1253" s="184">
        <f>_xll.qlCalendarAdvance(Calendar,Y1253,NDays&amp;"D")</f>
        <v>47690</v>
      </c>
      <c r="AA1253" s="185">
        <v>5.222385507196927E-2</v>
      </c>
      <c r="AB1253" s="182">
        <v>5.1845468811453362E-2</v>
      </c>
    </row>
    <row r="1254" spans="17:28" x14ac:dyDescent="0.2">
      <c r="Q1254" s="141"/>
      <c r="T1254" s="141"/>
      <c r="U1254" s="162"/>
      <c r="X1254" s="183" t="str">
        <f t="shared" si="26"/>
        <v>1w</v>
      </c>
      <c r="Y1254" s="181">
        <f>_xll.qlCalendarAdvance(Calendar,Y1253,X1254,"f",FALSE)</f>
        <v>47697</v>
      </c>
      <c r="Z1254" s="184">
        <f>_xll.qlCalendarAdvance(Calendar,Y1254,NDays&amp;"D")</f>
        <v>47697</v>
      </c>
      <c r="AA1254" s="185">
        <v>5.2229983171854504E-2</v>
      </c>
      <c r="AB1254" s="182">
        <v>5.1856475364731869E-2</v>
      </c>
    </row>
    <row r="1255" spans="17:28" x14ac:dyDescent="0.2">
      <c r="Q1255" s="141"/>
      <c r="T1255" s="141"/>
      <c r="U1255" s="162"/>
      <c r="X1255" s="183" t="str">
        <f t="shared" si="26"/>
        <v>1w</v>
      </c>
      <c r="Y1255" s="181">
        <f>_xll.qlCalendarAdvance(Calendar,Y1254,X1255,"f",FALSE)</f>
        <v>47704</v>
      </c>
      <c r="Z1255" s="184">
        <f>_xll.qlCalendarAdvance(Calendar,Y1255,NDays&amp;"D")</f>
        <v>47704</v>
      </c>
      <c r="AA1255" s="185">
        <v>5.2235987979084068E-2</v>
      </c>
      <c r="AB1255" s="182">
        <v>5.1859028112579329E-2</v>
      </c>
    </row>
    <row r="1256" spans="17:28" x14ac:dyDescent="0.2">
      <c r="Q1256" s="141"/>
      <c r="T1256" s="141"/>
      <c r="U1256" s="162"/>
      <c r="X1256" s="183" t="str">
        <f t="shared" si="26"/>
        <v>1w</v>
      </c>
      <c r="Y1256" s="181">
        <f>_xll.qlCalendarAdvance(Calendar,Y1255,X1256,"f",FALSE)</f>
        <v>47711</v>
      </c>
      <c r="Z1256" s="184">
        <f>_xll.qlCalendarAdvance(Calendar,Y1256,NDays&amp;"D")</f>
        <v>47711</v>
      </c>
      <c r="AA1256" s="185">
        <v>5.2241869493092362E-2</v>
      </c>
      <c r="AB1256" s="182">
        <v>5.1865625187686636E-2</v>
      </c>
    </row>
    <row r="1257" spans="17:28" x14ac:dyDescent="0.2">
      <c r="Q1257" s="141"/>
      <c r="T1257" s="141"/>
      <c r="U1257" s="162"/>
      <c r="X1257" s="183" t="str">
        <f t="shared" si="26"/>
        <v>1w</v>
      </c>
      <c r="Y1257" s="181">
        <f>_xll.qlCalendarAdvance(Calendar,Y1256,X1257,"f",FALSE)</f>
        <v>47718</v>
      </c>
      <c r="Z1257" s="184">
        <f>_xll.qlCalendarAdvance(Calendar,Y1257,NDays&amp;"D")</f>
        <v>47718</v>
      </c>
      <c r="AA1257" s="185">
        <v>5.2247627713327575E-2</v>
      </c>
      <c r="AB1257" s="182">
        <v>5.1872100545760455E-2</v>
      </c>
    </row>
    <row r="1258" spans="17:28" x14ac:dyDescent="0.2">
      <c r="Q1258" s="141"/>
      <c r="T1258" s="141"/>
      <c r="U1258" s="162"/>
      <c r="X1258" s="183" t="str">
        <f t="shared" si="26"/>
        <v>1w</v>
      </c>
      <c r="Y1258" s="181">
        <f>_xll.qlCalendarAdvance(Calendar,Y1257,X1258,"f",FALSE)</f>
        <v>47725</v>
      </c>
      <c r="Z1258" s="184">
        <f>_xll.qlCalendarAdvance(Calendar,Y1258,NDays&amp;"D")</f>
        <v>47725</v>
      </c>
      <c r="AA1258" s="185">
        <v>5.2240954962628795E-2</v>
      </c>
      <c r="AB1258" s="182">
        <v>5.1878454186854814E-2</v>
      </c>
    </row>
    <row r="1259" spans="17:28" x14ac:dyDescent="0.2">
      <c r="Q1259" s="141"/>
      <c r="T1259" s="141"/>
      <c r="U1259" s="162"/>
      <c r="X1259" s="183" t="str">
        <f t="shared" si="26"/>
        <v>1w</v>
      </c>
      <c r="Y1259" s="181">
        <f>_xll.qlCalendarAdvance(Calendar,Y1258,X1259,"f",FALSE)</f>
        <v>47732</v>
      </c>
      <c r="Z1259" s="184">
        <f>_xll.qlCalendarAdvance(Calendar,Y1259,NDays&amp;"D")</f>
        <v>47732</v>
      </c>
      <c r="AA1259" s="185">
        <v>5.2246490651969867E-2</v>
      </c>
      <c r="AB1259" s="182">
        <v>5.1884686110888666E-2</v>
      </c>
    </row>
    <row r="1260" spans="17:28" x14ac:dyDescent="0.2">
      <c r="Q1260" s="141"/>
      <c r="T1260" s="141"/>
      <c r="U1260" s="162"/>
      <c r="X1260" s="183" t="str">
        <f t="shared" si="26"/>
        <v>1w</v>
      </c>
      <c r="Y1260" s="181">
        <f>_xll.qlCalendarAdvance(Calendar,Y1259,X1260,"f",FALSE)</f>
        <v>47739</v>
      </c>
      <c r="Z1260" s="184">
        <f>_xll.qlCalendarAdvance(Calendar,Y1260,NDays&amp;"D")</f>
        <v>47739</v>
      </c>
      <c r="AA1260" s="185">
        <v>5.2251903098408728E-2</v>
      </c>
      <c r="AB1260" s="182">
        <v>5.1890796317889031E-2</v>
      </c>
    </row>
    <row r="1261" spans="17:28" x14ac:dyDescent="0.2">
      <c r="Q1261" s="141"/>
      <c r="T1261" s="141"/>
      <c r="U1261" s="162"/>
      <c r="X1261" s="183" t="str">
        <f t="shared" si="26"/>
        <v>1w</v>
      </c>
      <c r="Y1261" s="181">
        <f>_xll.qlCalendarAdvance(Calendar,Y1260,X1261,"f",FALSE)</f>
        <v>47746</v>
      </c>
      <c r="Z1261" s="184">
        <f>_xll.qlCalendarAdvance(Calendar,Y1261,NDays&amp;"D")</f>
        <v>47746</v>
      </c>
      <c r="AA1261" s="185">
        <v>5.2257192301448416E-2</v>
      </c>
      <c r="AB1261" s="182">
        <v>5.1896784807801875E-2</v>
      </c>
    </row>
    <row r="1262" spans="17:28" x14ac:dyDescent="0.2">
      <c r="Q1262" s="141"/>
      <c r="T1262" s="141"/>
      <c r="U1262" s="162"/>
      <c r="X1262" s="183" t="str">
        <f t="shared" si="26"/>
        <v>1w</v>
      </c>
      <c r="Y1262" s="181">
        <f>_xll.qlCalendarAdvance(Calendar,Y1261,X1262,"f",FALSE)</f>
        <v>47753</v>
      </c>
      <c r="Z1262" s="184">
        <f>_xll.qlCalendarAdvance(Calendar,Y1262,NDays&amp;"D")</f>
        <v>47753</v>
      </c>
      <c r="AA1262" s="185">
        <v>5.2262358260609772E-2</v>
      </c>
      <c r="AB1262" s="182">
        <v>5.1902651580600187E-2</v>
      </c>
    </row>
    <row r="1263" spans="17:28" x14ac:dyDescent="0.2">
      <c r="Q1263" s="141"/>
      <c r="T1263" s="141"/>
      <c r="U1263" s="162"/>
      <c r="X1263" s="183" t="str">
        <f t="shared" si="26"/>
        <v>1w</v>
      </c>
      <c r="Y1263" s="181">
        <f>_xll.qlCalendarAdvance(Calendar,Y1262,X1263,"f",FALSE)</f>
        <v>47760</v>
      </c>
      <c r="Z1263" s="184">
        <f>_xll.qlCalendarAdvance(Calendar,Y1263,NDays&amp;"D")</f>
        <v>47760</v>
      </c>
      <c r="AA1263" s="185">
        <v>5.2279587835997413E-2</v>
      </c>
      <c r="AB1263" s="182">
        <v>5.1912492393811627E-2</v>
      </c>
    </row>
    <row r="1264" spans="17:28" x14ac:dyDescent="0.2">
      <c r="Q1264" s="141"/>
      <c r="T1264" s="141"/>
      <c r="U1264" s="162"/>
      <c r="X1264" s="183" t="str">
        <f t="shared" si="26"/>
        <v>1w</v>
      </c>
      <c r="Y1264" s="181">
        <f>_xll.qlCalendarAdvance(Calendar,Y1263,X1264,"f",FALSE)</f>
        <v>47767</v>
      </c>
      <c r="Z1264" s="184">
        <f>_xll.qlCalendarAdvance(Calendar,Y1264,NDays&amp;"D")</f>
        <v>47767</v>
      </c>
      <c r="AA1264" s="185">
        <v>5.2284482985312096E-2</v>
      </c>
      <c r="AB1264" s="182">
        <v>5.1914019974853197E-2</v>
      </c>
    </row>
    <row r="1265" spans="17:28" x14ac:dyDescent="0.2">
      <c r="Q1265" s="141"/>
      <c r="T1265" s="141"/>
      <c r="U1265" s="162"/>
      <c r="X1265" s="183" t="str">
        <f t="shared" si="26"/>
        <v>1w</v>
      </c>
      <c r="Y1265" s="181">
        <f>_xll.qlCalendarAdvance(Calendar,Y1264,X1265,"f",FALSE)</f>
        <v>47774</v>
      </c>
      <c r="Z1265" s="184">
        <f>_xll.qlCalendarAdvance(Calendar,Y1265,NDays&amp;"D")</f>
        <v>47774</v>
      </c>
      <c r="AA1265" s="185">
        <v>5.2289254836848806E-2</v>
      </c>
      <c r="AB1265" s="182">
        <v>5.1919521596334915E-2</v>
      </c>
    </row>
    <row r="1266" spans="17:28" x14ac:dyDescent="0.2">
      <c r="Q1266" s="141"/>
      <c r="T1266" s="141"/>
      <c r="U1266" s="162"/>
      <c r="X1266" s="183" t="str">
        <f t="shared" si="26"/>
        <v>1w</v>
      </c>
      <c r="Y1266" s="181">
        <f>_xll.qlCalendarAdvance(Calendar,Y1265,X1266,"f",FALSE)</f>
        <v>47781</v>
      </c>
      <c r="Z1266" s="184">
        <f>_xll.qlCalendarAdvance(Calendar,Y1266,NDays&amp;"D")</f>
        <v>47781</v>
      </c>
      <c r="AA1266" s="185">
        <v>5.229794051038076E-2</v>
      </c>
      <c r="AB1266" s="182">
        <v>5.1924901500567021E-2</v>
      </c>
    </row>
    <row r="1267" spans="17:28" x14ac:dyDescent="0.2">
      <c r="Q1267" s="141"/>
      <c r="T1267" s="141"/>
      <c r="U1267" s="162"/>
      <c r="X1267" s="183" t="str">
        <f t="shared" si="26"/>
        <v>1w</v>
      </c>
      <c r="Y1267" s="181">
        <f>_xll.qlCalendarAdvance(Calendar,Y1266,X1267,"f",FALSE)</f>
        <v>47788</v>
      </c>
      <c r="Z1267" s="184">
        <f>_xll.qlCalendarAdvance(Calendar,Y1267,NDays&amp;"D")</f>
        <v>47788</v>
      </c>
      <c r="AA1267" s="185">
        <v>5.2298428644800998E-2</v>
      </c>
      <c r="AB1267" s="182">
        <v>5.1930159687711606E-2</v>
      </c>
    </row>
    <row r="1268" spans="17:28" x14ac:dyDescent="0.2">
      <c r="Q1268" s="141"/>
      <c r="T1268" s="141"/>
      <c r="U1268" s="162"/>
      <c r="X1268" s="183" t="str">
        <f t="shared" si="26"/>
        <v>1w</v>
      </c>
      <c r="Y1268" s="181">
        <f>_xll.qlCalendarAdvance(Calendar,Y1267,X1268,"f",FALSE)</f>
        <v>47795</v>
      </c>
      <c r="Z1268" s="184">
        <f>_xll.qlCalendarAdvance(Calendar,Y1268,NDays&amp;"D")</f>
        <v>47795</v>
      </c>
      <c r="AA1268" s="185">
        <v>5.2302830600355142E-2</v>
      </c>
      <c r="AB1268" s="182">
        <v>5.1935296157579566E-2</v>
      </c>
    </row>
    <row r="1269" spans="17:28" x14ac:dyDescent="0.2">
      <c r="Q1269" s="141"/>
      <c r="T1269" s="141"/>
      <c r="U1269" s="162"/>
      <c r="X1269" s="183" t="str">
        <f t="shared" si="26"/>
        <v>1w</v>
      </c>
      <c r="Y1269" s="181">
        <f>_xll.qlCalendarAdvance(Calendar,Y1268,X1269,"f",FALSE)</f>
        <v>47802</v>
      </c>
      <c r="Z1269" s="184">
        <f>_xll.qlCalendarAdvance(Calendar,Y1269,NDays&amp;"D")</f>
        <v>47802</v>
      </c>
      <c r="AA1269" s="185">
        <v>5.2307109256406067E-2</v>
      </c>
      <c r="AB1269" s="182">
        <v>5.194031091027896E-2</v>
      </c>
    </row>
    <row r="1270" spans="17:28" x14ac:dyDescent="0.2">
      <c r="Q1270" s="141"/>
      <c r="T1270" s="141"/>
      <c r="U1270" s="162"/>
      <c r="X1270" s="183" t="str">
        <f t="shared" si="26"/>
        <v>1w</v>
      </c>
      <c r="Y1270" s="181">
        <f>_xll.qlCalendarAdvance(Calendar,Y1269,X1270,"f",FALSE)</f>
        <v>47809</v>
      </c>
      <c r="Z1270" s="184">
        <f>_xll.qlCalendarAdvance(Calendar,Y1270,NDays&amp;"D")</f>
        <v>47809</v>
      </c>
      <c r="AA1270" s="185">
        <v>5.2311264612551131E-2</v>
      </c>
      <c r="AB1270" s="182">
        <v>5.1945203945728734E-2</v>
      </c>
    </row>
    <row r="1271" spans="17:28" x14ac:dyDescent="0.2">
      <c r="Q1271" s="141"/>
      <c r="T1271" s="141"/>
      <c r="U1271" s="162"/>
      <c r="X1271" s="183" t="str">
        <f t="shared" si="26"/>
        <v>1w</v>
      </c>
      <c r="Y1271" s="181">
        <f>_xll.qlCalendarAdvance(Calendar,Y1270,X1271,"f",FALSE)</f>
        <v>47816</v>
      </c>
      <c r="Z1271" s="184">
        <f>_xll.qlCalendarAdvance(Calendar,Y1271,NDays&amp;"D")</f>
        <v>47816</v>
      </c>
      <c r="AA1271" s="185">
        <v>5.2303305844672132E-2</v>
      </c>
      <c r="AB1271" s="182">
        <v>5.1949975263982935E-2</v>
      </c>
    </row>
    <row r="1272" spans="17:28" x14ac:dyDescent="0.2">
      <c r="Q1272" s="141"/>
      <c r="T1272" s="141"/>
      <c r="U1272" s="162"/>
      <c r="X1272" s="183" t="str">
        <f t="shared" si="26"/>
        <v>1w</v>
      </c>
      <c r="Y1272" s="181">
        <f>_xll.qlCalendarAdvance(Calendar,Y1271,X1272,"f",FALSE)</f>
        <v>47823</v>
      </c>
      <c r="Z1272" s="184">
        <f>_xll.qlCalendarAdvance(Calendar,Y1272,NDays&amp;"D")</f>
        <v>47823</v>
      </c>
      <c r="AA1272" s="185">
        <v>5.2303249825460779E-2</v>
      </c>
      <c r="AB1272" s="182">
        <v>5.1954624864960504E-2</v>
      </c>
    </row>
    <row r="1273" spans="17:28" x14ac:dyDescent="0.2">
      <c r="Q1273" s="141"/>
      <c r="T1273" s="141"/>
      <c r="U1273" s="162"/>
      <c r="X1273" s="183" t="str">
        <f t="shared" si="26"/>
        <v>1w</v>
      </c>
      <c r="Y1273" s="181">
        <f>_xll.qlCalendarAdvance(Calendar,Y1272,X1273,"f",FALSE)</f>
        <v>47830</v>
      </c>
      <c r="Z1273" s="184">
        <f>_xll.qlCalendarAdvance(Calendar,Y1273,NDays&amp;"D")</f>
        <v>47830</v>
      </c>
      <c r="AA1273" s="185">
        <v>5.2307068333151012E-2</v>
      </c>
      <c r="AB1273" s="182">
        <v>5.195915274866144E-2</v>
      </c>
    </row>
    <row r="1274" spans="17:28" x14ac:dyDescent="0.2">
      <c r="Q1274" s="141"/>
      <c r="T1274" s="141"/>
      <c r="U1274" s="162"/>
      <c r="X1274" s="183" t="str">
        <f t="shared" si="26"/>
        <v>1w</v>
      </c>
      <c r="Y1274" s="181">
        <f>_xll.qlCalendarAdvance(Calendar,Y1273,X1274,"f",FALSE)</f>
        <v>47837</v>
      </c>
      <c r="Z1274" s="184">
        <f>_xll.qlCalendarAdvance(Calendar,Y1274,NDays&amp;"D")</f>
        <v>47837</v>
      </c>
      <c r="AA1274" s="185">
        <v>5.2310763609594871E-2</v>
      </c>
      <c r="AB1274" s="182">
        <v>5.1963558915085757E-2</v>
      </c>
    </row>
    <row r="1275" spans="17:28" x14ac:dyDescent="0.2">
      <c r="Q1275" s="141"/>
      <c r="T1275" s="141"/>
      <c r="U1275" s="162"/>
      <c r="X1275" s="183" t="str">
        <f t="shared" si="26"/>
        <v>1w</v>
      </c>
      <c r="Y1275" s="181">
        <f>_xll.qlCalendarAdvance(Calendar,Y1274,X1275,"f",FALSE)</f>
        <v>47844</v>
      </c>
      <c r="Z1275" s="184">
        <f>_xll.qlCalendarAdvance(Calendar,Y1275,NDays&amp;"D")</f>
        <v>47844</v>
      </c>
      <c r="AA1275" s="185">
        <v>5.2314335654461877E-2</v>
      </c>
      <c r="AB1275" s="182">
        <v>5.1967843364206422E-2</v>
      </c>
    </row>
    <row r="1276" spans="17:28" x14ac:dyDescent="0.2">
      <c r="Q1276" s="141"/>
      <c r="T1276" s="141"/>
      <c r="U1276" s="162"/>
      <c r="X1276" s="183" t="str">
        <f t="shared" si="26"/>
        <v>1w</v>
      </c>
      <c r="Y1276" s="181">
        <f>_xll.qlCalendarAdvance(Calendar,Y1275,X1276,"f",FALSE)</f>
        <v>47851</v>
      </c>
      <c r="Z1276" s="184">
        <f>_xll.qlCalendarAdvance(Calendar,Y1276,NDays&amp;"D")</f>
        <v>47851</v>
      </c>
      <c r="AA1276" s="185">
        <v>5.2317784467428741E-2</v>
      </c>
      <c r="AB1276" s="182">
        <v>5.1972006096050467E-2</v>
      </c>
    </row>
    <row r="1277" spans="17:28" x14ac:dyDescent="0.2">
      <c r="Q1277" s="141"/>
      <c r="T1277" s="141"/>
      <c r="U1277" s="162"/>
      <c r="X1277" s="183" t="str">
        <f t="shared" si="26"/>
        <v>1w</v>
      </c>
      <c r="Y1277" s="181">
        <f>_xll.qlCalendarAdvance(Calendar,Y1276,X1277,"f",FALSE)</f>
        <v>47858</v>
      </c>
      <c r="Z1277" s="184">
        <f>_xll.qlCalendarAdvance(Calendar,Y1277,NDays&amp;"D")</f>
        <v>47858</v>
      </c>
      <c r="AA1277" s="185">
        <v>5.2321110048186591E-2</v>
      </c>
      <c r="AB1277" s="182">
        <v>5.1976047110563847E-2</v>
      </c>
    </row>
    <row r="1278" spans="17:28" x14ac:dyDescent="0.2">
      <c r="Q1278" s="141"/>
      <c r="T1278" s="141"/>
      <c r="U1278" s="162"/>
      <c r="X1278" s="183" t="str">
        <f t="shared" si="26"/>
        <v>1w</v>
      </c>
      <c r="Y1278" s="181">
        <f>_xll.qlCalendarAdvance(Calendar,Y1277,X1278,"f",FALSE)</f>
        <v>47865</v>
      </c>
      <c r="Z1278" s="184">
        <f>_xll.qlCalendarAdvance(Calendar,Y1278,NDays&amp;"D")</f>
        <v>47865</v>
      </c>
      <c r="AA1278" s="185">
        <v>5.2324312396434647E-2</v>
      </c>
      <c r="AB1278" s="182">
        <v>5.1979966407773588E-2</v>
      </c>
    </row>
    <row r="1279" spans="17:28" x14ac:dyDescent="0.2">
      <c r="Q1279" s="141"/>
      <c r="T1279" s="141"/>
      <c r="U1279" s="162"/>
      <c r="X1279" s="183" t="str">
        <f t="shared" si="26"/>
        <v>1w</v>
      </c>
      <c r="Y1279" s="181">
        <f>_xll.qlCalendarAdvance(Calendar,Y1278,X1279,"f",FALSE)</f>
        <v>47872</v>
      </c>
      <c r="Z1279" s="184">
        <f>_xll.qlCalendarAdvance(Calendar,Y1279,NDays&amp;"D")</f>
        <v>47872</v>
      </c>
      <c r="AA1279" s="185">
        <v>5.2327391511884758E-2</v>
      </c>
      <c r="AB1279" s="182">
        <v>5.1987731344550481E-2</v>
      </c>
    </row>
    <row r="1280" spans="17:28" x14ac:dyDescent="0.2">
      <c r="Q1280" s="141"/>
      <c r="T1280" s="141"/>
      <c r="U1280" s="162"/>
      <c r="X1280" s="183" t="str">
        <f t="shared" si="26"/>
        <v>1w</v>
      </c>
      <c r="Y1280" s="181">
        <f>_xll.qlCalendarAdvance(Calendar,Y1279,X1280,"f",FALSE)</f>
        <v>47879</v>
      </c>
      <c r="Z1280" s="184">
        <f>_xll.qlCalendarAdvance(Calendar,Y1280,NDays&amp;"D")</f>
        <v>47879</v>
      </c>
      <c r="AA1280" s="185">
        <v>5.2326424018093315E-2</v>
      </c>
      <c r="AB1280" s="182">
        <v>5.1987439850066007E-2</v>
      </c>
    </row>
    <row r="1281" spans="17:28" x14ac:dyDescent="0.2">
      <c r="Q1281" s="141"/>
      <c r="T1281" s="141"/>
      <c r="U1281" s="162"/>
      <c r="X1281" s="183" t="str">
        <f t="shared" si="26"/>
        <v>1w</v>
      </c>
      <c r="Y1281" s="181">
        <f>_xll.qlCalendarAdvance(Calendar,Y1280,X1281,"f",FALSE)</f>
        <v>47886</v>
      </c>
      <c r="Z1281" s="184">
        <f>_xll.qlCalendarAdvance(Calendar,Y1281,NDays&amp;"D")</f>
        <v>47886</v>
      </c>
      <c r="AA1281" s="185">
        <v>5.2329265064776545E-2</v>
      </c>
      <c r="AB1281" s="182">
        <v>5.1990993995202725E-2</v>
      </c>
    </row>
    <row r="1282" spans="17:28" x14ac:dyDescent="0.2">
      <c r="Q1282" s="141"/>
      <c r="T1282" s="141"/>
      <c r="U1282" s="162"/>
      <c r="X1282" s="183" t="str">
        <f t="shared" si="26"/>
        <v>1w</v>
      </c>
      <c r="Y1282" s="181">
        <f>_xll.qlCalendarAdvance(Calendar,Y1281,X1282,"f",FALSE)</f>
        <v>47893</v>
      </c>
      <c r="Z1282" s="184">
        <f>_xll.qlCalendarAdvance(Calendar,Y1282,NDays&amp;"D")</f>
        <v>47893</v>
      </c>
      <c r="AA1282" s="185">
        <v>5.2331982895414006E-2</v>
      </c>
      <c r="AB1282" s="182">
        <v>5.1994426422927738E-2</v>
      </c>
    </row>
    <row r="1283" spans="17:28" x14ac:dyDescent="0.2">
      <c r="Q1283" s="141"/>
      <c r="T1283" s="141"/>
      <c r="U1283" s="162"/>
      <c r="X1283" s="183" t="str">
        <f t="shared" si="26"/>
        <v>1w</v>
      </c>
      <c r="Y1283" s="181">
        <f>_xll.qlCalendarAdvance(Calendar,Y1282,X1283,"f",FALSE)</f>
        <v>47900</v>
      </c>
      <c r="Z1283" s="184">
        <f>_xll.qlCalendarAdvance(Calendar,Y1283,NDays&amp;"D")</f>
        <v>47900</v>
      </c>
      <c r="AA1283" s="185">
        <v>5.2334577509767111E-2</v>
      </c>
      <c r="AB1283" s="182">
        <v>5.1997737133322085E-2</v>
      </c>
    </row>
    <row r="1284" spans="17:28" x14ac:dyDescent="0.2">
      <c r="Q1284" s="141"/>
      <c r="T1284" s="141"/>
      <c r="U1284" s="162"/>
      <c r="X1284" s="183" t="str">
        <f t="shared" si="26"/>
        <v>1w</v>
      </c>
      <c r="Y1284" s="181">
        <f>_xll.qlCalendarAdvance(Calendar,Y1283,X1284,"f",FALSE)</f>
        <v>47907</v>
      </c>
      <c r="Z1284" s="184">
        <f>_xll.qlCalendarAdvance(Calendar,Y1284,NDays&amp;"D")</f>
        <v>47907</v>
      </c>
      <c r="AA1284" s="185">
        <v>5.234482782863175E-2</v>
      </c>
      <c r="AB1284" s="182">
        <v>5.20009261262507E-2</v>
      </c>
    </row>
    <row r="1285" spans="17:28" x14ac:dyDescent="0.2">
      <c r="Q1285" s="141"/>
      <c r="T1285" s="141"/>
      <c r="U1285" s="162"/>
      <c r="X1285" s="183" t="str">
        <f t="shared" si="26"/>
        <v>1w</v>
      </c>
      <c r="Y1285" s="181">
        <f>_xll.qlCalendarAdvance(Calendar,Y1284,X1285,"f",FALSE)</f>
        <v>47914</v>
      </c>
      <c r="Z1285" s="184">
        <f>_xll.qlCalendarAdvance(Calendar,Y1285,NDays&amp;"D")</f>
        <v>47914</v>
      </c>
      <c r="AA1285" s="185">
        <v>5.2362677727498329E-2</v>
      </c>
      <c r="AB1285" s="182">
        <v>5.2003993401848657E-2</v>
      </c>
    </row>
    <row r="1286" spans="17:28" x14ac:dyDescent="0.2">
      <c r="Q1286" s="141"/>
      <c r="T1286" s="141"/>
      <c r="U1286" s="162"/>
      <c r="X1286" s="183" t="str">
        <f t="shared" si="26"/>
        <v>1w</v>
      </c>
      <c r="Y1286" s="181">
        <f>_xll.qlCalendarAdvance(Calendar,Y1285,X1286,"f",FALSE)</f>
        <v>47921</v>
      </c>
      <c r="Z1286" s="184">
        <f>_xll.qlCalendarAdvance(Calendar,Y1286,NDays&amp;"D")</f>
        <v>47921</v>
      </c>
      <c r="AA1286" s="185">
        <v>5.2360981240417777E-2</v>
      </c>
      <c r="AB1286" s="182">
        <v>5.2006938959926849E-2</v>
      </c>
    </row>
    <row r="1287" spans="17:28" x14ac:dyDescent="0.2">
      <c r="Q1287" s="141"/>
      <c r="T1287" s="141"/>
      <c r="U1287" s="162"/>
      <c r="X1287" s="183" t="str">
        <f t="shared" si="26"/>
        <v>1w</v>
      </c>
      <c r="Y1287" s="181">
        <f>_xll.qlCalendarAdvance(Calendar,Y1286,X1287,"f",FALSE)</f>
        <v>47928</v>
      </c>
      <c r="Z1287" s="184">
        <f>_xll.qlCalendarAdvance(Calendar,Y1287,NDays&amp;"D")</f>
        <v>47928</v>
      </c>
      <c r="AA1287" s="185">
        <v>5.2363040447860991E-2</v>
      </c>
      <c r="AB1287" s="182">
        <v>5.2009762800674382E-2</v>
      </c>
    </row>
    <row r="1288" spans="17:28" x14ac:dyDescent="0.2">
      <c r="Q1288" s="141"/>
      <c r="T1288" s="141"/>
      <c r="U1288" s="162"/>
      <c r="X1288" s="183" t="str">
        <f t="shared" si="26"/>
        <v>1w</v>
      </c>
      <c r="Y1288" s="181">
        <f>_xll.qlCalendarAdvance(Calendar,Y1287,X1288,"f",FALSE)</f>
        <v>47935</v>
      </c>
      <c r="Z1288" s="184">
        <f>_xll.qlCalendarAdvance(Calendar,Y1288,NDays&amp;"D")</f>
        <v>47935</v>
      </c>
      <c r="AA1288" s="185">
        <v>5.2364976350140681E-2</v>
      </c>
      <c r="AB1288" s="182">
        <v>5.201246492398319E-2</v>
      </c>
    </row>
    <row r="1289" spans="17:28" x14ac:dyDescent="0.2">
      <c r="Q1289" s="141"/>
      <c r="T1289" s="141"/>
      <c r="U1289" s="162"/>
      <c r="X1289" s="183" t="str">
        <f t="shared" si="26"/>
        <v>1w</v>
      </c>
      <c r="Y1289" s="181">
        <f>_xll.qlCalendarAdvance(Calendar,Y1288,X1289,"f",FALSE)</f>
        <v>47942</v>
      </c>
      <c r="Z1289" s="184">
        <f>_xll.qlCalendarAdvance(Calendar,Y1289,NDays&amp;"D")</f>
        <v>47942</v>
      </c>
      <c r="AA1289" s="185">
        <v>5.2355251520586905E-2</v>
      </c>
      <c r="AB1289" s="182">
        <v>5.2015045329799246E-2</v>
      </c>
    </row>
    <row r="1290" spans="17:28" x14ac:dyDescent="0.2">
      <c r="Q1290" s="141"/>
      <c r="T1290" s="141"/>
      <c r="U1290" s="162"/>
      <c r="X1290" s="183" t="str">
        <f t="shared" si="26"/>
        <v>1w</v>
      </c>
      <c r="Y1290" s="181">
        <f>_xll.qlCalendarAdvance(Calendar,Y1289,X1290,"f",FALSE)</f>
        <v>47953</v>
      </c>
      <c r="Z1290" s="184">
        <f>_xll.qlCalendarAdvance(Calendar,Y1290,NDays&amp;"D")</f>
        <v>47953</v>
      </c>
      <c r="AA1290" s="185">
        <v>5.2357891152187162E-2</v>
      </c>
      <c r="AB1290" s="182">
        <v>5.2011109572333014E-2</v>
      </c>
    </row>
    <row r="1291" spans="17:28" x14ac:dyDescent="0.2">
      <c r="Q1291" s="141"/>
      <c r="T1291" s="141"/>
      <c r="U1291" s="162"/>
      <c r="X1291" s="183" t="str">
        <f t="shared" si="26"/>
        <v>1w</v>
      </c>
      <c r="Y1291" s="181">
        <f>_xll.qlCalendarAdvance(Calendar,Y1290,X1291,"f",FALSE)</f>
        <v>47960</v>
      </c>
      <c r="Z1291" s="184">
        <f>_xll.qlCalendarAdvance(Calendar,Y1291,NDays&amp;"D")</f>
        <v>47960</v>
      </c>
      <c r="AA1291" s="185">
        <v>5.2359412449591761E-2</v>
      </c>
      <c r="AB1291" s="182">
        <v>5.2013393727706747E-2</v>
      </c>
    </row>
    <row r="1292" spans="17:28" x14ac:dyDescent="0.2">
      <c r="Q1292" s="141"/>
      <c r="T1292" s="141"/>
      <c r="U1292" s="162"/>
      <c r="X1292" s="183" t="str">
        <f t="shared" si="26"/>
        <v>1w</v>
      </c>
      <c r="Y1292" s="181">
        <f>_xll.qlCalendarAdvance(Calendar,Y1291,X1292,"f",FALSE)</f>
        <v>47967</v>
      </c>
      <c r="Z1292" s="184">
        <f>_xll.qlCalendarAdvance(Calendar,Y1292,NDays&amp;"D")</f>
        <v>47967</v>
      </c>
      <c r="AA1292" s="185">
        <v>5.2360810493814629E-2</v>
      </c>
      <c r="AB1292" s="182">
        <v>5.2015556200113444E-2</v>
      </c>
    </row>
    <row r="1293" spans="17:28" x14ac:dyDescent="0.2">
      <c r="Q1293" s="141"/>
      <c r="T1293" s="141"/>
      <c r="U1293" s="162"/>
      <c r="X1293" s="183" t="str">
        <f t="shared" si="26"/>
        <v>1w</v>
      </c>
      <c r="Y1293" s="181">
        <f>_xll.qlCalendarAdvance(Calendar,Y1292,X1293,"f",FALSE)</f>
        <v>47974</v>
      </c>
      <c r="Z1293" s="184">
        <f>_xll.qlCalendarAdvance(Calendar,Y1293,NDays&amp;"D")</f>
        <v>47974</v>
      </c>
      <c r="AA1293" s="185">
        <v>5.2365892268447678E-2</v>
      </c>
      <c r="AB1293" s="182">
        <v>5.2017596989796244E-2</v>
      </c>
    </row>
    <row r="1294" spans="17:28" x14ac:dyDescent="0.2">
      <c r="Q1294" s="141"/>
      <c r="T1294" s="141"/>
      <c r="U1294" s="162"/>
      <c r="X1294" s="183" t="str">
        <f t="shared" si="26"/>
        <v>1w</v>
      </c>
      <c r="Y1294" s="181">
        <f>_xll.qlCalendarAdvance(Calendar,Y1293,X1294,"f",FALSE)</f>
        <v>47981</v>
      </c>
      <c r="Z1294" s="184">
        <f>_xll.qlCalendarAdvance(Calendar,Y1294,NDays&amp;"D")</f>
        <v>47981</v>
      </c>
      <c r="AA1294" s="185">
        <v>5.2367035165002379E-2</v>
      </c>
      <c r="AB1294" s="182">
        <v>5.2019516096593055E-2</v>
      </c>
    </row>
    <row r="1295" spans="17:28" x14ac:dyDescent="0.2">
      <c r="Q1295" s="141"/>
      <c r="T1295" s="141"/>
      <c r="U1295" s="162"/>
      <c r="X1295" s="183" t="str">
        <f t="shared" si="26"/>
        <v>1w</v>
      </c>
      <c r="Y1295" s="181">
        <f>_xll.qlCalendarAdvance(Calendar,Y1294,X1295,"f",FALSE)</f>
        <v>47988</v>
      </c>
      <c r="Z1295" s="184">
        <f>_xll.qlCalendarAdvance(Calendar,Y1295,NDays&amp;"D")</f>
        <v>47988</v>
      </c>
      <c r="AA1295" s="185">
        <v>5.2368054790454699E-2</v>
      </c>
      <c r="AB1295" s="182">
        <v>5.2021313520665968E-2</v>
      </c>
    </row>
    <row r="1296" spans="17:28" x14ac:dyDescent="0.2">
      <c r="Q1296" s="141"/>
      <c r="T1296" s="141"/>
      <c r="U1296" s="162"/>
      <c r="X1296" s="183" t="str">
        <f t="shared" si="26"/>
        <v>1w</v>
      </c>
      <c r="Y1296" s="181">
        <f>_xll.qlCalendarAdvance(Calendar,Y1295,X1296,"f",FALSE)</f>
        <v>47995</v>
      </c>
      <c r="Z1296" s="184">
        <f>_xll.qlCalendarAdvance(Calendar,Y1296,NDays&amp;"D")</f>
        <v>47995</v>
      </c>
      <c r="AA1296" s="185">
        <v>5.2368951144714779E-2</v>
      </c>
      <c r="AB1296" s="182">
        <v>5.2022989261933938E-2</v>
      </c>
    </row>
    <row r="1297" spans="17:28" x14ac:dyDescent="0.2">
      <c r="Q1297" s="141"/>
      <c r="T1297" s="141"/>
      <c r="U1297" s="162"/>
      <c r="X1297" s="183" t="str">
        <f t="shared" si="26"/>
        <v>1w</v>
      </c>
      <c r="Y1297" s="181">
        <f>_xll.qlCalendarAdvance(Calendar,Y1296,X1297,"f",FALSE)</f>
        <v>48002</v>
      </c>
      <c r="Z1297" s="184">
        <f>_xll.qlCalendarAdvance(Calendar,Y1297,NDays&amp;"D")</f>
        <v>48002</v>
      </c>
      <c r="AA1297" s="185">
        <v>5.2369724227697166E-2</v>
      </c>
      <c r="AB1297" s="182">
        <v>5.2024543320315919E-2</v>
      </c>
    </row>
    <row r="1298" spans="17:28" x14ac:dyDescent="0.2">
      <c r="Q1298" s="141"/>
      <c r="T1298" s="141"/>
      <c r="U1298" s="162"/>
      <c r="X1298" s="183" t="str">
        <f t="shared" si="26"/>
        <v>1w</v>
      </c>
      <c r="Y1298" s="181">
        <f>_xll.qlCalendarAdvance(Calendar,Y1297,X1298,"f",FALSE)</f>
        <v>48009</v>
      </c>
      <c r="Z1298" s="184">
        <f>_xll.qlCalendarAdvance(Calendar,Y1298,NDays&amp;"D")</f>
        <v>48009</v>
      </c>
      <c r="AA1298" s="185">
        <v>5.237037403933139E-2</v>
      </c>
      <c r="AB1298" s="182">
        <v>5.2025975695974003E-2</v>
      </c>
    </row>
    <row r="1299" spans="17:28" x14ac:dyDescent="0.2">
      <c r="Q1299" s="141"/>
      <c r="T1299" s="141"/>
      <c r="U1299" s="162"/>
      <c r="X1299" s="183" t="str">
        <f t="shared" si="26"/>
        <v>1w</v>
      </c>
      <c r="Y1299" s="181">
        <f>_xll.qlCalendarAdvance(Calendar,Y1298,X1299,"f",FALSE)</f>
        <v>48016</v>
      </c>
      <c r="Z1299" s="184">
        <f>_xll.qlCalendarAdvance(Calendar,Y1299,NDays&amp;"D")</f>
        <v>48016</v>
      </c>
      <c r="AA1299" s="185">
        <v>5.2370900579557546E-2</v>
      </c>
      <c r="AB1299" s="182">
        <v>5.2027286388665051E-2</v>
      </c>
    </row>
    <row r="1300" spans="17:28" x14ac:dyDescent="0.2">
      <c r="Q1300" s="141"/>
      <c r="T1300" s="141"/>
      <c r="U1300" s="162"/>
      <c r="X1300" s="183" t="str">
        <f t="shared" si="26"/>
        <v>1w</v>
      </c>
      <c r="Y1300" s="181">
        <f>_xll.qlCalendarAdvance(Calendar,Y1299,X1300,"f",FALSE)</f>
        <v>48023</v>
      </c>
      <c r="Z1300" s="184">
        <f>_xll.qlCalendarAdvance(Calendar,Y1300,NDays&amp;"D")</f>
        <v>48023</v>
      </c>
      <c r="AA1300" s="185">
        <v>5.2371303848328055E-2</v>
      </c>
      <c r="AB1300" s="182">
        <v>5.2028475398632201E-2</v>
      </c>
    </row>
    <row r="1301" spans="17:28" x14ac:dyDescent="0.2">
      <c r="Q1301" s="141"/>
      <c r="T1301" s="141"/>
      <c r="U1301" s="162"/>
      <c r="X1301" s="183" t="str">
        <f t="shared" ref="X1301:X1364" si="27">X1300</f>
        <v>1w</v>
      </c>
      <c r="Y1301" s="181">
        <f>_xll.qlCalendarAdvance(Calendar,Y1300,X1301,"f",FALSE)</f>
        <v>48030</v>
      </c>
      <c r="Z1301" s="184">
        <f>_xll.qlCalendarAdvance(Calendar,Y1301,NDays&amp;"D")</f>
        <v>48030</v>
      </c>
      <c r="AA1301" s="185">
        <v>5.2371583845605051E-2</v>
      </c>
      <c r="AB1301" s="182">
        <v>5.2029542725713362E-2</v>
      </c>
    </row>
    <row r="1302" spans="17:28" x14ac:dyDescent="0.2">
      <c r="Q1302" s="141"/>
      <c r="T1302" s="141"/>
      <c r="U1302" s="162"/>
      <c r="X1302" s="183" t="str">
        <f t="shared" si="27"/>
        <v>1w</v>
      </c>
      <c r="Y1302" s="181">
        <f>_xll.qlCalendarAdvance(Calendar,Y1301,X1302,"f",FALSE)</f>
        <v>48037</v>
      </c>
      <c r="Z1302" s="184">
        <f>_xll.qlCalendarAdvance(Calendar,Y1302,NDays&amp;"D")</f>
        <v>48037</v>
      </c>
      <c r="AA1302" s="185">
        <v>5.2371740571362978E-2</v>
      </c>
      <c r="AB1302" s="182">
        <v>5.2030488369908534E-2</v>
      </c>
    </row>
    <row r="1303" spans="17:28" x14ac:dyDescent="0.2">
      <c r="Q1303" s="141"/>
      <c r="T1303" s="141"/>
      <c r="U1303" s="162"/>
      <c r="X1303" s="183" t="str">
        <f t="shared" si="27"/>
        <v>1w</v>
      </c>
      <c r="Y1303" s="181">
        <f>_xll.qlCalendarAdvance(Calendar,Y1302,X1303,"f",FALSE)</f>
        <v>48044</v>
      </c>
      <c r="Z1303" s="184">
        <f>_xll.qlCalendarAdvance(Calendar,Y1303,NDays&amp;"D")</f>
        <v>48044</v>
      </c>
      <c r="AA1303" s="185">
        <v>5.2371774025588624E-2</v>
      </c>
      <c r="AB1303" s="182">
        <v>5.2031312331460855E-2</v>
      </c>
    </row>
    <row r="1304" spans="17:28" x14ac:dyDescent="0.2">
      <c r="Q1304" s="141"/>
      <c r="T1304" s="141"/>
      <c r="U1304" s="162"/>
      <c r="X1304" s="183" t="str">
        <f t="shared" si="27"/>
        <v>1w</v>
      </c>
      <c r="Y1304" s="181">
        <f>_xll.qlCalendarAdvance(Calendar,Y1303,X1304,"f",FALSE)</f>
        <v>48051</v>
      </c>
      <c r="Z1304" s="184">
        <f>_xll.qlCalendarAdvance(Calendar,Y1304,NDays&amp;"D")</f>
        <v>48051</v>
      </c>
      <c r="AA1304" s="185">
        <v>5.2371684208276703E-2</v>
      </c>
      <c r="AB1304" s="182">
        <v>5.2032014610127186E-2</v>
      </c>
    </row>
    <row r="1305" spans="17:28" x14ac:dyDescent="0.2">
      <c r="Q1305" s="141"/>
      <c r="T1305" s="141"/>
      <c r="U1305" s="162"/>
      <c r="X1305" s="183" t="str">
        <f t="shared" si="27"/>
        <v>1w</v>
      </c>
      <c r="Y1305" s="181">
        <f>_xll.qlCalendarAdvance(Calendar,Y1304,X1305,"f",FALSE)</f>
        <v>48058</v>
      </c>
      <c r="Z1305" s="184">
        <f>_xll.qlCalendarAdvance(Calendar,Y1305,NDays&amp;"D")</f>
        <v>48058</v>
      </c>
      <c r="AA1305" s="185">
        <v>5.2371471119436908E-2</v>
      </c>
      <c r="AB1305" s="182">
        <v>5.2032595205826482E-2</v>
      </c>
    </row>
    <row r="1306" spans="17:28" x14ac:dyDescent="0.2">
      <c r="Q1306" s="141"/>
      <c r="T1306" s="141"/>
      <c r="U1306" s="162"/>
      <c r="X1306" s="183" t="str">
        <f t="shared" si="27"/>
        <v>1w</v>
      </c>
      <c r="Y1306" s="181">
        <f>_xll.qlCalendarAdvance(Calendar,Y1305,X1306,"f",FALSE)</f>
        <v>48065</v>
      </c>
      <c r="Z1306" s="184">
        <f>_xll.qlCalendarAdvance(Calendar,Y1306,NDays&amp;"D")</f>
        <v>48065</v>
      </c>
      <c r="AA1306" s="185">
        <v>5.237113475908773E-2</v>
      </c>
      <c r="AB1306" s="182">
        <v>5.203305411880188E-2</v>
      </c>
    </row>
    <row r="1307" spans="17:28" x14ac:dyDescent="0.2">
      <c r="Q1307" s="141"/>
      <c r="T1307" s="141"/>
      <c r="U1307" s="162"/>
      <c r="X1307" s="183" t="str">
        <f t="shared" si="27"/>
        <v>1w</v>
      </c>
      <c r="Y1307" s="181">
        <f>_xll.qlCalendarAdvance(Calendar,Y1306,X1307,"f",FALSE)</f>
        <v>48072</v>
      </c>
      <c r="Z1307" s="184">
        <f>_xll.qlCalendarAdvance(Calendar,Y1307,NDays&amp;"D")</f>
        <v>48072</v>
      </c>
      <c r="AA1307" s="185">
        <v>5.2370675127261776E-2</v>
      </c>
      <c r="AB1307" s="182">
        <v>5.2033391349053382E-2</v>
      </c>
    </row>
    <row r="1308" spans="17:28" x14ac:dyDescent="0.2">
      <c r="Q1308" s="141"/>
      <c r="T1308" s="141"/>
      <c r="U1308" s="162"/>
      <c r="X1308" s="183" t="str">
        <f t="shared" si="27"/>
        <v>1w</v>
      </c>
      <c r="Y1308" s="181">
        <f>_xll.qlCalendarAdvance(Calendar,Y1307,X1308,"f",FALSE)</f>
        <v>48079</v>
      </c>
      <c r="Z1308" s="184">
        <f>_xll.qlCalendarAdvance(Calendar,Y1308,NDays&amp;"D")</f>
        <v>48079</v>
      </c>
      <c r="AA1308" s="185">
        <v>5.2370092224000436E-2</v>
      </c>
      <c r="AB1308" s="182">
        <v>5.2033606896256801E-2</v>
      </c>
    </row>
    <row r="1309" spans="17:28" x14ac:dyDescent="0.2">
      <c r="Q1309" s="141"/>
      <c r="T1309" s="141"/>
      <c r="U1309" s="162"/>
      <c r="X1309" s="183" t="str">
        <f t="shared" si="27"/>
        <v>1w</v>
      </c>
      <c r="Y1309" s="181">
        <f>_xll.qlCalendarAdvance(Calendar,Y1308,X1309,"f",FALSE)</f>
        <v>48086</v>
      </c>
      <c r="Z1309" s="184">
        <f>_xll.qlCalendarAdvance(Calendar,Y1309,NDays&amp;"D")</f>
        <v>48086</v>
      </c>
      <c r="AA1309" s="185">
        <v>5.236938604935746E-2</v>
      </c>
      <c r="AB1309" s="182">
        <v>5.203370076081737E-2</v>
      </c>
    </row>
    <row r="1310" spans="17:28" x14ac:dyDescent="0.2">
      <c r="Q1310" s="141"/>
      <c r="T1310" s="141"/>
      <c r="U1310" s="162"/>
      <c r="X1310" s="183" t="str">
        <f t="shared" si="27"/>
        <v>1w</v>
      </c>
      <c r="Y1310" s="181">
        <f>_xll.qlCalendarAdvance(Calendar,Y1309,X1310,"f",FALSE)</f>
        <v>48093</v>
      </c>
      <c r="Z1310" s="184">
        <f>_xll.qlCalendarAdvance(Calendar,Y1310,NDays&amp;"D")</f>
        <v>48093</v>
      </c>
      <c r="AA1310" s="185">
        <v>5.2364898905319354E-2</v>
      </c>
      <c r="AB1310" s="182">
        <v>5.2033672942410902E-2</v>
      </c>
    </row>
    <row r="1311" spans="17:28" x14ac:dyDescent="0.2">
      <c r="Q1311" s="141"/>
      <c r="T1311" s="141"/>
      <c r="U1311" s="162"/>
      <c r="X1311" s="183" t="str">
        <f t="shared" si="27"/>
        <v>1w</v>
      </c>
      <c r="Y1311" s="181">
        <f>_xll.qlCalendarAdvance(Calendar,Y1310,X1311,"f",FALSE)</f>
        <v>48100</v>
      </c>
      <c r="Z1311" s="184">
        <f>_xll.qlCalendarAdvance(Calendar,Y1311,NDays&amp;"D")</f>
        <v>48100</v>
      </c>
      <c r="AA1311" s="185">
        <v>5.2363955127731357E-2</v>
      </c>
      <c r="AB1311" s="182">
        <v>5.2033523441280538E-2</v>
      </c>
    </row>
    <row r="1312" spans="17:28" x14ac:dyDescent="0.2">
      <c r="Q1312" s="141"/>
      <c r="T1312" s="141"/>
      <c r="U1312" s="162"/>
      <c r="X1312" s="183" t="str">
        <f t="shared" si="27"/>
        <v>1w</v>
      </c>
      <c r="Y1312" s="181">
        <f>_xll.qlCalendarAdvance(Calendar,Y1311,X1312,"f",FALSE)</f>
        <v>48107</v>
      </c>
      <c r="Z1312" s="184">
        <f>_xll.qlCalendarAdvance(Calendar,Y1312,NDays&amp;"D")</f>
        <v>48107</v>
      </c>
      <c r="AA1312" s="185">
        <v>5.2362888096550167E-2</v>
      </c>
      <c r="AB1312" s="182">
        <v>5.2033252257264184E-2</v>
      </c>
    </row>
    <row r="1313" spans="17:28" x14ac:dyDescent="0.2">
      <c r="Q1313" s="141"/>
      <c r="T1313" s="141"/>
      <c r="U1313" s="162"/>
      <c r="X1313" s="183" t="str">
        <f t="shared" si="27"/>
        <v>1w</v>
      </c>
      <c r="Y1313" s="181">
        <f>_xll.qlCalendarAdvance(Calendar,Y1312,X1313,"f",FALSE)</f>
        <v>48114</v>
      </c>
      <c r="Z1313" s="184">
        <f>_xll.qlCalendarAdvance(Calendar,Y1313,NDays&amp;"D")</f>
        <v>48114</v>
      </c>
      <c r="AA1313" s="185">
        <v>5.2361697811872859E-2</v>
      </c>
      <c r="AB1313" s="182">
        <v>5.2032859390442887E-2</v>
      </c>
    </row>
    <row r="1314" spans="17:28" x14ac:dyDescent="0.2">
      <c r="Q1314" s="141"/>
      <c r="T1314" s="141"/>
      <c r="U1314" s="162"/>
      <c r="X1314" s="183" t="str">
        <f t="shared" si="27"/>
        <v>1w</v>
      </c>
      <c r="Y1314" s="181">
        <f>_xll.qlCalendarAdvance(Calendar,Y1313,X1314,"f",FALSE)</f>
        <v>48121</v>
      </c>
      <c r="Z1314" s="184">
        <f>_xll.qlCalendarAdvance(Calendar,Y1314,NDays&amp;"D")</f>
        <v>48121</v>
      </c>
      <c r="AA1314" s="185">
        <v>5.2364006108086322E-2</v>
      </c>
      <c r="AB1314" s="182">
        <v>5.2032344840816647E-2</v>
      </c>
    </row>
    <row r="1315" spans="17:28" x14ac:dyDescent="0.2">
      <c r="Q1315" s="141"/>
      <c r="T1315" s="141"/>
      <c r="U1315" s="162"/>
      <c r="X1315" s="183" t="str">
        <f t="shared" si="27"/>
        <v>1w</v>
      </c>
      <c r="Y1315" s="181">
        <f>_xll.qlCalendarAdvance(Calendar,Y1314,X1315,"f",FALSE)</f>
        <v>48128</v>
      </c>
      <c r="Z1315" s="184">
        <f>_xll.qlCalendarAdvance(Calendar,Y1315,NDays&amp;"D")</f>
        <v>48128</v>
      </c>
      <c r="AA1315" s="185">
        <v>5.2362560306911853E-2</v>
      </c>
      <c r="AB1315" s="182">
        <v>5.203170860822337E-2</v>
      </c>
    </row>
    <row r="1316" spans="17:28" x14ac:dyDescent="0.2">
      <c r="Q1316" s="141"/>
      <c r="T1316" s="141"/>
      <c r="U1316" s="162"/>
      <c r="X1316" s="183" t="str">
        <f t="shared" si="27"/>
        <v>1w</v>
      </c>
      <c r="Y1316" s="181">
        <f>_xll.qlCalendarAdvance(Calendar,Y1315,X1316,"f",FALSE)</f>
        <v>48135</v>
      </c>
      <c r="Z1316" s="184">
        <f>_xll.qlCalendarAdvance(Calendar,Y1316,NDays&amp;"D")</f>
        <v>48135</v>
      </c>
      <c r="AA1316" s="185">
        <v>5.2360991235051682E-2</v>
      </c>
      <c r="AB1316" s="182">
        <v>5.203095069306829E-2</v>
      </c>
    </row>
    <row r="1317" spans="17:28" x14ac:dyDescent="0.2">
      <c r="Q1317" s="141"/>
      <c r="T1317" s="141"/>
      <c r="U1317" s="162"/>
      <c r="X1317" s="183" t="str">
        <f t="shared" si="27"/>
        <v>1w</v>
      </c>
      <c r="Y1317" s="181">
        <f>_xll.qlCalendarAdvance(Calendar,Y1316,X1317,"f",FALSE)</f>
        <v>48142</v>
      </c>
      <c r="Z1317" s="184">
        <f>_xll.qlCalendarAdvance(Calendar,Y1317,NDays&amp;"D")</f>
        <v>48142</v>
      </c>
      <c r="AA1317" s="185">
        <v>5.2359298892644998E-2</v>
      </c>
      <c r="AB1317" s="182">
        <v>5.2030071094865127E-2</v>
      </c>
    </row>
    <row r="1318" spans="17:28" x14ac:dyDescent="0.2">
      <c r="Q1318" s="141"/>
      <c r="T1318" s="141"/>
      <c r="U1318" s="162"/>
      <c r="X1318" s="183" t="str">
        <f t="shared" si="27"/>
        <v>1w</v>
      </c>
      <c r="Y1318" s="181">
        <f>_xll.qlCalendarAdvance(Calendar,Y1317,X1318,"f",FALSE)</f>
        <v>48149</v>
      </c>
      <c r="Z1318" s="184">
        <f>_xll.qlCalendarAdvance(Calendar,Y1318,NDays&amp;"D")</f>
        <v>48149</v>
      </c>
      <c r="AA1318" s="185">
        <v>5.2357483279851257E-2</v>
      </c>
      <c r="AB1318" s="182">
        <v>5.2029069813938067E-2</v>
      </c>
    </row>
    <row r="1319" spans="17:28" x14ac:dyDescent="0.2">
      <c r="Q1319" s="141"/>
      <c r="T1319" s="141"/>
      <c r="U1319" s="162"/>
      <c r="X1319" s="183" t="str">
        <f t="shared" si="27"/>
        <v>1w</v>
      </c>
      <c r="Y1319" s="181">
        <f>_xll.qlCalendarAdvance(Calendar,Y1318,X1319,"f",FALSE)</f>
        <v>48156</v>
      </c>
      <c r="Z1319" s="184">
        <f>_xll.qlCalendarAdvance(Calendar,Y1319,NDays&amp;"D")</f>
        <v>48156</v>
      </c>
      <c r="AA1319" s="185">
        <v>5.2355544396833424E-2</v>
      </c>
      <c r="AB1319" s="182">
        <v>5.2027946850043971E-2</v>
      </c>
    </row>
    <row r="1320" spans="17:28" x14ac:dyDescent="0.2">
      <c r="Q1320" s="141"/>
      <c r="T1320" s="141"/>
      <c r="U1320" s="162"/>
      <c r="X1320" s="183" t="str">
        <f t="shared" si="27"/>
        <v>1w</v>
      </c>
      <c r="Y1320" s="181">
        <f>_xll.qlCalendarAdvance(Calendar,Y1319,X1320,"f",FALSE)</f>
        <v>48163</v>
      </c>
      <c r="Z1320" s="184">
        <f>_xll.qlCalendarAdvance(Calendar,Y1320,NDays&amp;"D")</f>
        <v>48163</v>
      </c>
      <c r="AA1320" s="185">
        <v>5.2353482243773855E-2</v>
      </c>
      <c r="AB1320" s="182">
        <v>5.2026702203425979E-2</v>
      </c>
    </row>
    <row r="1321" spans="17:28" x14ac:dyDescent="0.2">
      <c r="Q1321" s="141"/>
      <c r="T1321" s="141"/>
      <c r="U1321" s="162"/>
      <c r="X1321" s="183" t="str">
        <f t="shared" si="27"/>
        <v>1w</v>
      </c>
      <c r="Y1321" s="181">
        <f>_xll.qlCalendarAdvance(Calendar,Y1320,X1321,"f",FALSE)</f>
        <v>48170</v>
      </c>
      <c r="Z1321" s="184">
        <f>_xll.qlCalendarAdvance(Calendar,Y1321,NDays&amp;"D")</f>
        <v>48170</v>
      </c>
      <c r="AA1321" s="185">
        <v>5.2351296820861072E-2</v>
      </c>
      <c r="AB1321" s="182">
        <v>5.2025335874003042E-2</v>
      </c>
    </row>
    <row r="1322" spans="17:28" x14ac:dyDescent="0.2">
      <c r="Q1322" s="141"/>
      <c r="T1322" s="141"/>
      <c r="U1322" s="162"/>
      <c r="X1322" s="183" t="str">
        <f t="shared" si="27"/>
        <v>1w</v>
      </c>
      <c r="Y1322" s="181">
        <f>_xll.qlCalendarAdvance(Calendar,Y1321,X1322,"f",FALSE)</f>
        <v>48177</v>
      </c>
      <c r="Z1322" s="184">
        <f>_xll.qlCalendarAdvance(Calendar,Y1322,NDays&amp;"D")</f>
        <v>48177</v>
      </c>
      <c r="AA1322" s="185">
        <v>5.2348988128295047E-2</v>
      </c>
      <c r="AB1322" s="182">
        <v>5.2023847861775163E-2</v>
      </c>
    </row>
    <row r="1323" spans="17:28" x14ac:dyDescent="0.2">
      <c r="Q1323" s="141"/>
      <c r="T1323" s="141"/>
      <c r="U1323" s="162"/>
      <c r="X1323" s="183" t="str">
        <f t="shared" si="27"/>
        <v>1w</v>
      </c>
      <c r="Y1323" s="181">
        <f>_xll.qlCalendarAdvance(Calendar,Y1322,X1323,"f",FALSE)</f>
        <v>48184</v>
      </c>
      <c r="Z1323" s="184">
        <f>_xll.qlCalendarAdvance(Calendar,Y1323,NDays&amp;"D")</f>
        <v>48184</v>
      </c>
      <c r="AA1323" s="185">
        <v>5.2343016052164709E-2</v>
      </c>
      <c r="AB1323" s="182">
        <v>5.2022238166661294E-2</v>
      </c>
    </row>
    <row r="1324" spans="17:28" x14ac:dyDescent="0.2">
      <c r="Q1324" s="141"/>
      <c r="T1324" s="141"/>
      <c r="U1324" s="162"/>
      <c r="X1324" s="183" t="str">
        <f t="shared" si="27"/>
        <v>1w</v>
      </c>
      <c r="Y1324" s="181">
        <f>_xll.qlCalendarAdvance(Calendar,Y1323,X1324,"f",FALSE)</f>
        <v>48191</v>
      </c>
      <c r="Z1324" s="184">
        <f>_xll.qlCalendarAdvance(Calendar,Y1324,NDays&amp;"D")</f>
        <v>48191</v>
      </c>
      <c r="AA1324" s="185">
        <v>5.234046998864169E-2</v>
      </c>
      <c r="AB1324" s="182">
        <v>5.2020506788742482E-2</v>
      </c>
    </row>
    <row r="1325" spans="17:28" x14ac:dyDescent="0.2">
      <c r="Q1325" s="141"/>
      <c r="T1325" s="141"/>
      <c r="U1325" s="162"/>
      <c r="X1325" s="183" t="str">
        <f t="shared" si="27"/>
        <v>1w</v>
      </c>
      <c r="Y1325" s="181">
        <f>_xll.qlCalendarAdvance(Calendar,Y1324,X1325,"f",FALSE)</f>
        <v>48198</v>
      </c>
      <c r="Z1325" s="184">
        <f>_xll.qlCalendarAdvance(Calendar,Y1325,NDays&amp;"D")</f>
        <v>48198</v>
      </c>
      <c r="AA1325" s="185">
        <v>5.2337800673661186E-2</v>
      </c>
      <c r="AB1325" s="182">
        <v>5.2018653728099773E-2</v>
      </c>
    </row>
    <row r="1326" spans="17:28" x14ac:dyDescent="0.2">
      <c r="Q1326" s="141"/>
      <c r="T1326" s="141"/>
      <c r="U1326" s="162"/>
      <c r="X1326" s="183" t="str">
        <f t="shared" si="27"/>
        <v>1w</v>
      </c>
      <c r="Y1326" s="181">
        <f>_xll.qlCalendarAdvance(Calendar,Y1325,X1326,"f",FALSE)</f>
        <v>48205</v>
      </c>
      <c r="Z1326" s="184">
        <f>_xll.qlCalendarAdvance(Calendar,Y1326,NDays&amp;"D")</f>
        <v>48205</v>
      </c>
      <c r="AA1326" s="185">
        <v>5.2335008107467218E-2</v>
      </c>
      <c r="AB1326" s="182">
        <v>5.2016678984490028E-2</v>
      </c>
    </row>
    <row r="1327" spans="17:28" x14ac:dyDescent="0.2">
      <c r="Q1327" s="141"/>
      <c r="T1327" s="141"/>
      <c r="U1327" s="162"/>
      <c r="X1327" s="183" t="str">
        <f t="shared" si="27"/>
        <v>1w</v>
      </c>
      <c r="Y1327" s="181">
        <f>_xll.qlCalendarAdvance(Calendar,Y1326,X1327,"f",FALSE)</f>
        <v>48212</v>
      </c>
      <c r="Z1327" s="184">
        <f>_xll.qlCalendarAdvance(Calendar,Y1327,NDays&amp;"D")</f>
        <v>48212</v>
      </c>
      <c r="AA1327" s="185">
        <v>5.2332092290314512E-2</v>
      </c>
      <c r="AB1327" s="182">
        <v>5.2014582558237432E-2</v>
      </c>
    </row>
    <row r="1328" spans="17:28" x14ac:dyDescent="0.2">
      <c r="Q1328" s="141"/>
      <c r="T1328" s="141"/>
      <c r="U1328" s="162"/>
      <c r="X1328" s="183" t="str">
        <f t="shared" si="27"/>
        <v>1w</v>
      </c>
      <c r="Y1328" s="181">
        <f>_xll.qlCalendarAdvance(Calendar,Y1327,X1328,"f",FALSE)</f>
        <v>48219</v>
      </c>
      <c r="Z1328" s="184">
        <f>_xll.qlCalendarAdvance(Calendar,Y1328,NDays&amp;"D")</f>
        <v>48219</v>
      </c>
      <c r="AA1328" s="185">
        <v>5.2329053222465796E-2</v>
      </c>
      <c r="AB1328" s="182">
        <v>5.2012364448936754E-2</v>
      </c>
    </row>
    <row r="1329" spans="17:28" x14ac:dyDescent="0.2">
      <c r="Q1329" s="141"/>
      <c r="T1329" s="141"/>
      <c r="U1329" s="162"/>
      <c r="X1329" s="183" t="str">
        <f t="shared" si="27"/>
        <v>1w</v>
      </c>
      <c r="Y1329" s="181">
        <f>_xll.qlCalendarAdvance(Calendar,Y1328,X1329,"f",FALSE)</f>
        <v>48226</v>
      </c>
      <c r="Z1329" s="184">
        <f>_xll.qlCalendarAdvance(Calendar,Y1329,NDays&amp;"D")</f>
        <v>48226</v>
      </c>
      <c r="AA1329" s="185">
        <v>5.2325890904201609E-2</v>
      </c>
      <c r="AB1329" s="182">
        <v>5.2010024656993226E-2</v>
      </c>
    </row>
    <row r="1330" spans="17:28" x14ac:dyDescent="0.2">
      <c r="Q1330" s="141"/>
      <c r="T1330" s="141"/>
      <c r="U1330" s="162"/>
      <c r="X1330" s="183" t="str">
        <f t="shared" si="27"/>
        <v>1w</v>
      </c>
      <c r="Y1330" s="181">
        <f>_xll.qlCalendarAdvance(Calendar,Y1329,X1330,"f",FALSE)</f>
        <v>48233</v>
      </c>
      <c r="Z1330" s="184">
        <f>_xll.qlCalendarAdvance(Calendar,Y1330,NDays&amp;"D")</f>
        <v>48233</v>
      </c>
      <c r="AA1330" s="185">
        <v>5.2322605335806065E-2</v>
      </c>
      <c r="AB1330" s="182">
        <v>5.2007563182244754E-2</v>
      </c>
    </row>
    <row r="1331" spans="17:28" x14ac:dyDescent="0.2">
      <c r="Q1331" s="141"/>
      <c r="T1331" s="141"/>
      <c r="U1331" s="162"/>
      <c r="X1331" s="183" t="str">
        <f t="shared" si="27"/>
        <v>1w</v>
      </c>
      <c r="Y1331" s="181">
        <f>_xll.qlCalendarAdvance(Calendar,Y1330,X1331,"f",FALSE)</f>
        <v>48240</v>
      </c>
      <c r="Z1331" s="184">
        <f>_xll.qlCalendarAdvance(Calendar,Y1331,NDays&amp;"D")</f>
        <v>48240</v>
      </c>
      <c r="AA1331" s="185">
        <v>5.2319196517580192E-2</v>
      </c>
      <c r="AB1331" s="182">
        <v>5.2004980024691339E-2</v>
      </c>
    </row>
    <row r="1332" spans="17:28" x14ac:dyDescent="0.2">
      <c r="Q1332" s="141"/>
      <c r="T1332" s="141"/>
      <c r="U1332" s="162"/>
      <c r="X1332" s="183" t="str">
        <f t="shared" si="27"/>
        <v>1w</v>
      </c>
      <c r="Y1332" s="181">
        <f>_xll.qlCalendarAdvance(Calendar,Y1331,X1332,"f",FALSE)</f>
        <v>48247</v>
      </c>
      <c r="Z1332" s="184">
        <f>_xll.qlCalendarAdvance(Calendar,Y1332,NDays&amp;"D")</f>
        <v>48247</v>
      </c>
      <c r="AA1332" s="185">
        <v>5.2312206913391175E-2</v>
      </c>
      <c r="AB1332" s="182">
        <v>5.2002275184251934E-2</v>
      </c>
    </row>
    <row r="1333" spans="17:28" x14ac:dyDescent="0.2">
      <c r="Q1333" s="141"/>
      <c r="T1333" s="141"/>
      <c r="U1333" s="162"/>
      <c r="X1333" s="183" t="str">
        <f t="shared" si="27"/>
        <v>1w</v>
      </c>
      <c r="Y1333" s="181">
        <f>_xll.qlCalendarAdvance(Calendar,Y1332,X1333,"f",FALSE)</f>
        <v>48254</v>
      </c>
      <c r="Z1333" s="184">
        <f>_xll.qlCalendarAdvance(Calendar,Y1333,NDays&amp;"D")</f>
        <v>48254</v>
      </c>
      <c r="AA1333" s="185">
        <v>5.2308560919158205E-2</v>
      </c>
      <c r="AB1333" s="182">
        <v>5.1999448661088632E-2</v>
      </c>
    </row>
    <row r="1334" spans="17:28" x14ac:dyDescent="0.2">
      <c r="Q1334" s="141"/>
      <c r="T1334" s="141"/>
      <c r="U1334" s="162"/>
      <c r="X1334" s="183" t="str">
        <f t="shared" si="27"/>
        <v>1w</v>
      </c>
      <c r="Y1334" s="181">
        <f>_xll.qlCalendarAdvance(Calendar,Y1333,X1334,"f",FALSE)</f>
        <v>48261</v>
      </c>
      <c r="Z1334" s="184">
        <f>_xll.qlCalendarAdvance(Calendar,Y1334,NDays&amp;"D")</f>
        <v>48261</v>
      </c>
      <c r="AA1334" s="185">
        <v>5.2304791693542893E-2</v>
      </c>
      <c r="AB1334" s="182">
        <v>5.1996500455201433E-2</v>
      </c>
    </row>
    <row r="1335" spans="17:28" x14ac:dyDescent="0.2">
      <c r="Q1335" s="141"/>
      <c r="T1335" s="141"/>
      <c r="U1335" s="162"/>
      <c r="X1335" s="183" t="str">
        <f t="shared" si="27"/>
        <v>1w</v>
      </c>
      <c r="Y1335" s="181">
        <f>_xll.qlCalendarAdvance(Calendar,Y1334,X1335,"f",FALSE)</f>
        <v>48268</v>
      </c>
      <c r="Z1335" s="184">
        <f>_xll.qlCalendarAdvance(Calendar,Y1335,NDays&amp;"D")</f>
        <v>48268</v>
      </c>
      <c r="AA1335" s="185">
        <v>5.2300899236889228E-2</v>
      </c>
      <c r="AB1335" s="182">
        <v>5.1993430566347199E-2</v>
      </c>
    </row>
    <row r="1336" spans="17:28" x14ac:dyDescent="0.2">
      <c r="Q1336" s="141"/>
      <c r="T1336" s="141"/>
      <c r="U1336" s="162"/>
      <c r="X1336" s="183" t="str">
        <f t="shared" si="27"/>
        <v>1w</v>
      </c>
      <c r="Y1336" s="181">
        <f>_xll.qlCalendarAdvance(Calendar,Y1335,X1336,"f",FALSE)</f>
        <v>48275</v>
      </c>
      <c r="Z1336" s="184">
        <f>_xll.qlCalendarAdvance(Calendar,Y1336,NDays&amp;"D")</f>
        <v>48275</v>
      </c>
      <c r="AA1336" s="185">
        <v>5.230372325842933E-2</v>
      </c>
      <c r="AB1336" s="182">
        <v>5.1990238994850113E-2</v>
      </c>
    </row>
    <row r="1337" spans="17:28" x14ac:dyDescent="0.2">
      <c r="Q1337" s="141"/>
      <c r="T1337" s="141"/>
      <c r="U1337" s="162"/>
      <c r="X1337" s="183" t="str">
        <f t="shared" si="27"/>
        <v>1w</v>
      </c>
      <c r="Y1337" s="181">
        <f>_xll.qlCalendarAdvance(Calendar,Y1336,X1337,"f",FALSE)</f>
        <v>48282</v>
      </c>
      <c r="Z1337" s="184">
        <f>_xll.qlCalendarAdvance(Calendar,Y1337,NDays&amp;"D")</f>
        <v>48282</v>
      </c>
      <c r="AA1337" s="185">
        <v>5.2299565552912361E-2</v>
      </c>
      <c r="AB1337" s="182">
        <v>5.1986925740467038E-2</v>
      </c>
    </row>
    <row r="1338" spans="17:28" x14ac:dyDescent="0.2">
      <c r="Q1338" s="141"/>
      <c r="T1338" s="141"/>
      <c r="U1338" s="162"/>
      <c r="X1338" s="183" t="str">
        <f t="shared" si="27"/>
        <v>1w</v>
      </c>
      <c r="Y1338" s="181">
        <f>_xll.qlCalendarAdvance(Calendar,Y1337,X1338,"f",FALSE)</f>
        <v>48289</v>
      </c>
      <c r="Z1338" s="184">
        <f>_xll.qlCalendarAdvance(Calendar,Y1338,NDays&amp;"D")</f>
        <v>48289</v>
      </c>
      <c r="AA1338" s="185">
        <v>5.2295284582502731E-2</v>
      </c>
      <c r="AB1338" s="182">
        <v>5.1983490803360066E-2</v>
      </c>
    </row>
    <row r="1339" spans="17:28" x14ac:dyDescent="0.2">
      <c r="Q1339" s="141"/>
      <c r="T1339" s="141"/>
      <c r="U1339" s="162"/>
      <c r="X1339" s="183" t="str">
        <f t="shared" si="27"/>
        <v>1w</v>
      </c>
      <c r="Y1339" s="181">
        <f>_xll.qlCalendarAdvance(Calendar,Y1338,X1339,"f",FALSE)</f>
        <v>48296</v>
      </c>
      <c r="Z1339" s="184">
        <f>_xll.qlCalendarAdvance(Calendar,Y1339,NDays&amp;"D")</f>
        <v>48296</v>
      </c>
      <c r="AA1339" s="185">
        <v>5.2290880347592474E-2</v>
      </c>
      <c r="AB1339" s="182">
        <v>5.1979934183448151E-2</v>
      </c>
    </row>
    <row r="1340" spans="17:28" x14ac:dyDescent="0.2">
      <c r="Q1340" s="141"/>
      <c r="T1340" s="141"/>
      <c r="U1340" s="162"/>
      <c r="X1340" s="183" t="str">
        <f t="shared" si="27"/>
        <v>1w</v>
      </c>
      <c r="Y1340" s="181">
        <f>_xll.qlCalendarAdvance(Calendar,Y1339,X1340,"f",FALSE)</f>
        <v>48303</v>
      </c>
      <c r="Z1340" s="184">
        <f>_xll.qlCalendarAdvance(Calendar,Y1340,NDays&amp;"D")</f>
        <v>48303</v>
      </c>
      <c r="AA1340" s="185">
        <v>5.2286352848587687E-2</v>
      </c>
      <c r="AB1340" s="182">
        <v>5.1976255880731292E-2</v>
      </c>
    </row>
    <row r="1341" spans="17:28" x14ac:dyDescent="0.2">
      <c r="Q1341" s="141"/>
      <c r="T1341" s="141"/>
      <c r="U1341" s="162"/>
      <c r="X1341" s="183" t="str">
        <f t="shared" si="27"/>
        <v>1w</v>
      </c>
      <c r="Y1341" s="181">
        <f>_xll.qlCalendarAdvance(Calendar,Y1340,X1341,"f",FALSE)</f>
        <v>48310</v>
      </c>
      <c r="Z1341" s="184">
        <f>_xll.qlCalendarAdvance(Calendar,Y1341,NDays&amp;"D")</f>
        <v>48310</v>
      </c>
      <c r="AA1341" s="185">
        <v>5.2278329668417042E-2</v>
      </c>
      <c r="AB1341" s="182">
        <v>5.1972455895290537E-2</v>
      </c>
    </row>
    <row r="1342" spans="17:28" x14ac:dyDescent="0.2">
      <c r="Q1342" s="141"/>
      <c r="T1342" s="141"/>
      <c r="U1342" s="162"/>
      <c r="X1342" s="183" t="str">
        <f t="shared" si="27"/>
        <v>1w</v>
      </c>
      <c r="Y1342" s="181">
        <f>_xll.qlCalendarAdvance(Calendar,Y1341,X1342,"f",FALSE)</f>
        <v>48317</v>
      </c>
      <c r="Z1342" s="184">
        <f>_xll.qlCalendarAdvance(Calendar,Y1342,NDays&amp;"D")</f>
        <v>48317</v>
      </c>
      <c r="AA1342" s="185">
        <v>5.227356512499097E-2</v>
      </c>
      <c r="AB1342" s="182">
        <v>5.1968534227044838E-2</v>
      </c>
    </row>
    <row r="1343" spans="17:28" x14ac:dyDescent="0.2">
      <c r="Q1343" s="141"/>
      <c r="T1343" s="141"/>
      <c r="U1343" s="162"/>
      <c r="X1343" s="183" t="str">
        <f t="shared" si="27"/>
        <v>1w</v>
      </c>
      <c r="Y1343" s="181">
        <f>_xll.qlCalendarAdvance(Calendar,Y1342,X1343,"f",FALSE)</f>
        <v>48324</v>
      </c>
      <c r="Z1343" s="184">
        <f>_xll.qlCalendarAdvance(Calendar,Y1343,NDays&amp;"D")</f>
        <v>48324</v>
      </c>
      <c r="AA1343" s="185">
        <v>5.2268677336198353E-2</v>
      </c>
      <c r="AB1343" s="182">
        <v>5.1964490876075242E-2</v>
      </c>
    </row>
    <row r="1344" spans="17:28" x14ac:dyDescent="0.2">
      <c r="Q1344" s="141"/>
      <c r="T1344" s="141"/>
      <c r="U1344" s="162"/>
      <c r="X1344" s="183" t="str">
        <f t="shared" si="27"/>
        <v>1w</v>
      </c>
      <c r="Y1344" s="181">
        <f>_xll.qlCalendarAdvance(Calendar,Y1343,X1344,"f",FALSE)</f>
        <v>48331</v>
      </c>
      <c r="Z1344" s="184">
        <f>_xll.qlCalendarAdvance(Calendar,Y1344,NDays&amp;"D")</f>
        <v>48331</v>
      </c>
      <c r="AA1344" s="185">
        <v>5.2263666302480929E-2</v>
      </c>
      <c r="AB1344" s="182">
        <v>5.1960325842300703E-2</v>
      </c>
    </row>
    <row r="1345" spans="17:28" x14ac:dyDescent="0.2">
      <c r="Q1345" s="141"/>
      <c r="T1345" s="141"/>
      <c r="U1345" s="162"/>
      <c r="X1345" s="183" t="str">
        <f t="shared" si="27"/>
        <v>1w</v>
      </c>
      <c r="Y1345" s="181">
        <f>_xll.qlCalendarAdvance(Calendar,Y1344,X1345,"f",FALSE)</f>
        <v>48338</v>
      </c>
      <c r="Z1345" s="184">
        <f>_xll.qlCalendarAdvance(Calendar,Y1345,NDays&amp;"D")</f>
        <v>48338</v>
      </c>
      <c r="AA1345" s="185">
        <v>5.2261866407127142E-2</v>
      </c>
      <c r="AB1345" s="182">
        <v>5.1956039125964359E-2</v>
      </c>
    </row>
    <row r="1346" spans="17:28" x14ac:dyDescent="0.2">
      <c r="Q1346" s="141"/>
      <c r="T1346" s="141"/>
      <c r="U1346" s="162"/>
      <c r="X1346" s="183" t="str">
        <f t="shared" si="27"/>
        <v>1w</v>
      </c>
      <c r="Y1346" s="181">
        <f>_xll.qlCalendarAdvance(Calendar,Y1345,X1346,"f",FALSE)</f>
        <v>48345</v>
      </c>
      <c r="Z1346" s="184">
        <f>_xll.qlCalendarAdvance(Calendar,Y1346,NDays&amp;"D")</f>
        <v>48345</v>
      </c>
      <c r="AA1346" s="185">
        <v>5.2256599332699355E-2</v>
      </c>
      <c r="AB1346" s="182">
        <v>5.1951630726579934E-2</v>
      </c>
    </row>
    <row r="1347" spans="17:28" x14ac:dyDescent="0.2">
      <c r="Q1347" s="141"/>
      <c r="T1347" s="141"/>
      <c r="U1347" s="162"/>
      <c r="X1347" s="183" t="str">
        <f t="shared" si="27"/>
        <v>1w</v>
      </c>
      <c r="Y1347" s="181">
        <f>_xll.qlCalendarAdvance(Calendar,Y1346,X1347,"f",FALSE)</f>
        <v>48352</v>
      </c>
      <c r="Z1347" s="184">
        <f>_xll.qlCalendarAdvance(Calendar,Y1347,NDays&amp;"D")</f>
        <v>48352</v>
      </c>
      <c r="AA1347" s="185">
        <v>5.2251208997333438E-2</v>
      </c>
      <c r="AB1347" s="182">
        <v>5.1947100644633704E-2</v>
      </c>
    </row>
    <row r="1348" spans="17:28" x14ac:dyDescent="0.2">
      <c r="Q1348" s="141"/>
      <c r="T1348" s="141"/>
      <c r="U1348" s="162"/>
      <c r="X1348" s="183" t="str">
        <f t="shared" si="27"/>
        <v>1w</v>
      </c>
      <c r="Y1348" s="181">
        <f>_xll.qlCalendarAdvance(Calendar,Y1347,X1348,"f",FALSE)</f>
        <v>48359</v>
      </c>
      <c r="Z1348" s="184">
        <f>_xll.qlCalendarAdvance(Calendar,Y1348,NDays&amp;"D")</f>
        <v>48359</v>
      </c>
      <c r="AA1348" s="185">
        <v>5.224569540152009E-2</v>
      </c>
      <c r="AB1348" s="182">
        <v>5.1942448879801484E-2</v>
      </c>
    </row>
    <row r="1349" spans="17:28" x14ac:dyDescent="0.2">
      <c r="Q1349" s="141"/>
      <c r="T1349" s="141"/>
      <c r="U1349" s="162"/>
      <c r="X1349" s="183" t="str">
        <f t="shared" si="27"/>
        <v>1w</v>
      </c>
      <c r="Y1349" s="181">
        <f>_xll.qlCalendarAdvance(Calendar,Y1348,X1349,"f",FALSE)</f>
        <v>48366</v>
      </c>
      <c r="Z1349" s="184">
        <f>_xll.qlCalendarAdvance(Calendar,Y1349,NDays&amp;"D")</f>
        <v>48366</v>
      </c>
      <c r="AA1349" s="185">
        <v>5.2240058545771115E-2</v>
      </c>
      <c r="AB1349" s="182">
        <v>5.1937675432326413E-2</v>
      </c>
    </row>
    <row r="1350" spans="17:28" x14ac:dyDescent="0.2">
      <c r="Q1350" s="141"/>
      <c r="T1350" s="141"/>
      <c r="U1350" s="162"/>
      <c r="X1350" s="183" t="str">
        <f t="shared" si="27"/>
        <v>1w</v>
      </c>
      <c r="Y1350" s="181">
        <f>_xll.qlCalendarAdvance(Calendar,Y1349,X1350,"f",FALSE)</f>
        <v>48373</v>
      </c>
      <c r="Z1350" s="184">
        <f>_xll.qlCalendarAdvance(Calendar,Y1350,NDays&amp;"D")</f>
        <v>48373</v>
      </c>
      <c r="AA1350" s="185">
        <v>5.2234298430603641E-2</v>
      </c>
      <c r="AB1350" s="182">
        <v>5.1932780302208492E-2</v>
      </c>
    </row>
    <row r="1351" spans="17:28" x14ac:dyDescent="0.2">
      <c r="Q1351" s="141"/>
      <c r="T1351" s="141"/>
      <c r="U1351" s="162"/>
      <c r="X1351" s="183" t="str">
        <f t="shared" si="27"/>
        <v>1w</v>
      </c>
      <c r="Y1351" s="181">
        <f>_xll.qlCalendarAdvance(Calendar,Y1350,X1351,"f",FALSE)</f>
        <v>48380</v>
      </c>
      <c r="Z1351" s="184">
        <f>_xll.qlCalendarAdvance(Calendar,Y1351,NDays&amp;"D")</f>
        <v>48380</v>
      </c>
      <c r="AA1351" s="185">
        <v>5.2228415056545345E-2</v>
      </c>
      <c r="AB1351" s="182">
        <v>5.1927763489285628E-2</v>
      </c>
    </row>
    <row r="1352" spans="17:28" x14ac:dyDescent="0.2">
      <c r="Q1352" s="141"/>
      <c r="T1352" s="141"/>
      <c r="U1352" s="162"/>
      <c r="X1352" s="183" t="str">
        <f t="shared" si="27"/>
        <v>1w</v>
      </c>
      <c r="Y1352" s="181">
        <f>_xll.qlCalendarAdvance(Calendar,Y1351,X1352,"f",FALSE)</f>
        <v>48387</v>
      </c>
      <c r="Z1352" s="184">
        <f>_xll.qlCalendarAdvance(Calendar,Y1352,NDays&amp;"D")</f>
        <v>48387</v>
      </c>
      <c r="AA1352" s="185">
        <v>5.2222408424140644E-2</v>
      </c>
      <c r="AB1352" s="182">
        <v>5.192262499355782E-2</v>
      </c>
    </row>
    <row r="1353" spans="17:28" x14ac:dyDescent="0.2">
      <c r="Q1353" s="141"/>
      <c r="T1353" s="141"/>
      <c r="U1353" s="162"/>
      <c r="X1353" s="183" t="str">
        <f t="shared" si="27"/>
        <v>1w</v>
      </c>
      <c r="Y1353" s="181">
        <f>_xll.qlCalendarAdvance(Calendar,Y1352,X1353,"f",FALSE)</f>
        <v>48394</v>
      </c>
      <c r="Z1353" s="184">
        <f>_xll.qlCalendarAdvance(Calendar,Y1353,NDays&amp;"D")</f>
        <v>48394</v>
      </c>
      <c r="AA1353" s="185">
        <v>5.2216278533940126E-2</v>
      </c>
      <c r="AB1353" s="182">
        <v>5.1917364815106115E-2</v>
      </c>
    </row>
    <row r="1354" spans="17:28" x14ac:dyDescent="0.2">
      <c r="Q1354" s="141"/>
      <c r="T1354" s="141"/>
      <c r="U1354" s="162"/>
      <c r="X1354" s="183" t="str">
        <f t="shared" si="27"/>
        <v>1w</v>
      </c>
      <c r="Y1354" s="181">
        <f>_xll.qlCalendarAdvance(Calendar,Y1353,X1354,"f",FALSE)</f>
        <v>48401</v>
      </c>
      <c r="Z1354" s="184">
        <f>_xll.qlCalendarAdvance(Calendar,Y1354,NDays&amp;"D")</f>
        <v>48401</v>
      </c>
      <c r="AA1354" s="185">
        <v>5.2210025386509352E-2</v>
      </c>
      <c r="AB1354" s="182">
        <v>5.1911982954092606E-2</v>
      </c>
    </row>
    <row r="1355" spans="17:28" x14ac:dyDescent="0.2">
      <c r="Q1355" s="141"/>
      <c r="T1355" s="141"/>
      <c r="U1355" s="162"/>
      <c r="X1355" s="183" t="str">
        <f t="shared" si="27"/>
        <v>1w</v>
      </c>
      <c r="Y1355" s="181">
        <f>_xll.qlCalendarAdvance(Calendar,Y1354,X1355,"f",FALSE)</f>
        <v>48408</v>
      </c>
      <c r="Z1355" s="184">
        <f>_xll.qlCalendarAdvance(Calendar,Y1355,NDays&amp;"D")</f>
        <v>48408</v>
      </c>
      <c r="AA1355" s="185">
        <v>5.2203648982420928E-2</v>
      </c>
      <c r="AB1355" s="182">
        <v>5.1906479410193107E-2</v>
      </c>
    </row>
    <row r="1356" spans="17:28" x14ac:dyDescent="0.2">
      <c r="Q1356" s="141"/>
      <c r="T1356" s="141"/>
      <c r="U1356" s="162"/>
      <c r="X1356" s="183" t="str">
        <f t="shared" si="27"/>
        <v>1w</v>
      </c>
      <c r="Y1356" s="181">
        <f>_xll.qlCalendarAdvance(Calendar,Y1355,X1356,"f",FALSE)</f>
        <v>48415</v>
      </c>
      <c r="Z1356" s="184">
        <f>_xll.qlCalendarAdvance(Calendar,Y1356,NDays&amp;"D")</f>
        <v>48415</v>
      </c>
      <c r="AA1356" s="185">
        <v>5.2197149322265088E-2</v>
      </c>
      <c r="AB1356" s="182">
        <v>5.1900854183731804E-2</v>
      </c>
    </row>
    <row r="1357" spans="17:28" x14ac:dyDescent="0.2">
      <c r="Q1357" s="141"/>
      <c r="T1357" s="141"/>
      <c r="U1357" s="162"/>
      <c r="X1357" s="183" t="str">
        <f t="shared" si="27"/>
        <v>1w</v>
      </c>
      <c r="Y1357" s="181">
        <f>_xll.qlCalendarAdvance(Calendar,Y1356,X1357,"f",FALSE)</f>
        <v>48422</v>
      </c>
      <c r="Z1357" s="184">
        <f>_xll.qlCalendarAdvance(Calendar,Y1357,NDays&amp;"D")</f>
        <v>48422</v>
      </c>
      <c r="AA1357" s="185">
        <v>5.2190526406635587E-2</v>
      </c>
      <c r="AB1357" s="182">
        <v>5.1895107274465557E-2</v>
      </c>
    </row>
    <row r="1358" spans="17:28" x14ac:dyDescent="0.2">
      <c r="Q1358" s="141"/>
      <c r="T1358" s="141"/>
      <c r="U1358" s="162"/>
      <c r="X1358" s="183" t="str">
        <f t="shared" si="27"/>
        <v>1w</v>
      </c>
      <c r="Y1358" s="181">
        <f>_xll.qlCalendarAdvance(Calendar,Y1357,X1358,"f",FALSE)</f>
        <v>48429</v>
      </c>
      <c r="Z1358" s="184">
        <f>_xll.qlCalendarAdvance(Calendar,Y1358,NDays&amp;"D")</f>
        <v>48429</v>
      </c>
      <c r="AA1358" s="185">
        <v>5.2183780236145547E-2</v>
      </c>
      <c r="AB1358" s="182">
        <v>5.188923868255646E-2</v>
      </c>
    </row>
    <row r="1359" spans="17:28" x14ac:dyDescent="0.2">
      <c r="Q1359" s="141"/>
      <c r="T1359" s="141"/>
      <c r="U1359" s="162"/>
      <c r="X1359" s="183" t="str">
        <f t="shared" si="27"/>
        <v>1w</v>
      </c>
      <c r="Y1359" s="181">
        <f>_xll.qlCalendarAdvance(Calendar,Y1358,X1359,"f",FALSE)</f>
        <v>48436</v>
      </c>
      <c r="Z1359" s="184">
        <f>_xll.qlCalendarAdvance(Calendar,Y1359,NDays&amp;"D")</f>
        <v>48436</v>
      </c>
      <c r="AA1359" s="185">
        <v>5.2176910811415157E-2</v>
      </c>
      <c r="AB1359" s="182">
        <v>5.1883248408004512E-2</v>
      </c>
    </row>
    <row r="1360" spans="17:28" x14ac:dyDescent="0.2">
      <c r="Q1360" s="141"/>
      <c r="T1360" s="141"/>
      <c r="U1360" s="162"/>
      <c r="X1360" s="183" t="str">
        <f t="shared" si="27"/>
        <v>1w</v>
      </c>
      <c r="Y1360" s="181">
        <f>_xll.qlCalendarAdvance(Calendar,Y1359,X1360,"f",FALSE)</f>
        <v>48443</v>
      </c>
      <c r="Z1360" s="184">
        <f>_xll.qlCalendarAdvance(Calendar,Y1360,NDays&amp;"D")</f>
        <v>48443</v>
      </c>
      <c r="AA1360" s="185">
        <v>5.2169918133072528E-2</v>
      </c>
      <c r="AB1360" s="182">
        <v>5.1877136450809713E-2</v>
      </c>
    </row>
    <row r="1361" spans="17:28" x14ac:dyDescent="0.2">
      <c r="Q1361" s="141"/>
      <c r="T1361" s="141"/>
      <c r="U1361" s="162"/>
      <c r="X1361" s="183" t="str">
        <f t="shared" si="27"/>
        <v>1w</v>
      </c>
      <c r="Y1361" s="181">
        <f>_xll.qlCalendarAdvance(Calendar,Y1360,X1361,"f",FALSE)</f>
        <v>48450</v>
      </c>
      <c r="Z1361" s="184">
        <f>_xll.qlCalendarAdvance(Calendar,Y1361,NDays&amp;"D")</f>
        <v>48450</v>
      </c>
      <c r="AA1361" s="185">
        <v>5.2162802201766022E-2</v>
      </c>
      <c r="AB1361" s="182">
        <v>5.1870902810809971E-2</v>
      </c>
    </row>
    <row r="1362" spans="17:28" x14ac:dyDescent="0.2">
      <c r="Q1362" s="141"/>
      <c r="T1362" s="141"/>
      <c r="U1362" s="162"/>
      <c r="X1362" s="183" t="str">
        <f t="shared" si="27"/>
        <v>1w</v>
      </c>
      <c r="Y1362" s="181">
        <f>_xll.qlCalendarAdvance(Calendar,Y1361,X1362,"f",FALSE)</f>
        <v>48457</v>
      </c>
      <c r="Z1362" s="184">
        <f>_xll.qlCalendarAdvance(Calendar,Y1362,NDays&amp;"D")</f>
        <v>48457</v>
      </c>
      <c r="AA1362" s="185">
        <v>5.215239338781081E-2</v>
      </c>
      <c r="AB1362" s="182">
        <v>5.1864547488248425E-2</v>
      </c>
    </row>
    <row r="1363" spans="17:28" x14ac:dyDescent="0.2">
      <c r="Q1363" s="141"/>
      <c r="T1363" s="141"/>
      <c r="U1363" s="162"/>
      <c r="X1363" s="183" t="str">
        <f t="shared" si="27"/>
        <v>1w</v>
      </c>
      <c r="Y1363" s="181">
        <f>_xll.qlCalendarAdvance(Calendar,Y1362,X1363,"f",FALSE)</f>
        <v>48464</v>
      </c>
      <c r="Z1363" s="184">
        <f>_xll.qlCalendarAdvance(Calendar,Y1363,NDays&amp;"D")</f>
        <v>48464</v>
      </c>
      <c r="AA1363" s="185">
        <v>5.2145040799969483E-2</v>
      </c>
      <c r="AB1363" s="182">
        <v>5.1858070482962981E-2</v>
      </c>
    </row>
    <row r="1364" spans="17:28" x14ac:dyDescent="0.2">
      <c r="Q1364" s="141"/>
      <c r="T1364" s="141"/>
      <c r="U1364" s="162"/>
      <c r="X1364" s="183" t="str">
        <f t="shared" si="27"/>
        <v>1w</v>
      </c>
      <c r="Y1364" s="181">
        <f>_xll.qlCalendarAdvance(Calendar,Y1363,X1364,"f",FALSE)</f>
        <v>48471</v>
      </c>
      <c r="Z1364" s="184">
        <f>_xll.qlCalendarAdvance(Calendar,Y1364,NDays&amp;"D")</f>
        <v>48471</v>
      </c>
      <c r="AA1364" s="185">
        <v>5.213756497845453E-2</v>
      </c>
      <c r="AB1364" s="182">
        <v>5.1851471794953641E-2</v>
      </c>
    </row>
    <row r="1365" spans="17:28" x14ac:dyDescent="0.2">
      <c r="Q1365" s="141"/>
      <c r="T1365" s="141"/>
      <c r="U1365" s="162"/>
      <c r="X1365" s="183" t="str">
        <f t="shared" ref="X1365:X1428" si="28">X1364</f>
        <v>1w</v>
      </c>
      <c r="Y1365" s="181">
        <f>_xll.qlCalendarAdvance(Calendar,Y1364,X1365,"f",FALSE)</f>
        <v>48478</v>
      </c>
      <c r="Z1365" s="184">
        <f>_xll.qlCalendarAdvance(Calendar,Y1365,NDays&amp;"D")</f>
        <v>48478</v>
      </c>
      <c r="AA1365" s="185">
        <v>5.2129965923948175E-2</v>
      </c>
      <c r="AB1365" s="182">
        <v>5.1844751424544588E-2</v>
      </c>
    </row>
    <row r="1366" spans="17:28" x14ac:dyDescent="0.2">
      <c r="Q1366" s="141"/>
      <c r="T1366" s="141"/>
      <c r="U1366" s="162"/>
      <c r="X1366" s="183" t="str">
        <f t="shared" si="28"/>
        <v>1w</v>
      </c>
      <c r="Y1366" s="181">
        <f>_xll.qlCalendarAdvance(Calendar,Y1365,X1366,"f",FALSE)</f>
        <v>48485</v>
      </c>
      <c r="Z1366" s="184">
        <f>_xll.qlCalendarAdvance(Calendar,Y1366,NDays&amp;"D")</f>
        <v>48485</v>
      </c>
      <c r="AA1366" s="185">
        <v>5.2125373774043589E-2</v>
      </c>
      <c r="AB1366" s="182">
        <v>5.1837909371249546E-2</v>
      </c>
    </row>
    <row r="1367" spans="17:28" x14ac:dyDescent="0.2">
      <c r="Q1367" s="141"/>
      <c r="T1367" s="141"/>
      <c r="U1367" s="162"/>
      <c r="X1367" s="183" t="str">
        <f t="shared" si="28"/>
        <v>1w</v>
      </c>
      <c r="Y1367" s="181">
        <f>_xll.qlCalendarAdvance(Calendar,Y1366,X1367,"f",FALSE)</f>
        <v>48492</v>
      </c>
      <c r="Z1367" s="184">
        <f>_xll.qlCalendarAdvance(Calendar,Y1367,NDays&amp;"D")</f>
        <v>48492</v>
      </c>
      <c r="AA1367" s="185">
        <v>5.2117518339082319E-2</v>
      </c>
      <c r="AB1367" s="182">
        <v>5.1830945635311654E-2</v>
      </c>
    </row>
    <row r="1368" spans="17:28" x14ac:dyDescent="0.2">
      <c r="Q1368" s="141"/>
      <c r="T1368" s="141"/>
      <c r="U1368" s="162"/>
      <c r="X1368" s="183" t="str">
        <f t="shared" si="28"/>
        <v>1w</v>
      </c>
      <c r="Y1368" s="181">
        <f>_xll.qlCalendarAdvance(Calendar,Y1367,X1368,"f",FALSE)</f>
        <v>48499</v>
      </c>
      <c r="Z1368" s="184">
        <f>_xll.qlCalendarAdvance(Calendar,Y1368,NDays&amp;"D")</f>
        <v>48499</v>
      </c>
      <c r="AA1368" s="185">
        <v>5.210953965597679E-2</v>
      </c>
      <c r="AB1368" s="182">
        <v>5.1823860216893003E-2</v>
      </c>
    </row>
    <row r="1369" spans="17:28" x14ac:dyDescent="0.2">
      <c r="Q1369" s="141"/>
      <c r="T1369" s="141"/>
      <c r="U1369" s="162"/>
      <c r="X1369" s="183" t="str">
        <f t="shared" si="28"/>
        <v>1w</v>
      </c>
      <c r="Y1369" s="181">
        <f>_xll.qlCalendarAdvance(Calendar,Y1368,X1369,"f",FALSE)</f>
        <v>48506</v>
      </c>
      <c r="Z1369" s="184">
        <f>_xll.qlCalendarAdvance(Calendar,Y1369,NDays&amp;"D")</f>
        <v>48506</v>
      </c>
      <c r="AA1369" s="185">
        <v>5.2101437725458173E-2</v>
      </c>
      <c r="AB1369" s="182">
        <v>5.1816653115831501E-2</v>
      </c>
    </row>
    <row r="1370" spans="17:28" x14ac:dyDescent="0.2">
      <c r="Q1370" s="141"/>
      <c r="T1370" s="141"/>
      <c r="U1370" s="162"/>
      <c r="X1370" s="183" t="str">
        <f t="shared" si="28"/>
        <v>1w</v>
      </c>
      <c r="Y1370" s="181">
        <f>_xll.qlCalendarAdvance(Calendar,Y1369,X1370,"f",FALSE)</f>
        <v>48513</v>
      </c>
      <c r="Z1370" s="184">
        <f>_xll.qlCalendarAdvance(Calendar,Y1370,NDays&amp;"D")</f>
        <v>48513</v>
      </c>
      <c r="AA1370" s="185">
        <v>5.20963022539295E-2</v>
      </c>
      <c r="AB1370" s="182">
        <v>5.1809324332127149E-2</v>
      </c>
    </row>
    <row r="1371" spans="17:28" x14ac:dyDescent="0.2">
      <c r="Q1371" s="141"/>
      <c r="T1371" s="141"/>
      <c r="U1371" s="162"/>
      <c r="X1371" s="183" t="str">
        <f t="shared" si="28"/>
        <v>1w</v>
      </c>
      <c r="Y1371" s="181">
        <f>_xll.qlCalendarAdvance(Calendar,Y1370,X1371,"f",FALSE)</f>
        <v>48520</v>
      </c>
      <c r="Z1371" s="184">
        <f>_xll.qlCalendarAdvance(Calendar,Y1371,NDays&amp;"D")</f>
        <v>48520</v>
      </c>
      <c r="AA1371" s="185">
        <v>5.2084864125180402E-2</v>
      </c>
      <c r="AB1371" s="182">
        <v>5.1801873865779946E-2</v>
      </c>
    </row>
    <row r="1372" spans="17:28" x14ac:dyDescent="0.2">
      <c r="Q1372" s="141"/>
      <c r="T1372" s="141"/>
      <c r="U1372" s="162"/>
      <c r="X1372" s="183" t="str">
        <f t="shared" si="28"/>
        <v>1w</v>
      </c>
      <c r="Y1372" s="181">
        <f>_xll.qlCalendarAdvance(Calendar,Y1371,X1372,"f",FALSE)</f>
        <v>48527</v>
      </c>
      <c r="Z1372" s="184">
        <f>_xll.qlCalendarAdvance(Calendar,Y1372,NDays&amp;"D")</f>
        <v>48527</v>
      </c>
      <c r="AA1372" s="185">
        <v>5.2076392456944384E-2</v>
      </c>
      <c r="AB1372" s="182">
        <v>5.1794301716951985E-2</v>
      </c>
    </row>
    <row r="1373" spans="17:28" x14ac:dyDescent="0.2">
      <c r="Q1373" s="141"/>
      <c r="T1373" s="141"/>
      <c r="U1373" s="162"/>
      <c r="X1373" s="183" t="str">
        <f t="shared" si="28"/>
        <v>1w</v>
      </c>
      <c r="Y1373" s="181">
        <f>_xll.qlCalendarAdvance(Calendar,Y1372,X1373,"f",FALSE)</f>
        <v>48534</v>
      </c>
      <c r="Z1373" s="184">
        <f>_xll.qlCalendarAdvance(Calendar,Y1373,NDays&amp;"D")</f>
        <v>48534</v>
      </c>
      <c r="AA1373" s="185">
        <v>5.206779754434597E-2</v>
      </c>
      <c r="AB1373" s="182">
        <v>5.1786607885400127E-2</v>
      </c>
    </row>
    <row r="1374" spans="17:28" x14ac:dyDescent="0.2">
      <c r="Q1374" s="141"/>
      <c r="T1374" s="141"/>
      <c r="U1374" s="162"/>
      <c r="X1374" s="183" t="str">
        <f t="shared" si="28"/>
        <v>1w</v>
      </c>
      <c r="Y1374" s="181">
        <f>_xll.qlCalendarAdvance(Calendar,Y1373,X1374,"f",FALSE)</f>
        <v>48541</v>
      </c>
      <c r="Z1374" s="184">
        <f>_xll.qlCalendarAdvance(Calendar,Y1374,NDays&amp;"D")</f>
        <v>48541</v>
      </c>
      <c r="AA1374" s="185">
        <v>5.205907938817713E-2</v>
      </c>
      <c r="AB1374" s="182">
        <v>5.177879237136751E-2</v>
      </c>
    </row>
    <row r="1375" spans="17:28" x14ac:dyDescent="0.2">
      <c r="Q1375" s="141"/>
      <c r="T1375" s="141"/>
      <c r="U1375" s="162"/>
      <c r="X1375" s="183" t="str">
        <f t="shared" si="28"/>
        <v>1w</v>
      </c>
      <c r="Y1375" s="181">
        <f>_xll.qlCalendarAdvance(Calendar,Y1374,X1375,"f",FALSE)</f>
        <v>48548</v>
      </c>
      <c r="Z1375" s="184">
        <f>_xll.qlCalendarAdvance(Calendar,Y1375,NDays&amp;"D")</f>
        <v>48548</v>
      </c>
      <c r="AA1375" s="185">
        <v>5.2044156780334756E-2</v>
      </c>
      <c r="AB1375" s="182">
        <v>5.1770855174610997E-2</v>
      </c>
    </row>
    <row r="1376" spans="17:28" x14ac:dyDescent="0.2">
      <c r="Q1376" s="141"/>
      <c r="T1376" s="141"/>
      <c r="U1376" s="162"/>
      <c r="X1376" s="183" t="str">
        <f t="shared" si="28"/>
        <v>1w</v>
      </c>
      <c r="Y1376" s="181">
        <f>_xll.qlCalendarAdvance(Calendar,Y1375,X1376,"f",FALSE)</f>
        <v>48555</v>
      </c>
      <c r="Z1376" s="184">
        <f>_xll.qlCalendarAdvance(Calendar,Y1376,NDays&amp;"D")</f>
        <v>48555</v>
      </c>
      <c r="AA1376" s="185">
        <v>5.2035212279947174E-2</v>
      </c>
      <c r="AB1376" s="182">
        <v>5.1762796295454772E-2</v>
      </c>
    </row>
    <row r="1377" spans="17:28" x14ac:dyDescent="0.2">
      <c r="Q1377" s="141"/>
      <c r="T1377" s="141"/>
      <c r="U1377" s="162"/>
      <c r="X1377" s="183" t="str">
        <f t="shared" si="28"/>
        <v>1w</v>
      </c>
      <c r="Y1377" s="181">
        <f>_xll.qlCalendarAdvance(Calendar,Y1376,X1377,"f",FALSE)</f>
        <v>48562</v>
      </c>
      <c r="Z1377" s="184">
        <f>_xll.qlCalendarAdvance(Calendar,Y1377,NDays&amp;"D")</f>
        <v>48562</v>
      </c>
      <c r="AA1377" s="185">
        <v>5.2026144572778384E-2</v>
      </c>
      <c r="AB1377" s="182">
        <v>5.1754615733655696E-2</v>
      </c>
    </row>
    <row r="1378" spans="17:28" x14ac:dyDescent="0.2">
      <c r="Q1378" s="141"/>
      <c r="T1378" s="141"/>
      <c r="U1378" s="162"/>
      <c r="X1378" s="183" t="str">
        <f t="shared" si="28"/>
        <v>1w</v>
      </c>
      <c r="Y1378" s="181">
        <f>_xll.qlCalendarAdvance(Calendar,Y1377,X1378,"f",FALSE)</f>
        <v>48569</v>
      </c>
      <c r="Z1378" s="184">
        <f>_xll.qlCalendarAdvance(Calendar,Y1378,NDays&amp;"D")</f>
        <v>48569</v>
      </c>
      <c r="AA1378" s="185">
        <v>5.2016953659647869E-2</v>
      </c>
      <c r="AB1378" s="182">
        <v>5.1746313489294815E-2</v>
      </c>
    </row>
    <row r="1379" spans="17:28" x14ac:dyDescent="0.2">
      <c r="Q1379" s="141"/>
      <c r="T1379" s="141"/>
      <c r="U1379" s="162"/>
      <c r="X1379" s="183" t="str">
        <f t="shared" si="28"/>
        <v>1w</v>
      </c>
      <c r="Y1379" s="181">
        <f>_xll.qlCalendarAdvance(Calendar,Y1378,X1379,"f",FALSE)</f>
        <v>48577</v>
      </c>
      <c r="Z1379" s="184">
        <f>_xll.qlCalendarAdvance(Calendar,Y1379,NDays&amp;"D")</f>
        <v>48577</v>
      </c>
      <c r="AA1379" s="185">
        <v>5.2006298895543757E-2</v>
      </c>
      <c r="AB1379" s="182">
        <v>5.1736676211127097E-2</v>
      </c>
    </row>
    <row r="1380" spans="17:28" x14ac:dyDescent="0.2">
      <c r="Q1380" s="141"/>
      <c r="T1380" s="141"/>
      <c r="U1380" s="162"/>
      <c r="X1380" s="183" t="str">
        <f t="shared" si="28"/>
        <v>1w</v>
      </c>
      <c r="Y1380" s="181">
        <f>_xll.qlCalendarAdvance(Calendar,Y1379,X1380,"f",FALSE)</f>
        <v>48584</v>
      </c>
      <c r="Z1380" s="184">
        <f>_xll.qlCalendarAdvance(Calendar,Y1380,NDays&amp;"D")</f>
        <v>48584</v>
      </c>
      <c r="AA1380" s="185">
        <v>5.1996843972434467E-2</v>
      </c>
      <c r="AB1380" s="182">
        <v>5.1728113218431071E-2</v>
      </c>
    </row>
    <row r="1381" spans="17:28" x14ac:dyDescent="0.2">
      <c r="Q1381" s="141"/>
      <c r="T1381" s="141"/>
      <c r="U1381" s="162"/>
      <c r="X1381" s="183" t="str">
        <f t="shared" si="28"/>
        <v>1w</v>
      </c>
      <c r="Y1381" s="181">
        <f>_xll.qlCalendarAdvance(Calendar,Y1380,X1381,"f",FALSE)</f>
        <v>48591</v>
      </c>
      <c r="Z1381" s="184">
        <f>_xll.qlCalendarAdvance(Calendar,Y1381,NDays&amp;"D")</f>
        <v>48591</v>
      </c>
      <c r="AA1381" s="185">
        <v>5.1987265845996548E-2</v>
      </c>
      <c r="AB1381" s="182">
        <v>5.1719428543254287E-2</v>
      </c>
    </row>
    <row r="1382" spans="17:28" x14ac:dyDescent="0.2">
      <c r="Q1382" s="141"/>
      <c r="T1382" s="141"/>
      <c r="U1382" s="162"/>
      <c r="X1382" s="183" t="str">
        <f t="shared" si="28"/>
        <v>1w</v>
      </c>
      <c r="Y1382" s="181">
        <f>_xll.qlCalendarAdvance(Calendar,Y1381,X1382,"f",FALSE)</f>
        <v>48598</v>
      </c>
      <c r="Z1382" s="184">
        <f>_xll.qlCalendarAdvance(Calendar,Y1382,NDays&amp;"D")</f>
        <v>48598</v>
      </c>
      <c r="AA1382" s="185">
        <v>5.1977564517096293E-2</v>
      </c>
      <c r="AB1382" s="182">
        <v>5.1710622185596744E-2</v>
      </c>
    </row>
    <row r="1383" spans="17:28" x14ac:dyDescent="0.2">
      <c r="Q1383" s="141"/>
      <c r="T1383" s="141"/>
      <c r="U1383" s="162"/>
      <c r="X1383" s="183" t="str">
        <f t="shared" si="28"/>
        <v>1w</v>
      </c>
      <c r="Y1383" s="181">
        <f>_xll.qlCalendarAdvance(Calendar,Y1382,X1383,"f",FALSE)</f>
        <v>48606</v>
      </c>
      <c r="Z1383" s="184">
        <f>_xll.qlCalendarAdvance(Calendar,Y1383,NDays&amp;"D")</f>
        <v>48606</v>
      </c>
      <c r="AA1383" s="185">
        <v>5.196632642502555E-2</v>
      </c>
      <c r="AB1383" s="182">
        <v>5.1700408777785034E-2</v>
      </c>
    </row>
    <row r="1384" spans="17:28" x14ac:dyDescent="0.2">
      <c r="Q1384" s="141"/>
      <c r="T1384" s="141"/>
      <c r="U1384" s="162"/>
      <c r="X1384" s="183" t="str">
        <f t="shared" si="28"/>
        <v>1w</v>
      </c>
      <c r="Y1384" s="181">
        <f>_xll.qlCalendarAdvance(Calendar,Y1383,X1384,"f",FALSE)</f>
        <v>48613</v>
      </c>
      <c r="Z1384" s="184">
        <f>_xll.qlCalendarAdvance(Calendar,Y1384,NDays&amp;"D")</f>
        <v>48613</v>
      </c>
      <c r="AA1384" s="185">
        <v>5.1953413610736986E-2</v>
      </c>
      <c r="AB1384" s="182">
        <v>5.1691341672035485E-2</v>
      </c>
    </row>
    <row r="1385" spans="17:28" x14ac:dyDescent="0.2">
      <c r="Q1385" s="141"/>
      <c r="T1385" s="141"/>
      <c r="U1385" s="162"/>
      <c r="X1385" s="183" t="str">
        <f t="shared" si="28"/>
        <v>1w</v>
      </c>
      <c r="Y1385" s="181">
        <f>_xll.qlCalendarAdvance(Calendar,Y1384,X1385,"f",FALSE)</f>
        <v>48620</v>
      </c>
      <c r="Z1385" s="184">
        <f>_xll.qlCalendarAdvance(Calendar,Y1385,NDays&amp;"D")</f>
        <v>48620</v>
      </c>
      <c r="AA1385" s="185">
        <v>5.1943335305206749E-2</v>
      </c>
      <c r="AB1385" s="182">
        <v>5.1682152883562038E-2</v>
      </c>
    </row>
    <row r="1386" spans="17:28" x14ac:dyDescent="0.2">
      <c r="Q1386" s="141"/>
      <c r="T1386" s="141"/>
      <c r="U1386" s="162"/>
      <c r="X1386" s="183" t="str">
        <f t="shared" si="28"/>
        <v>1w</v>
      </c>
      <c r="Y1386" s="181">
        <f>_xll.qlCalendarAdvance(Calendar,Y1385,X1386,"f",FALSE)</f>
        <v>48627</v>
      </c>
      <c r="Z1386" s="184">
        <f>_xll.qlCalendarAdvance(Calendar,Y1386,NDays&amp;"D")</f>
        <v>48627</v>
      </c>
      <c r="AA1386" s="185">
        <v>5.1933133817977969E-2</v>
      </c>
      <c r="AB1386" s="182">
        <v>5.167284241268888E-2</v>
      </c>
    </row>
    <row r="1387" spans="17:28" x14ac:dyDescent="0.2">
      <c r="Q1387" s="141"/>
      <c r="T1387" s="141"/>
      <c r="U1387" s="162"/>
      <c r="X1387" s="183" t="str">
        <f t="shared" si="28"/>
        <v>1w</v>
      </c>
      <c r="Y1387" s="181">
        <f>_xll.qlCalendarAdvance(Calendar,Y1386,X1387,"f",FALSE)</f>
        <v>48634</v>
      </c>
      <c r="Z1387" s="184">
        <f>_xll.qlCalendarAdvance(Calendar,Y1387,NDays&amp;"D")</f>
        <v>48634</v>
      </c>
      <c r="AA1387" s="185">
        <v>5.1922809149960385E-2</v>
      </c>
      <c r="AB1387" s="182">
        <v>5.1663410259416009E-2</v>
      </c>
    </row>
    <row r="1388" spans="17:28" x14ac:dyDescent="0.2">
      <c r="Q1388" s="141"/>
      <c r="T1388" s="141"/>
      <c r="U1388" s="162"/>
      <c r="X1388" s="183" t="str">
        <f t="shared" si="28"/>
        <v>1w</v>
      </c>
      <c r="Y1388" s="181">
        <f>_xll.qlCalendarAdvance(Calendar,Y1387,X1388,"f",FALSE)</f>
        <v>48641</v>
      </c>
      <c r="Z1388" s="184">
        <f>_xll.qlCalendarAdvance(Calendar,Y1388,NDays&amp;"D")</f>
        <v>48641</v>
      </c>
      <c r="AA1388" s="185">
        <v>5.1921078611840789E-2</v>
      </c>
      <c r="AB1388" s="182">
        <v>5.1653856423662381E-2</v>
      </c>
    </row>
    <row r="1389" spans="17:28" x14ac:dyDescent="0.2">
      <c r="Q1389" s="141"/>
      <c r="T1389" s="141"/>
      <c r="U1389" s="162"/>
      <c r="X1389" s="183" t="str">
        <f t="shared" si="28"/>
        <v>1w</v>
      </c>
      <c r="Y1389" s="181">
        <f>_xll.qlCalendarAdvance(Calendar,Y1388,X1389,"f",FALSE)</f>
        <v>48648</v>
      </c>
      <c r="Z1389" s="184">
        <f>_xll.qlCalendarAdvance(Calendar,Y1389,NDays&amp;"D")</f>
        <v>48648</v>
      </c>
      <c r="AA1389" s="185">
        <v>5.1910476696193905E-2</v>
      </c>
      <c r="AB1389" s="182">
        <v>5.1644180905346948E-2</v>
      </c>
    </row>
    <row r="1390" spans="17:28" x14ac:dyDescent="0.2">
      <c r="Q1390" s="141"/>
      <c r="T1390" s="141"/>
      <c r="U1390" s="162"/>
      <c r="X1390" s="183" t="str">
        <f t="shared" si="28"/>
        <v>1w</v>
      </c>
      <c r="Y1390" s="181">
        <f>_xll.qlCalendarAdvance(Calendar,Y1389,X1390,"f",FALSE)</f>
        <v>48655</v>
      </c>
      <c r="Z1390" s="184">
        <f>_xll.qlCalendarAdvance(Calendar,Y1390,NDays&amp;"D")</f>
        <v>48655</v>
      </c>
      <c r="AA1390" s="185">
        <v>5.1899751551447749E-2</v>
      </c>
      <c r="AB1390" s="182">
        <v>5.163438370471285E-2</v>
      </c>
    </row>
    <row r="1391" spans="17:28" x14ac:dyDescent="0.2">
      <c r="Q1391" s="141"/>
      <c r="T1391" s="141"/>
      <c r="U1391" s="162"/>
      <c r="X1391" s="183" t="str">
        <f t="shared" si="28"/>
        <v>1w</v>
      </c>
      <c r="Y1391" s="181">
        <f>_xll.qlCalendarAdvance(Calendar,Y1390,X1391,"f",FALSE)</f>
        <v>48662</v>
      </c>
      <c r="Z1391" s="184">
        <f>_xll.qlCalendarAdvance(Calendar,Y1391,NDays&amp;"D")</f>
        <v>48662</v>
      </c>
      <c r="AA1391" s="185">
        <v>5.1888903178589851E-2</v>
      </c>
      <c r="AB1391" s="182">
        <v>5.1624464821679039E-2</v>
      </c>
    </row>
    <row r="1392" spans="17:28" x14ac:dyDescent="0.2">
      <c r="Q1392" s="141"/>
      <c r="T1392" s="141"/>
      <c r="U1392" s="162"/>
      <c r="X1392" s="183" t="str">
        <f t="shared" si="28"/>
        <v>1w</v>
      </c>
      <c r="Y1392" s="181">
        <f>_xll.qlCalendarAdvance(Calendar,Y1391,X1392,"f",FALSE)</f>
        <v>48669</v>
      </c>
      <c r="Z1392" s="184">
        <f>_xll.qlCalendarAdvance(Calendar,Y1392,NDays&amp;"D")</f>
        <v>48669</v>
      </c>
      <c r="AA1392" s="185">
        <v>5.1875067815841579E-2</v>
      </c>
      <c r="AB1392" s="182">
        <v>5.1614424256083424E-2</v>
      </c>
    </row>
    <row r="1393" spans="17:28" x14ac:dyDescent="0.2">
      <c r="Q1393" s="141"/>
      <c r="T1393" s="141"/>
      <c r="U1393" s="162"/>
      <c r="X1393" s="183" t="str">
        <f t="shared" si="28"/>
        <v>1w</v>
      </c>
      <c r="Y1393" s="181">
        <f>_xll.qlCalendarAdvance(Calendar,Y1392,X1393,"f",FALSE)</f>
        <v>48676</v>
      </c>
      <c r="Z1393" s="184">
        <f>_xll.qlCalendarAdvance(Calendar,Y1393,NDays&amp;"D")</f>
        <v>48676</v>
      </c>
      <c r="AA1393" s="185">
        <v>5.186398335674839E-2</v>
      </c>
      <c r="AB1393" s="182">
        <v>5.160426200825019E-2</v>
      </c>
    </row>
    <row r="1394" spans="17:28" x14ac:dyDescent="0.2">
      <c r="Q1394" s="141"/>
      <c r="T1394" s="141"/>
      <c r="U1394" s="162"/>
      <c r="X1394" s="183" t="str">
        <f t="shared" si="28"/>
        <v>1w</v>
      </c>
      <c r="Y1394" s="181">
        <f>_xll.qlCalendarAdvance(Calendar,Y1393,X1394,"f",FALSE)</f>
        <v>48683</v>
      </c>
      <c r="Z1394" s="184">
        <f>_xll.qlCalendarAdvance(Calendar,Y1394,NDays&amp;"D")</f>
        <v>48683</v>
      </c>
      <c r="AA1394" s="185">
        <v>5.1852775689554792E-2</v>
      </c>
      <c r="AB1394" s="182">
        <v>5.1605601329891559E-2</v>
      </c>
    </row>
    <row r="1395" spans="17:28" x14ac:dyDescent="0.2">
      <c r="Q1395" s="141"/>
      <c r="T1395" s="141"/>
      <c r="U1395" s="162"/>
      <c r="X1395" s="183" t="str">
        <f t="shared" si="28"/>
        <v>1w</v>
      </c>
      <c r="Y1395" s="181">
        <f>_xll.qlCalendarAdvance(Calendar,Y1394,X1395,"f",FALSE)</f>
        <v>48690</v>
      </c>
      <c r="Z1395" s="184">
        <f>_xll.qlCalendarAdvance(Calendar,Y1395,NDays&amp;"D")</f>
        <v>48690</v>
      </c>
      <c r="AA1395" s="185">
        <v>5.184144481528323E-2</v>
      </c>
      <c r="AB1395" s="182">
        <v>5.1583572465141447E-2</v>
      </c>
    </row>
    <row r="1396" spans="17:28" x14ac:dyDescent="0.2">
      <c r="Q1396" s="141"/>
      <c r="T1396" s="141"/>
      <c r="U1396" s="162"/>
      <c r="X1396" s="183" t="str">
        <f t="shared" si="28"/>
        <v>1w</v>
      </c>
      <c r="Y1396" s="181">
        <f>_xll.qlCalendarAdvance(Calendar,Y1395,X1396,"f",FALSE)</f>
        <v>48697</v>
      </c>
      <c r="Z1396" s="184">
        <f>_xll.qlCalendarAdvance(Calendar,Y1396,NDays&amp;"D")</f>
        <v>48697</v>
      </c>
      <c r="AA1396" s="185">
        <v>5.1829990734962361E-2</v>
      </c>
      <c r="AB1396" s="182">
        <v>5.1573045170028031E-2</v>
      </c>
    </row>
    <row r="1397" spans="17:28" x14ac:dyDescent="0.2">
      <c r="Q1397" s="141"/>
      <c r="T1397" s="141"/>
      <c r="U1397" s="162"/>
      <c r="X1397" s="183" t="str">
        <f t="shared" si="28"/>
        <v>1w</v>
      </c>
      <c r="Y1397" s="181">
        <f>_xll.qlCalendarAdvance(Calendar,Y1396,X1397,"f",FALSE)</f>
        <v>48704</v>
      </c>
      <c r="Z1397" s="184">
        <f>_xll.qlCalendarAdvance(Calendar,Y1397,NDays&amp;"D")</f>
        <v>48704</v>
      </c>
      <c r="AA1397" s="185">
        <v>5.1821225207752668E-2</v>
      </c>
      <c r="AB1397" s="182">
        <v>5.1562396192514903E-2</v>
      </c>
    </row>
    <row r="1398" spans="17:28" x14ac:dyDescent="0.2">
      <c r="Q1398" s="141"/>
      <c r="T1398" s="141"/>
      <c r="U1398" s="162"/>
      <c r="X1398" s="183" t="str">
        <f t="shared" si="28"/>
        <v>1w</v>
      </c>
      <c r="Y1398" s="181">
        <f>_xll.qlCalendarAdvance(Calendar,Y1397,X1398,"f",FALSE)</f>
        <v>48711</v>
      </c>
      <c r="Z1398" s="184">
        <f>_xll.qlCalendarAdvance(Calendar,Y1398,NDays&amp;"D")</f>
        <v>48711</v>
      </c>
      <c r="AA1398" s="185">
        <v>5.180951426668496E-2</v>
      </c>
      <c r="AB1398" s="182">
        <v>5.155162553268311E-2</v>
      </c>
    </row>
    <row r="1399" spans="17:28" x14ac:dyDescent="0.2">
      <c r="Q1399" s="141"/>
      <c r="T1399" s="141"/>
      <c r="U1399" s="162"/>
      <c r="X1399" s="183" t="str">
        <f t="shared" si="28"/>
        <v>1w</v>
      </c>
      <c r="Y1399" s="181">
        <f>_xll.qlCalendarAdvance(Calendar,Y1398,X1399,"f",FALSE)</f>
        <v>48718</v>
      </c>
      <c r="Z1399" s="184">
        <f>_xll.qlCalendarAdvance(Calendar,Y1399,NDays&amp;"D")</f>
        <v>48718</v>
      </c>
      <c r="AA1399" s="185">
        <v>5.1797680105803948E-2</v>
      </c>
      <c r="AB1399" s="182">
        <v>5.154073319053265E-2</v>
      </c>
    </row>
    <row r="1400" spans="17:28" x14ac:dyDescent="0.2">
      <c r="Q1400" s="141"/>
      <c r="T1400" s="141"/>
      <c r="U1400" s="162"/>
      <c r="X1400" s="183" t="str">
        <f t="shared" si="28"/>
        <v>1w</v>
      </c>
      <c r="Y1400" s="181">
        <f>_xll.qlCalendarAdvance(Calendar,Y1399,X1400,"f",FALSE)</f>
        <v>48725</v>
      </c>
      <c r="Z1400" s="184">
        <f>_xll.qlCalendarAdvance(Calendar,Y1400,NDays&amp;"D")</f>
        <v>48725</v>
      </c>
      <c r="AA1400" s="185">
        <v>5.1785722726202001E-2</v>
      </c>
      <c r="AB1400" s="182">
        <v>5.1529719165982479E-2</v>
      </c>
    </row>
    <row r="1401" spans="17:28" x14ac:dyDescent="0.2">
      <c r="Q1401" s="141"/>
      <c r="T1401" s="141"/>
      <c r="U1401" s="162"/>
      <c r="X1401" s="183" t="str">
        <f t="shared" si="28"/>
        <v>1w</v>
      </c>
      <c r="Y1401" s="181">
        <f>_xll.qlCalendarAdvance(Calendar,Y1400,X1401,"f",FALSE)</f>
        <v>48732</v>
      </c>
      <c r="Z1401" s="184">
        <f>_xll.qlCalendarAdvance(Calendar,Y1401,NDays&amp;"D")</f>
        <v>48732</v>
      </c>
      <c r="AA1401" s="185">
        <v>5.1773642128974992E-2</v>
      </c>
      <c r="AB1401" s="182">
        <v>5.1518583459113643E-2</v>
      </c>
    </row>
    <row r="1402" spans="17:28" x14ac:dyDescent="0.2">
      <c r="Q1402" s="141"/>
      <c r="T1402" s="141"/>
      <c r="U1402" s="162"/>
      <c r="X1402" s="183" t="str">
        <f t="shared" si="28"/>
        <v>1w</v>
      </c>
      <c r="Y1402" s="181">
        <f>_xll.qlCalendarAdvance(Calendar,Y1401,X1402,"f",FALSE)</f>
        <v>48739</v>
      </c>
      <c r="Z1402" s="184">
        <f>_xll.qlCalendarAdvance(Calendar,Y1402,NDays&amp;"D")</f>
        <v>48739</v>
      </c>
      <c r="AA1402" s="185">
        <v>5.1761438315238203E-2</v>
      </c>
      <c r="AB1402" s="182">
        <v>5.1507326070088233E-2</v>
      </c>
    </row>
    <row r="1403" spans="17:28" x14ac:dyDescent="0.2">
      <c r="Q1403" s="141"/>
      <c r="T1403" s="141"/>
      <c r="U1403" s="162"/>
      <c r="X1403" s="183" t="str">
        <f t="shared" si="28"/>
        <v>1w</v>
      </c>
      <c r="Y1403" s="181">
        <f>_xll.qlCalendarAdvance(Calendar,Y1402,X1403,"f",FALSE)</f>
        <v>48746</v>
      </c>
      <c r="Z1403" s="184">
        <f>_xll.qlCalendarAdvance(Calendar,Y1403,NDays&amp;"D")</f>
        <v>48746</v>
      </c>
      <c r="AA1403" s="185">
        <v>5.174911128611042E-2</v>
      </c>
      <c r="AB1403" s="182">
        <v>5.1495946998501019E-2</v>
      </c>
    </row>
    <row r="1404" spans="17:28" x14ac:dyDescent="0.2">
      <c r="Q1404" s="141"/>
      <c r="T1404" s="141"/>
      <c r="U1404" s="162"/>
      <c r="X1404" s="183" t="str">
        <f t="shared" si="28"/>
        <v>1w</v>
      </c>
      <c r="Y1404" s="181">
        <f>_xll.qlCalendarAdvance(Calendar,Y1403,X1404,"f",FALSE)</f>
        <v>48753</v>
      </c>
      <c r="Z1404" s="184">
        <f>_xll.qlCalendarAdvance(Calendar,Y1404,NDays&amp;"D")</f>
        <v>48753</v>
      </c>
      <c r="AA1404" s="185">
        <v>5.1736661042730697E-2</v>
      </c>
      <c r="AB1404" s="182">
        <v>5.1484446244838278E-2</v>
      </c>
    </row>
    <row r="1405" spans="17:28" x14ac:dyDescent="0.2">
      <c r="Q1405" s="141"/>
      <c r="T1405" s="141"/>
      <c r="U1405" s="162"/>
      <c r="X1405" s="183" t="str">
        <f t="shared" si="28"/>
        <v>1w</v>
      </c>
      <c r="Y1405" s="181">
        <f>_xll.qlCalendarAdvance(Calendar,Y1404,X1405,"f",FALSE)</f>
        <v>48760</v>
      </c>
      <c r="Z1405" s="184">
        <f>_xll.qlCalendarAdvance(Calendar,Y1405,NDays&amp;"D")</f>
        <v>48760</v>
      </c>
      <c r="AA1405" s="185">
        <v>5.1724087586238088E-2</v>
      </c>
      <c r="AB1405" s="182">
        <v>5.1472823808775825E-2</v>
      </c>
    </row>
    <row r="1406" spans="17:28" x14ac:dyDescent="0.2">
      <c r="Q1406" s="141"/>
      <c r="T1406" s="141"/>
      <c r="U1406" s="162"/>
      <c r="X1406" s="183" t="str">
        <f t="shared" si="28"/>
        <v>1w</v>
      </c>
      <c r="Y1406" s="181">
        <f>_xll.qlCalendarAdvance(Calendar,Y1405,X1406,"f",FALSE)</f>
        <v>48767</v>
      </c>
      <c r="Z1406" s="184">
        <f>_xll.qlCalendarAdvance(Calendar,Y1406,NDays&amp;"D")</f>
        <v>48767</v>
      </c>
      <c r="AA1406" s="185">
        <v>5.1711390917793663E-2</v>
      </c>
      <c r="AB1406" s="182">
        <v>5.1461079690394707E-2</v>
      </c>
    </row>
    <row r="1407" spans="17:28" x14ac:dyDescent="0.2">
      <c r="Q1407" s="141"/>
      <c r="T1407" s="141"/>
      <c r="U1407" s="162"/>
      <c r="X1407" s="183" t="str">
        <f t="shared" si="28"/>
        <v>1w</v>
      </c>
      <c r="Y1407" s="181">
        <f>_xll.qlCalendarAdvance(Calendar,Y1406,X1407,"f",FALSE)</f>
        <v>48774</v>
      </c>
      <c r="Z1407" s="184">
        <f>_xll.qlCalendarAdvance(Calendar,Y1407,NDays&amp;"D")</f>
        <v>48774</v>
      </c>
      <c r="AA1407" s="185">
        <v>5.1698571038563783E-2</v>
      </c>
      <c r="AB1407" s="182">
        <v>5.1449213889857015E-2</v>
      </c>
    </row>
    <row r="1408" spans="17:28" x14ac:dyDescent="0.2">
      <c r="Q1408" s="141"/>
      <c r="T1408" s="141"/>
      <c r="U1408" s="162"/>
      <c r="X1408" s="183" t="str">
        <f t="shared" si="28"/>
        <v>1w</v>
      </c>
      <c r="Y1408" s="181">
        <f>_xll.qlCalendarAdvance(Calendar,Y1407,X1408,"f",FALSE)</f>
        <v>48781</v>
      </c>
      <c r="Z1408" s="184">
        <f>_xll.qlCalendarAdvance(Calendar,Y1408,NDays&amp;"D")</f>
        <v>48781</v>
      </c>
      <c r="AA1408" s="185">
        <v>5.168562794972803E-2</v>
      </c>
      <c r="AB1408" s="182">
        <v>5.1437226407081704E-2</v>
      </c>
    </row>
    <row r="1409" spans="17:28" x14ac:dyDescent="0.2">
      <c r="Q1409" s="141"/>
      <c r="T1409" s="141"/>
      <c r="U1409" s="162"/>
      <c r="X1409" s="183" t="str">
        <f t="shared" si="28"/>
        <v>1w</v>
      </c>
      <c r="Y1409" s="181">
        <f>_xll.qlCalendarAdvance(Calendar,Y1408,X1409,"f",FALSE)</f>
        <v>48788</v>
      </c>
      <c r="Z1409" s="184">
        <f>_xll.qlCalendarAdvance(Calendar,Y1409,NDays&amp;"D")</f>
        <v>48788</v>
      </c>
      <c r="AA1409" s="185">
        <v>5.1672561652478313E-2</v>
      </c>
      <c r="AB1409" s="182">
        <v>5.1425117242068774E-2</v>
      </c>
    </row>
    <row r="1410" spans="17:28" x14ac:dyDescent="0.2">
      <c r="Q1410" s="141"/>
      <c r="T1410" s="141"/>
      <c r="U1410" s="162"/>
      <c r="X1410" s="183" t="str">
        <f t="shared" si="28"/>
        <v>1w</v>
      </c>
      <c r="Y1410" s="181">
        <f>_xll.qlCalendarAdvance(Calendar,Y1409,X1410,"f",FALSE)</f>
        <v>48795</v>
      </c>
      <c r="Z1410" s="184">
        <f>_xll.qlCalendarAdvance(Calendar,Y1410,NDays&amp;"D")</f>
        <v>48795</v>
      </c>
      <c r="AA1410" s="185">
        <v>5.1659372148013583E-2</v>
      </c>
      <c r="AB1410" s="182">
        <v>5.1412886394818225E-2</v>
      </c>
    </row>
    <row r="1411" spans="17:28" x14ac:dyDescent="0.2">
      <c r="Q1411" s="141"/>
      <c r="T1411" s="141"/>
      <c r="U1411" s="162"/>
      <c r="X1411" s="183" t="str">
        <f t="shared" si="28"/>
        <v>1w</v>
      </c>
      <c r="Y1411" s="181">
        <f>_xll.qlCalendarAdvance(Calendar,Y1410,X1411,"f",FALSE)</f>
        <v>48802</v>
      </c>
      <c r="Z1411" s="184">
        <f>_xll.qlCalendarAdvance(Calendar,Y1411,NDays&amp;"D")</f>
        <v>48802</v>
      </c>
      <c r="AA1411" s="185">
        <v>5.1646059437549539E-2</v>
      </c>
      <c r="AB1411" s="182">
        <v>5.1400533865411102E-2</v>
      </c>
    </row>
    <row r="1412" spans="17:28" x14ac:dyDescent="0.2">
      <c r="Q1412" s="141"/>
      <c r="T1412" s="141"/>
      <c r="U1412" s="162"/>
      <c r="X1412" s="183" t="str">
        <f t="shared" si="28"/>
        <v>1w</v>
      </c>
      <c r="Y1412" s="181">
        <f>_xll.qlCalendarAdvance(Calendar,Y1411,X1412,"f",FALSE)</f>
        <v>48809</v>
      </c>
      <c r="Z1412" s="184">
        <f>_xll.qlCalendarAdvance(Calendar,Y1412,NDays&amp;"D")</f>
        <v>48809</v>
      </c>
      <c r="AA1412" s="185">
        <v>5.1632623522309802E-2</v>
      </c>
      <c r="AB1412" s="182">
        <v>5.1388059653685314E-2</v>
      </c>
    </row>
    <row r="1413" spans="17:28" x14ac:dyDescent="0.2">
      <c r="Q1413" s="141"/>
      <c r="T1413" s="141"/>
      <c r="U1413" s="162"/>
      <c r="X1413" s="183" t="str">
        <f t="shared" si="28"/>
        <v>1w</v>
      </c>
      <c r="Y1413" s="181">
        <f>_xll.qlCalendarAdvance(Calendar,Y1412,X1413,"f",FALSE)</f>
        <v>48816</v>
      </c>
      <c r="Z1413" s="184">
        <f>_xll.qlCalendarAdvance(Calendar,Y1413,NDays&amp;"D")</f>
        <v>48816</v>
      </c>
      <c r="AA1413" s="185">
        <v>5.1619064403532089E-2</v>
      </c>
      <c r="AB1413" s="182">
        <v>5.1375463759883999E-2</v>
      </c>
    </row>
    <row r="1414" spans="17:28" x14ac:dyDescent="0.2">
      <c r="Q1414" s="141"/>
      <c r="T1414" s="141"/>
      <c r="U1414" s="162"/>
      <c r="X1414" s="183" t="str">
        <f t="shared" si="28"/>
        <v>1w</v>
      </c>
      <c r="Y1414" s="181">
        <f>_xll.qlCalendarAdvance(Calendar,Y1413,X1414,"f",FALSE)</f>
        <v>48823</v>
      </c>
      <c r="Z1414" s="184">
        <f>_xll.qlCalendarAdvance(Calendar,Y1414,NDays&amp;"D")</f>
        <v>48823</v>
      </c>
      <c r="AA1414" s="185">
        <v>5.160275029747706E-2</v>
      </c>
      <c r="AB1414" s="182">
        <v>5.1362746183764019E-2</v>
      </c>
    </row>
    <row r="1415" spans="17:28" x14ac:dyDescent="0.2">
      <c r="Q1415" s="141"/>
      <c r="T1415" s="141"/>
      <c r="U1415" s="162"/>
      <c r="X1415" s="183" t="str">
        <f t="shared" si="28"/>
        <v>1w</v>
      </c>
      <c r="Y1415" s="181">
        <f>_xll.qlCalendarAdvance(Calendar,Y1414,X1415,"f",FALSE)</f>
        <v>48830</v>
      </c>
      <c r="Z1415" s="184">
        <f>_xll.qlCalendarAdvance(Calendar,Y1415,NDays&amp;"D")</f>
        <v>48830</v>
      </c>
      <c r="AA1415" s="185">
        <v>5.1588955513050129E-2</v>
      </c>
      <c r="AB1415" s="182">
        <v>5.1349906925568511E-2</v>
      </c>
    </row>
    <row r="1416" spans="17:28" x14ac:dyDescent="0.2">
      <c r="Q1416" s="141"/>
      <c r="T1416" s="141"/>
      <c r="U1416" s="162"/>
      <c r="X1416" s="183" t="str">
        <f t="shared" si="28"/>
        <v>1w</v>
      </c>
      <c r="Y1416" s="181">
        <f>_xll.qlCalendarAdvance(Calendar,Y1415,X1416,"f",FALSE)</f>
        <v>48837</v>
      </c>
      <c r="Z1416" s="184">
        <f>_xll.qlCalendarAdvance(Calendar,Y1416,NDays&amp;"D")</f>
        <v>48837</v>
      </c>
      <c r="AA1416" s="185">
        <v>5.1575037545547396E-2</v>
      </c>
      <c r="AB1416" s="182">
        <v>5.1336945985297477E-2</v>
      </c>
    </row>
    <row r="1417" spans="17:28" x14ac:dyDescent="0.2">
      <c r="Q1417" s="141"/>
      <c r="T1417" s="141"/>
      <c r="U1417" s="162"/>
      <c r="X1417" s="183" t="str">
        <f t="shared" si="28"/>
        <v>1w</v>
      </c>
      <c r="Y1417" s="181">
        <f>_xll.qlCalendarAdvance(Calendar,Y1416,X1417,"f",FALSE)</f>
        <v>48844</v>
      </c>
      <c r="Z1417" s="184">
        <f>_xll.qlCalendarAdvance(Calendar,Y1417,NDays&amp;"D")</f>
        <v>48844</v>
      </c>
      <c r="AA1417" s="185">
        <v>5.1560996396237097E-2</v>
      </c>
      <c r="AB1417" s="182">
        <v>5.1323863362788824E-2</v>
      </c>
    </row>
    <row r="1418" spans="17:28" x14ac:dyDescent="0.2">
      <c r="Q1418" s="141"/>
      <c r="T1418" s="141"/>
      <c r="U1418" s="162"/>
      <c r="X1418" s="183" t="str">
        <f t="shared" si="28"/>
        <v>1w</v>
      </c>
      <c r="Y1418" s="181">
        <f>_xll.qlCalendarAdvance(Calendar,Y1417,X1418,"f",FALSE)</f>
        <v>48851</v>
      </c>
      <c r="Z1418" s="184">
        <f>_xll.qlCalendarAdvance(Calendar,Y1418,NDays&amp;"D")</f>
        <v>48851</v>
      </c>
      <c r="AA1418" s="185">
        <v>5.1546832066398166E-2</v>
      </c>
      <c r="AB1418" s="182">
        <v>5.1310659058204644E-2</v>
      </c>
    </row>
    <row r="1419" spans="17:28" x14ac:dyDescent="0.2">
      <c r="Q1419" s="141"/>
      <c r="T1419" s="141"/>
      <c r="U1419" s="162"/>
      <c r="X1419" s="183" t="str">
        <f t="shared" si="28"/>
        <v>1w</v>
      </c>
      <c r="Y1419" s="181">
        <f>_xll.qlCalendarAdvance(Calendar,Y1418,X1419,"f",FALSE)</f>
        <v>48858</v>
      </c>
      <c r="Z1419" s="184">
        <f>_xll.qlCalendarAdvance(Calendar,Y1419,NDays&amp;"D")</f>
        <v>48858</v>
      </c>
      <c r="AA1419" s="185">
        <v>5.1535122487169321E-2</v>
      </c>
      <c r="AB1419" s="182">
        <v>5.1297333071625983E-2</v>
      </c>
    </row>
    <row r="1420" spans="17:28" x14ac:dyDescent="0.2">
      <c r="Q1420" s="141"/>
      <c r="T1420" s="141"/>
      <c r="U1420" s="162"/>
      <c r="X1420" s="183" t="str">
        <f t="shared" si="28"/>
        <v>1w</v>
      </c>
      <c r="Y1420" s="181">
        <f>_xll.qlCalendarAdvance(Calendar,Y1419,X1420,"f",FALSE)</f>
        <v>48865</v>
      </c>
      <c r="Z1420" s="184">
        <f>_xll.qlCalendarAdvance(Calendar,Y1420,NDays&amp;"D")</f>
        <v>48865</v>
      </c>
      <c r="AA1420" s="185">
        <v>5.1520700979172503E-2</v>
      </c>
      <c r="AB1420" s="182">
        <v>5.1283885402809704E-2</v>
      </c>
    </row>
    <row r="1421" spans="17:28" x14ac:dyDescent="0.2">
      <c r="Q1421" s="141"/>
      <c r="T1421" s="141"/>
      <c r="U1421" s="162"/>
      <c r="X1421" s="183" t="str">
        <f t="shared" si="28"/>
        <v>1w</v>
      </c>
      <c r="Y1421" s="181">
        <f>_xll.qlCalendarAdvance(Calendar,Y1420,X1421,"f",FALSE)</f>
        <v>48872</v>
      </c>
      <c r="Z1421" s="184">
        <f>_xll.qlCalendarAdvance(Calendar,Y1421,NDays&amp;"D")</f>
        <v>48872</v>
      </c>
      <c r="AA1421" s="185">
        <v>5.1506156277930586E-2</v>
      </c>
      <c r="AB1421" s="182">
        <v>5.1270316051917897E-2</v>
      </c>
    </row>
    <row r="1422" spans="17:28" x14ac:dyDescent="0.2">
      <c r="Q1422" s="141"/>
      <c r="T1422" s="141"/>
      <c r="U1422" s="162"/>
      <c r="X1422" s="183" t="str">
        <f t="shared" si="28"/>
        <v>1w</v>
      </c>
      <c r="Y1422" s="181">
        <f>_xll.qlCalendarAdvance(Calendar,Y1421,X1422,"f",FALSE)</f>
        <v>48879</v>
      </c>
      <c r="Z1422" s="184">
        <f>_xll.qlCalendarAdvance(Calendar,Y1422,NDays&amp;"D")</f>
        <v>48879</v>
      </c>
      <c r="AA1422" s="185">
        <v>5.1491488384784359E-2</v>
      </c>
      <c r="AB1422" s="182">
        <v>5.125662501903161E-2</v>
      </c>
    </row>
    <row r="1423" spans="17:28" x14ac:dyDescent="0.2">
      <c r="Q1423" s="141"/>
      <c r="T1423" s="141"/>
      <c r="U1423" s="162"/>
      <c r="X1423" s="183" t="str">
        <f t="shared" si="28"/>
        <v>1w</v>
      </c>
      <c r="Y1423" s="181">
        <f>_xll.qlCalendarAdvance(Calendar,Y1422,X1423,"f",FALSE)</f>
        <v>48886</v>
      </c>
      <c r="Z1423" s="184">
        <f>_xll.qlCalendarAdvance(Calendar,Y1423,NDays&amp;"D")</f>
        <v>48886</v>
      </c>
      <c r="AA1423" s="185">
        <v>5.1476697301079892E-2</v>
      </c>
      <c r="AB1423" s="182">
        <v>5.124281230398875E-2</v>
      </c>
    </row>
    <row r="1424" spans="17:28" x14ac:dyDescent="0.2">
      <c r="Q1424" s="141"/>
      <c r="T1424" s="141"/>
      <c r="U1424" s="162"/>
      <c r="X1424" s="183" t="str">
        <f t="shared" si="28"/>
        <v>1w</v>
      </c>
      <c r="Y1424" s="181">
        <f>_xll.qlCalendarAdvance(Calendar,Y1423,X1424,"f",FALSE)</f>
        <v>48893</v>
      </c>
      <c r="Z1424" s="184">
        <f>_xll.qlCalendarAdvance(Calendar,Y1424,NDays&amp;"D")</f>
        <v>48893</v>
      </c>
      <c r="AA1424" s="185">
        <v>5.1461783028179116E-2</v>
      </c>
      <c r="AB1424" s="182">
        <v>5.1228877906951409E-2</v>
      </c>
    </row>
    <row r="1425" spans="17:28" x14ac:dyDescent="0.2">
      <c r="Q1425" s="141"/>
      <c r="T1425" s="141"/>
      <c r="U1425" s="162"/>
      <c r="X1425" s="183" t="str">
        <f t="shared" si="28"/>
        <v>1w</v>
      </c>
      <c r="Y1425" s="181">
        <f>_xll.qlCalendarAdvance(Calendar,Y1424,X1425,"f",FALSE)</f>
        <v>48900</v>
      </c>
      <c r="Z1425" s="184">
        <f>_xll.qlCalendarAdvance(Calendar,Y1425,NDays&amp;"D")</f>
        <v>48900</v>
      </c>
      <c r="AA1425" s="185">
        <v>5.1446745567454537E-2</v>
      </c>
      <c r="AB1425" s="182">
        <v>5.1214821827919588E-2</v>
      </c>
    </row>
    <row r="1426" spans="17:28" x14ac:dyDescent="0.2">
      <c r="Q1426" s="141"/>
      <c r="T1426" s="141"/>
      <c r="U1426" s="162"/>
      <c r="X1426" s="183" t="str">
        <f t="shared" si="28"/>
        <v>1w</v>
      </c>
      <c r="Y1426" s="181">
        <f>_xll.qlCalendarAdvance(Calendar,Y1425,X1426,"f",FALSE)</f>
        <v>48907</v>
      </c>
      <c r="Z1426" s="184">
        <f>_xll.qlCalendarAdvance(Calendar,Y1426,NDays&amp;"D")</f>
        <v>48907</v>
      </c>
      <c r="AA1426" s="185">
        <v>5.143158492028746E-2</v>
      </c>
      <c r="AB1426" s="182">
        <v>5.1200644066893286E-2</v>
      </c>
    </row>
    <row r="1427" spans="17:28" x14ac:dyDescent="0.2">
      <c r="Q1427" s="141"/>
      <c r="T1427" s="141"/>
      <c r="U1427" s="162"/>
      <c r="X1427" s="183" t="str">
        <f t="shared" si="28"/>
        <v>1w</v>
      </c>
      <c r="Y1427" s="181">
        <f>_xll.qlCalendarAdvance(Calendar,Y1426,X1427,"f",FALSE)</f>
        <v>48914</v>
      </c>
      <c r="Z1427" s="184">
        <f>_xll.qlCalendarAdvance(Calendar,Y1427,NDays&amp;"D")</f>
        <v>48914</v>
      </c>
      <c r="AA1427" s="185">
        <v>5.1411318479490757E-2</v>
      </c>
      <c r="AB1427" s="182">
        <v>5.1186344623872504E-2</v>
      </c>
    </row>
    <row r="1428" spans="17:28" x14ac:dyDescent="0.2">
      <c r="Q1428" s="141"/>
      <c r="T1428" s="141"/>
      <c r="U1428" s="162"/>
      <c r="X1428" s="183" t="str">
        <f t="shared" si="28"/>
        <v>1w</v>
      </c>
      <c r="Y1428" s="181">
        <f>_xll.qlCalendarAdvance(Calendar,Y1427,X1428,"f",FALSE)</f>
        <v>48921</v>
      </c>
      <c r="Z1428" s="184">
        <f>_xll.qlCalendarAdvance(Calendar,Y1428,NDays&amp;"D")</f>
        <v>48921</v>
      </c>
      <c r="AA1428" s="185">
        <v>5.1395933367864438E-2</v>
      </c>
      <c r="AB1428" s="182">
        <v>5.1171923498776195E-2</v>
      </c>
    </row>
    <row r="1429" spans="17:28" x14ac:dyDescent="0.2">
      <c r="Q1429" s="141"/>
      <c r="T1429" s="141"/>
      <c r="U1429" s="162"/>
      <c r="X1429" s="183" t="str">
        <f t="shared" ref="X1429:X1492" si="29">X1428</f>
        <v>1w</v>
      </c>
      <c r="Y1429" s="181">
        <f>_xll.qlCalendarAdvance(Calendar,Y1428,X1429,"f",FALSE)</f>
        <v>48928</v>
      </c>
      <c r="Z1429" s="184">
        <f>_xll.qlCalendarAdvance(Calendar,Y1429,NDays&amp;"D")</f>
        <v>48928</v>
      </c>
      <c r="AA1429" s="185">
        <v>5.1380425106988079E-2</v>
      </c>
      <c r="AB1429" s="182">
        <v>5.1157380691847498E-2</v>
      </c>
    </row>
    <row r="1430" spans="17:28" x14ac:dyDescent="0.2">
      <c r="Q1430" s="141"/>
      <c r="T1430" s="141"/>
      <c r="U1430" s="162"/>
      <c r="X1430" s="183" t="str">
        <f t="shared" si="29"/>
        <v>1w</v>
      </c>
      <c r="Y1430" s="181">
        <f>_xll.qlCalendarAdvance(Calendar,Y1429,X1430,"f",FALSE)</f>
        <v>48935</v>
      </c>
      <c r="Z1430" s="184">
        <f>_xll.qlCalendarAdvance(Calendar,Y1430,NDays&amp;"D")</f>
        <v>48935</v>
      </c>
      <c r="AA1430" s="185">
        <v>5.1364793698255667E-2</v>
      </c>
      <c r="AB1430" s="182">
        <v>5.1142716202843275E-2</v>
      </c>
    </row>
    <row r="1431" spans="17:28" x14ac:dyDescent="0.2">
      <c r="Q1431" s="141"/>
      <c r="T1431" s="141"/>
      <c r="U1431" s="162"/>
      <c r="X1431" s="183" t="str">
        <f t="shared" si="29"/>
        <v>1w</v>
      </c>
      <c r="Y1431" s="181">
        <f>_xll.qlCalendarAdvance(Calendar,Y1430,X1431,"f",FALSE)</f>
        <v>48942</v>
      </c>
      <c r="Z1431" s="184">
        <f>_xll.qlCalendarAdvance(Calendar,Y1431,NDays&amp;"D")</f>
        <v>48942</v>
      </c>
      <c r="AA1431" s="185">
        <v>5.1349039143074711E-2</v>
      </c>
      <c r="AB1431" s="182">
        <v>5.1127930032087709E-2</v>
      </c>
    </row>
    <row r="1432" spans="17:28" x14ac:dyDescent="0.2">
      <c r="Q1432" s="141"/>
      <c r="T1432" s="141"/>
      <c r="U1432" s="162"/>
      <c r="X1432" s="183" t="str">
        <f t="shared" si="29"/>
        <v>1w</v>
      </c>
      <c r="Y1432" s="181">
        <f>_xll.qlCalendarAdvance(Calendar,Y1431,X1432,"f",FALSE)</f>
        <v>48949</v>
      </c>
      <c r="Z1432" s="184">
        <f>_xll.qlCalendarAdvance(Calendar,Y1432,NDays&amp;"D")</f>
        <v>48949</v>
      </c>
      <c r="AA1432" s="185">
        <v>5.1333161442862624E-2</v>
      </c>
      <c r="AB1432" s="182">
        <v>5.1113022179175571E-2</v>
      </c>
    </row>
    <row r="1433" spans="17:28" x14ac:dyDescent="0.2">
      <c r="Q1433" s="141"/>
      <c r="T1433" s="141"/>
      <c r="U1433" s="162"/>
      <c r="X1433" s="183" t="str">
        <f t="shared" si="29"/>
        <v>1w</v>
      </c>
      <c r="Y1433" s="181">
        <f>_xll.qlCalendarAdvance(Calendar,Y1432,X1433,"f",FALSE)</f>
        <v>48956</v>
      </c>
      <c r="Z1433" s="184">
        <f>_xll.qlCalendarAdvance(Calendar,Y1433,NDays&amp;"D")</f>
        <v>48956</v>
      </c>
      <c r="AA1433" s="185">
        <v>5.1317160599047618E-2</v>
      </c>
      <c r="AB1433" s="182">
        <v>5.1097992644431045E-2</v>
      </c>
    </row>
    <row r="1434" spans="17:28" x14ac:dyDescent="0.2">
      <c r="Q1434" s="141"/>
      <c r="T1434" s="141"/>
      <c r="U1434" s="162"/>
      <c r="X1434" s="183" t="str">
        <f t="shared" si="29"/>
        <v>1w</v>
      </c>
      <c r="Y1434" s="181">
        <f>_xll.qlCalendarAdvance(Calendar,Y1433,X1434,"f",FALSE)</f>
        <v>48963</v>
      </c>
      <c r="Z1434" s="184">
        <f>_xll.qlCalendarAdvance(Calendar,Y1434,NDays&amp;"D")</f>
        <v>48963</v>
      </c>
      <c r="AA1434" s="185">
        <v>5.130103661306961E-2</v>
      </c>
      <c r="AB1434" s="182">
        <v>5.1082841427773085E-2</v>
      </c>
    </row>
    <row r="1435" spans="17:28" x14ac:dyDescent="0.2">
      <c r="Q1435" s="141"/>
      <c r="T1435" s="141"/>
      <c r="U1435" s="162"/>
      <c r="X1435" s="183" t="str">
        <f t="shared" si="29"/>
        <v>1w</v>
      </c>
      <c r="Y1435" s="181">
        <f>_xll.qlCalendarAdvance(Calendar,Y1434,X1435,"f",FALSE)</f>
        <v>48971</v>
      </c>
      <c r="Z1435" s="184">
        <f>_xll.qlCalendarAdvance(Calendar,Y1435,NDays&amp;"D")</f>
        <v>48971</v>
      </c>
      <c r="AA1435" s="185">
        <v>5.1282458416064713E-2</v>
      </c>
      <c r="AB1435" s="182">
        <v>5.1070325694227613E-2</v>
      </c>
    </row>
    <row r="1436" spans="17:28" x14ac:dyDescent="0.2">
      <c r="Q1436" s="141"/>
      <c r="T1436" s="141"/>
      <c r="U1436" s="162"/>
      <c r="X1436" s="183" t="str">
        <f t="shared" si="29"/>
        <v>1w</v>
      </c>
      <c r="Y1436" s="181">
        <f>_xll.qlCalendarAdvance(Calendar,Y1435,X1436,"f",FALSE)</f>
        <v>48978</v>
      </c>
      <c r="Z1436" s="184">
        <f>_xll.qlCalendarAdvance(Calendar,Y1436,NDays&amp;"D")</f>
        <v>48978</v>
      </c>
      <c r="AA1436" s="185">
        <v>5.1263678744663678E-2</v>
      </c>
      <c r="AB1436" s="182">
        <v>5.1054892030875841E-2</v>
      </c>
    </row>
    <row r="1437" spans="17:28" x14ac:dyDescent="0.2">
      <c r="Q1437" s="141"/>
      <c r="T1437" s="141"/>
      <c r="U1437" s="162"/>
      <c r="X1437" s="183" t="str">
        <f t="shared" si="29"/>
        <v>1w</v>
      </c>
      <c r="Y1437" s="181">
        <f>_xll.qlCalendarAdvance(Calendar,Y1436,X1437,"f",FALSE)</f>
        <v>48985</v>
      </c>
      <c r="Z1437" s="184">
        <f>_xll.qlCalendarAdvance(Calendar,Y1437,NDays&amp;"D")</f>
        <v>48985</v>
      </c>
      <c r="AA1437" s="185">
        <v>5.1247178848187067E-2</v>
      </c>
      <c r="AB1437" s="182">
        <v>5.1039336652948984E-2</v>
      </c>
    </row>
    <row r="1438" spans="17:28" x14ac:dyDescent="0.2">
      <c r="Q1438" s="141"/>
      <c r="T1438" s="141"/>
      <c r="U1438" s="162"/>
      <c r="X1438" s="183" t="str">
        <f t="shared" si="29"/>
        <v>1w</v>
      </c>
      <c r="Y1438" s="181">
        <f>_xll.qlCalendarAdvance(Calendar,Y1437,X1438,"f",FALSE)</f>
        <v>48992</v>
      </c>
      <c r="Z1438" s="184">
        <f>_xll.qlCalendarAdvance(Calendar,Y1438,NDays&amp;"D")</f>
        <v>48992</v>
      </c>
      <c r="AA1438" s="185">
        <v>5.123055583196133E-2</v>
      </c>
      <c r="AB1438" s="182">
        <v>5.1023659560474062E-2</v>
      </c>
    </row>
    <row r="1439" spans="17:28" x14ac:dyDescent="0.2">
      <c r="Q1439" s="141"/>
      <c r="T1439" s="141"/>
      <c r="U1439" s="162"/>
      <c r="X1439" s="183" t="str">
        <f t="shared" si="29"/>
        <v>1w</v>
      </c>
      <c r="Y1439" s="181">
        <f>_xll.qlCalendarAdvance(Calendar,Y1438,X1439,"f",FALSE)</f>
        <v>48999</v>
      </c>
      <c r="Z1439" s="184">
        <f>_xll.qlCalendarAdvance(Calendar,Y1439,NDays&amp;"D")</f>
        <v>48999</v>
      </c>
      <c r="AA1439" s="185">
        <v>5.1213809697468068E-2</v>
      </c>
      <c r="AB1439" s="182">
        <v>5.100786075358614E-2</v>
      </c>
    </row>
    <row r="1440" spans="17:28" x14ac:dyDescent="0.2">
      <c r="Q1440" s="141"/>
      <c r="T1440" s="141"/>
      <c r="U1440" s="162"/>
      <c r="X1440" s="183" t="str">
        <f t="shared" si="29"/>
        <v>1w</v>
      </c>
      <c r="Y1440" s="181">
        <f>_xll.qlCalendarAdvance(Calendar,Y1439,X1440,"f",FALSE)</f>
        <v>49006</v>
      </c>
      <c r="Z1440" s="184">
        <f>_xll.qlCalendarAdvance(Calendar,Y1440,NDays&amp;"D")</f>
        <v>49006</v>
      </c>
      <c r="AA1440" s="185">
        <v>5.1208668582453182E-2</v>
      </c>
      <c r="AB1440" s="182">
        <v>5.0991940232204179E-2</v>
      </c>
    </row>
    <row r="1441" spans="17:28" x14ac:dyDescent="0.2">
      <c r="Q1441" s="141"/>
      <c r="T1441" s="141"/>
      <c r="U1441" s="162"/>
      <c r="X1441" s="183" t="str">
        <f t="shared" si="29"/>
        <v>1w</v>
      </c>
      <c r="Y1441" s="181">
        <f>_xll.qlCalendarAdvance(Calendar,Y1440,X1441,"f",FALSE)</f>
        <v>49013</v>
      </c>
      <c r="Z1441" s="184">
        <f>_xll.qlCalendarAdvance(Calendar,Y1441,NDays&amp;"D")</f>
        <v>49013</v>
      </c>
      <c r="AA1441" s="185">
        <v>5.1193952276434827E-2</v>
      </c>
      <c r="AB1441" s="182">
        <v>5.0975897996490278E-2</v>
      </c>
    </row>
    <row r="1442" spans="17:28" x14ac:dyDescent="0.2">
      <c r="Q1442" s="141"/>
      <c r="T1442" s="141"/>
      <c r="U1442" s="162"/>
      <c r="X1442" s="183" t="str">
        <f t="shared" si="29"/>
        <v>1w</v>
      </c>
      <c r="Y1442" s="181">
        <f>_xll.qlCalendarAdvance(Calendar,Y1441,X1442,"f",FALSE)</f>
        <v>49020</v>
      </c>
      <c r="Z1442" s="184">
        <f>_xll.qlCalendarAdvance(Calendar,Y1442,NDays&amp;"D")</f>
        <v>49020</v>
      </c>
      <c r="AA1442" s="185">
        <v>5.117444896661956E-2</v>
      </c>
      <c r="AB1442" s="182">
        <v>5.0959734046444424E-2</v>
      </c>
    </row>
    <row r="1443" spans="17:28" x14ac:dyDescent="0.2">
      <c r="Q1443" s="141"/>
      <c r="T1443" s="141"/>
      <c r="U1443" s="162"/>
      <c r="X1443" s="183" t="str">
        <f t="shared" si="29"/>
        <v>1w</v>
      </c>
      <c r="Y1443" s="181">
        <f>_xll.qlCalendarAdvance(Calendar,Y1442,X1443,"f",FALSE)</f>
        <v>49027</v>
      </c>
      <c r="Z1443" s="184">
        <f>_xll.qlCalendarAdvance(Calendar,Y1443,NDays&amp;"D")</f>
        <v>49027</v>
      </c>
      <c r="AA1443" s="185">
        <v>5.1157154367722682E-2</v>
      </c>
      <c r="AB1443" s="182">
        <v>5.0943448382120657E-2</v>
      </c>
    </row>
    <row r="1444" spans="17:28" x14ac:dyDescent="0.2">
      <c r="Q1444" s="141"/>
      <c r="T1444" s="141"/>
      <c r="U1444" s="162"/>
      <c r="X1444" s="183" t="str">
        <f t="shared" si="29"/>
        <v>1w</v>
      </c>
      <c r="Y1444" s="181">
        <f>_xll.qlCalendarAdvance(Calendar,Y1443,X1444,"f",FALSE)</f>
        <v>49034</v>
      </c>
      <c r="Z1444" s="184">
        <f>_xll.qlCalendarAdvance(Calendar,Y1444,NDays&amp;"D")</f>
        <v>49034</v>
      </c>
      <c r="AA1444" s="185">
        <v>5.1132836589447117E-2</v>
      </c>
      <c r="AB1444" s="182">
        <v>5.0927041003518976E-2</v>
      </c>
    </row>
    <row r="1445" spans="17:28" x14ac:dyDescent="0.2">
      <c r="Q1445" s="141"/>
      <c r="T1445" s="141"/>
      <c r="U1445" s="162"/>
      <c r="X1445" s="183" t="str">
        <f t="shared" si="29"/>
        <v>1w</v>
      </c>
      <c r="Y1445" s="181">
        <f>_xll.qlCalendarAdvance(Calendar,Y1444,X1445,"f",FALSE)</f>
        <v>49045</v>
      </c>
      <c r="Z1445" s="184">
        <f>_xll.qlCalendarAdvance(Calendar,Y1445,NDays&amp;"D")</f>
        <v>49045</v>
      </c>
      <c r="AA1445" s="185">
        <v>5.1105269874815271E-2</v>
      </c>
      <c r="AB1445" s="182">
        <v>5.0896294176506762E-2</v>
      </c>
    </row>
    <row r="1446" spans="17:28" x14ac:dyDescent="0.2">
      <c r="Q1446" s="141"/>
      <c r="T1446" s="141"/>
      <c r="U1446" s="162"/>
      <c r="X1446" s="183" t="str">
        <f t="shared" si="29"/>
        <v>1w</v>
      </c>
      <c r="Y1446" s="181">
        <f>_xll.qlCalendarAdvance(Calendar,Y1445,X1446,"f",FALSE)</f>
        <v>49052</v>
      </c>
      <c r="Z1446" s="184">
        <f>_xll.qlCalendarAdvance(Calendar,Y1446,NDays&amp;"D")</f>
        <v>49052</v>
      </c>
      <c r="AA1446" s="185">
        <v>5.1087569098000274E-2</v>
      </c>
      <c r="AB1446" s="182">
        <v>5.0879595862775018E-2</v>
      </c>
    </row>
    <row r="1447" spans="17:28" x14ac:dyDescent="0.2">
      <c r="Q1447" s="141"/>
      <c r="T1447" s="141"/>
      <c r="U1447" s="162"/>
      <c r="X1447" s="183" t="str">
        <f t="shared" si="29"/>
        <v>1w</v>
      </c>
      <c r="Y1447" s="181">
        <f>_xll.qlCalendarAdvance(Calendar,Y1446,X1447,"f",FALSE)</f>
        <v>49060</v>
      </c>
      <c r="Z1447" s="184">
        <f>_xll.qlCalendarAdvance(Calendar,Y1447,NDays&amp;"D")</f>
        <v>49060</v>
      </c>
      <c r="AA1447" s="185">
        <v>5.1067188858320692E-2</v>
      </c>
      <c r="AB1447" s="182">
        <v>5.0860363077854798E-2</v>
      </c>
    </row>
    <row r="1448" spans="17:28" x14ac:dyDescent="0.2">
      <c r="Q1448" s="141"/>
      <c r="T1448" s="141"/>
      <c r="U1448" s="162"/>
      <c r="X1448" s="183" t="str">
        <f t="shared" si="29"/>
        <v>1w</v>
      </c>
      <c r="Y1448" s="181">
        <f>_xll.qlCalendarAdvance(Calendar,Y1447,X1448,"f",FALSE)</f>
        <v>49067</v>
      </c>
      <c r="Z1448" s="184">
        <f>_xll.qlCalendarAdvance(Calendar,Y1448,NDays&amp;"D")</f>
        <v>49067</v>
      </c>
      <c r="AA1448" s="185">
        <v>5.1051471972191058E-2</v>
      </c>
      <c r="AB1448" s="182">
        <v>5.0843404017814064E-2</v>
      </c>
    </row>
    <row r="1449" spans="17:28" x14ac:dyDescent="0.2">
      <c r="Q1449" s="141"/>
      <c r="T1449" s="141"/>
      <c r="U1449" s="162"/>
      <c r="X1449" s="183" t="str">
        <f t="shared" si="29"/>
        <v>1w</v>
      </c>
      <c r="Y1449" s="181">
        <f>_xll.qlCalendarAdvance(Calendar,Y1448,X1449,"f",FALSE)</f>
        <v>49074</v>
      </c>
      <c r="Z1449" s="184">
        <f>_xll.qlCalendarAdvance(Calendar,Y1449,NDays&amp;"D")</f>
        <v>49074</v>
      </c>
      <c r="AA1449" s="185">
        <v>5.1033372887583348E-2</v>
      </c>
      <c r="AB1449" s="182">
        <v>5.0826323276103036E-2</v>
      </c>
    </row>
    <row r="1450" spans="17:28" x14ac:dyDescent="0.2">
      <c r="Q1450" s="141"/>
      <c r="T1450" s="141"/>
      <c r="U1450" s="162"/>
      <c r="X1450" s="183" t="str">
        <f t="shared" si="29"/>
        <v>1w</v>
      </c>
      <c r="Y1450" s="181">
        <f>_xll.qlCalendarAdvance(Calendar,Y1449,X1450,"f",FALSE)</f>
        <v>49081</v>
      </c>
      <c r="Z1450" s="184">
        <f>_xll.qlCalendarAdvance(Calendar,Y1450,NDays&amp;"D")</f>
        <v>49081</v>
      </c>
      <c r="AA1450" s="185">
        <v>5.1015150654559693E-2</v>
      </c>
      <c r="AB1450" s="182">
        <v>5.0809120852802758E-2</v>
      </c>
    </row>
    <row r="1451" spans="17:28" x14ac:dyDescent="0.2">
      <c r="Q1451" s="141"/>
      <c r="T1451" s="141"/>
      <c r="U1451" s="162"/>
      <c r="X1451" s="183" t="str">
        <f t="shared" si="29"/>
        <v>1w</v>
      </c>
      <c r="Y1451" s="181">
        <f>_xll.qlCalendarAdvance(Calendar,Y1450,X1451,"f",FALSE)</f>
        <v>49088</v>
      </c>
      <c r="Z1451" s="184">
        <f>_xll.qlCalendarAdvance(Calendar,Y1451,NDays&amp;"D")</f>
        <v>49088</v>
      </c>
      <c r="AA1451" s="185">
        <v>5.0996805274792133E-2</v>
      </c>
      <c r="AB1451" s="182">
        <v>5.0791796747832185E-2</v>
      </c>
    </row>
    <row r="1452" spans="17:28" x14ac:dyDescent="0.2">
      <c r="Q1452" s="141"/>
      <c r="T1452" s="141"/>
      <c r="U1452" s="162"/>
      <c r="X1452" s="183" t="str">
        <f t="shared" si="29"/>
        <v>1w</v>
      </c>
      <c r="Y1452" s="181">
        <f>_xll.qlCalendarAdvance(Calendar,Y1451,X1452,"f",FALSE)</f>
        <v>49095</v>
      </c>
      <c r="Z1452" s="184">
        <f>_xll.qlCalendarAdvance(Calendar,Y1452,NDays&amp;"D")</f>
        <v>49095</v>
      </c>
      <c r="AA1452" s="185">
        <v>5.09783367499703E-2</v>
      </c>
      <c r="AB1452" s="182">
        <v>5.0774350961434456E-2</v>
      </c>
    </row>
    <row r="1453" spans="17:28" x14ac:dyDescent="0.2">
      <c r="Q1453" s="141"/>
      <c r="T1453" s="141"/>
      <c r="U1453" s="162"/>
      <c r="X1453" s="183" t="str">
        <f t="shared" si="29"/>
        <v>1w</v>
      </c>
      <c r="Y1453" s="181">
        <f>_xll.qlCalendarAdvance(Calendar,Y1452,X1453,"f",FALSE)</f>
        <v>49102</v>
      </c>
      <c r="Z1453" s="184">
        <f>_xll.qlCalendarAdvance(Calendar,Y1453,NDays&amp;"D")</f>
        <v>49102</v>
      </c>
      <c r="AA1453" s="185">
        <v>5.0959745081790873E-2</v>
      </c>
      <c r="AB1453" s="182">
        <v>5.0756783493285385E-2</v>
      </c>
    </row>
    <row r="1454" spans="17:28" x14ac:dyDescent="0.2">
      <c r="Q1454" s="141"/>
      <c r="T1454" s="141"/>
      <c r="U1454" s="162"/>
      <c r="X1454" s="183" t="str">
        <f t="shared" si="29"/>
        <v>1w</v>
      </c>
      <c r="Y1454" s="181">
        <f>_xll.qlCalendarAdvance(Calendar,Y1453,X1454,"f",FALSE)</f>
        <v>49109</v>
      </c>
      <c r="Z1454" s="184">
        <f>_xll.qlCalendarAdvance(Calendar,Y1454,NDays&amp;"D")</f>
        <v>49109</v>
      </c>
      <c r="AA1454" s="185">
        <v>5.094103027196728E-2</v>
      </c>
      <c r="AB1454" s="182">
        <v>5.0739094343790203E-2</v>
      </c>
    </row>
    <row r="1455" spans="17:28" x14ac:dyDescent="0.2">
      <c r="Q1455" s="141"/>
      <c r="T1455" s="141"/>
      <c r="U1455" s="162"/>
      <c r="X1455" s="183" t="str">
        <f t="shared" si="29"/>
        <v>1w</v>
      </c>
      <c r="Y1455" s="181">
        <f>_xll.qlCalendarAdvance(Calendar,Y1454,X1455,"f",FALSE)</f>
        <v>49116</v>
      </c>
      <c r="Z1455" s="184">
        <f>_xll.qlCalendarAdvance(Calendar,Y1455,NDays&amp;"D")</f>
        <v>49116</v>
      </c>
      <c r="AA1455" s="185">
        <v>5.0922192513000307E-2</v>
      </c>
      <c r="AB1455" s="182">
        <v>5.0721283512462634E-2</v>
      </c>
    </row>
    <row r="1456" spans="17:28" x14ac:dyDescent="0.2">
      <c r="Q1456" s="141"/>
      <c r="T1456" s="141"/>
      <c r="U1456" s="162"/>
      <c r="X1456" s="183" t="str">
        <f t="shared" si="29"/>
        <v>1w</v>
      </c>
      <c r="Y1456" s="181">
        <f>_xll.qlCalendarAdvance(Calendar,Y1455,X1456,"f",FALSE)</f>
        <v>49123</v>
      </c>
      <c r="Z1456" s="184">
        <f>_xll.qlCalendarAdvance(Calendar,Y1456,NDays&amp;"D")</f>
        <v>49123</v>
      </c>
      <c r="AA1456" s="185">
        <v>5.0903238300290372E-2</v>
      </c>
      <c r="AB1456" s="182">
        <v>5.0703350999788954E-2</v>
      </c>
    </row>
    <row r="1457" spans="17:28" x14ac:dyDescent="0.2">
      <c r="Q1457" s="141"/>
      <c r="T1457" s="141"/>
      <c r="U1457" s="162"/>
      <c r="X1457" s="183" t="str">
        <f t="shared" si="29"/>
        <v>1w</v>
      </c>
      <c r="Y1457" s="181">
        <f>_xll.qlCalendarAdvance(Calendar,Y1456,X1457,"f",FALSE)</f>
        <v>49130</v>
      </c>
      <c r="Z1457" s="184">
        <f>_xll.qlCalendarAdvance(Calendar,Y1457,NDays&amp;"D")</f>
        <v>49130</v>
      </c>
      <c r="AA1457" s="185">
        <v>5.0884181725053927E-2</v>
      </c>
      <c r="AB1457" s="182">
        <v>5.0685296805607072E-2</v>
      </c>
    </row>
    <row r="1458" spans="17:28" x14ac:dyDescent="0.2">
      <c r="Q1458" s="141"/>
      <c r="T1458" s="141"/>
      <c r="U1458" s="162"/>
      <c r="X1458" s="183" t="str">
        <f t="shared" si="29"/>
        <v>1w</v>
      </c>
      <c r="Y1458" s="181">
        <f>_xll.qlCalendarAdvance(Calendar,Y1457,X1458,"f",FALSE)</f>
        <v>49137</v>
      </c>
      <c r="Z1458" s="184">
        <f>_xll.qlCalendarAdvance(Calendar,Y1458,NDays&amp;"D")</f>
        <v>49137</v>
      </c>
      <c r="AA1458" s="185">
        <v>5.0865037330468169E-2</v>
      </c>
      <c r="AB1458" s="182">
        <v>5.0667120929998033E-2</v>
      </c>
    </row>
    <row r="1459" spans="17:28" x14ac:dyDescent="0.2">
      <c r="Q1459" s="141"/>
      <c r="T1459" s="141"/>
      <c r="U1459" s="162"/>
      <c r="X1459" s="183" t="str">
        <f t="shared" si="29"/>
        <v>1w</v>
      </c>
      <c r="Y1459" s="181">
        <f>_xll.qlCalendarAdvance(Calendar,Y1458,X1459,"f",FALSE)</f>
        <v>49144</v>
      </c>
      <c r="Z1459" s="184">
        <f>_xll.qlCalendarAdvance(Calendar,Y1459,NDays&amp;"D")</f>
        <v>49144</v>
      </c>
      <c r="AA1459" s="185">
        <v>5.0845819659441599E-2</v>
      </c>
      <c r="AB1459" s="182">
        <v>5.0648823372799745E-2</v>
      </c>
    </row>
    <row r="1460" spans="17:28" x14ac:dyDescent="0.2">
      <c r="Q1460" s="141"/>
      <c r="T1460" s="141"/>
      <c r="U1460" s="162"/>
      <c r="X1460" s="183" t="str">
        <f t="shared" si="29"/>
        <v>1w</v>
      </c>
      <c r="Y1460" s="181">
        <f>_xll.qlCalendarAdvance(Calendar,Y1459,X1460,"f",FALSE)</f>
        <v>49151</v>
      </c>
      <c r="Z1460" s="184">
        <f>_xll.qlCalendarAdvance(Calendar,Y1460,NDays&amp;"D")</f>
        <v>49151</v>
      </c>
      <c r="AA1460" s="185">
        <v>5.0826543254607878E-2</v>
      </c>
      <c r="AB1460" s="182">
        <v>5.0630404134255347E-2</v>
      </c>
    </row>
    <row r="1461" spans="17:28" x14ac:dyDescent="0.2">
      <c r="Q1461" s="141"/>
      <c r="T1461" s="141"/>
      <c r="U1461" s="162"/>
      <c r="X1461" s="183" t="str">
        <f t="shared" si="29"/>
        <v>1w</v>
      </c>
      <c r="Y1461" s="181">
        <f>_xll.qlCalendarAdvance(Calendar,Y1460,X1461,"f",FALSE)</f>
        <v>49158</v>
      </c>
      <c r="Z1461" s="184">
        <f>_xll.qlCalendarAdvance(Calendar,Y1461,NDays&amp;"D")</f>
        <v>49158</v>
      </c>
      <c r="AA1461" s="185">
        <v>5.0807222658327565E-2</v>
      </c>
      <c r="AB1461" s="182">
        <v>5.0611863214364838E-2</v>
      </c>
    </row>
    <row r="1462" spans="17:28" x14ac:dyDescent="0.2">
      <c r="Q1462" s="141"/>
      <c r="T1462" s="141"/>
      <c r="U1462" s="162"/>
      <c r="X1462" s="183" t="str">
        <f t="shared" si="29"/>
        <v>1w</v>
      </c>
      <c r="Y1462" s="181">
        <f>_xll.qlCalendarAdvance(Calendar,Y1461,X1462,"f",FALSE)</f>
        <v>49165</v>
      </c>
      <c r="Z1462" s="184">
        <f>_xll.qlCalendarAdvance(Calendar,Y1462,NDays&amp;"D")</f>
        <v>49165</v>
      </c>
      <c r="AA1462" s="185">
        <v>5.0787872412677564E-2</v>
      </c>
      <c r="AB1462" s="182">
        <v>5.0593200612804035E-2</v>
      </c>
    </row>
    <row r="1463" spans="17:28" x14ac:dyDescent="0.2">
      <c r="Q1463" s="141"/>
      <c r="T1463" s="141"/>
      <c r="U1463" s="162"/>
      <c r="X1463" s="183" t="str">
        <f t="shared" si="29"/>
        <v>1w</v>
      </c>
      <c r="Y1463" s="181">
        <f>_xll.qlCalendarAdvance(Calendar,Y1462,X1463,"f",FALSE)</f>
        <v>49172</v>
      </c>
      <c r="Z1463" s="184">
        <f>_xll.qlCalendarAdvance(Calendar,Y1463,NDays&amp;"D")</f>
        <v>49172</v>
      </c>
      <c r="AA1463" s="185">
        <v>5.0768507059462578E-2</v>
      </c>
      <c r="AB1463" s="182">
        <v>5.0574416330059213E-2</v>
      </c>
    </row>
    <row r="1464" spans="17:28" x14ac:dyDescent="0.2">
      <c r="Q1464" s="141"/>
      <c r="T1464" s="141"/>
      <c r="U1464" s="162"/>
      <c r="X1464" s="183" t="str">
        <f t="shared" si="29"/>
        <v>1w</v>
      </c>
      <c r="Y1464" s="181">
        <f>_xll.qlCalendarAdvance(Calendar,Y1463,X1464,"f",FALSE)</f>
        <v>49179</v>
      </c>
      <c r="Z1464" s="184">
        <f>_xll.qlCalendarAdvance(Calendar,Y1464,NDays&amp;"D")</f>
        <v>49179</v>
      </c>
      <c r="AA1464" s="185">
        <v>5.074914114020098E-2</v>
      </c>
      <c r="AB1464" s="182">
        <v>5.0555510365887235E-2</v>
      </c>
    </row>
    <row r="1465" spans="17:28" x14ac:dyDescent="0.2">
      <c r="Q1465" s="141"/>
      <c r="T1465" s="141"/>
      <c r="U1465" s="162"/>
      <c r="X1465" s="183" t="str">
        <f t="shared" si="29"/>
        <v>1w</v>
      </c>
      <c r="Y1465" s="181">
        <f>_xll.qlCalendarAdvance(Calendar,Y1464,X1465,"f",FALSE)</f>
        <v>49186</v>
      </c>
      <c r="Z1465" s="184">
        <f>_xll.qlCalendarAdvance(Calendar,Y1465,NDays&amp;"D")</f>
        <v>49186</v>
      </c>
      <c r="AA1465" s="185">
        <v>5.0729789196135432E-2</v>
      </c>
      <c r="AB1465" s="182">
        <v>5.0536482720369147E-2</v>
      </c>
    </row>
    <row r="1466" spans="17:28" x14ac:dyDescent="0.2">
      <c r="Q1466" s="141"/>
      <c r="T1466" s="141"/>
      <c r="U1466" s="162"/>
      <c r="X1466" s="183" t="str">
        <f t="shared" si="29"/>
        <v>1w</v>
      </c>
      <c r="Y1466" s="181">
        <f>_xll.qlCalendarAdvance(Calendar,Y1465,X1466,"f",FALSE)</f>
        <v>49193</v>
      </c>
      <c r="Z1466" s="184">
        <f>_xll.qlCalendarAdvance(Calendar,Y1466,NDays&amp;"D")</f>
        <v>49193</v>
      </c>
      <c r="AA1466" s="185">
        <v>5.0708327862019113E-2</v>
      </c>
      <c r="AB1466" s="182">
        <v>5.0517333393504948E-2</v>
      </c>
    </row>
    <row r="1467" spans="17:28" x14ac:dyDescent="0.2">
      <c r="Q1467" s="141"/>
      <c r="T1467" s="141"/>
      <c r="U1467" s="162"/>
      <c r="X1467" s="183" t="str">
        <f t="shared" si="29"/>
        <v>1w</v>
      </c>
      <c r="Y1467" s="181">
        <f>_xll.qlCalendarAdvance(Calendar,Y1466,X1467,"f",FALSE)</f>
        <v>49200</v>
      </c>
      <c r="Z1467" s="184">
        <f>_xll.qlCalendarAdvance(Calendar,Y1467,NDays&amp;"D")</f>
        <v>49200</v>
      </c>
      <c r="AA1467" s="185">
        <v>5.0689045421183528E-2</v>
      </c>
      <c r="AB1467" s="182">
        <v>5.0498062385375686E-2</v>
      </c>
    </row>
    <row r="1468" spans="17:28" x14ac:dyDescent="0.2">
      <c r="Q1468" s="141"/>
      <c r="T1468" s="141"/>
      <c r="U1468" s="162"/>
      <c r="X1468" s="183" t="str">
        <f t="shared" si="29"/>
        <v>1w</v>
      </c>
      <c r="Y1468" s="181">
        <f>_xll.qlCalendarAdvance(Calendar,Y1467,X1468,"f",FALSE)</f>
        <v>49207</v>
      </c>
      <c r="Z1468" s="184">
        <f>_xll.qlCalendarAdvance(Calendar,Y1468,NDays&amp;"D")</f>
        <v>49207</v>
      </c>
      <c r="AA1468" s="185">
        <v>5.0669820397443083E-2</v>
      </c>
      <c r="AB1468" s="182">
        <v>5.0478681892474064E-2</v>
      </c>
    </row>
    <row r="1469" spans="17:28" x14ac:dyDescent="0.2">
      <c r="Q1469" s="141"/>
      <c r="T1469" s="141"/>
      <c r="U1469" s="162"/>
      <c r="X1469" s="183" t="str">
        <f t="shared" si="29"/>
        <v>1w</v>
      </c>
      <c r="Y1469" s="181">
        <f>_xll.qlCalendarAdvance(Calendar,Y1468,X1469,"f",FALSE)</f>
        <v>49214</v>
      </c>
      <c r="Z1469" s="184">
        <f>_xll.qlCalendarAdvance(Calendar,Y1469,NDays&amp;"D")</f>
        <v>49214</v>
      </c>
      <c r="AA1469" s="185">
        <v>5.0650662453430154E-2</v>
      </c>
      <c r="AB1469" s="182">
        <v>5.0459329287354526E-2</v>
      </c>
    </row>
    <row r="1470" spans="17:28" x14ac:dyDescent="0.2">
      <c r="Q1470" s="141"/>
      <c r="T1470" s="141"/>
      <c r="U1470" s="162"/>
      <c r="X1470" s="183" t="str">
        <f t="shared" si="29"/>
        <v>1w</v>
      </c>
      <c r="Y1470" s="181">
        <f>_xll.qlCalendarAdvance(Calendar,Y1469,X1470,"f",FALSE)</f>
        <v>49221</v>
      </c>
      <c r="Z1470" s="184">
        <f>_xll.qlCalendarAdvance(Calendar,Y1470,NDays&amp;"D")</f>
        <v>49221</v>
      </c>
      <c r="AA1470" s="185">
        <v>5.0633719087168488E-2</v>
      </c>
      <c r="AB1470" s="182">
        <v>5.0440043727608685E-2</v>
      </c>
    </row>
    <row r="1471" spans="17:28" x14ac:dyDescent="0.2">
      <c r="Q1471" s="141"/>
      <c r="T1471" s="141"/>
      <c r="U1471" s="162"/>
      <c r="X1471" s="183" t="str">
        <f t="shared" si="29"/>
        <v>1w</v>
      </c>
      <c r="Y1471" s="181">
        <f>_xll.qlCalendarAdvance(Calendar,Y1470,X1471,"f",FALSE)</f>
        <v>49228</v>
      </c>
      <c r="Z1471" s="184">
        <f>_xll.qlCalendarAdvance(Calendar,Y1471,NDays&amp;"D")</f>
        <v>49228</v>
      </c>
      <c r="AA1471" s="185">
        <v>5.0614699319155972E-2</v>
      </c>
      <c r="AB1471" s="182">
        <v>5.0420825212993403E-2</v>
      </c>
    </row>
    <row r="1472" spans="17:28" x14ac:dyDescent="0.2">
      <c r="Q1472" s="141"/>
      <c r="T1472" s="141"/>
      <c r="U1472" s="162"/>
      <c r="X1472" s="183" t="str">
        <f t="shared" si="29"/>
        <v>1w</v>
      </c>
      <c r="Y1472" s="181">
        <f>_xll.qlCalendarAdvance(Calendar,Y1471,X1472,"f",FALSE)</f>
        <v>49235</v>
      </c>
      <c r="Z1472" s="184">
        <f>_xll.qlCalendarAdvance(Calendar,Y1472,NDays&amp;"D")</f>
        <v>49235</v>
      </c>
      <c r="AA1472" s="185">
        <v>5.059574753106269E-2</v>
      </c>
      <c r="AB1472" s="182">
        <v>5.0401673743832864E-2</v>
      </c>
    </row>
    <row r="1473" spans="17:28" x14ac:dyDescent="0.2">
      <c r="Q1473" s="141"/>
      <c r="T1473" s="141"/>
      <c r="U1473" s="162"/>
      <c r="X1473" s="183" t="str">
        <f t="shared" si="29"/>
        <v>1w</v>
      </c>
      <c r="Y1473" s="181">
        <f>_xll.qlCalendarAdvance(Calendar,Y1472,X1473,"f",FALSE)</f>
        <v>49242</v>
      </c>
      <c r="Z1473" s="184">
        <f>_xll.qlCalendarAdvance(Calendar,Y1473,NDays&amp;"D")</f>
        <v>49242</v>
      </c>
      <c r="AA1473" s="185">
        <v>5.0576863721922265E-2</v>
      </c>
      <c r="AB1473" s="182">
        <v>5.0382589319640791E-2</v>
      </c>
    </row>
    <row r="1474" spans="17:28" x14ac:dyDescent="0.2">
      <c r="Q1474" s="141"/>
      <c r="T1474" s="141"/>
      <c r="U1474" s="162"/>
      <c r="X1474" s="183" t="str">
        <f t="shared" si="29"/>
        <v>1w</v>
      </c>
      <c r="Y1474" s="181">
        <f>_xll.qlCalendarAdvance(Calendar,Y1473,X1474,"f",FALSE)</f>
        <v>49249</v>
      </c>
      <c r="Z1474" s="184">
        <f>_xll.qlCalendarAdvance(Calendar,Y1474,NDays&amp;"D")</f>
        <v>49249</v>
      </c>
      <c r="AA1474" s="185">
        <v>5.0558047890779757E-2</v>
      </c>
      <c r="AB1474" s="182">
        <v>5.0363571940822416E-2</v>
      </c>
    </row>
    <row r="1475" spans="17:28" x14ac:dyDescent="0.2">
      <c r="Q1475" s="141"/>
      <c r="T1475" s="141"/>
      <c r="U1475" s="162"/>
      <c r="X1475" s="183" t="str">
        <f t="shared" si="29"/>
        <v>1w</v>
      </c>
      <c r="Y1475" s="181">
        <f>_xll.qlCalendarAdvance(Calendar,Y1474,X1475,"f",FALSE)</f>
        <v>49256</v>
      </c>
      <c r="Z1475" s="184">
        <f>_xll.qlCalendarAdvance(Calendar,Y1475,NDays&amp;"D")</f>
        <v>49256</v>
      </c>
      <c r="AA1475" s="185">
        <v>5.0539300036681112E-2</v>
      </c>
      <c r="AB1475" s="182">
        <v>5.0344621607296691E-2</v>
      </c>
    </row>
    <row r="1476" spans="17:28" x14ac:dyDescent="0.2">
      <c r="Q1476" s="141"/>
      <c r="T1476" s="141"/>
      <c r="U1476" s="162"/>
      <c r="X1476" s="183" t="str">
        <f t="shared" si="29"/>
        <v>1w</v>
      </c>
      <c r="Y1476" s="181">
        <f>_xll.qlCalendarAdvance(Calendar,Y1475,X1476,"f",FALSE)</f>
        <v>49263</v>
      </c>
      <c r="Z1476" s="184">
        <f>_xll.qlCalendarAdvance(Calendar,Y1476,NDays&amp;"D")</f>
        <v>49263</v>
      </c>
      <c r="AA1476" s="185">
        <v>5.0520620158674034E-2</v>
      </c>
      <c r="AB1476" s="182">
        <v>5.0325738318982571E-2</v>
      </c>
    </row>
    <row r="1477" spans="17:28" x14ac:dyDescent="0.2">
      <c r="Q1477" s="141"/>
      <c r="T1477" s="141"/>
      <c r="U1477" s="162"/>
      <c r="X1477" s="183" t="str">
        <f t="shared" si="29"/>
        <v>1w</v>
      </c>
      <c r="Y1477" s="181">
        <f>_xll.qlCalendarAdvance(Calendar,Y1476,X1477,"f",FALSE)</f>
        <v>49270</v>
      </c>
      <c r="Z1477" s="184">
        <f>_xll.qlCalendarAdvance(Calendar,Y1477,NDays&amp;"D")</f>
        <v>49270</v>
      </c>
      <c r="AA1477" s="185">
        <v>5.0502008255813274E-2</v>
      </c>
      <c r="AB1477" s="182">
        <v>5.030692207579901E-2</v>
      </c>
    </row>
    <row r="1478" spans="17:28" x14ac:dyDescent="0.2">
      <c r="Q1478" s="141"/>
      <c r="T1478" s="141"/>
      <c r="U1478" s="162"/>
      <c r="X1478" s="183" t="str">
        <f t="shared" si="29"/>
        <v>1w</v>
      </c>
      <c r="Y1478" s="181">
        <f>_xll.qlCalendarAdvance(Calendar,Y1477,X1478,"f",FALSE)</f>
        <v>49277</v>
      </c>
      <c r="Z1478" s="184">
        <f>_xll.qlCalendarAdvance(Calendar,Y1478,NDays&amp;"D")</f>
        <v>49277</v>
      </c>
      <c r="AA1478" s="185">
        <v>5.0481299563060689E-2</v>
      </c>
      <c r="AB1478" s="182">
        <v>5.0288172877908099E-2</v>
      </c>
    </row>
    <row r="1479" spans="17:28" x14ac:dyDescent="0.2">
      <c r="Q1479" s="141"/>
      <c r="T1479" s="141"/>
      <c r="U1479" s="162"/>
      <c r="X1479" s="183" t="str">
        <f t="shared" si="29"/>
        <v>1w</v>
      </c>
      <c r="Y1479" s="181">
        <f>_xll.qlCalendarAdvance(Calendar,Y1478,X1479,"f",FALSE)</f>
        <v>49284</v>
      </c>
      <c r="Z1479" s="184">
        <f>_xll.qlCalendarAdvance(Calendar,Y1479,NDays&amp;"D")</f>
        <v>49284</v>
      </c>
      <c r="AA1479" s="185">
        <v>5.046065463362738E-2</v>
      </c>
      <c r="AB1479" s="182">
        <v>5.0269490725147747E-2</v>
      </c>
    </row>
    <row r="1480" spans="17:28" x14ac:dyDescent="0.2">
      <c r="Q1480" s="141"/>
      <c r="T1480" s="141"/>
      <c r="U1480" s="162"/>
      <c r="X1480" s="183" t="str">
        <f t="shared" si="29"/>
        <v>1w</v>
      </c>
      <c r="Y1480" s="181">
        <f>_xll.qlCalendarAdvance(Calendar,Y1479,X1480,"f",FALSE)</f>
        <v>49291</v>
      </c>
      <c r="Z1480" s="184">
        <f>_xll.qlCalendarAdvance(Calendar,Y1480,NDays&amp;"D")</f>
        <v>49291</v>
      </c>
      <c r="AA1480" s="185">
        <v>5.0442241999773138E-2</v>
      </c>
      <c r="AB1480" s="182">
        <v>5.0250875617599E-2</v>
      </c>
    </row>
    <row r="1481" spans="17:28" x14ac:dyDescent="0.2">
      <c r="Q1481" s="141"/>
      <c r="T1481" s="141"/>
      <c r="U1481" s="162"/>
      <c r="X1481" s="183" t="str">
        <f t="shared" si="29"/>
        <v>1w</v>
      </c>
      <c r="Y1481" s="181">
        <f>_xll.qlCalendarAdvance(Calendar,Y1480,X1481,"f",FALSE)</f>
        <v>49298</v>
      </c>
      <c r="Z1481" s="184">
        <f>_xll.qlCalendarAdvance(Calendar,Y1481,NDays&amp;"D")</f>
        <v>49298</v>
      </c>
      <c r="AA1481" s="185">
        <v>5.0423897316946055E-2</v>
      </c>
      <c r="AB1481" s="182">
        <v>5.0232327555261858E-2</v>
      </c>
    </row>
    <row r="1482" spans="17:28" x14ac:dyDescent="0.2">
      <c r="Q1482" s="141"/>
      <c r="T1482" s="141"/>
      <c r="U1482" s="162"/>
      <c r="X1482" s="183" t="str">
        <f t="shared" si="29"/>
        <v>1w</v>
      </c>
      <c r="Y1482" s="181">
        <f>_xll.qlCalendarAdvance(Calendar,Y1481,X1482,"f",FALSE)</f>
        <v>49305</v>
      </c>
      <c r="Z1482" s="184">
        <f>_xll.qlCalendarAdvance(Calendar,Y1482,NDays&amp;"D")</f>
        <v>49305</v>
      </c>
      <c r="AA1482" s="185">
        <v>5.0405620584233916E-2</v>
      </c>
      <c r="AB1482" s="182">
        <v>5.0213846537974227E-2</v>
      </c>
    </row>
    <row r="1483" spans="17:28" x14ac:dyDescent="0.2">
      <c r="Q1483" s="141"/>
      <c r="T1483" s="141"/>
      <c r="U1483" s="162"/>
      <c r="X1483" s="183" t="str">
        <f t="shared" si="29"/>
        <v>1w</v>
      </c>
      <c r="Y1483" s="181">
        <f>_xll.qlCalendarAdvance(Calendar,Y1482,X1483,"f",FALSE)</f>
        <v>49312</v>
      </c>
      <c r="Z1483" s="184">
        <f>_xll.qlCalendarAdvance(Calendar,Y1483,NDays&amp;"D")</f>
        <v>49312</v>
      </c>
      <c r="AA1483" s="185">
        <v>5.0387411800731696E-2</v>
      </c>
      <c r="AB1483" s="182">
        <v>5.0195432565817155E-2</v>
      </c>
    </row>
    <row r="1484" spans="17:28" x14ac:dyDescent="0.2">
      <c r="Q1484" s="141"/>
      <c r="T1484" s="141"/>
      <c r="U1484" s="162"/>
      <c r="X1484" s="183" t="str">
        <f t="shared" si="29"/>
        <v>1w</v>
      </c>
      <c r="Y1484" s="181">
        <f>_xll.qlCalendarAdvance(Calendar,Y1483,X1484,"f",FALSE)</f>
        <v>49319</v>
      </c>
      <c r="Z1484" s="184">
        <f>_xll.qlCalendarAdvance(Calendar,Y1484,NDays&amp;"D")</f>
        <v>49319</v>
      </c>
      <c r="AA1484" s="185">
        <v>5.0369270965537997E-2</v>
      </c>
      <c r="AB1484" s="182">
        <v>5.0177085638871688E-2</v>
      </c>
    </row>
    <row r="1485" spans="17:28" x14ac:dyDescent="0.2">
      <c r="Q1485" s="141"/>
      <c r="T1485" s="141"/>
      <c r="U1485" s="162"/>
      <c r="X1485" s="183" t="str">
        <f t="shared" si="29"/>
        <v>1w</v>
      </c>
      <c r="Y1485" s="181">
        <f>_xll.qlCalendarAdvance(Calendar,Y1484,X1485,"f",FALSE)</f>
        <v>49326</v>
      </c>
      <c r="Z1485" s="184">
        <f>_xll.qlCalendarAdvance(Calendar,Y1485,NDays&amp;"D")</f>
        <v>49326</v>
      </c>
      <c r="AA1485" s="185">
        <v>5.0351198077750486E-2</v>
      </c>
      <c r="AB1485" s="182">
        <v>5.0158805757056779E-2</v>
      </c>
    </row>
    <row r="1486" spans="17:28" x14ac:dyDescent="0.2">
      <c r="Q1486" s="141"/>
      <c r="T1486" s="141"/>
      <c r="U1486" s="162"/>
      <c r="X1486" s="183" t="str">
        <f t="shared" si="29"/>
        <v>1w</v>
      </c>
      <c r="Y1486" s="181">
        <f>_xll.qlCalendarAdvance(Calendar,Y1485,X1486,"f",FALSE)</f>
        <v>49333</v>
      </c>
      <c r="Z1486" s="184">
        <f>_xll.qlCalendarAdvance(Calendar,Y1486,NDays&amp;"D")</f>
        <v>49333</v>
      </c>
      <c r="AA1486" s="185">
        <v>5.0333193136473164E-2</v>
      </c>
      <c r="AB1486" s="182">
        <v>5.0140592920291382E-2</v>
      </c>
    </row>
    <row r="1487" spans="17:28" x14ac:dyDescent="0.2">
      <c r="Q1487" s="141"/>
      <c r="T1487" s="141"/>
      <c r="U1487" s="162"/>
      <c r="X1487" s="183" t="str">
        <f t="shared" si="29"/>
        <v>1w</v>
      </c>
      <c r="Y1487" s="181">
        <f>_xll.qlCalendarAdvance(Calendar,Y1486,X1487,"f",FALSE)</f>
        <v>49340</v>
      </c>
      <c r="Z1487" s="184">
        <f>_xll.qlCalendarAdvance(Calendar,Y1487,NDays&amp;"D")</f>
        <v>49340</v>
      </c>
      <c r="AA1487" s="185">
        <v>5.0313071029612924E-2</v>
      </c>
      <c r="AB1487" s="182">
        <v>5.0122447128737591E-2</v>
      </c>
    </row>
    <row r="1488" spans="17:28" x14ac:dyDescent="0.2">
      <c r="Q1488" s="141"/>
      <c r="T1488" s="141"/>
      <c r="U1488" s="162"/>
      <c r="X1488" s="183" t="str">
        <f t="shared" si="29"/>
        <v>1w</v>
      </c>
      <c r="Y1488" s="181">
        <f>_xll.qlCalendarAdvance(Calendar,Y1487,X1488,"f",FALSE)</f>
        <v>49347</v>
      </c>
      <c r="Z1488" s="184">
        <f>_xll.qlCalendarAdvance(Calendar,Y1488,NDays&amp;"D")</f>
        <v>49347</v>
      </c>
      <c r="AA1488" s="185">
        <v>5.0295199573780487E-2</v>
      </c>
      <c r="AB1488" s="182">
        <v>5.0104368382314357E-2</v>
      </c>
    </row>
    <row r="1489" spans="17:28" x14ac:dyDescent="0.2">
      <c r="Q1489" s="141"/>
      <c r="T1489" s="141"/>
      <c r="U1489" s="162"/>
      <c r="X1489" s="183" t="str">
        <f t="shared" si="29"/>
        <v>1w</v>
      </c>
      <c r="Y1489" s="181">
        <f>_xll.qlCalendarAdvance(Calendar,Y1488,X1489,"f",FALSE)</f>
        <v>49354</v>
      </c>
      <c r="Z1489" s="184">
        <f>_xll.qlCalendarAdvance(Calendar,Y1489,NDays&amp;"D")</f>
        <v>49354</v>
      </c>
      <c r="AA1489" s="185">
        <v>5.0277396051685512E-2</v>
      </c>
      <c r="AB1489" s="182">
        <v>5.0086356680778543E-2</v>
      </c>
    </row>
    <row r="1490" spans="17:28" x14ac:dyDescent="0.2">
      <c r="Q1490" s="141"/>
      <c r="T1490" s="141"/>
      <c r="U1490" s="162"/>
      <c r="X1490" s="183" t="str">
        <f t="shared" si="29"/>
        <v>1w</v>
      </c>
      <c r="Y1490" s="181">
        <f>_xll.qlCalendarAdvance(Calendar,Y1489,X1490,"f",FALSE)</f>
        <v>49361</v>
      </c>
      <c r="Z1490" s="184">
        <f>_xll.qlCalendarAdvance(Calendar,Y1490,NDays&amp;"D")</f>
        <v>49361</v>
      </c>
      <c r="AA1490" s="185">
        <v>5.0259660462454704E-2</v>
      </c>
      <c r="AB1490" s="182">
        <v>5.006841202453538E-2</v>
      </c>
    </row>
    <row r="1491" spans="17:28" x14ac:dyDescent="0.2">
      <c r="Q1491" s="141"/>
      <c r="T1491" s="141"/>
      <c r="U1491" s="162"/>
      <c r="X1491" s="183" t="str">
        <f t="shared" si="29"/>
        <v>1w</v>
      </c>
      <c r="Y1491" s="181">
        <f>_xll.qlCalendarAdvance(Calendar,Y1490,X1491,"f",FALSE)</f>
        <v>49368</v>
      </c>
      <c r="Z1491" s="184">
        <f>_xll.qlCalendarAdvance(Calendar,Y1491,NDays&amp;"D")</f>
        <v>49368</v>
      </c>
      <c r="AA1491" s="185">
        <v>5.0248578483735498E-2</v>
      </c>
      <c r="AB1491" s="182">
        <v>5.0050534413179637E-2</v>
      </c>
    </row>
    <row r="1492" spans="17:28" x14ac:dyDescent="0.2">
      <c r="Q1492" s="141"/>
      <c r="T1492" s="141"/>
      <c r="U1492" s="162"/>
      <c r="X1492" s="183" t="str">
        <f t="shared" si="29"/>
        <v>1w</v>
      </c>
      <c r="Y1492" s="181">
        <f>_xll.qlCalendarAdvance(Calendar,Y1491,X1492,"f",FALSE)</f>
        <v>49375</v>
      </c>
      <c r="Z1492" s="184">
        <f>_xll.qlCalendarAdvance(Calendar,Y1492,NDays&amp;"D")</f>
        <v>49375</v>
      </c>
      <c r="AA1492" s="185">
        <v>5.0230986096725175E-2</v>
      </c>
      <c r="AB1492" s="182">
        <v>5.0032723846954452E-2</v>
      </c>
    </row>
    <row r="1493" spans="17:28" x14ac:dyDescent="0.2">
      <c r="Q1493" s="141"/>
      <c r="T1493" s="141"/>
      <c r="U1493" s="162"/>
      <c r="X1493" s="183" t="str">
        <f t="shared" ref="X1493:X1556" si="30">X1492</f>
        <v>1w</v>
      </c>
      <c r="Y1493" s="181">
        <f>_xll.qlCalendarAdvance(Calendar,Y1492,X1493,"f",FALSE)</f>
        <v>49382</v>
      </c>
      <c r="Z1493" s="184">
        <f>_xll.qlCalendarAdvance(Calendar,Y1493,NDays&amp;"D")</f>
        <v>49382</v>
      </c>
      <c r="AA1493" s="185">
        <v>5.0213461670172418E-2</v>
      </c>
      <c r="AB1493" s="182">
        <v>5.0014980325859826E-2</v>
      </c>
    </row>
    <row r="1494" spans="17:28" x14ac:dyDescent="0.2">
      <c r="Q1494" s="141"/>
      <c r="T1494" s="141"/>
      <c r="U1494" s="162"/>
      <c r="X1494" s="183" t="str">
        <f t="shared" si="30"/>
        <v>1w</v>
      </c>
      <c r="Y1494" s="181">
        <f>_xll.qlCalendarAdvance(Calendar,Y1493,X1494,"f",FALSE)</f>
        <v>49389</v>
      </c>
      <c r="Z1494" s="184">
        <f>_xll.qlCalendarAdvance(Calendar,Y1494,NDays&amp;"D")</f>
        <v>49389</v>
      </c>
      <c r="AA1494" s="185">
        <v>5.0196005203188357E-2</v>
      </c>
      <c r="AB1494" s="182">
        <v>4.9997303849733665E-2</v>
      </c>
    </row>
    <row r="1495" spans="17:28" x14ac:dyDescent="0.2">
      <c r="Q1495" s="141"/>
      <c r="T1495" s="141"/>
      <c r="U1495" s="162"/>
      <c r="X1495" s="183" t="str">
        <f t="shared" si="30"/>
        <v>1w</v>
      </c>
      <c r="Y1495" s="181">
        <f>_xll.qlCalendarAdvance(Calendar,Y1494,X1495,"f",FALSE)</f>
        <v>49396</v>
      </c>
      <c r="Z1495" s="184">
        <f>_xll.qlCalendarAdvance(Calendar,Y1495,NDays&amp;"D")</f>
        <v>49396</v>
      </c>
      <c r="AA1495" s="185">
        <v>5.0178616694890293E-2</v>
      </c>
      <c r="AB1495" s="182">
        <v>4.9979694418657017E-2</v>
      </c>
    </row>
    <row r="1496" spans="17:28" x14ac:dyDescent="0.2">
      <c r="Q1496" s="141"/>
      <c r="T1496" s="141"/>
      <c r="U1496" s="162"/>
      <c r="X1496" s="183" t="str">
        <f t="shared" si="30"/>
        <v>1w</v>
      </c>
      <c r="Y1496" s="181">
        <f>_xll.qlCalendarAdvance(Calendar,Y1495,X1496,"f",FALSE)</f>
        <v>49403</v>
      </c>
      <c r="Z1496" s="184">
        <f>_xll.qlCalendarAdvance(Calendar,Y1496,NDays&amp;"D")</f>
        <v>49403</v>
      </c>
      <c r="AA1496" s="185">
        <v>5.0159088145431109E-2</v>
      </c>
      <c r="AB1496" s="182">
        <v>4.9962152032467788E-2</v>
      </c>
    </row>
    <row r="1497" spans="17:28" x14ac:dyDescent="0.2">
      <c r="Q1497" s="141"/>
      <c r="T1497" s="141"/>
      <c r="U1497" s="162"/>
      <c r="X1497" s="183" t="str">
        <f t="shared" si="30"/>
        <v>1w</v>
      </c>
      <c r="Y1497" s="181">
        <f>_xll.qlCalendarAdvance(Calendar,Y1496,X1497,"f",FALSE)</f>
        <v>49410</v>
      </c>
      <c r="Z1497" s="184">
        <f>_xll.qlCalendarAdvance(Calendar,Y1497,NDays&amp;"D")</f>
        <v>49410</v>
      </c>
      <c r="AA1497" s="185">
        <v>5.0141833054152714E-2</v>
      </c>
      <c r="AB1497" s="182">
        <v>4.9944676691490164E-2</v>
      </c>
    </row>
    <row r="1498" spans="17:28" x14ac:dyDescent="0.2">
      <c r="Q1498" s="141"/>
      <c r="T1498" s="141"/>
      <c r="U1498" s="162"/>
      <c r="X1498" s="183" t="str">
        <f t="shared" si="30"/>
        <v>1w</v>
      </c>
      <c r="Y1498" s="181">
        <f>_xll.qlCalendarAdvance(Calendar,Y1497,X1498,"f",FALSE)</f>
        <v>49417</v>
      </c>
      <c r="Z1498" s="184">
        <f>_xll.qlCalendarAdvance(Calendar,Y1498,NDays&amp;"D")</f>
        <v>49417</v>
      </c>
      <c r="AA1498" s="185">
        <v>5.0124645908906418E-2</v>
      </c>
      <c r="AB1498" s="182">
        <v>4.992726839539996E-2</v>
      </c>
    </row>
    <row r="1499" spans="17:28" x14ac:dyDescent="0.2">
      <c r="Q1499" s="141"/>
      <c r="T1499" s="141"/>
      <c r="U1499" s="162"/>
      <c r="X1499" s="183" t="str">
        <f t="shared" si="30"/>
        <v>1w</v>
      </c>
      <c r="Y1499" s="181">
        <f>_xll.qlCalendarAdvance(Calendar,Y1498,X1499,"f",FALSE)</f>
        <v>49425</v>
      </c>
      <c r="Z1499" s="184">
        <f>_xll.qlCalendarAdvance(Calendar,Y1499,NDays&amp;"D")</f>
        <v>49425</v>
      </c>
      <c r="AA1499" s="185">
        <v>5.0105086655312797E-2</v>
      </c>
      <c r="AB1499" s="182">
        <v>4.99074552957679E-2</v>
      </c>
    </row>
    <row r="1500" spans="17:28" x14ac:dyDescent="0.2">
      <c r="Q1500" s="141"/>
      <c r="T1500" s="141"/>
      <c r="U1500" s="162"/>
      <c r="X1500" s="183" t="str">
        <f t="shared" si="30"/>
        <v>1w</v>
      </c>
      <c r="Y1500" s="181">
        <f>_xll.qlCalendarAdvance(Calendar,Y1499,X1500,"f",FALSE)</f>
        <v>49432</v>
      </c>
      <c r="Z1500" s="184">
        <f>_xll.qlCalendarAdvance(Calendar,Y1500,NDays&amp;"D")</f>
        <v>49432</v>
      </c>
      <c r="AA1500" s="185">
        <v>5.0090263517578636E-2</v>
      </c>
      <c r="AB1500" s="182">
        <v>4.9890190667501999E-2</v>
      </c>
    </row>
    <row r="1501" spans="17:28" x14ac:dyDescent="0.2">
      <c r="Q1501" s="141"/>
      <c r="T1501" s="141"/>
      <c r="U1501" s="162"/>
      <c r="X1501" s="183" t="str">
        <f t="shared" si="30"/>
        <v>1w</v>
      </c>
      <c r="Y1501" s="181">
        <f>_xll.qlCalendarAdvance(Calendar,Y1500,X1501,"f",FALSE)</f>
        <v>49439</v>
      </c>
      <c r="Z1501" s="184">
        <f>_xll.qlCalendarAdvance(Calendar,Y1501,NDays&amp;"D")</f>
        <v>49439</v>
      </c>
      <c r="AA1501" s="185">
        <v>5.0073292450552545E-2</v>
      </c>
      <c r="AB1501" s="182">
        <v>4.9872993084285611E-2</v>
      </c>
    </row>
    <row r="1502" spans="17:28" x14ac:dyDescent="0.2">
      <c r="Q1502" s="141"/>
      <c r="T1502" s="141"/>
      <c r="U1502" s="162"/>
      <c r="X1502" s="183" t="str">
        <f t="shared" si="30"/>
        <v>1w</v>
      </c>
      <c r="Y1502" s="181">
        <f>_xll.qlCalendarAdvance(Calendar,Y1501,X1502,"f",FALSE)</f>
        <v>49446</v>
      </c>
      <c r="Z1502" s="184">
        <f>_xll.qlCalendarAdvance(Calendar,Y1502,NDays&amp;"D")</f>
        <v>49446</v>
      </c>
      <c r="AA1502" s="185">
        <v>5.0056389335988626E-2</v>
      </c>
      <c r="AB1502" s="182">
        <v>4.9855862545956642E-2</v>
      </c>
    </row>
    <row r="1503" spans="17:28" x14ac:dyDescent="0.2">
      <c r="Q1503" s="141"/>
      <c r="T1503" s="141"/>
      <c r="U1503" s="162"/>
      <c r="X1503" s="183" t="str">
        <f t="shared" si="30"/>
        <v>1w</v>
      </c>
      <c r="Y1503" s="181">
        <f>_xll.qlCalendarAdvance(Calendar,Y1502,X1503,"f",FALSE)</f>
        <v>49453</v>
      </c>
      <c r="Z1503" s="184">
        <f>_xll.qlCalendarAdvance(Calendar,Y1503,NDays&amp;"D")</f>
        <v>49453</v>
      </c>
      <c r="AA1503" s="185">
        <v>5.0039554173027967E-2</v>
      </c>
      <c r="AB1503" s="182">
        <v>4.9838799052596139E-2</v>
      </c>
    </row>
    <row r="1504" spans="17:28" x14ac:dyDescent="0.2">
      <c r="Q1504" s="141"/>
      <c r="T1504" s="141"/>
      <c r="U1504" s="162"/>
      <c r="X1504" s="183" t="str">
        <f t="shared" si="30"/>
        <v>1w</v>
      </c>
      <c r="Y1504" s="181">
        <f>_xll.qlCalendarAdvance(Calendar,Y1503,X1504,"f",FALSE)</f>
        <v>49460</v>
      </c>
      <c r="Z1504" s="184">
        <f>_xll.qlCalendarAdvance(Calendar,Y1504,NDays&amp;"D")</f>
        <v>49460</v>
      </c>
      <c r="AA1504" s="185">
        <v>5.0022786960820458E-2</v>
      </c>
      <c r="AB1504" s="182">
        <v>4.9821802604285148E-2</v>
      </c>
    </row>
    <row r="1505" spans="17:28" x14ac:dyDescent="0.2">
      <c r="Q1505" s="141"/>
      <c r="T1505" s="141"/>
      <c r="U1505" s="162"/>
      <c r="X1505" s="183" t="str">
        <f t="shared" si="30"/>
        <v>1w</v>
      </c>
      <c r="Y1505" s="181">
        <f>_xll.qlCalendarAdvance(Calendar,Y1504,X1505,"f",FALSE)</f>
        <v>49467</v>
      </c>
      <c r="Z1505" s="184">
        <f>_xll.qlCalendarAdvance(Calendar,Y1505,NDays&amp;"D")</f>
        <v>49467</v>
      </c>
      <c r="AA1505" s="185">
        <v>5.0006087698511587E-2</v>
      </c>
      <c r="AB1505" s="182">
        <v>4.9804873200699484E-2</v>
      </c>
    </row>
    <row r="1506" spans="17:28" x14ac:dyDescent="0.2">
      <c r="Q1506" s="141"/>
      <c r="T1506" s="141"/>
      <c r="U1506" s="162"/>
      <c r="X1506" s="183" t="str">
        <f t="shared" si="30"/>
        <v>1w</v>
      </c>
      <c r="Y1506" s="181">
        <f>_xll.qlCalendarAdvance(Calendar,Y1505,X1506,"f",FALSE)</f>
        <v>49474</v>
      </c>
      <c r="Z1506" s="184">
        <f>_xll.qlCalendarAdvance(Calendar,Y1506,NDays&amp;"D")</f>
        <v>49474</v>
      </c>
      <c r="AA1506" s="185">
        <v>4.9989456385257425E-2</v>
      </c>
      <c r="AB1506" s="182">
        <v>4.9788010842244379E-2</v>
      </c>
    </row>
    <row r="1507" spans="17:28" x14ac:dyDescent="0.2">
      <c r="Q1507" s="141"/>
      <c r="T1507" s="141"/>
      <c r="U1507" s="162"/>
      <c r="X1507" s="183" t="str">
        <f t="shared" si="30"/>
        <v>1w</v>
      </c>
      <c r="Y1507" s="181">
        <f>_xll.qlCalendarAdvance(Calendar,Y1506,X1507,"f",FALSE)</f>
        <v>49481</v>
      </c>
      <c r="Z1507" s="184">
        <f>_xll.qlCalendarAdvance(Calendar,Y1507,NDays&amp;"D")</f>
        <v>49481</v>
      </c>
      <c r="AA1507" s="185">
        <v>4.9972893020213148E-2</v>
      </c>
      <c r="AB1507" s="182">
        <v>4.9771215528433554E-2</v>
      </c>
    </row>
    <row r="1508" spans="17:28" x14ac:dyDescent="0.2">
      <c r="Q1508" s="141"/>
      <c r="T1508" s="141"/>
      <c r="U1508" s="162"/>
      <c r="X1508" s="183" t="str">
        <f t="shared" si="30"/>
        <v>1w</v>
      </c>
      <c r="Y1508" s="181">
        <f>_xll.qlCalendarAdvance(Calendar,Y1507,X1508,"f",FALSE)</f>
        <v>49488</v>
      </c>
      <c r="Z1508" s="184">
        <f>_xll.qlCalendarAdvance(Calendar,Y1508,NDays&amp;"D")</f>
        <v>49488</v>
      </c>
      <c r="AA1508" s="185">
        <v>4.9956397602540101E-2</v>
      </c>
      <c r="AB1508" s="182">
        <v>4.9754487259753288E-2</v>
      </c>
    </row>
    <row r="1509" spans="17:28" x14ac:dyDescent="0.2">
      <c r="Q1509" s="141"/>
      <c r="T1509" s="141"/>
      <c r="U1509" s="162"/>
      <c r="X1509" s="183" t="str">
        <f t="shared" si="30"/>
        <v>1w</v>
      </c>
      <c r="Y1509" s="181">
        <f>_xll.qlCalendarAdvance(Calendar,Y1508,X1509,"f",FALSE)</f>
        <v>49495</v>
      </c>
      <c r="Z1509" s="184">
        <f>_xll.qlCalendarAdvance(Calendar,Y1509,NDays&amp;"D")</f>
        <v>49495</v>
      </c>
      <c r="AA1509" s="185">
        <v>4.9939970131402278E-2</v>
      </c>
      <c r="AB1509" s="182">
        <v>4.9737826035879396E-2</v>
      </c>
    </row>
    <row r="1510" spans="17:28" x14ac:dyDescent="0.2">
      <c r="Q1510" s="141"/>
      <c r="T1510" s="141"/>
      <c r="U1510" s="162"/>
      <c r="X1510" s="183" t="str">
        <f t="shared" si="30"/>
        <v>1w</v>
      </c>
      <c r="Y1510" s="181">
        <f>_xll.qlCalendarAdvance(Calendar,Y1509,X1510,"f",FALSE)</f>
        <v>49502</v>
      </c>
      <c r="Z1510" s="184">
        <f>_xll.qlCalendarAdvance(Calendar,Y1510,NDays&amp;"D")</f>
        <v>49502</v>
      </c>
      <c r="AA1510" s="185">
        <v>4.9923610605963661E-2</v>
      </c>
      <c r="AB1510" s="182">
        <v>4.9721231856973969E-2</v>
      </c>
    </row>
    <row r="1511" spans="17:28" x14ac:dyDescent="0.2">
      <c r="Q1511" s="141"/>
      <c r="T1511" s="141"/>
      <c r="U1511" s="162"/>
      <c r="X1511" s="183" t="str">
        <f t="shared" si="30"/>
        <v>1w</v>
      </c>
      <c r="Y1511" s="181">
        <f>_xll.qlCalendarAdvance(Calendar,Y1510,X1511,"f",FALSE)</f>
        <v>49509</v>
      </c>
      <c r="Z1511" s="184">
        <f>_xll.qlCalendarAdvance(Calendar,Y1511,NDays&amp;"D")</f>
        <v>49509</v>
      </c>
      <c r="AA1511" s="185">
        <v>4.9907319025397946E-2</v>
      </c>
      <c r="AB1511" s="182">
        <v>4.9704704722793869E-2</v>
      </c>
    </row>
    <row r="1512" spans="17:28" x14ac:dyDescent="0.2">
      <c r="Q1512" s="141"/>
      <c r="T1512" s="141"/>
      <c r="U1512" s="162"/>
      <c r="X1512" s="183" t="str">
        <f t="shared" si="30"/>
        <v>1w</v>
      </c>
      <c r="Y1512" s="181">
        <f>_xll.qlCalendarAdvance(Calendar,Y1511,X1512,"f",FALSE)</f>
        <v>49516</v>
      </c>
      <c r="Z1512" s="184">
        <f>_xll.qlCalendarAdvance(Calendar,Y1512,NDays&amp;"D")</f>
        <v>49516</v>
      </c>
      <c r="AA1512" s="185">
        <v>4.9891095388877912E-2</v>
      </c>
      <c r="AB1512" s="182">
        <v>4.9688244633582235E-2</v>
      </c>
    </row>
    <row r="1513" spans="17:28" x14ac:dyDescent="0.2">
      <c r="Q1513" s="141"/>
      <c r="T1513" s="141"/>
      <c r="U1513" s="162"/>
      <c r="X1513" s="183" t="str">
        <f t="shared" si="30"/>
        <v>1w</v>
      </c>
      <c r="Y1513" s="181">
        <f>_xll.qlCalendarAdvance(Calendar,Y1512,X1513,"f",FALSE)</f>
        <v>49523</v>
      </c>
      <c r="Z1513" s="184">
        <f>_xll.qlCalendarAdvance(Calendar,Y1513,NDays&amp;"D")</f>
        <v>49523</v>
      </c>
      <c r="AA1513" s="185">
        <v>4.9874939695581662E-2</v>
      </c>
      <c r="AB1513" s="182">
        <v>4.9671851589339067E-2</v>
      </c>
    </row>
    <row r="1514" spans="17:28" x14ac:dyDescent="0.2">
      <c r="Q1514" s="141"/>
      <c r="T1514" s="141"/>
      <c r="U1514" s="162"/>
      <c r="X1514" s="183" t="str">
        <f t="shared" si="30"/>
        <v>1w</v>
      </c>
      <c r="Y1514" s="181">
        <f>_xll.qlCalendarAdvance(Calendar,Y1513,X1514,"f",FALSE)</f>
        <v>49530</v>
      </c>
      <c r="Z1514" s="184">
        <f>_xll.qlCalendarAdvance(Calendar,Y1514,NDays&amp;"D")</f>
        <v>49530</v>
      </c>
      <c r="AA1514" s="185">
        <v>4.9858851944687275E-2</v>
      </c>
      <c r="AB1514" s="182">
        <v>4.9655525589740179E-2</v>
      </c>
    </row>
    <row r="1515" spans="17:28" x14ac:dyDescent="0.2">
      <c r="Q1515" s="141"/>
      <c r="T1515" s="141"/>
      <c r="U1515" s="162"/>
      <c r="X1515" s="183" t="str">
        <f t="shared" si="30"/>
        <v>1w</v>
      </c>
      <c r="Y1515" s="181">
        <f>_xll.qlCalendarAdvance(Calendar,Y1514,X1515,"f",FALSE)</f>
        <v>49537</v>
      </c>
      <c r="Z1515" s="184">
        <f>_xll.qlCalendarAdvance(Calendar,Y1515,NDays&amp;"D")</f>
        <v>49537</v>
      </c>
      <c r="AA1515" s="185">
        <v>4.9842832135383403E-2</v>
      </c>
      <c r="AB1515" s="182">
        <v>4.9639266635109758E-2</v>
      </c>
    </row>
    <row r="1516" spans="17:28" x14ac:dyDescent="0.2">
      <c r="Q1516" s="141"/>
      <c r="T1516" s="141"/>
      <c r="U1516" s="162"/>
      <c r="X1516" s="183" t="str">
        <f t="shared" si="30"/>
        <v>1w</v>
      </c>
      <c r="Y1516" s="181">
        <f>_xll.qlCalendarAdvance(Calendar,Y1515,X1516,"f",FALSE)</f>
        <v>49544</v>
      </c>
      <c r="Z1516" s="184">
        <f>_xll.qlCalendarAdvance(Calendar,Y1516,NDays&amp;"D")</f>
        <v>49544</v>
      </c>
      <c r="AA1516" s="185">
        <v>4.9826880266852537E-2</v>
      </c>
      <c r="AB1516" s="182">
        <v>4.9623074725123617E-2</v>
      </c>
    </row>
    <row r="1517" spans="17:28" x14ac:dyDescent="0.2">
      <c r="Q1517" s="141"/>
      <c r="T1517" s="141"/>
      <c r="U1517" s="162"/>
      <c r="X1517" s="183" t="str">
        <f t="shared" si="30"/>
        <v>1w</v>
      </c>
      <c r="Y1517" s="181">
        <f>_xll.qlCalendarAdvance(Calendar,Y1516,X1517,"f",FALSE)</f>
        <v>49551</v>
      </c>
      <c r="Z1517" s="184">
        <f>_xll.qlCalendarAdvance(Calendar,Y1517,NDays&amp;"D")</f>
        <v>49551</v>
      </c>
      <c r="AA1517" s="185">
        <v>4.9810996338291259E-2</v>
      </c>
      <c r="AB1517" s="182">
        <v>4.9606949860186988E-2</v>
      </c>
    </row>
    <row r="1518" spans="17:28" x14ac:dyDescent="0.2">
      <c r="Q1518" s="141"/>
      <c r="T1518" s="141"/>
      <c r="U1518" s="162"/>
      <c r="X1518" s="183" t="str">
        <f t="shared" si="30"/>
        <v>1w</v>
      </c>
      <c r="Y1518" s="181">
        <f>_xll.qlCalendarAdvance(Calendar,Y1517,X1518,"f",FALSE)</f>
        <v>49558</v>
      </c>
      <c r="Z1518" s="184">
        <f>_xll.qlCalendarAdvance(Calendar,Y1518,NDays&amp;"D")</f>
        <v>49558</v>
      </c>
      <c r="AA1518" s="185">
        <v>4.9792914713141338E-2</v>
      </c>
      <c r="AB1518" s="182">
        <v>4.9590892040056733E-2</v>
      </c>
    </row>
    <row r="1519" spans="17:28" x14ac:dyDescent="0.2">
      <c r="Q1519" s="141"/>
      <c r="T1519" s="141"/>
      <c r="U1519" s="162"/>
      <c r="X1519" s="183" t="str">
        <f t="shared" si="30"/>
        <v>1w</v>
      </c>
      <c r="Y1519" s="181">
        <f>_xll.qlCalendarAdvance(Calendar,Y1518,X1519,"f",FALSE)</f>
        <v>49565</v>
      </c>
      <c r="Z1519" s="184">
        <f>_xll.qlCalendarAdvance(Calendar,Y1519,NDays&amp;"D")</f>
        <v>49565</v>
      </c>
      <c r="AA1519" s="185">
        <v>4.9777163944711829E-2</v>
      </c>
      <c r="AB1519" s="182">
        <v>4.9574901264489712E-2</v>
      </c>
    </row>
    <row r="1520" spans="17:28" x14ac:dyDescent="0.2">
      <c r="Q1520" s="141"/>
      <c r="T1520" s="141"/>
      <c r="U1520" s="162"/>
      <c r="X1520" s="183" t="str">
        <f t="shared" si="30"/>
        <v>1w</v>
      </c>
      <c r="Y1520" s="181">
        <f>_xll.qlCalendarAdvance(Calendar,Y1519,X1520,"f",FALSE)</f>
        <v>49572</v>
      </c>
      <c r="Z1520" s="184">
        <f>_xll.qlCalendarAdvance(Calendar,Y1520,NDays&amp;"D")</f>
        <v>49572</v>
      </c>
      <c r="AA1520" s="185">
        <v>4.9761481104025576E-2</v>
      </c>
      <c r="AB1520" s="182">
        <v>4.955897753405325E-2</v>
      </c>
    </row>
    <row r="1521" spans="17:28" x14ac:dyDescent="0.2">
      <c r="Q1521" s="141"/>
      <c r="T1521" s="141"/>
      <c r="U1521" s="162"/>
      <c r="X1521" s="183" t="str">
        <f t="shared" si="30"/>
        <v>1w</v>
      </c>
      <c r="Y1521" s="181">
        <f>_xll.qlCalendarAdvance(Calendar,Y1520,X1521,"f",FALSE)</f>
        <v>49579</v>
      </c>
      <c r="Z1521" s="184">
        <f>_xll.qlCalendarAdvance(Calendar,Y1521,NDays&amp;"D")</f>
        <v>49579</v>
      </c>
      <c r="AA1521" s="185">
        <v>4.9745866190294391E-2</v>
      </c>
      <c r="AB1521" s="182">
        <v>4.9543120848180022E-2</v>
      </c>
    </row>
    <row r="1522" spans="17:28" x14ac:dyDescent="0.2">
      <c r="Q1522" s="141"/>
      <c r="T1522" s="141"/>
      <c r="U1522" s="162"/>
      <c r="X1522" s="183" t="str">
        <f t="shared" si="30"/>
        <v>1w</v>
      </c>
      <c r="Y1522" s="181">
        <f>_xll.qlCalendarAdvance(Calendar,Y1521,X1522,"f",FALSE)</f>
        <v>49586</v>
      </c>
      <c r="Z1522" s="184">
        <f>_xll.qlCalendarAdvance(Calendar,Y1522,NDays&amp;"D")</f>
        <v>49586</v>
      </c>
      <c r="AA1522" s="185">
        <v>4.9732595766916292E-2</v>
      </c>
      <c r="AB1522" s="182">
        <v>4.9527331207194214E-2</v>
      </c>
    </row>
    <row r="1523" spans="17:28" x14ac:dyDescent="0.2">
      <c r="Q1523" s="141"/>
      <c r="T1523" s="141"/>
      <c r="U1523" s="162"/>
      <c r="X1523" s="183" t="str">
        <f t="shared" si="30"/>
        <v>1w</v>
      </c>
      <c r="Y1523" s="181">
        <f>_xll.qlCalendarAdvance(Calendar,Y1522,X1523,"f",FALSE)</f>
        <v>49593</v>
      </c>
      <c r="Z1523" s="184">
        <f>_xll.qlCalendarAdvance(Calendar,Y1523,NDays&amp;"D")</f>
        <v>49593</v>
      </c>
      <c r="AA1523" s="185">
        <v>4.9717119461363396E-2</v>
      </c>
      <c r="AB1523" s="182">
        <v>4.9511608610852686E-2</v>
      </c>
    </row>
    <row r="1524" spans="17:28" x14ac:dyDescent="0.2">
      <c r="Q1524" s="141"/>
      <c r="T1524" s="141"/>
      <c r="U1524" s="162"/>
      <c r="X1524" s="183" t="str">
        <f t="shared" si="30"/>
        <v>1w</v>
      </c>
      <c r="Y1524" s="181">
        <f>_xll.qlCalendarAdvance(Calendar,Y1523,X1524,"f",FALSE)</f>
        <v>49600</v>
      </c>
      <c r="Z1524" s="184">
        <f>_xll.qlCalendarAdvance(Calendar,Y1524,NDays&amp;"D")</f>
        <v>49600</v>
      </c>
      <c r="AA1524" s="185">
        <v>4.9701711090212569E-2</v>
      </c>
      <c r="AB1524" s="182">
        <v>4.9495953059398579E-2</v>
      </c>
    </row>
    <row r="1525" spans="17:28" x14ac:dyDescent="0.2">
      <c r="Q1525" s="141"/>
      <c r="T1525" s="141"/>
      <c r="U1525" s="162"/>
      <c r="X1525" s="183" t="str">
        <f t="shared" si="30"/>
        <v>1w</v>
      </c>
      <c r="Y1525" s="181">
        <f>_xll.qlCalendarAdvance(Calendar,Y1524,X1525,"f",FALSE)</f>
        <v>49607</v>
      </c>
      <c r="Z1525" s="184">
        <f>_xll.qlCalendarAdvance(Calendar,Y1525,NDays&amp;"D")</f>
        <v>49607</v>
      </c>
      <c r="AA1525" s="185">
        <v>4.9686370652679772E-2</v>
      </c>
      <c r="AB1525" s="182">
        <v>4.9480364552588751E-2</v>
      </c>
    </row>
    <row r="1526" spans="17:28" x14ac:dyDescent="0.2">
      <c r="Q1526" s="141"/>
      <c r="T1526" s="141"/>
      <c r="U1526" s="162"/>
      <c r="X1526" s="183" t="str">
        <f t="shared" si="30"/>
        <v>1w</v>
      </c>
      <c r="Y1526" s="181">
        <f>_xll.qlCalendarAdvance(Calendar,Y1525,X1526,"f",FALSE)</f>
        <v>49614</v>
      </c>
      <c r="Z1526" s="184">
        <f>_xll.qlCalendarAdvance(Calendar,Y1526,NDays&amp;"D")</f>
        <v>49614</v>
      </c>
      <c r="AA1526" s="185">
        <v>4.9671098147991539E-2</v>
      </c>
      <c r="AB1526" s="182">
        <v>4.9464843090585298E-2</v>
      </c>
    </row>
    <row r="1527" spans="17:28" x14ac:dyDescent="0.2">
      <c r="Q1527" s="141"/>
      <c r="T1527" s="141"/>
      <c r="U1527" s="162"/>
      <c r="X1527" s="183" t="str">
        <f t="shared" si="30"/>
        <v>1w</v>
      </c>
      <c r="Y1527" s="181">
        <f>_xll.qlCalendarAdvance(Calendar,Y1526,X1527,"f",FALSE)</f>
        <v>49621</v>
      </c>
      <c r="Z1527" s="184">
        <f>_xll.qlCalendarAdvance(Calendar,Y1527,NDays&amp;"D")</f>
        <v>49621</v>
      </c>
      <c r="AA1527" s="185">
        <v>4.9655893575371771E-2</v>
      </c>
      <c r="AB1527" s="182">
        <v>4.9449388673307171E-2</v>
      </c>
    </row>
    <row r="1528" spans="17:28" x14ac:dyDescent="0.2">
      <c r="Q1528" s="141"/>
      <c r="T1528" s="141"/>
      <c r="U1528" s="162"/>
      <c r="X1528" s="183" t="str">
        <f t="shared" si="30"/>
        <v>1w</v>
      </c>
      <c r="Y1528" s="181">
        <f>_xll.qlCalendarAdvance(Calendar,Y1527,X1528,"f",FALSE)</f>
        <v>49628</v>
      </c>
      <c r="Z1528" s="184">
        <f>_xll.qlCalendarAdvance(Calendar,Y1528,NDays&amp;"D")</f>
        <v>49628</v>
      </c>
      <c r="AA1528" s="185">
        <v>4.9640756934047875E-2</v>
      </c>
      <c r="AB1528" s="182">
        <v>4.9434001300835417E-2</v>
      </c>
    </row>
    <row r="1529" spans="17:28" x14ac:dyDescent="0.2">
      <c r="Q1529" s="141"/>
      <c r="T1529" s="141"/>
      <c r="U1529" s="162"/>
      <c r="X1529" s="183" t="str">
        <f t="shared" si="30"/>
        <v>1w</v>
      </c>
      <c r="Y1529" s="181">
        <f>_xll.qlCalendarAdvance(Calendar,Y1528,X1529,"f",FALSE)</f>
        <v>49635</v>
      </c>
      <c r="Z1529" s="184">
        <f>_xll.qlCalendarAdvance(Calendar,Y1529,NDays&amp;"D")</f>
        <v>49635</v>
      </c>
      <c r="AA1529" s="185">
        <v>4.9625688223255207E-2</v>
      </c>
      <c r="AB1529" s="182">
        <v>4.9418680972926898E-2</v>
      </c>
    </row>
    <row r="1530" spans="17:28" x14ac:dyDescent="0.2">
      <c r="Q1530" s="141"/>
      <c r="T1530" s="141"/>
      <c r="U1530" s="162"/>
      <c r="X1530" s="183" t="str">
        <f t="shared" si="30"/>
        <v>1w</v>
      </c>
      <c r="Y1530" s="181">
        <f>_xll.qlCalendarAdvance(Calendar,Y1529,X1530,"f",FALSE)</f>
        <v>49642</v>
      </c>
      <c r="Z1530" s="184">
        <f>_xll.qlCalendarAdvance(Calendar,Y1530,NDays&amp;"D")</f>
        <v>49642</v>
      </c>
      <c r="AA1530" s="185">
        <v>4.9610687442226464E-2</v>
      </c>
      <c r="AB1530" s="182">
        <v>4.9403427689824753E-2</v>
      </c>
    </row>
    <row r="1531" spans="17:28" x14ac:dyDescent="0.2">
      <c r="Q1531" s="141"/>
      <c r="T1531" s="141"/>
      <c r="U1531" s="162"/>
      <c r="X1531" s="183" t="str">
        <f t="shared" si="30"/>
        <v>1w</v>
      </c>
      <c r="Y1531" s="181">
        <f>_xll.qlCalendarAdvance(Calendar,Y1530,X1531,"f",FALSE)</f>
        <v>49649</v>
      </c>
      <c r="Z1531" s="184">
        <f>_xll.qlCalendarAdvance(Calendar,Y1531,NDays&amp;"D")</f>
        <v>49649</v>
      </c>
      <c r="AA1531" s="185">
        <v>4.9593452864930741E-2</v>
      </c>
      <c r="AB1531" s="182">
        <v>4.938824145152898E-2</v>
      </c>
    </row>
    <row r="1532" spans="17:28" x14ac:dyDescent="0.2">
      <c r="Q1532" s="141"/>
      <c r="T1532" s="141"/>
      <c r="U1532" s="162"/>
      <c r="X1532" s="183" t="str">
        <f t="shared" si="30"/>
        <v>1w</v>
      </c>
      <c r="Y1532" s="181">
        <f>_xll.qlCalendarAdvance(Calendar,Y1531,X1532,"f",FALSE)</f>
        <v>49656</v>
      </c>
      <c r="Z1532" s="184">
        <f>_xll.qlCalendarAdvance(Calendar,Y1532,NDays&amp;"D")</f>
        <v>49656</v>
      </c>
      <c r="AA1532" s="185">
        <v>4.9578585096771655E-2</v>
      </c>
      <c r="AB1532" s="182">
        <v>4.9373122257715396E-2</v>
      </c>
    </row>
    <row r="1533" spans="17:28" x14ac:dyDescent="0.2">
      <c r="Q1533" s="141"/>
      <c r="T1533" s="141"/>
      <c r="U1533" s="162"/>
      <c r="X1533" s="183" t="str">
        <f t="shared" si="30"/>
        <v>1w</v>
      </c>
      <c r="Y1533" s="181">
        <f>_xll.qlCalendarAdvance(Calendar,Y1532,X1533,"f",FALSE)</f>
        <v>49663</v>
      </c>
      <c r="Z1533" s="184">
        <f>_xll.qlCalendarAdvance(Calendar,Y1533,NDays&amp;"D")</f>
        <v>49663</v>
      </c>
      <c r="AA1533" s="185">
        <v>4.9563785246396042E-2</v>
      </c>
      <c r="AB1533" s="182">
        <v>4.9358070108708185E-2</v>
      </c>
    </row>
    <row r="1534" spans="17:28" x14ac:dyDescent="0.2">
      <c r="Q1534" s="141"/>
      <c r="T1534" s="141"/>
      <c r="U1534" s="162"/>
      <c r="X1534" s="183" t="str">
        <f t="shared" si="30"/>
        <v>1w</v>
      </c>
      <c r="Y1534" s="181">
        <f>_xll.qlCalendarAdvance(Calendar,Y1533,X1534,"f",FALSE)</f>
        <v>49670</v>
      </c>
      <c r="Z1534" s="184">
        <f>_xll.qlCalendarAdvance(Calendar,Y1534,NDays&amp;"D")</f>
        <v>49670</v>
      </c>
      <c r="AA1534" s="185">
        <v>4.9549053313060233E-2</v>
      </c>
      <c r="AB1534" s="182">
        <v>4.9343085004264209E-2</v>
      </c>
    </row>
    <row r="1535" spans="17:28" x14ac:dyDescent="0.2">
      <c r="Q1535" s="141"/>
      <c r="T1535" s="141"/>
      <c r="U1535" s="162"/>
      <c r="X1535" s="183" t="str">
        <f t="shared" si="30"/>
        <v>1w</v>
      </c>
      <c r="Y1535" s="181">
        <f>_xll.qlCalendarAdvance(Calendar,Y1534,X1535,"f",FALSE)</f>
        <v>49677</v>
      </c>
      <c r="Z1535" s="184">
        <f>_xll.qlCalendarAdvance(Calendar,Y1535,NDays&amp;"D")</f>
        <v>49677</v>
      </c>
      <c r="AA1535" s="185">
        <v>4.9534389296027687E-2</v>
      </c>
      <c r="AB1535" s="182">
        <v>4.9328166944626606E-2</v>
      </c>
    </row>
    <row r="1536" spans="17:28" x14ac:dyDescent="0.2">
      <c r="Q1536" s="141"/>
      <c r="T1536" s="141"/>
      <c r="U1536" s="162"/>
      <c r="X1536" s="183" t="str">
        <f t="shared" si="30"/>
        <v>1w</v>
      </c>
      <c r="Y1536" s="181">
        <f>_xll.qlCalendarAdvance(Calendar,Y1535,X1536,"f",FALSE)</f>
        <v>49684</v>
      </c>
      <c r="Z1536" s="184">
        <f>_xll.qlCalendarAdvance(Calendar,Y1536,NDays&amp;"D")</f>
        <v>49684</v>
      </c>
      <c r="AA1536" s="185">
        <v>4.951979319456009E-2</v>
      </c>
      <c r="AB1536" s="182">
        <v>4.9313315929633283E-2</v>
      </c>
    </row>
    <row r="1537" spans="17:28" x14ac:dyDescent="0.2">
      <c r="Q1537" s="141"/>
      <c r="T1537" s="141"/>
      <c r="U1537" s="162"/>
      <c r="X1537" s="183" t="str">
        <f t="shared" si="30"/>
        <v>1w</v>
      </c>
      <c r="Y1537" s="181">
        <f>_xll.qlCalendarAdvance(Calendar,Y1536,X1537,"f",FALSE)</f>
        <v>49691</v>
      </c>
      <c r="Z1537" s="184">
        <f>_xll.qlCalendarAdvance(Calendar,Y1537,NDays&amp;"D")</f>
        <v>49691</v>
      </c>
      <c r="AA1537" s="185">
        <v>4.9505265007927124E-2</v>
      </c>
      <c r="AB1537" s="182">
        <v>4.9298531959203196E-2</v>
      </c>
    </row>
    <row r="1538" spans="17:28" x14ac:dyDescent="0.2">
      <c r="Q1538" s="141"/>
      <c r="T1538" s="141"/>
      <c r="U1538" s="162"/>
      <c r="X1538" s="183" t="str">
        <f t="shared" si="30"/>
        <v>1w</v>
      </c>
      <c r="Y1538" s="181">
        <f>_xll.qlCalendarAdvance(Calendar,Y1537,X1538,"f",FALSE)</f>
        <v>49698</v>
      </c>
      <c r="Z1538" s="184">
        <f>_xll.qlCalendarAdvance(Calendar,Y1538,NDays&amp;"D")</f>
        <v>49698</v>
      </c>
      <c r="AA1538" s="185">
        <v>4.9490804735400268E-2</v>
      </c>
      <c r="AB1538" s="182">
        <v>4.9283815033498435E-2</v>
      </c>
    </row>
    <row r="1539" spans="17:28" x14ac:dyDescent="0.2">
      <c r="Q1539" s="141"/>
      <c r="T1539" s="141"/>
      <c r="U1539" s="162"/>
      <c r="X1539" s="183" t="str">
        <f t="shared" si="30"/>
        <v>1w</v>
      </c>
      <c r="Y1539" s="181">
        <f>_xll.qlCalendarAdvance(Calendar,Y1538,X1539,"f",FALSE)</f>
        <v>49705</v>
      </c>
      <c r="Z1539" s="184">
        <f>_xll.qlCalendarAdvance(Calendar,Y1539,NDays&amp;"D")</f>
        <v>49705</v>
      </c>
      <c r="AA1539" s="185">
        <v>4.9474088113074709E-2</v>
      </c>
      <c r="AB1539" s="182">
        <v>4.9269165152356909E-2</v>
      </c>
    </row>
    <row r="1540" spans="17:28" x14ac:dyDescent="0.2">
      <c r="Q1540" s="141"/>
      <c r="T1540" s="141"/>
      <c r="U1540" s="162"/>
      <c r="X1540" s="183" t="str">
        <f t="shared" si="30"/>
        <v>1w</v>
      </c>
      <c r="Y1540" s="181">
        <f>_xll.qlCalendarAdvance(Calendar,Y1539,X1540,"f",FALSE)</f>
        <v>49712</v>
      </c>
      <c r="Z1540" s="184">
        <f>_xll.qlCalendarAdvance(Calendar,Y1540,NDays&amp;"D")</f>
        <v>49712</v>
      </c>
      <c r="AA1540" s="185">
        <v>4.9459760745854148E-2</v>
      </c>
      <c r="AB1540" s="182">
        <v>4.9254582315940709E-2</v>
      </c>
    </row>
    <row r="1541" spans="17:28" x14ac:dyDescent="0.2">
      <c r="Q1541" s="141"/>
      <c r="T1541" s="141"/>
      <c r="U1541" s="162"/>
      <c r="X1541" s="183" t="str">
        <f t="shared" si="30"/>
        <v>1w</v>
      </c>
      <c r="Y1541" s="181">
        <f>_xll.qlCalendarAdvance(Calendar,Y1540,X1541,"f",FALSE)</f>
        <v>49719</v>
      </c>
      <c r="Z1541" s="184">
        <f>_xll.qlCalendarAdvance(Calendar,Y1541,NDays&amp;"D")</f>
        <v>49719</v>
      </c>
      <c r="AA1541" s="185">
        <v>4.9445501280926722E-2</v>
      </c>
      <c r="AB1541" s="182">
        <v>4.9240066524087744E-2</v>
      </c>
    </row>
    <row r="1542" spans="17:28" x14ac:dyDescent="0.2">
      <c r="Q1542" s="141"/>
      <c r="T1542" s="141"/>
      <c r="U1542" s="162"/>
      <c r="X1542" s="183" t="str">
        <f t="shared" si="30"/>
        <v>1w</v>
      </c>
      <c r="Y1542" s="181">
        <f>_xll.qlCalendarAdvance(Calendar,Y1541,X1542,"f",FALSE)</f>
        <v>49726</v>
      </c>
      <c r="Z1542" s="184">
        <f>_xll.qlCalendarAdvance(Calendar,Y1542,NDays&amp;"D")</f>
        <v>49726</v>
      </c>
      <c r="AA1542" s="185">
        <v>4.9431309717582819E-2</v>
      </c>
      <c r="AB1542" s="182">
        <v>4.9225617776798014E-2</v>
      </c>
    </row>
    <row r="1543" spans="17:28" x14ac:dyDescent="0.2">
      <c r="Q1543" s="141"/>
      <c r="T1543" s="141"/>
      <c r="U1543" s="162"/>
      <c r="X1543" s="183" t="str">
        <f t="shared" si="30"/>
        <v>1w</v>
      </c>
      <c r="Y1543" s="181">
        <f>_xll.qlCalendarAdvance(Calendar,Y1542,X1543,"f",FALSE)</f>
        <v>49733</v>
      </c>
      <c r="Z1543" s="184">
        <f>_xll.qlCalendarAdvance(Calendar,Y1543,NDays&amp;"D")</f>
        <v>49733</v>
      </c>
      <c r="AA1543" s="185">
        <v>4.9417186055121853E-2</v>
      </c>
      <c r="AB1543" s="182">
        <v>4.9211236074152565E-2</v>
      </c>
    </row>
    <row r="1544" spans="17:28" x14ac:dyDescent="0.2">
      <c r="Q1544" s="141"/>
      <c r="T1544" s="141"/>
      <c r="U1544" s="162"/>
      <c r="X1544" s="183" t="str">
        <f t="shared" si="30"/>
        <v>1w</v>
      </c>
      <c r="Y1544" s="181">
        <f>_xll.qlCalendarAdvance(Calendar,Y1543,X1544,"f",FALSE)</f>
        <v>49740</v>
      </c>
      <c r="Z1544" s="184">
        <f>_xll.qlCalendarAdvance(Calendar,Y1544,NDays&amp;"D")</f>
        <v>49740</v>
      </c>
      <c r="AA1544" s="185">
        <v>4.9407808713572636E-2</v>
      </c>
      <c r="AB1544" s="182">
        <v>4.9196921416151396E-2</v>
      </c>
    </row>
    <row r="1545" spans="17:28" x14ac:dyDescent="0.2">
      <c r="Q1545" s="141"/>
      <c r="T1545" s="141"/>
      <c r="U1545" s="162"/>
      <c r="X1545" s="183" t="str">
        <f t="shared" si="30"/>
        <v>1w</v>
      </c>
      <c r="Y1545" s="181">
        <f>_xll.qlCalendarAdvance(Calendar,Y1544,X1545,"f",FALSE)</f>
        <v>49747</v>
      </c>
      <c r="Z1545" s="184">
        <f>_xll.qlCalendarAdvance(Calendar,Y1545,NDays&amp;"D")</f>
        <v>49747</v>
      </c>
      <c r="AA1545" s="185">
        <v>4.939382678968892E-2</v>
      </c>
      <c r="AB1545" s="182">
        <v>4.9182673802632415E-2</v>
      </c>
    </row>
    <row r="1546" spans="17:28" x14ac:dyDescent="0.2">
      <c r="Q1546" s="141"/>
      <c r="T1546" s="141"/>
      <c r="U1546" s="162"/>
      <c r="X1546" s="183" t="str">
        <f t="shared" si="30"/>
        <v>1w</v>
      </c>
      <c r="Y1546" s="181">
        <f>_xll.qlCalendarAdvance(Calendar,Y1545,X1546,"f",FALSE)</f>
        <v>49754</v>
      </c>
      <c r="Z1546" s="184">
        <f>_xll.qlCalendarAdvance(Calendar,Y1546,NDays&amp;"D")</f>
        <v>49754</v>
      </c>
      <c r="AA1546" s="185">
        <v>4.9379912783815663E-2</v>
      </c>
      <c r="AB1546" s="182">
        <v>4.9168493233838761E-2</v>
      </c>
    </row>
    <row r="1547" spans="17:28" x14ac:dyDescent="0.2">
      <c r="Q1547" s="141"/>
      <c r="T1547" s="141"/>
      <c r="U1547" s="162"/>
      <c r="X1547" s="183" t="str">
        <f t="shared" si="30"/>
        <v>1w</v>
      </c>
      <c r="Y1547" s="181">
        <f>_xll.qlCalendarAdvance(Calendar,Y1546,X1547,"f",FALSE)</f>
        <v>49761</v>
      </c>
      <c r="Z1547" s="184">
        <f>_xll.qlCalendarAdvance(Calendar,Y1547,NDays&amp;"D")</f>
        <v>49761</v>
      </c>
      <c r="AA1547" s="185">
        <v>4.9366066695246347E-2</v>
      </c>
      <c r="AB1547" s="182">
        <v>4.9154379709527296E-2</v>
      </c>
    </row>
    <row r="1548" spans="17:28" x14ac:dyDescent="0.2">
      <c r="Q1548" s="141"/>
      <c r="T1548" s="141"/>
      <c r="U1548" s="162"/>
      <c r="X1548" s="183" t="str">
        <f t="shared" si="30"/>
        <v>1w</v>
      </c>
      <c r="Y1548" s="181">
        <f>_xll.qlCalendarAdvance(Calendar,Y1547,X1548,"f",FALSE)</f>
        <v>49768</v>
      </c>
      <c r="Z1548" s="184">
        <f>_xll.qlCalendarAdvance(Calendar,Y1548,NDays&amp;"D")</f>
        <v>49768</v>
      </c>
      <c r="AA1548" s="185">
        <v>4.9349937128079759E-2</v>
      </c>
      <c r="AB1548" s="182">
        <v>4.9140333229779065E-2</v>
      </c>
    </row>
    <row r="1549" spans="17:28" x14ac:dyDescent="0.2">
      <c r="Q1549" s="141"/>
      <c r="T1549" s="141"/>
      <c r="U1549" s="162"/>
      <c r="X1549" s="183" t="str">
        <f t="shared" si="30"/>
        <v>1w</v>
      </c>
      <c r="Y1549" s="181">
        <f>_xll.qlCalendarAdvance(Calendar,Y1548,X1549,"f",FALSE)</f>
        <v>49775</v>
      </c>
      <c r="Z1549" s="184">
        <f>_xll.qlCalendarAdvance(Calendar,Y1549,NDays&amp;"D")</f>
        <v>49775</v>
      </c>
      <c r="AA1549" s="185">
        <v>4.9336223863601043E-2</v>
      </c>
      <c r="AB1549" s="182">
        <v>4.9135597091635175E-2</v>
      </c>
    </row>
    <row r="1550" spans="17:28" x14ac:dyDescent="0.2">
      <c r="Q1550" s="141"/>
      <c r="T1550" s="141"/>
      <c r="U1550" s="162"/>
      <c r="X1550" s="183" t="str">
        <f t="shared" si="30"/>
        <v>1w</v>
      </c>
      <c r="Y1550" s="181">
        <f>_xll.qlCalendarAdvance(Calendar,Y1549,X1550,"f",FALSE)</f>
        <v>49782</v>
      </c>
      <c r="Z1550" s="184">
        <f>_xll.qlCalendarAdvance(Calendar,Y1550,NDays&amp;"D")</f>
        <v>49782</v>
      </c>
      <c r="AA1550" s="185">
        <v>4.9322578504750643E-2</v>
      </c>
      <c r="AB1550" s="182">
        <v>4.9112441403972307E-2</v>
      </c>
    </row>
    <row r="1551" spans="17:28" x14ac:dyDescent="0.2">
      <c r="Q1551" s="141"/>
      <c r="T1551" s="141"/>
      <c r="U1551" s="162"/>
      <c r="X1551" s="183" t="str">
        <f t="shared" si="30"/>
        <v>1w</v>
      </c>
      <c r="Y1551" s="181">
        <f>_xll.qlCalendarAdvance(Calendar,Y1550,X1551,"f",FALSE)</f>
        <v>49789</v>
      </c>
      <c r="Z1551" s="184">
        <f>_xll.qlCalendarAdvance(Calendar,Y1551,NDays&amp;"D")</f>
        <v>49789</v>
      </c>
      <c r="AA1551" s="185">
        <v>4.9309001050844556E-2</v>
      </c>
      <c r="AB1551" s="182">
        <v>4.9105545342509604E-2</v>
      </c>
    </row>
    <row r="1552" spans="17:28" x14ac:dyDescent="0.2">
      <c r="Q1552" s="141"/>
      <c r="T1552" s="141"/>
      <c r="U1552" s="162"/>
      <c r="X1552" s="183" t="str">
        <f t="shared" si="30"/>
        <v>1w</v>
      </c>
      <c r="Y1552" s="181">
        <f>_xll.qlCalendarAdvance(Calendar,Y1551,X1552,"f",FALSE)</f>
        <v>49796</v>
      </c>
      <c r="Z1552" s="184">
        <f>_xll.qlCalendarAdvance(Calendar,Y1552,NDays&amp;"D")</f>
        <v>49796</v>
      </c>
      <c r="AA1552" s="185">
        <v>4.9297854987509368E-2</v>
      </c>
      <c r="AB1552" s="182">
        <v>4.908481775633744E-2</v>
      </c>
    </row>
    <row r="1553" spans="17:28" x14ac:dyDescent="0.2">
      <c r="Q1553" s="141"/>
      <c r="T1553" s="141"/>
      <c r="U1553" s="162"/>
      <c r="X1553" s="183" t="str">
        <f t="shared" si="30"/>
        <v>1w</v>
      </c>
      <c r="Y1553" s="181">
        <f>_xll.qlCalendarAdvance(Calendar,Y1552,X1553,"f",FALSE)</f>
        <v>49803</v>
      </c>
      <c r="Z1553" s="184">
        <f>_xll.qlCalendarAdvance(Calendar,Y1553,NDays&amp;"D")</f>
        <v>49803</v>
      </c>
      <c r="AA1553" s="185">
        <v>4.9284416388143668E-2</v>
      </c>
      <c r="AB1553" s="182">
        <v>4.9071106499324335E-2</v>
      </c>
    </row>
    <row r="1554" spans="17:28" x14ac:dyDescent="0.2">
      <c r="Q1554" s="141"/>
      <c r="T1554" s="141"/>
      <c r="U1554" s="162"/>
      <c r="X1554" s="183" t="str">
        <f t="shared" si="30"/>
        <v>1w</v>
      </c>
      <c r="Y1554" s="181">
        <f>_xll.qlCalendarAdvance(Calendar,Y1553,X1554,"f",FALSE)</f>
        <v>49810</v>
      </c>
      <c r="Z1554" s="184">
        <f>_xll.qlCalendarAdvance(Calendar,Y1554,NDays&amp;"D")</f>
        <v>49810</v>
      </c>
      <c r="AA1554" s="185">
        <v>4.9271045701239392E-2</v>
      </c>
      <c r="AB1554" s="182">
        <v>4.9057462286712372E-2</v>
      </c>
    </row>
    <row r="1555" spans="17:28" x14ac:dyDescent="0.2">
      <c r="Q1555" s="141"/>
      <c r="T1555" s="141"/>
      <c r="U1555" s="162"/>
      <c r="X1555" s="183" t="str">
        <f t="shared" si="30"/>
        <v>1w</v>
      </c>
      <c r="Y1555" s="181">
        <f>_xll.qlCalendarAdvance(Calendar,Y1554,X1555,"f",FALSE)</f>
        <v>49817</v>
      </c>
      <c r="Z1555" s="184">
        <f>_xll.qlCalendarAdvance(Calendar,Y1555,NDays&amp;"D")</f>
        <v>49817</v>
      </c>
      <c r="AA1555" s="185">
        <v>4.9257742926120861E-2</v>
      </c>
      <c r="AB1555" s="182">
        <v>4.904388511874469E-2</v>
      </c>
    </row>
    <row r="1556" spans="17:28" x14ac:dyDescent="0.2">
      <c r="Q1556" s="141"/>
      <c r="T1556" s="141"/>
      <c r="U1556" s="162"/>
      <c r="X1556" s="183" t="str">
        <f t="shared" si="30"/>
        <v>1w</v>
      </c>
      <c r="Y1556" s="181">
        <f>_xll.qlCalendarAdvance(Calendar,Y1555,X1556,"f",FALSE)</f>
        <v>49824</v>
      </c>
      <c r="Z1556" s="184">
        <f>_xll.qlCalendarAdvance(Calendar,Y1556,NDays&amp;"D")</f>
        <v>49824</v>
      </c>
      <c r="AA1556" s="185">
        <v>4.9244508062112405E-2</v>
      </c>
      <c r="AB1556" s="182">
        <v>4.9030374995259196E-2</v>
      </c>
    </row>
    <row r="1557" spans="17:28" x14ac:dyDescent="0.2">
      <c r="Q1557" s="141"/>
      <c r="T1557" s="141"/>
      <c r="U1557" s="162"/>
      <c r="X1557" s="183" t="str">
        <f t="shared" ref="X1557:X1620" si="31">X1556</f>
        <v>1w</v>
      </c>
      <c r="Y1557" s="181">
        <f>_xll.qlCalendarAdvance(Calendar,Y1556,X1557,"f",FALSE)</f>
        <v>49831</v>
      </c>
      <c r="Z1557" s="184">
        <f>_xll.qlCalendarAdvance(Calendar,Y1557,NDays&amp;"D")</f>
        <v>49831</v>
      </c>
      <c r="AA1557" s="185">
        <v>4.9231341108542742E-2</v>
      </c>
      <c r="AB1557" s="182">
        <v>4.9016931916336937E-2</v>
      </c>
    </row>
    <row r="1558" spans="17:28" x14ac:dyDescent="0.2">
      <c r="Q1558" s="141"/>
      <c r="T1558" s="141"/>
      <c r="U1558" s="162"/>
      <c r="X1558" s="183" t="str">
        <f t="shared" si="31"/>
        <v>1w</v>
      </c>
      <c r="Y1558" s="181">
        <f>_xll.qlCalendarAdvance(Calendar,Y1557,X1558,"f",FALSE)</f>
        <v>49838</v>
      </c>
      <c r="Z1558" s="184">
        <f>_xll.qlCalendarAdvance(Calendar,Y1558,NDays&amp;"D")</f>
        <v>49838</v>
      </c>
      <c r="AA1558" s="185">
        <v>4.9218242064744115E-2</v>
      </c>
      <c r="AB1558" s="182">
        <v>4.9003555881815819E-2</v>
      </c>
    </row>
    <row r="1559" spans="17:28" x14ac:dyDescent="0.2">
      <c r="Q1559" s="141"/>
      <c r="T1559" s="141"/>
      <c r="U1559" s="162"/>
      <c r="X1559" s="183" t="str">
        <f t="shared" si="31"/>
        <v>1w</v>
      </c>
      <c r="Y1559" s="181">
        <f>_xll.qlCalendarAdvance(Calendar,Y1558,X1559,"f",FALSE)</f>
        <v>49845</v>
      </c>
      <c r="Z1559" s="184">
        <f>_xll.qlCalendarAdvance(Calendar,Y1559,NDays&amp;"D")</f>
        <v>49845</v>
      </c>
      <c r="AA1559" s="185">
        <v>4.9205210930053193E-2</v>
      </c>
      <c r="AB1559" s="182">
        <v>4.899024689177689E-2</v>
      </c>
    </row>
    <row r="1560" spans="17:28" x14ac:dyDescent="0.2">
      <c r="Q1560" s="141"/>
      <c r="T1560" s="141"/>
      <c r="U1560" s="162"/>
      <c r="X1560" s="183" t="str">
        <f t="shared" si="31"/>
        <v>1w</v>
      </c>
      <c r="Y1560" s="181">
        <f>_xll.qlCalendarAdvance(Calendar,Y1559,X1560,"f",FALSE)</f>
        <v>49852</v>
      </c>
      <c r="Z1560" s="184">
        <f>_xll.qlCalendarAdvance(Calendar,Y1560,NDays&amp;"D")</f>
        <v>49852</v>
      </c>
      <c r="AA1560" s="185">
        <v>4.9192247703810144E-2</v>
      </c>
      <c r="AB1560" s="182">
        <v>4.8977004946301195E-2</v>
      </c>
    </row>
    <row r="1561" spans="17:28" x14ac:dyDescent="0.2">
      <c r="Q1561" s="141"/>
      <c r="T1561" s="141"/>
      <c r="U1561" s="162"/>
      <c r="X1561" s="183" t="str">
        <f t="shared" si="31"/>
        <v>1w</v>
      </c>
      <c r="Y1561" s="181">
        <f>_xll.qlCalendarAdvance(Calendar,Y1560,X1561,"f",FALSE)</f>
        <v>49859</v>
      </c>
      <c r="Z1561" s="184">
        <f>_xll.qlCalendarAdvance(Calendar,Y1561,NDays&amp;"D")</f>
        <v>49859</v>
      </c>
      <c r="AA1561" s="185">
        <v>4.9179352385355146E-2</v>
      </c>
      <c r="AB1561" s="182">
        <v>4.8963830045064549E-2</v>
      </c>
    </row>
    <row r="1562" spans="17:28" x14ac:dyDescent="0.2">
      <c r="Q1562" s="141"/>
      <c r="T1562" s="141"/>
      <c r="U1562" s="162"/>
      <c r="X1562" s="183" t="str">
        <f t="shared" si="31"/>
        <v>1w</v>
      </c>
      <c r="Y1562" s="181">
        <f>_xll.qlCalendarAdvance(Calendar,Y1561,X1562,"f",FALSE)</f>
        <v>49866</v>
      </c>
      <c r="Z1562" s="184">
        <f>_xll.qlCalendarAdvance(Calendar,Y1562,NDays&amp;"D")</f>
        <v>49866</v>
      </c>
      <c r="AA1562" s="185">
        <v>4.9166524974036306E-2</v>
      </c>
      <c r="AB1562" s="182">
        <v>4.8950722188553231E-2</v>
      </c>
    </row>
    <row r="1563" spans="17:28" x14ac:dyDescent="0.2">
      <c r="Q1563" s="141"/>
      <c r="T1563" s="141"/>
      <c r="U1563" s="162"/>
      <c r="X1563" s="183" t="str">
        <f t="shared" si="31"/>
        <v>1w</v>
      </c>
      <c r="Y1563" s="181">
        <f>_xll.qlCalendarAdvance(Calendar,Y1562,X1563,"f",FALSE)</f>
        <v>49873</v>
      </c>
      <c r="Z1563" s="184">
        <f>_xll.qlCalendarAdvance(Calendar,Y1563,NDays&amp;"D")</f>
        <v>49873</v>
      </c>
      <c r="AA1563" s="185">
        <v>4.9153765469202616E-2</v>
      </c>
      <c r="AB1563" s="182">
        <v>4.8937681376362008E-2</v>
      </c>
    </row>
    <row r="1564" spans="17:28" x14ac:dyDescent="0.2">
      <c r="Q1564" s="141"/>
      <c r="T1564" s="141"/>
      <c r="U1564" s="162"/>
      <c r="X1564" s="183" t="str">
        <f t="shared" si="31"/>
        <v>1w</v>
      </c>
      <c r="Y1564" s="181">
        <f>_xll.qlCalendarAdvance(Calendar,Y1563,X1564,"f",FALSE)</f>
        <v>49880</v>
      </c>
      <c r="Z1564" s="184">
        <f>_xll.qlCalendarAdvance(Calendar,Y1564,NDays&amp;"D")</f>
        <v>49880</v>
      </c>
      <c r="AA1564" s="185">
        <v>4.9141073870208336E-2</v>
      </c>
      <c r="AB1564" s="182">
        <v>4.8924707608571927E-2</v>
      </c>
    </row>
    <row r="1565" spans="17:28" x14ac:dyDescent="0.2">
      <c r="Q1565" s="141"/>
      <c r="T1565" s="141"/>
      <c r="U1565" s="162"/>
      <c r="X1565" s="183" t="str">
        <f t="shared" si="31"/>
        <v>1w</v>
      </c>
      <c r="Y1565" s="181">
        <f>_xll.qlCalendarAdvance(Calendar,Y1564,X1565,"f",FALSE)</f>
        <v>49887</v>
      </c>
      <c r="Z1565" s="184">
        <f>_xll.qlCalendarAdvance(Calendar,Y1565,NDays&amp;"D")</f>
        <v>49887</v>
      </c>
      <c r="AA1565" s="185">
        <v>4.9128450176408635E-2</v>
      </c>
      <c r="AB1565" s="182">
        <v>4.8911800885264034E-2</v>
      </c>
    </row>
    <row r="1566" spans="17:28" x14ac:dyDescent="0.2">
      <c r="Q1566" s="141"/>
      <c r="T1566" s="141"/>
      <c r="U1566" s="162"/>
      <c r="X1566" s="183" t="str">
        <f t="shared" si="31"/>
        <v>1w</v>
      </c>
      <c r="Y1566" s="181">
        <f>_xll.qlCalendarAdvance(Calendar,Y1565,X1566,"f",FALSE)</f>
        <v>49894</v>
      </c>
      <c r="Z1566" s="184">
        <f>_xll.qlCalendarAdvance(Calendar,Y1566,NDays&amp;"D")</f>
        <v>49894</v>
      </c>
      <c r="AA1566" s="185">
        <v>4.9115894387163059E-2</v>
      </c>
      <c r="AB1566" s="182">
        <v>4.8898961206357283E-2</v>
      </c>
    </row>
    <row r="1567" spans="17:28" x14ac:dyDescent="0.2">
      <c r="Q1567" s="141"/>
      <c r="T1567" s="141"/>
      <c r="U1567" s="162"/>
      <c r="X1567" s="183" t="str">
        <f t="shared" si="31"/>
        <v>1w</v>
      </c>
      <c r="Y1567" s="181">
        <f>_xll.qlCalendarAdvance(Calendar,Y1566,X1567,"f",FALSE)</f>
        <v>49901</v>
      </c>
      <c r="Z1567" s="184">
        <f>_xll.qlCalendarAdvance(Calendar,Y1567,NDays&amp;"D")</f>
        <v>49901</v>
      </c>
      <c r="AA1567" s="185">
        <v>4.9103406501837338E-2</v>
      </c>
      <c r="AB1567" s="182">
        <v>4.888618857193272E-2</v>
      </c>
    </row>
    <row r="1568" spans="17:28" x14ac:dyDescent="0.2">
      <c r="Q1568" s="141"/>
      <c r="T1568" s="141"/>
      <c r="U1568" s="162"/>
      <c r="X1568" s="183" t="str">
        <f t="shared" si="31"/>
        <v>1w</v>
      </c>
      <c r="Y1568" s="181">
        <f>_xll.qlCalendarAdvance(Calendar,Y1567,X1568,"f",FALSE)</f>
        <v>49908</v>
      </c>
      <c r="Z1568" s="184">
        <f>_xll.qlCalendarAdvance(Calendar,Y1568,NDays&amp;"D")</f>
        <v>49908</v>
      </c>
      <c r="AA1568" s="185">
        <v>4.9090986519796313E-2</v>
      </c>
      <c r="AB1568" s="182">
        <v>4.8873482981990346E-2</v>
      </c>
    </row>
    <row r="1569" spans="17:28" x14ac:dyDescent="0.2">
      <c r="Q1569" s="141"/>
      <c r="T1569" s="141"/>
      <c r="U1569" s="162"/>
      <c r="X1569" s="183" t="str">
        <f t="shared" si="31"/>
        <v>1w</v>
      </c>
      <c r="Y1569" s="181">
        <f>_xll.qlCalendarAdvance(Calendar,Y1568,X1569,"f",FALSE)</f>
        <v>49915</v>
      </c>
      <c r="Z1569" s="184">
        <f>_xll.qlCalendarAdvance(Calendar,Y1569,NDays&amp;"D")</f>
        <v>49915</v>
      </c>
      <c r="AA1569" s="185">
        <v>4.9078634440411877E-2</v>
      </c>
      <c r="AB1569" s="182">
        <v>4.8860844436368067E-2</v>
      </c>
    </row>
    <row r="1570" spans="17:28" x14ac:dyDescent="0.2">
      <c r="Q1570" s="141"/>
      <c r="T1570" s="141"/>
      <c r="U1570" s="162"/>
      <c r="X1570" s="183" t="str">
        <f t="shared" si="31"/>
        <v>1w</v>
      </c>
      <c r="Y1570" s="181">
        <f>_xll.qlCalendarAdvance(Calendar,Y1569,X1570,"f",FALSE)</f>
        <v>49922</v>
      </c>
      <c r="Z1570" s="184">
        <f>_xll.qlCalendarAdvance(Calendar,Y1570,NDays&amp;"D")</f>
        <v>49922</v>
      </c>
      <c r="AA1570" s="185">
        <v>4.9063930480723654E-2</v>
      </c>
      <c r="AB1570" s="182">
        <v>4.884827293514693E-2</v>
      </c>
    </row>
    <row r="1571" spans="17:28" x14ac:dyDescent="0.2">
      <c r="Q1571" s="141"/>
      <c r="T1571" s="141"/>
      <c r="U1571" s="162"/>
      <c r="X1571" s="183" t="str">
        <f t="shared" si="31"/>
        <v>1w</v>
      </c>
      <c r="Y1571" s="181">
        <f>_xll.qlCalendarAdvance(Calendar,Y1570,X1571,"f",FALSE)</f>
        <v>49929</v>
      </c>
      <c r="Z1571" s="184">
        <f>_xll.qlCalendarAdvance(Calendar,Y1571,NDays&amp;"D")</f>
        <v>49929</v>
      </c>
      <c r="AA1571" s="185">
        <v>4.9051710987235E-2</v>
      </c>
      <c r="AB1571" s="182">
        <v>4.8835768478407982E-2</v>
      </c>
    </row>
    <row r="1572" spans="17:28" x14ac:dyDescent="0.2">
      <c r="Q1572" s="141"/>
      <c r="T1572" s="141"/>
      <c r="U1572" s="162"/>
      <c r="X1572" s="183" t="str">
        <f t="shared" si="31"/>
        <v>1w</v>
      </c>
      <c r="Y1572" s="181">
        <f>_xll.qlCalendarAdvance(Calendar,Y1571,X1572,"f",FALSE)</f>
        <v>49936</v>
      </c>
      <c r="Z1572" s="184">
        <f>_xll.qlCalendarAdvance(Calendar,Y1572,NDays&amp;"D")</f>
        <v>49936</v>
      </c>
      <c r="AA1572" s="185">
        <v>4.9039559385104285E-2</v>
      </c>
      <c r="AB1572" s="182">
        <v>4.8823331065908082E-2</v>
      </c>
    </row>
    <row r="1573" spans="17:28" x14ac:dyDescent="0.2">
      <c r="Q1573" s="141"/>
      <c r="T1573" s="141"/>
      <c r="U1573" s="162"/>
      <c r="X1573" s="183" t="str">
        <f t="shared" si="31"/>
        <v>1w</v>
      </c>
      <c r="Y1573" s="181">
        <f>_xll.qlCalendarAdvance(Calendar,Y1572,X1573,"f",FALSE)</f>
        <v>49943</v>
      </c>
      <c r="Z1573" s="184">
        <f>_xll.qlCalendarAdvance(Calendar,Y1573,NDays&amp;"D")</f>
        <v>49943</v>
      </c>
      <c r="AA1573" s="185">
        <v>4.9037196689991264E-2</v>
      </c>
      <c r="AB1573" s="182">
        <v>4.8810960697809325E-2</v>
      </c>
    </row>
    <row r="1574" spans="17:28" x14ac:dyDescent="0.2">
      <c r="Q1574" s="141"/>
      <c r="T1574" s="141"/>
      <c r="U1574" s="162"/>
      <c r="X1574" s="183" t="str">
        <f t="shared" si="31"/>
        <v>1w</v>
      </c>
      <c r="Y1574" s="181">
        <f>_xll.qlCalendarAdvance(Calendar,Y1573,X1574,"f",FALSE)</f>
        <v>49950</v>
      </c>
      <c r="Z1574" s="184">
        <f>_xll.qlCalendarAdvance(Calendar,Y1574,NDays&amp;"D")</f>
        <v>49950</v>
      </c>
      <c r="AA1574" s="185">
        <v>4.901789256152124E-2</v>
      </c>
      <c r="AB1574" s="182">
        <v>4.8798657374192755E-2</v>
      </c>
    </row>
    <row r="1575" spans="17:28" x14ac:dyDescent="0.2">
      <c r="Q1575" s="141"/>
      <c r="T1575" s="141"/>
      <c r="U1575" s="162"/>
      <c r="X1575" s="183" t="str">
        <f t="shared" si="31"/>
        <v>1w</v>
      </c>
      <c r="Y1575" s="181">
        <f>_xll.qlCalendarAdvance(Calendar,Y1574,X1575,"f",FALSE)</f>
        <v>49957</v>
      </c>
      <c r="Z1575" s="184">
        <f>_xll.qlCalendarAdvance(Calendar,Y1575,NDays&amp;"D")</f>
        <v>49957</v>
      </c>
      <c r="AA1575" s="185">
        <v>4.9005947885039342E-2</v>
      </c>
      <c r="AB1575" s="182">
        <v>4.8786421094896282E-2</v>
      </c>
    </row>
    <row r="1576" spans="17:28" x14ac:dyDescent="0.2">
      <c r="Q1576" s="141"/>
      <c r="T1576" s="141"/>
      <c r="U1576" s="162"/>
      <c r="X1576" s="183" t="str">
        <f t="shared" si="31"/>
        <v>1w</v>
      </c>
      <c r="Y1576" s="181">
        <f>_xll.qlCalendarAdvance(Calendar,Y1575,X1576,"f",FALSE)</f>
        <v>49964</v>
      </c>
      <c r="Z1576" s="184">
        <f>_xll.qlCalendarAdvance(Calendar,Y1576,NDays&amp;"D")</f>
        <v>49964</v>
      </c>
      <c r="AA1576" s="185">
        <v>4.8994071106901842E-2</v>
      </c>
      <c r="AB1576" s="182">
        <v>4.8774251859919904E-2</v>
      </c>
    </row>
    <row r="1577" spans="17:28" x14ac:dyDescent="0.2">
      <c r="Q1577" s="141"/>
      <c r="T1577" s="141"/>
      <c r="U1577" s="162"/>
      <c r="X1577" s="183" t="str">
        <f t="shared" si="31"/>
        <v>1w</v>
      </c>
      <c r="Y1577" s="181">
        <f>_xll.qlCalendarAdvance(Calendar,Y1576,X1577,"f",FALSE)</f>
        <v>49971</v>
      </c>
      <c r="Z1577" s="184">
        <f>_xll.qlCalendarAdvance(Calendar,Y1577,NDays&amp;"D")</f>
        <v>49971</v>
      </c>
      <c r="AA1577" s="185">
        <v>4.8982262226505299E-2</v>
      </c>
      <c r="AB1577" s="182">
        <v>4.8762149669425714E-2</v>
      </c>
    </row>
    <row r="1578" spans="17:28" x14ac:dyDescent="0.2">
      <c r="Q1578" s="141"/>
      <c r="T1578" s="141"/>
      <c r="U1578" s="162"/>
      <c r="X1578" s="183" t="str">
        <f t="shared" si="31"/>
        <v>1w</v>
      </c>
      <c r="Y1578" s="181">
        <f>_xll.qlCalendarAdvance(Calendar,Y1577,X1578,"f",FALSE)</f>
        <v>49978</v>
      </c>
      <c r="Z1578" s="184">
        <f>_xll.qlCalendarAdvance(Calendar,Y1578,NDays&amp;"D")</f>
        <v>49978</v>
      </c>
      <c r="AA1578" s="185">
        <v>4.8970521243255079E-2</v>
      </c>
      <c r="AB1578" s="182">
        <v>4.8750114523170573E-2</v>
      </c>
    </row>
    <row r="1579" spans="17:28" x14ac:dyDescent="0.2">
      <c r="Q1579" s="141"/>
      <c r="T1579" s="141"/>
      <c r="U1579" s="162"/>
      <c r="X1579" s="183" t="str">
        <f t="shared" si="31"/>
        <v>1w</v>
      </c>
      <c r="Y1579" s="181">
        <f>_xll.qlCalendarAdvance(Calendar,Y1578,X1579,"f",FALSE)</f>
        <v>49985</v>
      </c>
      <c r="Z1579" s="184">
        <f>_xll.qlCalendarAdvance(Calendar,Y1579,NDays&amp;"D")</f>
        <v>49985</v>
      </c>
      <c r="AA1579" s="185">
        <v>4.8958848156550383E-2</v>
      </c>
      <c r="AB1579" s="182">
        <v>4.8738146421235529E-2</v>
      </c>
    </row>
    <row r="1580" spans="17:28" x14ac:dyDescent="0.2">
      <c r="Q1580" s="141"/>
      <c r="T1580" s="141"/>
      <c r="U1580" s="162"/>
      <c r="X1580" s="183" t="str">
        <f t="shared" si="31"/>
        <v>1w</v>
      </c>
      <c r="Y1580" s="181">
        <f>_xll.qlCalendarAdvance(Calendar,Y1579,X1580,"f",FALSE)</f>
        <v>49992</v>
      </c>
      <c r="Z1580" s="184">
        <f>_xll.qlCalendarAdvance(Calendar,Y1580,NDays&amp;"D")</f>
        <v>49992</v>
      </c>
      <c r="AA1580" s="185">
        <v>4.8947242965804508E-2</v>
      </c>
      <c r="AB1580" s="182">
        <v>4.8726245363701626E-2</v>
      </c>
    </row>
    <row r="1581" spans="17:28" x14ac:dyDescent="0.2">
      <c r="Q1581" s="141"/>
      <c r="T1581" s="141"/>
      <c r="U1581" s="162"/>
      <c r="X1581" s="183" t="str">
        <f t="shared" si="31"/>
        <v>1w</v>
      </c>
      <c r="Y1581" s="181">
        <f>_xll.qlCalendarAdvance(Calendar,Y1580,X1581,"f",FALSE)</f>
        <v>49999</v>
      </c>
      <c r="Z1581" s="184">
        <f>_xll.qlCalendarAdvance(Calendar,Y1581,NDays&amp;"D")</f>
        <v>49999</v>
      </c>
      <c r="AA1581" s="185">
        <v>4.8935705670423699E-2</v>
      </c>
      <c r="AB1581" s="182">
        <v>4.8714411350406772E-2</v>
      </c>
    </row>
    <row r="1582" spans="17:28" x14ac:dyDescent="0.2">
      <c r="Q1582" s="141"/>
      <c r="T1582" s="141"/>
      <c r="U1582" s="162"/>
      <c r="X1582" s="183" t="str">
        <f t="shared" si="31"/>
        <v>1w</v>
      </c>
      <c r="Y1582" s="181">
        <f>_xll.qlCalendarAdvance(Calendar,Y1581,X1582,"f",FALSE)</f>
        <v>50006</v>
      </c>
      <c r="Z1582" s="184">
        <f>_xll.qlCalendarAdvance(Calendar,Y1582,NDays&amp;"D")</f>
        <v>50006</v>
      </c>
      <c r="AA1582" s="185">
        <v>4.8924236269828295E-2</v>
      </c>
      <c r="AB1582" s="182">
        <v>4.8702644381675153E-2</v>
      </c>
    </row>
    <row r="1583" spans="17:28" x14ac:dyDescent="0.2">
      <c r="Q1583" s="141"/>
      <c r="T1583" s="141"/>
      <c r="U1583" s="162"/>
      <c r="X1583" s="183" t="str">
        <f t="shared" si="31"/>
        <v>1w</v>
      </c>
      <c r="Y1583" s="181">
        <f>_xll.qlCalendarAdvance(Calendar,Y1582,X1583,"f",FALSE)</f>
        <v>50013</v>
      </c>
      <c r="Z1583" s="184">
        <f>_xll.qlCalendarAdvance(Calendar,Y1583,NDays&amp;"D")</f>
        <v>50013</v>
      </c>
      <c r="AA1583" s="185">
        <v>4.890791061405305E-2</v>
      </c>
      <c r="AB1583" s="182">
        <v>4.8690944456858398E-2</v>
      </c>
    </row>
    <row r="1584" spans="17:28" x14ac:dyDescent="0.2">
      <c r="Q1584" s="141"/>
      <c r="T1584" s="141"/>
      <c r="U1584" s="162"/>
      <c r="X1584" s="183" t="str">
        <f t="shared" si="31"/>
        <v>1w</v>
      </c>
      <c r="Y1584" s="181">
        <f>_xll.qlCalendarAdvance(Calendar,Y1583,X1584,"f",FALSE)</f>
        <v>50020</v>
      </c>
      <c r="Z1584" s="184">
        <f>_xll.qlCalendarAdvance(Calendar,Y1584,NDays&amp;"D")</f>
        <v>50020</v>
      </c>
      <c r="AA1584" s="185">
        <v>4.889657032323097E-2</v>
      </c>
      <c r="AB1584" s="182">
        <v>4.8679311576685924E-2</v>
      </c>
    </row>
    <row r="1585" spans="17:28" x14ac:dyDescent="0.2">
      <c r="Q1585" s="141"/>
      <c r="T1585" s="141"/>
      <c r="U1585" s="162"/>
      <c r="X1585" s="183" t="str">
        <f t="shared" si="31"/>
        <v>1w</v>
      </c>
      <c r="Y1585" s="181">
        <f>_xll.qlCalendarAdvance(Calendar,Y1584,X1585,"f",FALSE)</f>
        <v>50027</v>
      </c>
      <c r="Z1585" s="184">
        <f>_xll.qlCalendarAdvance(Calendar,Y1585,NDays&amp;"D")</f>
        <v>50027</v>
      </c>
      <c r="AA1585" s="185">
        <v>4.8885297906769869E-2</v>
      </c>
      <c r="AB1585" s="182">
        <v>4.8667745740752499E-2</v>
      </c>
    </row>
    <row r="1586" spans="17:28" x14ac:dyDescent="0.2">
      <c r="Q1586" s="141"/>
      <c r="T1586" s="141"/>
      <c r="U1586" s="162"/>
      <c r="X1586" s="183" t="str">
        <f t="shared" si="31"/>
        <v>1w</v>
      </c>
      <c r="Y1586" s="181">
        <f>_xll.qlCalendarAdvance(Calendar,Y1585,X1586,"f",FALSE)</f>
        <v>50038</v>
      </c>
      <c r="Z1586" s="184">
        <f>_xll.qlCalendarAdvance(Calendar,Y1586,NDays&amp;"D")</f>
        <v>50038</v>
      </c>
      <c r="AA1586" s="185">
        <v>4.887019501354635E-2</v>
      </c>
      <c r="AB1586" s="182">
        <v>4.8649706312473562E-2</v>
      </c>
    </row>
    <row r="1587" spans="17:28" x14ac:dyDescent="0.2">
      <c r="Q1587" s="141"/>
      <c r="T1587" s="141"/>
      <c r="U1587" s="162"/>
      <c r="X1587" s="183" t="str">
        <f t="shared" si="31"/>
        <v>1w</v>
      </c>
      <c r="Y1587" s="181">
        <f>_xll.qlCalendarAdvance(Calendar,Y1586,X1587,"f",FALSE)</f>
        <v>50045</v>
      </c>
      <c r="Z1587" s="184">
        <f>_xll.qlCalendarAdvance(Calendar,Y1587,NDays&amp;"D")</f>
        <v>50045</v>
      </c>
      <c r="AA1587" s="185">
        <v>4.8861578187182508E-2</v>
      </c>
      <c r="AB1587" s="182">
        <v>4.8638312876081446E-2</v>
      </c>
    </row>
    <row r="1588" spans="17:28" x14ac:dyDescent="0.2">
      <c r="Q1588" s="141"/>
      <c r="T1588" s="141"/>
      <c r="U1588" s="162"/>
      <c r="X1588" s="183" t="str">
        <f t="shared" si="31"/>
        <v>1w</v>
      </c>
      <c r="Y1588" s="181">
        <f>_xll.qlCalendarAdvance(Calendar,Y1587,X1588,"f",FALSE)</f>
        <v>50052</v>
      </c>
      <c r="Z1588" s="184">
        <f>_xll.qlCalendarAdvance(Calendar,Y1588,NDays&amp;"D")</f>
        <v>50052</v>
      </c>
      <c r="AA1588" s="185">
        <v>4.8848073868945178E-2</v>
      </c>
      <c r="AB1588" s="182">
        <v>4.8626986483928381E-2</v>
      </c>
    </row>
    <row r="1589" spans="17:28" x14ac:dyDescent="0.2">
      <c r="Q1589" s="141"/>
      <c r="T1589" s="141"/>
      <c r="U1589" s="162"/>
      <c r="X1589" s="183" t="str">
        <f t="shared" si="31"/>
        <v>1w</v>
      </c>
      <c r="Y1589" s="181">
        <f>_xll.qlCalendarAdvance(Calendar,Y1588,X1589,"f",FALSE)</f>
        <v>50059</v>
      </c>
      <c r="Z1589" s="184">
        <f>_xll.qlCalendarAdvance(Calendar,Y1589,NDays&amp;"D")</f>
        <v>50059</v>
      </c>
      <c r="AA1589" s="185">
        <v>4.8837115118644289E-2</v>
      </c>
      <c r="AB1589" s="182">
        <v>4.8615727136257503E-2</v>
      </c>
    </row>
    <row r="1590" spans="17:28" x14ac:dyDescent="0.2">
      <c r="Q1590" s="141"/>
      <c r="T1590" s="141"/>
      <c r="U1590" s="162"/>
      <c r="X1590" s="183" t="str">
        <f t="shared" si="31"/>
        <v>1w</v>
      </c>
      <c r="Y1590" s="181">
        <f>_xll.qlCalendarAdvance(Calendar,Y1589,X1590,"f",FALSE)</f>
        <v>50067</v>
      </c>
      <c r="Z1590" s="184">
        <f>_xll.qlCalendarAdvance(Calendar,Y1590,NDays&amp;"D")</f>
        <v>50067</v>
      </c>
      <c r="AA1590" s="185">
        <v>4.8822186150576603E-2</v>
      </c>
      <c r="AB1590" s="182">
        <v>4.8602941405159195E-2</v>
      </c>
    </row>
    <row r="1591" spans="17:28" x14ac:dyDescent="0.2">
      <c r="Q1591" s="141"/>
      <c r="T1591" s="141"/>
      <c r="U1591" s="162"/>
      <c r="X1591" s="183" t="str">
        <f t="shared" si="31"/>
        <v>1w</v>
      </c>
      <c r="Y1591" s="181">
        <f>_xll.qlCalendarAdvance(Calendar,Y1590,X1591,"f",FALSE)</f>
        <v>50074</v>
      </c>
      <c r="Z1591" s="184">
        <f>_xll.qlCalendarAdvance(Calendar,Y1591,NDays&amp;"D")</f>
        <v>50074</v>
      </c>
      <c r="AA1591" s="185">
        <v>4.8811369447642187E-2</v>
      </c>
      <c r="AB1591" s="182">
        <v>4.8591825723529602E-2</v>
      </c>
    </row>
    <row r="1592" spans="17:28" x14ac:dyDescent="0.2">
      <c r="Q1592" s="141"/>
      <c r="T1592" s="141"/>
      <c r="U1592" s="162"/>
      <c r="X1592" s="183" t="str">
        <f t="shared" si="31"/>
        <v>1w</v>
      </c>
      <c r="Y1592" s="181">
        <f>_xll.qlCalendarAdvance(Calendar,Y1591,X1592,"f",FALSE)</f>
        <v>50081</v>
      </c>
      <c r="Z1592" s="184">
        <f>_xll.qlCalendarAdvance(Calendar,Y1592,NDays&amp;"D")</f>
        <v>50081</v>
      </c>
      <c r="AA1592" s="185">
        <v>4.8800620614843533E-2</v>
      </c>
      <c r="AB1592" s="182">
        <v>4.8580777086301152E-2</v>
      </c>
    </row>
    <row r="1593" spans="17:28" x14ac:dyDescent="0.2">
      <c r="Q1593" s="141"/>
      <c r="T1593" s="141"/>
      <c r="U1593" s="162"/>
      <c r="X1593" s="183" t="str">
        <f t="shared" si="31"/>
        <v>1w</v>
      </c>
      <c r="Y1593" s="181">
        <f>_xll.qlCalendarAdvance(Calendar,Y1592,X1593,"f",FALSE)</f>
        <v>50088</v>
      </c>
      <c r="Z1593" s="184">
        <f>_xll.qlCalendarAdvance(Calendar,Y1593,NDays&amp;"D")</f>
        <v>50088</v>
      </c>
      <c r="AA1593" s="185">
        <v>4.8789939651643952E-2</v>
      </c>
      <c r="AB1593" s="182">
        <v>4.8569795493230705E-2</v>
      </c>
    </row>
    <row r="1594" spans="17:28" x14ac:dyDescent="0.2">
      <c r="Q1594" s="141"/>
      <c r="T1594" s="141"/>
      <c r="U1594" s="162"/>
      <c r="X1594" s="183" t="str">
        <f t="shared" si="31"/>
        <v>1w</v>
      </c>
      <c r="Y1594" s="181">
        <f>_xll.qlCalendarAdvance(Calendar,Y1593,X1594,"f",FALSE)</f>
        <v>50095</v>
      </c>
      <c r="Z1594" s="184">
        <f>_xll.qlCalendarAdvance(Calendar,Y1594,NDays&amp;"D")</f>
        <v>50095</v>
      </c>
      <c r="AA1594" s="185">
        <v>4.8779326557514824E-2</v>
      </c>
      <c r="AB1594" s="182">
        <v>4.8558880944480354E-2</v>
      </c>
    </row>
    <row r="1595" spans="17:28" x14ac:dyDescent="0.2">
      <c r="Q1595" s="141"/>
      <c r="T1595" s="141"/>
      <c r="U1595" s="162"/>
      <c r="X1595" s="183" t="str">
        <f t="shared" si="31"/>
        <v>1w</v>
      </c>
      <c r="Y1595" s="181">
        <f>_xll.qlCalendarAdvance(Calendar,Y1594,X1595,"f",FALSE)</f>
        <v>50102</v>
      </c>
      <c r="Z1595" s="184">
        <f>_xll.qlCalendarAdvance(Calendar,Y1595,NDays&amp;"D")</f>
        <v>50102</v>
      </c>
      <c r="AA1595" s="185">
        <v>4.877379177660978E-2</v>
      </c>
      <c r="AB1595" s="182">
        <v>4.8548033439888005E-2</v>
      </c>
    </row>
    <row r="1596" spans="17:28" x14ac:dyDescent="0.2">
      <c r="Q1596" s="141"/>
      <c r="T1596" s="141"/>
      <c r="U1596" s="162"/>
      <c r="X1596" s="183" t="str">
        <f t="shared" si="31"/>
        <v>1w</v>
      </c>
      <c r="Y1596" s="181">
        <f>_xll.qlCalendarAdvance(Calendar,Y1595,X1596,"f",FALSE)</f>
        <v>50109</v>
      </c>
      <c r="Z1596" s="184">
        <f>_xll.qlCalendarAdvance(Calendar,Y1596,NDays&amp;"D")</f>
        <v>50109</v>
      </c>
      <c r="AA1596" s="185">
        <v>4.876332133384758E-2</v>
      </c>
      <c r="AB1596" s="182">
        <v>4.8537252979615753E-2</v>
      </c>
    </row>
    <row r="1597" spans="17:28" x14ac:dyDescent="0.2">
      <c r="Q1597" s="141"/>
      <c r="T1597" s="141"/>
      <c r="U1597" s="162"/>
      <c r="X1597" s="183" t="str">
        <f t="shared" si="31"/>
        <v>1w</v>
      </c>
      <c r="Y1597" s="181">
        <f>_xll.qlCalendarAdvance(Calendar,Y1596,X1597,"f",FALSE)</f>
        <v>50116</v>
      </c>
      <c r="Z1597" s="184">
        <f>_xll.qlCalendarAdvance(Calendar,Y1597,NDays&amp;"D")</f>
        <v>50116</v>
      </c>
      <c r="AA1597" s="185">
        <v>4.8752918777127487E-2</v>
      </c>
      <c r="AB1597" s="182">
        <v>4.8526539563420457E-2</v>
      </c>
    </row>
    <row r="1598" spans="17:28" x14ac:dyDescent="0.2">
      <c r="Q1598" s="141"/>
      <c r="T1598" s="141"/>
      <c r="U1598" s="162"/>
      <c r="X1598" s="183" t="str">
        <f t="shared" si="31"/>
        <v>1w</v>
      </c>
      <c r="Y1598" s="181">
        <f>_xll.qlCalendarAdvance(Calendar,Y1597,X1598,"f",FALSE)</f>
        <v>50123</v>
      </c>
      <c r="Z1598" s="184">
        <f>_xll.qlCalendarAdvance(Calendar,Y1598,NDays&amp;"D")</f>
        <v>50123</v>
      </c>
      <c r="AA1598" s="185">
        <v>4.8742584105923574E-2</v>
      </c>
      <c r="AB1598" s="182">
        <v>4.8515893191545256E-2</v>
      </c>
    </row>
    <row r="1599" spans="17:28" x14ac:dyDescent="0.2">
      <c r="Q1599" s="141"/>
      <c r="T1599" s="141"/>
      <c r="U1599" s="162"/>
      <c r="X1599" s="183" t="str">
        <f t="shared" si="31"/>
        <v>1w</v>
      </c>
      <c r="Y1599" s="181">
        <f>_xll.qlCalendarAdvance(Calendar,Y1598,X1599,"f",FALSE)</f>
        <v>50130</v>
      </c>
      <c r="Z1599" s="184">
        <f>_xll.qlCalendarAdvance(Calendar,Y1599,NDays&amp;"D")</f>
        <v>50130</v>
      </c>
      <c r="AA1599" s="185">
        <v>4.8729797933510906E-2</v>
      </c>
      <c r="AB1599" s="182">
        <v>4.8505313863909105E-2</v>
      </c>
    </row>
    <row r="1600" spans="17:28" x14ac:dyDescent="0.2">
      <c r="Q1600" s="141"/>
      <c r="T1600" s="141"/>
      <c r="U1600" s="162"/>
      <c r="X1600" s="183" t="str">
        <f t="shared" si="31"/>
        <v>1w</v>
      </c>
      <c r="Y1600" s="181">
        <f>_xll.qlCalendarAdvance(Calendar,Y1599,X1600,"f",FALSE)</f>
        <v>50137</v>
      </c>
      <c r="Z1600" s="184">
        <f>_xll.qlCalendarAdvance(Calendar,Y1600,NDays&amp;"D")</f>
        <v>50137</v>
      </c>
      <c r="AA1600" s="185">
        <v>4.8719595536750218E-2</v>
      </c>
      <c r="AB1600" s="182">
        <v>4.8494801580512004E-2</v>
      </c>
    </row>
    <row r="1601" spans="17:28" x14ac:dyDescent="0.2">
      <c r="Q1601" s="141"/>
      <c r="T1601" s="141"/>
      <c r="U1601" s="162"/>
      <c r="X1601" s="183" t="str">
        <f t="shared" si="31"/>
        <v>1w</v>
      </c>
      <c r="Y1601" s="181">
        <f>_xll.qlCalendarAdvance(Calendar,Y1600,X1601,"f",FALSE)</f>
        <v>50144</v>
      </c>
      <c r="Z1601" s="184">
        <f>_xll.qlCalendarAdvance(Calendar,Y1601,NDays&amp;"D")</f>
        <v>50144</v>
      </c>
      <c r="AA1601" s="185">
        <v>4.870946101469735E-2</v>
      </c>
      <c r="AB1601" s="182">
        <v>4.8484356341272905E-2</v>
      </c>
    </row>
    <row r="1602" spans="17:28" x14ac:dyDescent="0.2">
      <c r="Q1602" s="141"/>
      <c r="T1602" s="141"/>
      <c r="U1602" s="162"/>
      <c r="X1602" s="183" t="str">
        <f t="shared" si="31"/>
        <v>1w</v>
      </c>
      <c r="Y1602" s="181">
        <f>_xll.qlCalendarAdvance(Calendar,Y1601,X1602,"f",FALSE)</f>
        <v>50151</v>
      </c>
      <c r="Z1602" s="184">
        <f>_xll.qlCalendarAdvance(Calendar,Y1602,NDays&amp;"D")</f>
        <v>50151</v>
      </c>
      <c r="AA1602" s="185">
        <v>4.869939436684019E-2</v>
      </c>
      <c r="AB1602" s="182">
        <v>4.847397814619181E-2</v>
      </c>
    </row>
    <row r="1603" spans="17:28" x14ac:dyDescent="0.2">
      <c r="Q1603" s="141"/>
      <c r="T1603" s="141"/>
      <c r="U1603" s="162"/>
      <c r="X1603" s="183" t="str">
        <f t="shared" si="31"/>
        <v>1w</v>
      </c>
      <c r="Y1603" s="181">
        <f>_xll.qlCalendarAdvance(Calendar,Y1602,X1603,"f",FALSE)</f>
        <v>50158</v>
      </c>
      <c r="Z1603" s="184">
        <f>_xll.qlCalendarAdvance(Calendar,Y1603,NDays&amp;"D")</f>
        <v>50158</v>
      </c>
      <c r="AA1603" s="185">
        <v>4.8689395592677334E-2</v>
      </c>
      <c r="AB1603" s="182">
        <v>4.8463666995349763E-2</v>
      </c>
    </row>
    <row r="1604" spans="17:28" x14ac:dyDescent="0.2">
      <c r="Q1604" s="141"/>
      <c r="T1604" s="141"/>
      <c r="U1604" s="162"/>
      <c r="X1604" s="183" t="str">
        <f t="shared" si="31"/>
        <v>1w</v>
      </c>
      <c r="Y1604" s="181">
        <f>_xll.qlCalendarAdvance(Calendar,Y1603,X1604,"f",FALSE)</f>
        <v>50165</v>
      </c>
      <c r="Z1604" s="184">
        <f>_xll.qlCalendarAdvance(Calendar,Y1604,NDays&amp;"D")</f>
        <v>50165</v>
      </c>
      <c r="AA1604" s="185">
        <v>4.8682001645449592E-2</v>
      </c>
      <c r="AB1604" s="182">
        <v>4.8453422888503628E-2</v>
      </c>
    </row>
    <row r="1605" spans="17:28" x14ac:dyDescent="0.2">
      <c r="Q1605" s="141"/>
      <c r="T1605" s="141"/>
      <c r="U1605" s="162"/>
      <c r="X1605" s="183" t="str">
        <f t="shared" si="31"/>
        <v>1w</v>
      </c>
      <c r="Y1605" s="181">
        <f>_xll.qlCalendarAdvance(Calendar,Y1604,X1605,"f",FALSE)</f>
        <v>50172</v>
      </c>
      <c r="Z1605" s="184">
        <f>_xll.qlCalendarAdvance(Calendar,Y1605,NDays&amp;"D")</f>
        <v>50172</v>
      </c>
      <c r="AA1605" s="185">
        <v>4.8672142158384266E-2</v>
      </c>
      <c r="AB1605" s="182">
        <v>4.844324582613968E-2</v>
      </c>
    </row>
    <row r="1606" spans="17:28" x14ac:dyDescent="0.2">
      <c r="Q1606" s="141"/>
      <c r="T1606" s="141"/>
      <c r="U1606" s="162"/>
      <c r="X1606" s="183" t="str">
        <f t="shared" si="31"/>
        <v>1w</v>
      </c>
      <c r="Y1606" s="181">
        <f>_xll.qlCalendarAdvance(Calendar,Y1605,X1606,"f",FALSE)</f>
        <v>50179</v>
      </c>
      <c r="Z1606" s="184">
        <f>_xll.qlCalendarAdvance(Calendar,Y1606,NDays&amp;"D")</f>
        <v>50179</v>
      </c>
      <c r="AA1606" s="185">
        <v>4.8662350552739639E-2</v>
      </c>
      <c r="AB1606" s="182">
        <v>4.8433135807690597E-2</v>
      </c>
    </row>
    <row r="1607" spans="17:28" x14ac:dyDescent="0.2">
      <c r="Q1607" s="141"/>
      <c r="T1607" s="141"/>
      <c r="U1607" s="162"/>
      <c r="X1607" s="183" t="str">
        <f t="shared" si="31"/>
        <v>1w</v>
      </c>
      <c r="Y1607" s="181">
        <f>_xll.qlCalendarAdvance(Calendar,Y1606,X1607,"f",FALSE)</f>
        <v>50186</v>
      </c>
      <c r="Z1607" s="184">
        <f>_xll.qlCalendarAdvance(Calendar,Y1607,NDays&amp;"D")</f>
        <v>50186</v>
      </c>
      <c r="AA1607" s="185">
        <v>4.8652626828020629E-2</v>
      </c>
      <c r="AB1607" s="182">
        <v>4.8423092833642656E-2</v>
      </c>
    </row>
    <row r="1608" spans="17:28" x14ac:dyDescent="0.2">
      <c r="Q1608" s="141"/>
      <c r="T1608" s="141"/>
      <c r="U1608" s="162"/>
      <c r="X1608" s="183" t="str">
        <f t="shared" si="31"/>
        <v>1w</v>
      </c>
      <c r="Y1608" s="181">
        <f>_xll.qlCalendarAdvance(Calendar,Y1607,X1608,"f",FALSE)</f>
        <v>50193</v>
      </c>
      <c r="Z1608" s="184">
        <f>_xll.qlCalendarAdvance(Calendar,Y1608,NDays&amp;"D")</f>
        <v>50193</v>
      </c>
      <c r="AA1608" s="185">
        <v>4.8642970983733907E-2</v>
      </c>
      <c r="AB1608" s="182">
        <v>4.8413116903509579E-2</v>
      </c>
    </row>
    <row r="1609" spans="17:28" x14ac:dyDescent="0.2">
      <c r="Q1609" s="141"/>
      <c r="T1609" s="141"/>
      <c r="U1609" s="162"/>
      <c r="X1609" s="183" t="str">
        <f t="shared" si="31"/>
        <v>1w</v>
      </c>
      <c r="Y1609" s="181">
        <f>_xll.qlCalendarAdvance(Calendar,Y1608,X1609,"f",FALSE)</f>
        <v>50200</v>
      </c>
      <c r="Z1609" s="184">
        <f>_xll.qlCalendarAdvance(Calendar,Y1609,NDays&amp;"D")</f>
        <v>50200</v>
      </c>
      <c r="AA1609" s="185">
        <v>4.863338301938791E-2</v>
      </c>
      <c r="AB1609" s="182">
        <v>4.8403208017615551E-2</v>
      </c>
    </row>
    <row r="1610" spans="17:28" x14ac:dyDescent="0.2">
      <c r="Q1610" s="141"/>
      <c r="T1610" s="141"/>
      <c r="U1610" s="162"/>
      <c r="X1610" s="183" t="str">
        <f t="shared" si="31"/>
        <v>1w</v>
      </c>
      <c r="Y1610" s="181">
        <f>_xll.qlCalendarAdvance(Calendar,Y1609,X1610,"f",FALSE)</f>
        <v>50207</v>
      </c>
      <c r="Z1610" s="184">
        <f>_xll.qlCalendarAdvance(Calendar,Y1610,NDays&amp;"D")</f>
        <v>50207</v>
      </c>
      <c r="AA1610" s="185">
        <v>4.8623862934501647E-2</v>
      </c>
      <c r="AB1610" s="182">
        <v>4.8393366175960573E-2</v>
      </c>
    </row>
    <row r="1611" spans="17:28" x14ac:dyDescent="0.2">
      <c r="Q1611" s="141"/>
      <c r="T1611" s="141"/>
      <c r="U1611" s="162"/>
      <c r="X1611" s="183" t="str">
        <f t="shared" si="31"/>
        <v>1w</v>
      </c>
      <c r="Y1611" s="181">
        <f>_xll.qlCalendarAdvance(Calendar,Y1610,X1611,"f",FALSE)</f>
        <v>50214</v>
      </c>
      <c r="Z1611" s="184">
        <f>_xll.qlCalendarAdvance(Calendar,Y1611,NDays&amp;"D")</f>
        <v>50214</v>
      </c>
      <c r="AA1611" s="185">
        <v>4.8614410728587083E-2</v>
      </c>
      <c r="AB1611" s="182">
        <v>4.8383591378382551E-2</v>
      </c>
    </row>
    <row r="1612" spans="17:28" x14ac:dyDescent="0.2">
      <c r="Q1612" s="141"/>
      <c r="T1612" s="141"/>
      <c r="U1612" s="162"/>
      <c r="X1612" s="183" t="str">
        <f t="shared" si="31"/>
        <v>1w</v>
      </c>
      <c r="Y1612" s="181">
        <f>_xll.qlCalendarAdvance(Calendar,Y1611,X1612,"f",FALSE)</f>
        <v>50221</v>
      </c>
      <c r="Z1612" s="184">
        <f>_xll.qlCalendarAdvance(Calendar,Y1612,NDays&amp;"D")</f>
        <v>50221</v>
      </c>
      <c r="AA1612" s="185">
        <v>4.8605026401167623E-2</v>
      </c>
      <c r="AB1612" s="182">
        <v>4.8373883625043579E-2</v>
      </c>
    </row>
    <row r="1613" spans="17:28" x14ac:dyDescent="0.2">
      <c r="Q1613" s="141"/>
      <c r="T1613" s="141"/>
      <c r="U1613" s="162"/>
      <c r="X1613" s="183" t="str">
        <f t="shared" si="31"/>
        <v>1w</v>
      </c>
      <c r="Y1613" s="181">
        <f>_xll.qlCalendarAdvance(Calendar,Y1612,X1613,"f",FALSE)</f>
        <v>50228</v>
      </c>
      <c r="Z1613" s="184">
        <f>_xll.qlCalendarAdvance(Calendar,Y1613,NDays&amp;"D")</f>
        <v>50228</v>
      </c>
      <c r="AA1613" s="185">
        <v>4.859570995176668E-2</v>
      </c>
      <c r="AB1613" s="182">
        <v>4.8364242915700517E-2</v>
      </c>
    </row>
    <row r="1614" spans="17:28" x14ac:dyDescent="0.2">
      <c r="Q1614" s="141"/>
      <c r="T1614" s="141"/>
      <c r="U1614" s="162"/>
      <c r="X1614" s="183" t="str">
        <f t="shared" si="31"/>
        <v>1w</v>
      </c>
      <c r="Y1614" s="181">
        <f>_xll.qlCalendarAdvance(Calendar,Y1613,X1614,"f",FALSE)</f>
        <v>50235</v>
      </c>
      <c r="Z1614" s="184">
        <f>_xll.qlCalendarAdvance(Calendar,Y1614,NDays&amp;"D")</f>
        <v>50235</v>
      </c>
      <c r="AA1614" s="185">
        <v>4.858646137991296E-2</v>
      </c>
      <c r="AB1614" s="182">
        <v>4.8354669250677551E-2</v>
      </c>
    </row>
    <row r="1615" spans="17:28" x14ac:dyDescent="0.2">
      <c r="Q1615" s="141"/>
      <c r="T1615" s="141"/>
      <c r="U1615" s="162"/>
      <c r="X1615" s="183" t="str">
        <f t="shared" si="31"/>
        <v>1w</v>
      </c>
      <c r="Y1615" s="181">
        <f>_xll.qlCalendarAdvance(Calendar,Y1614,X1615,"f",FALSE)</f>
        <v>50242</v>
      </c>
      <c r="Z1615" s="184">
        <f>_xll.qlCalendarAdvance(Calendar,Y1615,NDays&amp;"D")</f>
        <v>50242</v>
      </c>
      <c r="AA1615" s="185">
        <v>4.8577280685136913E-2</v>
      </c>
      <c r="AB1615" s="182">
        <v>4.8345162629488403E-2</v>
      </c>
    </row>
    <row r="1616" spans="17:28" x14ac:dyDescent="0.2">
      <c r="Q1616" s="141"/>
      <c r="T1616" s="141"/>
      <c r="U1616" s="162"/>
      <c r="X1616" s="183" t="str">
        <f t="shared" si="31"/>
        <v>1w</v>
      </c>
      <c r="Y1616" s="181">
        <f>_xll.qlCalendarAdvance(Calendar,Y1615,X1616,"f",FALSE)</f>
        <v>50249</v>
      </c>
      <c r="Z1616" s="184">
        <f>_xll.qlCalendarAdvance(Calendar,Y1616,NDays&amp;"D")</f>
        <v>50249</v>
      </c>
      <c r="AA1616" s="185">
        <v>4.8568167866973412E-2</v>
      </c>
      <c r="AB1616" s="182">
        <v>4.833572305261935E-2</v>
      </c>
    </row>
    <row r="1617" spans="17:28" x14ac:dyDescent="0.2">
      <c r="Q1617" s="141"/>
      <c r="T1617" s="141"/>
      <c r="U1617" s="162"/>
      <c r="X1617" s="183" t="str">
        <f t="shared" si="31"/>
        <v>1w</v>
      </c>
      <c r="Y1617" s="181">
        <f>_xll.qlCalendarAdvance(Calendar,Y1616,X1617,"f",FALSE)</f>
        <v>50256</v>
      </c>
      <c r="Z1617" s="184">
        <f>_xll.qlCalendarAdvance(Calendar,Y1617,NDays&amp;"D")</f>
        <v>50256</v>
      </c>
      <c r="AA1617" s="185">
        <v>4.8559122924959966E-2</v>
      </c>
      <c r="AB1617" s="182">
        <v>4.8326350519827255E-2</v>
      </c>
    </row>
    <row r="1618" spans="17:28" x14ac:dyDescent="0.2">
      <c r="Q1618" s="141"/>
      <c r="T1618" s="141"/>
      <c r="U1618" s="162"/>
      <c r="X1618" s="183" t="str">
        <f t="shared" si="31"/>
        <v>1w</v>
      </c>
      <c r="Y1618" s="181">
        <f>_xll.qlCalendarAdvance(Calendar,Y1617,X1618,"f",FALSE)</f>
        <v>50263</v>
      </c>
      <c r="Z1618" s="184">
        <f>_xll.qlCalendarAdvance(Calendar,Y1618,NDays&amp;"D")</f>
        <v>50263</v>
      </c>
      <c r="AA1618" s="185">
        <v>4.8550145858637601E-2</v>
      </c>
      <c r="AB1618" s="182">
        <v>4.8317045031112116E-2</v>
      </c>
    </row>
    <row r="1619" spans="17:28" x14ac:dyDescent="0.2">
      <c r="Q1619" s="141"/>
      <c r="T1619" s="141"/>
      <c r="U1619" s="162"/>
      <c r="X1619" s="183" t="str">
        <f t="shared" si="31"/>
        <v>1w</v>
      </c>
      <c r="Y1619" s="181">
        <f>_xll.qlCalendarAdvance(Calendar,Y1618,X1619,"f",FALSE)</f>
        <v>50270</v>
      </c>
      <c r="Z1619" s="184">
        <f>_xll.qlCalendarAdvance(Calendar,Y1619,NDays&amp;"D")</f>
        <v>50270</v>
      </c>
      <c r="AA1619" s="185">
        <v>4.8541236667553514E-2</v>
      </c>
      <c r="AB1619" s="182">
        <v>4.830780658655498E-2</v>
      </c>
    </row>
    <row r="1620" spans="17:28" x14ac:dyDescent="0.2">
      <c r="Q1620" s="141"/>
      <c r="T1620" s="141"/>
      <c r="U1620" s="162"/>
      <c r="X1620" s="183" t="str">
        <f t="shared" si="31"/>
        <v>1w</v>
      </c>
      <c r="Y1620" s="181">
        <f>_xll.qlCalendarAdvance(Calendar,Y1619,X1620,"f",FALSE)</f>
        <v>50277</v>
      </c>
      <c r="Z1620" s="184">
        <f>_xll.qlCalendarAdvance(Calendar,Y1620,NDays&amp;"D")</f>
        <v>50277</v>
      </c>
      <c r="AA1620" s="185">
        <v>4.8532395351254018E-2</v>
      </c>
      <c r="AB1620" s="182">
        <v>4.8298635185993755E-2</v>
      </c>
    </row>
    <row r="1621" spans="17:28" x14ac:dyDescent="0.2">
      <c r="Q1621" s="141"/>
      <c r="T1621" s="141"/>
      <c r="U1621" s="162"/>
      <c r="X1621" s="183" t="str">
        <f t="shared" ref="X1621:X1684" si="32">X1620</f>
        <v>1w</v>
      </c>
      <c r="Y1621" s="181">
        <f>_xll.qlCalendarAdvance(Calendar,Y1620,X1621,"f",FALSE)</f>
        <v>50284</v>
      </c>
      <c r="Z1621" s="184">
        <f>_xll.qlCalendarAdvance(Calendar,Y1621,NDays&amp;"D")</f>
        <v>50284</v>
      </c>
      <c r="AA1621" s="185">
        <v>4.8521023504128062E-2</v>
      </c>
      <c r="AB1621" s="182">
        <v>4.8289530829590532E-2</v>
      </c>
    </row>
    <row r="1622" spans="17:28" x14ac:dyDescent="0.2">
      <c r="Q1622" s="141"/>
      <c r="T1622" s="141"/>
      <c r="U1622" s="162"/>
      <c r="X1622" s="183" t="str">
        <f t="shared" si="32"/>
        <v>1w</v>
      </c>
      <c r="Y1622" s="181">
        <f>_xll.qlCalendarAdvance(Calendar,Y1621,X1622,"f",FALSE)</f>
        <v>50291</v>
      </c>
      <c r="Z1622" s="184">
        <f>_xll.qlCalendarAdvance(Calendar,Y1622,NDays&amp;"D")</f>
        <v>50291</v>
      </c>
      <c r="AA1622" s="185">
        <v>4.8512314238747314E-2</v>
      </c>
      <c r="AB1622" s="182">
        <v>4.8280493517264267E-2</v>
      </c>
    </row>
    <row r="1623" spans="17:28" x14ac:dyDescent="0.2">
      <c r="Q1623" s="141"/>
      <c r="T1623" s="141"/>
      <c r="U1623" s="162"/>
      <c r="X1623" s="183" t="str">
        <f t="shared" si="32"/>
        <v>1w</v>
      </c>
      <c r="Y1623" s="181">
        <f>_xll.qlCalendarAdvance(Calendar,Y1622,X1623,"f",FALSE)</f>
        <v>50298</v>
      </c>
      <c r="Z1623" s="184">
        <f>_xll.qlCalendarAdvance(Calendar,Y1623,NDays&amp;"D")</f>
        <v>50298</v>
      </c>
      <c r="AA1623" s="185">
        <v>4.8503672837678195E-2</v>
      </c>
      <c r="AB1623" s="182">
        <v>4.8271523249096004E-2</v>
      </c>
    </row>
    <row r="1624" spans="17:28" x14ac:dyDescent="0.2">
      <c r="Q1624" s="141"/>
      <c r="T1624" s="141"/>
      <c r="U1624" s="162"/>
      <c r="X1624" s="183" t="str">
        <f t="shared" si="32"/>
        <v>1w</v>
      </c>
      <c r="Y1624" s="181">
        <f>_xll.qlCalendarAdvance(Calendar,Y1623,X1624,"f",FALSE)</f>
        <v>50305</v>
      </c>
      <c r="Z1624" s="184">
        <f>_xll.qlCalendarAdvance(Calendar,Y1624,NDays&amp;"D")</f>
        <v>50305</v>
      </c>
      <c r="AA1624" s="185">
        <v>4.8495099300487871E-2</v>
      </c>
      <c r="AB1624" s="182">
        <v>4.8262620024923653E-2</v>
      </c>
    </row>
    <row r="1625" spans="17:28" x14ac:dyDescent="0.2">
      <c r="Q1625" s="141"/>
      <c r="T1625" s="141"/>
      <c r="U1625" s="162"/>
      <c r="X1625" s="183" t="str">
        <f t="shared" si="32"/>
        <v>1w</v>
      </c>
      <c r="Y1625" s="181">
        <f>_xll.qlCalendarAdvance(Calendar,Y1624,X1625,"f",FALSE)</f>
        <v>50312</v>
      </c>
      <c r="Z1625" s="184">
        <f>_xll.qlCalendarAdvance(Calendar,Y1625,NDays&amp;"D")</f>
        <v>50312</v>
      </c>
      <c r="AA1625" s="185">
        <v>4.8486593626747052E-2</v>
      </c>
      <c r="AB1625" s="182">
        <v>4.8253783844909304E-2</v>
      </c>
    </row>
    <row r="1626" spans="17:28" x14ac:dyDescent="0.2">
      <c r="Q1626" s="141"/>
      <c r="T1626" s="141"/>
      <c r="U1626" s="162"/>
      <c r="X1626" s="183" t="str">
        <f t="shared" si="32"/>
        <v>1w</v>
      </c>
      <c r="Y1626" s="181">
        <f>_xll.qlCalendarAdvance(Calendar,Y1625,X1626,"f",FALSE)</f>
        <v>50319</v>
      </c>
      <c r="Z1626" s="184">
        <f>_xll.qlCalendarAdvance(Calendar,Y1626,NDays&amp;"D")</f>
        <v>50319</v>
      </c>
      <c r="AA1626" s="185">
        <v>4.8480772799086767E-2</v>
      </c>
      <c r="AB1626" s="182">
        <v>4.8245014708809819E-2</v>
      </c>
    </row>
    <row r="1627" spans="17:28" x14ac:dyDescent="0.2">
      <c r="Q1627" s="141"/>
      <c r="T1627" s="141"/>
      <c r="U1627" s="162"/>
      <c r="X1627" s="183" t="str">
        <f t="shared" si="32"/>
        <v>1w</v>
      </c>
      <c r="Y1627" s="181">
        <f>_xll.qlCalendarAdvance(Calendar,Y1626,X1627,"f",FALSE)</f>
        <v>50326</v>
      </c>
      <c r="Z1627" s="184">
        <f>_xll.qlCalendarAdvance(Calendar,Y1627,NDays&amp;"D")</f>
        <v>50326</v>
      </c>
      <c r="AA1627" s="185">
        <v>4.8472406593926952E-2</v>
      </c>
      <c r="AB1627" s="182">
        <v>4.8236312616868338E-2</v>
      </c>
    </row>
    <row r="1628" spans="17:28" x14ac:dyDescent="0.2">
      <c r="Q1628" s="141"/>
      <c r="T1628" s="141"/>
      <c r="U1628" s="162"/>
      <c r="X1628" s="183" t="str">
        <f t="shared" si="32"/>
        <v>1w</v>
      </c>
      <c r="Y1628" s="181">
        <f>_xll.qlCalendarAdvance(Calendar,Y1627,X1628,"f",FALSE)</f>
        <v>50333</v>
      </c>
      <c r="Z1628" s="184">
        <f>_xll.qlCalendarAdvance(Calendar,Y1628,NDays&amp;"D")</f>
        <v>50333</v>
      </c>
      <c r="AA1628" s="185">
        <v>4.8464108260062332E-2</v>
      </c>
      <c r="AB1628" s="182">
        <v>4.8227677569003813E-2</v>
      </c>
    </row>
    <row r="1629" spans="17:28" x14ac:dyDescent="0.2">
      <c r="Q1629" s="141"/>
      <c r="T1629" s="141"/>
      <c r="U1629" s="162"/>
      <c r="X1629" s="183" t="str">
        <f t="shared" si="32"/>
        <v>1w</v>
      </c>
      <c r="Y1629" s="181">
        <f>_xll.qlCalendarAdvance(Calendar,Y1628,X1629,"f",FALSE)</f>
        <v>50340</v>
      </c>
      <c r="Z1629" s="184">
        <f>_xll.qlCalendarAdvance(Calendar,Y1629,NDays&amp;"D")</f>
        <v>50340</v>
      </c>
      <c r="AA1629" s="185">
        <v>4.8455877797072708E-2</v>
      </c>
      <c r="AB1629" s="182">
        <v>4.8219109565216245E-2</v>
      </c>
    </row>
    <row r="1630" spans="17:28" x14ac:dyDescent="0.2">
      <c r="Q1630" s="141"/>
      <c r="T1630" s="141"/>
      <c r="U1630" s="162"/>
      <c r="X1630" s="183" t="str">
        <f t="shared" si="32"/>
        <v>1w</v>
      </c>
      <c r="Y1630" s="181">
        <f>_xll.qlCalendarAdvance(Calendar,Y1629,X1630,"f",FALSE)</f>
        <v>50347</v>
      </c>
      <c r="Z1630" s="184">
        <f>_xll.qlCalendarAdvance(Calendar,Y1630,NDays&amp;"D")</f>
        <v>50347</v>
      </c>
      <c r="AA1630" s="185">
        <v>4.8447715204542281E-2</v>
      </c>
      <c r="AB1630" s="182">
        <v>4.8210608605424587E-2</v>
      </c>
    </row>
    <row r="1631" spans="17:28" x14ac:dyDescent="0.2">
      <c r="Q1631" s="141"/>
      <c r="T1631" s="141"/>
      <c r="U1631" s="162"/>
      <c r="X1631" s="183" t="str">
        <f t="shared" si="32"/>
        <v>1w</v>
      </c>
      <c r="Y1631" s="181">
        <f>_xll.qlCalendarAdvance(Calendar,Y1630,X1631,"f",FALSE)</f>
        <v>50354</v>
      </c>
      <c r="Z1631" s="184">
        <f>_xll.qlCalendarAdvance(Calendar,Y1631,NDays&amp;"D")</f>
        <v>50354</v>
      </c>
      <c r="AA1631" s="185">
        <v>4.8439620482054357E-2</v>
      </c>
      <c r="AB1631" s="182">
        <v>4.8202174689628841E-2</v>
      </c>
    </row>
    <row r="1632" spans="17:28" x14ac:dyDescent="0.2">
      <c r="Q1632" s="141"/>
      <c r="T1632" s="141"/>
      <c r="U1632" s="162"/>
      <c r="X1632" s="183" t="str">
        <f t="shared" si="32"/>
        <v>1w</v>
      </c>
      <c r="Y1632" s="181">
        <f>_xll.qlCalendarAdvance(Calendar,Y1631,X1632,"f",FALSE)</f>
        <v>50361</v>
      </c>
      <c r="Z1632" s="184">
        <f>_xll.qlCalendarAdvance(Calendar,Y1632,NDays&amp;"D")</f>
        <v>50361</v>
      </c>
      <c r="AA1632" s="185">
        <v>4.8431593629201068E-2</v>
      </c>
      <c r="AB1632" s="182">
        <v>4.819380781791005E-2</v>
      </c>
    </row>
    <row r="1633" spans="17:28" x14ac:dyDescent="0.2">
      <c r="Q1633" s="141"/>
      <c r="T1633" s="141"/>
      <c r="U1633" s="162"/>
      <c r="X1633" s="183" t="str">
        <f t="shared" si="32"/>
        <v>1w</v>
      </c>
      <c r="Y1633" s="181">
        <f>_xll.qlCalendarAdvance(Calendar,Y1632,X1633,"f",FALSE)</f>
        <v>50368</v>
      </c>
      <c r="Z1633" s="184">
        <f>_xll.qlCalendarAdvance(Calendar,Y1633,NDays&amp;"D")</f>
        <v>50368</v>
      </c>
      <c r="AA1633" s="185">
        <v>4.8423634645575427E-2</v>
      </c>
      <c r="AB1633" s="182">
        <v>4.8185507990349263E-2</v>
      </c>
    </row>
    <row r="1634" spans="17:28" x14ac:dyDescent="0.2">
      <c r="Q1634" s="141"/>
      <c r="T1634" s="141"/>
      <c r="U1634" s="162"/>
      <c r="X1634" s="183" t="str">
        <f t="shared" si="32"/>
        <v>1w</v>
      </c>
      <c r="Y1634" s="181">
        <f>_xll.qlCalendarAdvance(Calendar,Y1633,X1634,"f",FALSE)</f>
        <v>50375</v>
      </c>
      <c r="Z1634" s="184">
        <f>_xll.qlCalendarAdvance(Calendar,Y1634,NDays&amp;"D")</f>
        <v>50375</v>
      </c>
      <c r="AA1634" s="185">
        <v>4.8410449764931911E-2</v>
      </c>
      <c r="AB1634" s="182">
        <v>4.8177275206703341E-2</v>
      </c>
    </row>
    <row r="1635" spans="17:28" x14ac:dyDescent="0.2">
      <c r="Q1635" s="141"/>
      <c r="T1635" s="141"/>
      <c r="U1635" s="162"/>
      <c r="X1635" s="183" t="str">
        <f t="shared" si="32"/>
        <v>1w</v>
      </c>
      <c r="Y1635" s="181">
        <f>_xll.qlCalendarAdvance(Calendar,Y1634,X1635,"f",FALSE)</f>
        <v>50382</v>
      </c>
      <c r="Z1635" s="184">
        <f>_xll.qlCalendarAdvance(Calendar,Y1635,NDays&amp;"D")</f>
        <v>50382</v>
      </c>
      <c r="AA1635" s="185">
        <v>4.8402618888174237E-2</v>
      </c>
      <c r="AB1635" s="182">
        <v>4.8169109467134374E-2</v>
      </c>
    </row>
    <row r="1636" spans="17:28" x14ac:dyDescent="0.2">
      <c r="Q1636" s="141"/>
      <c r="T1636" s="141"/>
      <c r="U1636" s="162"/>
      <c r="X1636" s="183" t="str">
        <f t="shared" si="32"/>
        <v>1w</v>
      </c>
      <c r="Y1636" s="181">
        <f>_xll.qlCalendarAdvance(Calendar,Y1635,X1636,"f",FALSE)</f>
        <v>50389</v>
      </c>
      <c r="Z1636" s="184">
        <f>_xll.qlCalendarAdvance(Calendar,Y1636,NDays&amp;"D")</f>
        <v>50389</v>
      </c>
      <c r="AA1636" s="185">
        <v>4.8394855861279056E-2</v>
      </c>
      <c r="AB1636" s="182">
        <v>4.8161010771480273E-2</v>
      </c>
    </row>
    <row r="1637" spans="17:28" x14ac:dyDescent="0.2">
      <c r="Q1637" s="141"/>
      <c r="T1637" s="141"/>
      <c r="U1637" s="162"/>
      <c r="X1637" s="183" t="str">
        <f t="shared" si="32"/>
        <v>1w</v>
      </c>
      <c r="Y1637" s="181">
        <f>_xll.qlCalendarAdvance(Calendar,Y1636,X1637,"f",FALSE)</f>
        <v>50396</v>
      </c>
      <c r="Z1637" s="184">
        <f>_xll.qlCalendarAdvance(Calendar,Y1637,NDays&amp;"D")</f>
        <v>50396</v>
      </c>
      <c r="AA1637" s="185">
        <v>4.8387160683861855E-2</v>
      </c>
      <c r="AB1637" s="182">
        <v>4.8152979119903128E-2</v>
      </c>
    </row>
    <row r="1638" spans="17:28" x14ac:dyDescent="0.2">
      <c r="Q1638" s="141"/>
      <c r="T1638" s="141"/>
      <c r="U1638" s="162"/>
      <c r="X1638" s="183" t="str">
        <f t="shared" si="32"/>
        <v>1w</v>
      </c>
      <c r="Y1638" s="181">
        <f>_xll.qlCalendarAdvance(Calendar,Y1637,X1638,"f",FALSE)</f>
        <v>50403</v>
      </c>
      <c r="Z1638" s="184">
        <f>_xll.qlCalendarAdvance(Calendar,Y1638,NDays&amp;"D")</f>
        <v>50403</v>
      </c>
      <c r="AA1638" s="185">
        <v>4.8379533355542612E-2</v>
      </c>
      <c r="AB1638" s="182">
        <v>4.8145014512402939E-2</v>
      </c>
    </row>
    <row r="1639" spans="17:28" x14ac:dyDescent="0.2">
      <c r="Q1639" s="141"/>
      <c r="T1639" s="141"/>
      <c r="U1639" s="162"/>
      <c r="X1639" s="183" t="str">
        <f t="shared" si="32"/>
        <v>1w</v>
      </c>
      <c r="Y1639" s="181">
        <f>_xll.qlCalendarAdvance(Calendar,Y1638,X1639,"f",FALSE)</f>
        <v>50410</v>
      </c>
      <c r="Z1639" s="184">
        <f>_xll.qlCalendarAdvance(Calendar,Y1639,NDays&amp;"D")</f>
        <v>50410</v>
      </c>
      <c r="AA1639" s="185">
        <v>4.83719738759395E-2</v>
      </c>
      <c r="AB1639" s="182">
        <v>4.8137116948898662E-2</v>
      </c>
    </row>
    <row r="1640" spans="17:28" x14ac:dyDescent="0.2">
      <c r="Q1640" s="141"/>
      <c r="T1640" s="141"/>
      <c r="U1640" s="162"/>
      <c r="X1640" s="183" t="str">
        <f t="shared" si="32"/>
        <v>1w</v>
      </c>
      <c r="Y1640" s="181">
        <f>_xll.qlCalendarAdvance(Calendar,Y1639,X1640,"f",FALSE)</f>
        <v>50417</v>
      </c>
      <c r="Z1640" s="184">
        <f>_xll.qlCalendarAdvance(Calendar,Y1640,NDays&amp;"D")</f>
        <v>50417</v>
      </c>
      <c r="AA1640" s="185">
        <v>4.8364482244679721E-2</v>
      </c>
      <c r="AB1640" s="182">
        <v>4.8129286429309248E-2</v>
      </c>
    </row>
    <row r="1641" spans="17:28" x14ac:dyDescent="0.2">
      <c r="Q1641" s="141"/>
      <c r="T1641" s="141"/>
      <c r="U1641" s="162"/>
      <c r="X1641" s="183" t="str">
        <f t="shared" si="32"/>
        <v>1w</v>
      </c>
      <c r="Y1641" s="181">
        <f>_xll.qlCalendarAdvance(Calendar,Y1640,X1641,"f",FALSE)</f>
        <v>50424</v>
      </c>
      <c r="Z1641" s="184">
        <f>_xll.qlCalendarAdvance(Calendar,Y1641,NDays&amp;"D")</f>
        <v>50424</v>
      </c>
      <c r="AA1641" s="185">
        <v>4.8357058461390455E-2</v>
      </c>
      <c r="AB1641" s="182">
        <v>4.8121522953715745E-2</v>
      </c>
    </row>
    <row r="1642" spans="17:28" x14ac:dyDescent="0.2">
      <c r="Q1642" s="141"/>
      <c r="T1642" s="141"/>
      <c r="U1642" s="162"/>
      <c r="X1642" s="183" t="str">
        <f t="shared" si="32"/>
        <v>1w</v>
      </c>
      <c r="Y1642" s="181">
        <f>_xll.qlCalendarAdvance(Calendar,Y1641,X1642,"f",FALSE)</f>
        <v>50432</v>
      </c>
      <c r="Z1642" s="184">
        <f>_xll.qlCalendarAdvance(Calendar,Y1642,NDays&amp;"D")</f>
        <v>50432</v>
      </c>
      <c r="AA1642" s="185">
        <v>4.8348657216309543E-2</v>
      </c>
      <c r="AB1642" s="182">
        <v>4.8112732504956846E-2</v>
      </c>
    </row>
    <row r="1643" spans="17:28" x14ac:dyDescent="0.2">
      <c r="Q1643" s="141"/>
      <c r="T1643" s="141"/>
      <c r="U1643" s="162"/>
      <c r="X1643" s="183" t="str">
        <f t="shared" si="32"/>
        <v>1w</v>
      </c>
      <c r="Y1643" s="181">
        <f>_xll.qlCalendarAdvance(Calendar,Y1642,X1643,"f",FALSE)</f>
        <v>50439</v>
      </c>
      <c r="Z1643" s="184">
        <f>_xll.qlCalendarAdvance(Calendar,Y1643,NDays&amp;"D")</f>
        <v>50439</v>
      </c>
      <c r="AA1643" s="185">
        <v>4.833869763023417E-2</v>
      </c>
      <c r="AB1643" s="182">
        <v>4.8105112695080443E-2</v>
      </c>
    </row>
    <row r="1644" spans="17:28" x14ac:dyDescent="0.2">
      <c r="Q1644" s="141"/>
      <c r="T1644" s="141"/>
      <c r="U1644" s="162"/>
      <c r="X1644" s="183" t="str">
        <f t="shared" si="32"/>
        <v>1w</v>
      </c>
      <c r="Y1644" s="181">
        <f>_xll.qlCalendarAdvance(Calendar,Y1643,X1644,"f",FALSE)</f>
        <v>50446</v>
      </c>
      <c r="Z1644" s="184">
        <f>_xll.qlCalendarAdvance(Calendar,Y1644,NDays&amp;"D")</f>
        <v>50446</v>
      </c>
      <c r="AA1644" s="185">
        <v>4.8331483184724099E-2</v>
      </c>
      <c r="AB1644" s="182">
        <v>4.8097559929199951E-2</v>
      </c>
    </row>
    <row r="1645" spans="17:28" x14ac:dyDescent="0.2">
      <c r="Q1645" s="141"/>
      <c r="T1645" s="141"/>
      <c r="U1645" s="162"/>
      <c r="X1645" s="183" t="str">
        <f t="shared" si="32"/>
        <v>1w</v>
      </c>
      <c r="Y1645" s="181">
        <f>_xll.qlCalendarAdvance(Calendar,Y1644,X1645,"f",FALSE)</f>
        <v>50453</v>
      </c>
      <c r="Z1645" s="184">
        <f>_xll.qlCalendarAdvance(Calendar,Y1645,NDays&amp;"D")</f>
        <v>50453</v>
      </c>
      <c r="AA1645" s="185">
        <v>4.8324336576635728E-2</v>
      </c>
      <c r="AB1645" s="182">
        <v>4.809007420731537E-2</v>
      </c>
    </row>
    <row r="1646" spans="17:28" x14ac:dyDescent="0.2">
      <c r="Q1646" s="141"/>
      <c r="T1646" s="141"/>
      <c r="U1646" s="162"/>
      <c r="X1646" s="183" t="str">
        <f t="shared" si="32"/>
        <v>1w</v>
      </c>
      <c r="Y1646" s="181">
        <f>_xll.qlCalendarAdvance(Calendar,Y1645,X1646,"f",FALSE)</f>
        <v>50460</v>
      </c>
      <c r="Z1646" s="184">
        <f>_xll.qlCalendarAdvance(Calendar,Y1646,NDays&amp;"D")</f>
        <v>50460</v>
      </c>
      <c r="AA1646" s="185">
        <v>4.831725780562119E-2</v>
      </c>
      <c r="AB1646" s="182">
        <v>4.8082655529507745E-2</v>
      </c>
    </row>
    <row r="1647" spans="17:28" x14ac:dyDescent="0.2">
      <c r="Q1647" s="141"/>
      <c r="T1647" s="141"/>
      <c r="U1647" s="162"/>
      <c r="X1647" s="183" t="str">
        <f t="shared" si="32"/>
        <v>1w</v>
      </c>
      <c r="Y1647" s="181">
        <f>_xll.qlCalendarAdvance(Calendar,Y1646,X1647,"f",FALSE)</f>
        <v>50467</v>
      </c>
      <c r="Z1647" s="184">
        <f>_xll.qlCalendarAdvance(Calendar,Y1647,NDays&amp;"D")</f>
        <v>50467</v>
      </c>
      <c r="AA1647" s="185">
        <v>4.8318339198805668E-2</v>
      </c>
      <c r="AB1647" s="182">
        <v>4.8075303895452892E-2</v>
      </c>
    </row>
    <row r="1648" spans="17:28" x14ac:dyDescent="0.2">
      <c r="Q1648" s="141"/>
      <c r="T1648" s="141"/>
      <c r="U1648" s="162"/>
      <c r="X1648" s="183" t="str">
        <f t="shared" si="32"/>
        <v>1w</v>
      </c>
      <c r="Y1648" s="181">
        <f>_xll.qlCalendarAdvance(Calendar,Y1647,X1648,"f",FALSE)</f>
        <v>50474</v>
      </c>
      <c r="Z1648" s="184">
        <f>_xll.qlCalendarAdvance(Calendar,Y1648,NDays&amp;"D")</f>
        <v>50474</v>
      </c>
      <c r="AA1648" s="185">
        <v>4.8311407901856611E-2</v>
      </c>
      <c r="AB1648" s="182">
        <v>4.8068019305718135E-2</v>
      </c>
    </row>
    <row r="1649" spans="17:28" x14ac:dyDescent="0.2">
      <c r="Q1649" s="141"/>
      <c r="T1649" s="141"/>
      <c r="U1649" s="162"/>
      <c r="X1649" s="183" t="str">
        <f t="shared" si="32"/>
        <v>1w</v>
      </c>
      <c r="Y1649" s="181">
        <f>_xll.qlCalendarAdvance(Calendar,Y1648,X1649,"f",FALSE)</f>
        <v>50481</v>
      </c>
      <c r="Z1649" s="184">
        <f>_xll.qlCalendarAdvance(Calendar,Y1649,NDays&amp;"D")</f>
        <v>50481</v>
      </c>
      <c r="AA1649" s="185">
        <v>4.8304544468041749E-2</v>
      </c>
      <c r="AB1649" s="182">
        <v>4.8060801759574057E-2</v>
      </c>
    </row>
    <row r="1650" spans="17:28" x14ac:dyDescent="0.2">
      <c r="Q1650" s="141"/>
      <c r="T1650" s="141"/>
      <c r="U1650" s="162"/>
      <c r="X1650" s="183" t="str">
        <f t="shared" si="32"/>
        <v>1w</v>
      </c>
      <c r="Y1650" s="181">
        <f>_xll.qlCalendarAdvance(Calendar,Y1649,X1650,"f",FALSE)</f>
        <v>50488</v>
      </c>
      <c r="Z1650" s="184">
        <f>_xll.qlCalendarAdvance(Calendar,Y1650,NDays&amp;"D")</f>
        <v>50488</v>
      </c>
      <c r="AA1650" s="185">
        <v>4.8297748897013118E-2</v>
      </c>
      <c r="AB1650" s="182">
        <v>4.8053651257587982E-2</v>
      </c>
    </row>
    <row r="1651" spans="17:28" x14ac:dyDescent="0.2">
      <c r="Q1651" s="141"/>
      <c r="T1651" s="141"/>
      <c r="U1651" s="162"/>
      <c r="X1651" s="183" t="str">
        <f t="shared" si="32"/>
        <v>1w</v>
      </c>
      <c r="Y1651" s="181">
        <f>_xll.qlCalendarAdvance(Calendar,Y1650,X1651,"f",FALSE)</f>
        <v>50495</v>
      </c>
      <c r="Z1651" s="184">
        <f>_xll.qlCalendarAdvance(Calendar,Y1651,NDays&amp;"D")</f>
        <v>50495</v>
      </c>
      <c r="AA1651" s="185">
        <v>4.8288307339516334E-2</v>
      </c>
      <c r="AB1651" s="182">
        <v>4.8046567799597817E-2</v>
      </c>
    </row>
    <row r="1652" spans="17:28" x14ac:dyDescent="0.2">
      <c r="Q1652" s="141"/>
      <c r="T1652" s="141"/>
      <c r="U1652" s="162"/>
      <c r="X1652" s="183" t="str">
        <f t="shared" si="32"/>
        <v>1w</v>
      </c>
      <c r="Y1652" s="181">
        <f>_xll.qlCalendarAdvance(Calendar,Y1651,X1652,"f",FALSE)</f>
        <v>50502</v>
      </c>
      <c r="Z1652" s="184">
        <f>_xll.qlCalendarAdvance(Calendar,Y1652,NDays&amp;"D")</f>
        <v>50502</v>
      </c>
      <c r="AA1652" s="185">
        <v>4.8281643522100327E-2</v>
      </c>
      <c r="AB1652" s="182">
        <v>4.8039551385360424E-2</v>
      </c>
    </row>
    <row r="1653" spans="17:28" x14ac:dyDescent="0.2">
      <c r="Q1653" s="141"/>
      <c r="T1653" s="141"/>
      <c r="U1653" s="162"/>
      <c r="X1653" s="183" t="str">
        <f t="shared" si="32"/>
        <v>1w</v>
      </c>
      <c r="Y1653" s="181">
        <f>_xll.qlCalendarAdvance(Calendar,Y1652,X1653,"f",FALSE)</f>
        <v>50509</v>
      </c>
      <c r="Z1653" s="184">
        <f>_xll.qlCalendarAdvance(Calendar,Y1653,NDays&amp;"D")</f>
        <v>50509</v>
      </c>
      <c r="AA1653" s="185">
        <v>4.8275047557429486E-2</v>
      </c>
      <c r="AB1653" s="182">
        <v>4.8032602015199988E-2</v>
      </c>
    </row>
    <row r="1654" spans="17:28" x14ac:dyDescent="0.2">
      <c r="Q1654" s="141"/>
      <c r="T1654" s="141"/>
      <c r="U1654" s="162"/>
      <c r="X1654" s="183" t="str">
        <f t="shared" si="32"/>
        <v>1w</v>
      </c>
      <c r="Y1654" s="181">
        <f>_xll.qlCalendarAdvance(Calendar,Y1653,X1654,"f",FALSE)</f>
        <v>50516</v>
      </c>
      <c r="Z1654" s="184">
        <f>_xll.qlCalendarAdvance(Calendar,Y1654,NDays&amp;"D")</f>
        <v>50516</v>
      </c>
      <c r="AA1654" s="185">
        <v>4.8268519445174289E-2</v>
      </c>
      <c r="AB1654" s="182">
        <v>4.8025719689035462E-2</v>
      </c>
    </row>
    <row r="1655" spans="17:28" x14ac:dyDescent="0.2">
      <c r="Q1655" s="141"/>
      <c r="T1655" s="141"/>
      <c r="U1655" s="162"/>
      <c r="X1655" s="183" t="str">
        <f t="shared" si="32"/>
        <v>1w</v>
      </c>
      <c r="Y1655" s="181">
        <f>_xll.qlCalendarAdvance(Calendar,Y1654,X1655,"f",FALSE)</f>
        <v>50523</v>
      </c>
      <c r="Z1655" s="184">
        <f>_xll.qlCalendarAdvance(Calendar,Y1655,NDays&amp;"D")</f>
        <v>50523</v>
      </c>
      <c r="AA1655" s="185">
        <v>4.8262059185006985E-2</v>
      </c>
      <c r="AB1655" s="182">
        <v>4.8018904406704754E-2</v>
      </c>
    </row>
    <row r="1656" spans="17:28" x14ac:dyDescent="0.2">
      <c r="Q1656" s="141"/>
      <c r="T1656" s="141"/>
      <c r="U1656" s="162"/>
      <c r="X1656" s="183" t="str">
        <f t="shared" si="32"/>
        <v>1w</v>
      </c>
      <c r="Y1656" s="181">
        <f>_xll.qlCalendarAdvance(Calendar,Y1655,X1656,"f",FALSE)</f>
        <v>50530</v>
      </c>
      <c r="Z1656" s="184">
        <f>_xll.qlCalendarAdvance(Calendar,Y1656,NDays&amp;"D")</f>
        <v>50530</v>
      </c>
      <c r="AA1656" s="185">
        <v>4.8258400570304359E-2</v>
      </c>
      <c r="AB1656" s="182">
        <v>4.8012156168369957E-2</v>
      </c>
    </row>
    <row r="1657" spans="17:28" x14ac:dyDescent="0.2">
      <c r="Q1657" s="141"/>
      <c r="T1657" s="141"/>
      <c r="U1657" s="162"/>
      <c r="X1657" s="183" t="str">
        <f t="shared" si="32"/>
        <v>1w</v>
      </c>
      <c r="Y1657" s="181">
        <f>_xll.qlCalendarAdvance(Calendar,Y1656,X1657,"f",FALSE)</f>
        <v>50537</v>
      </c>
      <c r="Z1657" s="184">
        <f>_xll.qlCalendarAdvance(Calendar,Y1657,NDays&amp;"D")</f>
        <v>50537</v>
      </c>
      <c r="AA1657" s="185">
        <v>4.8252080029328591E-2</v>
      </c>
      <c r="AB1657" s="182">
        <v>4.8005474974112117E-2</v>
      </c>
    </row>
    <row r="1658" spans="17:28" x14ac:dyDescent="0.2">
      <c r="Q1658" s="141"/>
      <c r="T1658" s="141"/>
      <c r="U1658" s="162"/>
      <c r="X1658" s="183" t="str">
        <f t="shared" si="32"/>
        <v>1w</v>
      </c>
      <c r="Y1658" s="181">
        <f>_xll.qlCalendarAdvance(Calendar,Y1657,X1658,"f",FALSE)</f>
        <v>50544</v>
      </c>
      <c r="Z1658" s="184">
        <f>_xll.qlCalendarAdvance(Calendar,Y1658,NDays&amp;"D")</f>
        <v>50544</v>
      </c>
      <c r="AA1658" s="185">
        <v>4.8245827348477731E-2</v>
      </c>
      <c r="AB1658" s="182">
        <v>4.7998860823607048E-2</v>
      </c>
    </row>
    <row r="1659" spans="17:28" x14ac:dyDescent="0.2">
      <c r="Q1659" s="141"/>
      <c r="T1659" s="141"/>
      <c r="U1659" s="162"/>
      <c r="X1659" s="183" t="str">
        <f t="shared" si="32"/>
        <v>1w</v>
      </c>
      <c r="Y1659" s="181">
        <f>_xll.qlCalendarAdvance(Calendar,Y1658,X1659,"f",FALSE)</f>
        <v>50551</v>
      </c>
      <c r="Z1659" s="184">
        <f>_xll.qlCalendarAdvance(Calendar,Y1659,NDays&amp;"D")</f>
        <v>50551</v>
      </c>
      <c r="AA1659" s="185">
        <v>4.8239642527437281E-2</v>
      </c>
      <c r="AB1659" s="182">
        <v>4.799231371709789E-2</v>
      </c>
    </row>
    <row r="1660" spans="17:28" x14ac:dyDescent="0.2">
      <c r="Q1660" s="141"/>
      <c r="T1660" s="141"/>
      <c r="U1660" s="162"/>
      <c r="X1660" s="183" t="str">
        <f t="shared" si="32"/>
        <v>1w</v>
      </c>
      <c r="Y1660" s="181">
        <f>_xll.qlCalendarAdvance(Calendar,Y1659,X1660,"f",FALSE)</f>
        <v>50558</v>
      </c>
      <c r="Z1660" s="184">
        <f>_xll.qlCalendarAdvance(Calendar,Y1660,NDays&amp;"D")</f>
        <v>50558</v>
      </c>
      <c r="AA1660" s="185">
        <v>4.8233525565893644E-2</v>
      </c>
      <c r="AB1660" s="182">
        <v>4.7985833654422549E-2</v>
      </c>
    </row>
    <row r="1661" spans="17:28" x14ac:dyDescent="0.2">
      <c r="Q1661" s="141"/>
      <c r="T1661" s="141"/>
      <c r="U1661" s="162"/>
      <c r="X1661" s="183" t="str">
        <f t="shared" si="32"/>
        <v>1w</v>
      </c>
      <c r="Y1661" s="181">
        <f>_xll.qlCalendarAdvance(Calendar,Y1660,X1661,"f",FALSE)</f>
        <v>50565</v>
      </c>
      <c r="Z1661" s="184">
        <f>_xll.qlCalendarAdvance(Calendar,Y1661,NDays&amp;"D")</f>
        <v>50565</v>
      </c>
      <c r="AA1661" s="185">
        <v>4.8227476463536714E-2</v>
      </c>
      <c r="AB1661" s="182">
        <v>4.7979420635662073E-2</v>
      </c>
    </row>
    <row r="1662" spans="17:28" x14ac:dyDescent="0.2">
      <c r="Q1662" s="141"/>
      <c r="T1662" s="141"/>
      <c r="U1662" s="162"/>
      <c r="X1662" s="183" t="str">
        <f t="shared" si="32"/>
        <v>1w</v>
      </c>
      <c r="Y1662" s="181">
        <f>_xll.qlCalendarAdvance(Calendar,Y1661,X1662,"f",FALSE)</f>
        <v>50572</v>
      </c>
      <c r="Z1662" s="184">
        <f>_xll.qlCalendarAdvance(Calendar,Y1662,NDays&amp;"D")</f>
        <v>50572</v>
      </c>
      <c r="AA1662" s="185">
        <v>4.8221495220059925E-2</v>
      </c>
      <c r="AB1662" s="182">
        <v>4.7973074660978554E-2</v>
      </c>
    </row>
    <row r="1663" spans="17:28" x14ac:dyDescent="0.2">
      <c r="Q1663" s="141"/>
      <c r="T1663" s="141"/>
      <c r="U1663" s="162"/>
      <c r="X1663" s="183" t="str">
        <f t="shared" si="32"/>
        <v>1w</v>
      </c>
      <c r="Y1663" s="181">
        <f>_xll.qlCalendarAdvance(Calendar,Y1662,X1663,"f",FALSE)</f>
        <v>50579</v>
      </c>
      <c r="Z1663" s="184">
        <f>_xll.qlCalendarAdvance(Calendar,Y1663,NDays&amp;"D")</f>
        <v>50579</v>
      </c>
      <c r="AA1663" s="185">
        <v>4.8215581835157603E-2</v>
      </c>
      <c r="AB1663" s="182">
        <v>4.7966795730047807E-2</v>
      </c>
    </row>
    <row r="1664" spans="17:28" x14ac:dyDescent="0.2">
      <c r="Q1664" s="141"/>
      <c r="T1664" s="141"/>
      <c r="U1664" s="162"/>
      <c r="X1664" s="183" t="str">
        <f t="shared" si="32"/>
        <v>1w</v>
      </c>
      <c r="Y1664" s="181">
        <f>_xll.qlCalendarAdvance(Calendar,Y1663,X1664,"f",FALSE)</f>
        <v>50586</v>
      </c>
      <c r="Z1664" s="184">
        <f>_xll.qlCalendarAdvance(Calendar,Y1664,NDays&amp;"D")</f>
        <v>50586</v>
      </c>
      <c r="AA1664" s="185">
        <v>4.8209736308534624E-2</v>
      </c>
      <c r="AB1664" s="182">
        <v>4.7960583843112969E-2</v>
      </c>
    </row>
    <row r="1665" spans="17:28" x14ac:dyDescent="0.2">
      <c r="Q1665" s="141"/>
      <c r="T1665" s="141"/>
      <c r="U1665" s="162"/>
      <c r="X1665" s="183" t="str">
        <f t="shared" si="32"/>
        <v>1w</v>
      </c>
      <c r="Y1665" s="181">
        <f>_xll.qlCalendarAdvance(Calendar,Y1664,X1665,"f",FALSE)</f>
        <v>50593</v>
      </c>
      <c r="Z1665" s="184">
        <f>_xll.qlCalendarAdvance(Calendar,Y1665,NDays&amp;"D")</f>
        <v>50593</v>
      </c>
      <c r="AA1665" s="185">
        <v>4.8203958639889709E-2</v>
      </c>
      <c r="AB1665" s="182">
        <v>4.795443900001195E-2</v>
      </c>
    </row>
    <row r="1666" spans="17:28" x14ac:dyDescent="0.2">
      <c r="Q1666" s="141"/>
      <c r="T1666" s="141"/>
      <c r="U1666" s="162"/>
      <c r="X1666" s="183" t="str">
        <f t="shared" si="32"/>
        <v>1w</v>
      </c>
      <c r="Y1666" s="181">
        <f>_xll.qlCalendarAdvance(Calendar,Y1665,X1666,"f",FALSE)</f>
        <v>50600</v>
      </c>
      <c r="Z1666" s="184">
        <f>_xll.qlCalendarAdvance(Calendar,Y1666,NDays&amp;"D")</f>
        <v>50600</v>
      </c>
      <c r="AA1666" s="185">
        <v>4.8198248828934795E-2</v>
      </c>
      <c r="AB1666" s="182">
        <v>4.7948361200906842E-2</v>
      </c>
    </row>
    <row r="1667" spans="17:28" x14ac:dyDescent="0.2">
      <c r="Q1667" s="141"/>
      <c r="T1667" s="141"/>
      <c r="U1667" s="162"/>
      <c r="X1667" s="183" t="str">
        <f t="shared" si="32"/>
        <v>1w</v>
      </c>
      <c r="Y1667" s="181">
        <f>_xll.qlCalendarAdvance(Calendar,Y1666,X1667,"f",FALSE)</f>
        <v>50607</v>
      </c>
      <c r="Z1667" s="184">
        <f>_xll.qlCalendarAdvance(Calendar,Y1667,NDays&amp;"D")</f>
        <v>50607</v>
      </c>
      <c r="AA1667" s="185">
        <v>4.8192606875375646E-2</v>
      </c>
      <c r="AB1667" s="182">
        <v>4.7942350445635551E-2</v>
      </c>
    </row>
    <row r="1668" spans="17:28" x14ac:dyDescent="0.2">
      <c r="Q1668" s="141"/>
      <c r="T1668" s="141"/>
      <c r="U1668" s="162"/>
      <c r="X1668" s="183" t="str">
        <f t="shared" si="32"/>
        <v>1w</v>
      </c>
      <c r="Y1668" s="181">
        <f>_xll.qlCalendarAdvance(Calendar,Y1667,X1668,"f",FALSE)</f>
        <v>50614</v>
      </c>
      <c r="Z1668" s="184">
        <f>_xll.qlCalendarAdvance(Calendar,Y1668,NDays&amp;"D")</f>
        <v>50614</v>
      </c>
      <c r="AA1668" s="185">
        <v>4.8187032778929474E-2</v>
      </c>
      <c r="AB1668" s="182">
        <v>4.7936406734279124E-2</v>
      </c>
    </row>
    <row r="1669" spans="17:28" x14ac:dyDescent="0.2">
      <c r="Q1669" s="141"/>
      <c r="T1669" s="141"/>
      <c r="U1669" s="162"/>
      <c r="X1669" s="183" t="str">
        <f t="shared" si="32"/>
        <v>1w</v>
      </c>
      <c r="Y1669" s="181">
        <f>_xll.qlCalendarAdvance(Calendar,Y1668,X1669,"f",FALSE)</f>
        <v>50621</v>
      </c>
      <c r="Z1669" s="184">
        <f>_xll.qlCalendarAdvance(Calendar,Y1669,NDays&amp;"D")</f>
        <v>50621</v>
      </c>
      <c r="AA1669" s="185">
        <v>4.8181526539312632E-2</v>
      </c>
      <c r="AB1669" s="182">
        <v>4.7930530066918609E-2</v>
      </c>
    </row>
    <row r="1670" spans="17:28" x14ac:dyDescent="0.2">
      <c r="Q1670" s="141"/>
      <c r="T1670" s="141"/>
      <c r="U1670" s="162"/>
      <c r="X1670" s="183" t="str">
        <f t="shared" si="32"/>
        <v>1w</v>
      </c>
      <c r="Y1670" s="181">
        <f>_xll.qlCalendarAdvance(Calendar,Y1669,X1670,"f",FALSE)</f>
        <v>50628</v>
      </c>
      <c r="Z1670" s="184">
        <f>_xll.qlCalendarAdvance(Calendar,Y1670,NDays&amp;"D")</f>
        <v>50628</v>
      </c>
      <c r="AA1670" s="185">
        <v>4.8176088156246737E-2</v>
      </c>
      <c r="AB1670" s="182">
        <v>4.7924720443310864E-2</v>
      </c>
    </row>
    <row r="1671" spans="17:28" x14ac:dyDescent="0.2">
      <c r="Q1671" s="141"/>
      <c r="T1671" s="141"/>
      <c r="U1671" s="162"/>
      <c r="X1671" s="183" t="str">
        <f t="shared" si="32"/>
        <v>1w</v>
      </c>
      <c r="Y1671" s="181">
        <f>_xll.qlCalendarAdvance(Calendar,Y1670,X1671,"f",FALSE)</f>
        <v>50635</v>
      </c>
      <c r="Z1671" s="184">
        <f>_xll.qlCalendarAdvance(Calendar,Y1671,NDays&amp;"D")</f>
        <v>50635</v>
      </c>
      <c r="AA1671" s="185">
        <v>4.8170717629456933E-2</v>
      </c>
      <c r="AB1671" s="182">
        <v>4.791897786369903E-2</v>
      </c>
    </row>
    <row r="1672" spans="17:28" x14ac:dyDescent="0.2">
      <c r="Q1672" s="141"/>
      <c r="T1672" s="141"/>
      <c r="U1672" s="162"/>
      <c r="X1672" s="183" t="str">
        <f t="shared" si="32"/>
        <v>1w</v>
      </c>
      <c r="Y1672" s="181">
        <f>_xll.qlCalendarAdvance(Calendar,Y1671,X1672,"f",FALSE)</f>
        <v>50642</v>
      </c>
      <c r="Z1672" s="184">
        <f>_xll.qlCalendarAdvance(Calendar,Y1672,NDays&amp;"D")</f>
        <v>50642</v>
      </c>
      <c r="AA1672" s="185">
        <v>4.8165414958666601E-2</v>
      </c>
      <c r="AB1672" s="182">
        <v>4.7913302327839968E-2</v>
      </c>
    </row>
    <row r="1673" spans="17:28" x14ac:dyDescent="0.2">
      <c r="Q1673" s="141"/>
      <c r="T1673" s="141"/>
      <c r="U1673" s="162"/>
      <c r="X1673" s="183" t="str">
        <f t="shared" si="32"/>
        <v>1w</v>
      </c>
      <c r="Y1673" s="181">
        <f>_xll.qlCalendarAdvance(Calendar,Y1672,X1673,"f",FALSE)</f>
        <v>50649</v>
      </c>
      <c r="Z1673" s="184">
        <f>_xll.qlCalendarAdvance(Calendar,Y1673,NDays&amp;"D")</f>
        <v>50649</v>
      </c>
      <c r="AA1673" s="185">
        <v>4.8157376856177124E-2</v>
      </c>
      <c r="AB1673" s="182">
        <v>4.7907693835976817E-2</v>
      </c>
    </row>
    <row r="1674" spans="17:28" x14ac:dyDescent="0.2">
      <c r="Q1674" s="141"/>
      <c r="T1674" s="141"/>
      <c r="U1674" s="162"/>
      <c r="X1674" s="183" t="str">
        <f t="shared" si="32"/>
        <v>1w</v>
      </c>
      <c r="Y1674" s="181">
        <f>_xll.qlCalendarAdvance(Calendar,Y1673,X1674,"f",FALSE)</f>
        <v>50656</v>
      </c>
      <c r="Z1674" s="184">
        <f>_xll.qlCalendarAdvance(Calendar,Y1674,NDays&amp;"D")</f>
        <v>50656</v>
      </c>
      <c r="AA1674" s="185">
        <v>4.8152205728006874E-2</v>
      </c>
      <c r="AB1674" s="182">
        <v>4.7902152387866437E-2</v>
      </c>
    </row>
    <row r="1675" spans="17:28" x14ac:dyDescent="0.2">
      <c r="Q1675" s="141"/>
      <c r="T1675" s="141"/>
      <c r="U1675" s="162"/>
      <c r="X1675" s="183" t="str">
        <f t="shared" si="32"/>
        <v>1w</v>
      </c>
      <c r="Y1675" s="181">
        <f>_xll.qlCalendarAdvance(Calendar,Y1674,X1675,"f",FALSE)</f>
        <v>50663</v>
      </c>
      <c r="Z1675" s="184">
        <f>_xll.qlCalendarAdvance(Calendar,Y1675,NDays&amp;"D")</f>
        <v>50663</v>
      </c>
      <c r="AA1675" s="185">
        <v>4.8147102446091862E-2</v>
      </c>
      <c r="AB1675" s="182">
        <v>4.7896677983751967E-2</v>
      </c>
    </row>
    <row r="1676" spans="17:28" x14ac:dyDescent="0.2">
      <c r="Q1676" s="141"/>
      <c r="T1676" s="141"/>
      <c r="U1676" s="162"/>
      <c r="X1676" s="183" t="str">
        <f t="shared" si="32"/>
        <v>1w</v>
      </c>
      <c r="Y1676" s="181">
        <f>_xll.qlCalendarAdvance(Calendar,Y1675,X1676,"f",FALSE)</f>
        <v>50670</v>
      </c>
      <c r="Z1676" s="184">
        <f>_xll.qlCalendarAdvance(Calendar,Y1676,NDays&amp;"D")</f>
        <v>50670</v>
      </c>
      <c r="AA1676" s="185">
        <v>4.8142067010177363E-2</v>
      </c>
      <c r="AB1676" s="182">
        <v>4.7891270623471316E-2</v>
      </c>
    </row>
    <row r="1677" spans="17:28" x14ac:dyDescent="0.2">
      <c r="Q1677" s="141"/>
      <c r="T1677" s="141"/>
      <c r="U1677" s="162"/>
      <c r="X1677" s="183" t="str">
        <f t="shared" si="32"/>
        <v>1w</v>
      </c>
      <c r="Y1677" s="181">
        <f>_xll.qlCalendarAdvance(Calendar,Y1676,X1677,"f",FALSE)</f>
        <v>50677</v>
      </c>
      <c r="Z1677" s="184">
        <f>_xll.qlCalendarAdvance(Calendar,Y1677,NDays&amp;"D")</f>
        <v>50677</v>
      </c>
      <c r="AA1677" s="185">
        <v>4.8137099420009551E-2</v>
      </c>
      <c r="AB1677" s="182">
        <v>4.7885930307024482E-2</v>
      </c>
    </row>
    <row r="1678" spans="17:28" x14ac:dyDescent="0.2">
      <c r="Q1678" s="141"/>
      <c r="T1678" s="141"/>
      <c r="U1678" s="162"/>
      <c r="X1678" s="183" t="str">
        <f t="shared" si="32"/>
        <v>1w</v>
      </c>
      <c r="Y1678" s="181">
        <f>_xll.qlCalendarAdvance(Calendar,Y1677,X1678,"f",FALSE)</f>
        <v>50684</v>
      </c>
      <c r="Z1678" s="184">
        <f>_xll.qlCalendarAdvance(Calendar,Y1678,NDays&amp;"D")</f>
        <v>50684</v>
      </c>
      <c r="AA1678" s="185">
        <v>4.8135023895174732E-2</v>
      </c>
      <c r="AB1678" s="182">
        <v>4.7880657034411467E-2</v>
      </c>
    </row>
    <row r="1679" spans="17:28" x14ac:dyDescent="0.2">
      <c r="Q1679" s="141"/>
      <c r="T1679" s="141"/>
      <c r="U1679" s="162"/>
      <c r="X1679" s="183" t="str">
        <f t="shared" si="32"/>
        <v>1w</v>
      </c>
      <c r="Y1679" s="181">
        <f>_xll.qlCalendarAdvance(Calendar,Y1678,X1679,"f",FALSE)</f>
        <v>50691</v>
      </c>
      <c r="Z1679" s="184">
        <f>_xll.qlCalendarAdvance(Calendar,Y1679,NDays&amp;"D")</f>
        <v>50691</v>
      </c>
      <c r="AA1679" s="185">
        <v>4.8130196209068971E-2</v>
      </c>
      <c r="AB1679" s="182">
        <v>4.7875450805794362E-2</v>
      </c>
    </row>
    <row r="1680" spans="17:28" x14ac:dyDescent="0.2">
      <c r="Q1680" s="141"/>
      <c r="T1680" s="141"/>
      <c r="U1680" s="162"/>
      <c r="X1680" s="183" t="str">
        <f t="shared" si="32"/>
        <v>1w</v>
      </c>
      <c r="Y1680" s="181">
        <f>_xll.qlCalendarAdvance(Calendar,Y1679,X1680,"f",FALSE)</f>
        <v>50698</v>
      </c>
      <c r="Z1680" s="184">
        <f>_xll.qlCalendarAdvance(Calendar,Y1680,NDays&amp;"D")</f>
        <v>50698</v>
      </c>
      <c r="AA1680" s="185">
        <v>4.8125436376913633E-2</v>
      </c>
      <c r="AB1680" s="182">
        <v>4.7870311620930028E-2</v>
      </c>
    </row>
    <row r="1681" spans="17:28" x14ac:dyDescent="0.2">
      <c r="Q1681" s="141"/>
      <c r="T1681" s="141"/>
      <c r="U1681" s="162"/>
      <c r="X1681" s="183" t="str">
        <f t="shared" si="32"/>
        <v>1w</v>
      </c>
      <c r="Y1681" s="181">
        <f>_xll.qlCalendarAdvance(Calendar,Y1680,X1681,"f",FALSE)</f>
        <v>50705</v>
      </c>
      <c r="Z1681" s="184">
        <f>_xll.qlCalendarAdvance(Calendar,Y1681,NDays&amp;"D")</f>
        <v>50705</v>
      </c>
      <c r="AA1681" s="185">
        <v>4.8120744398463804E-2</v>
      </c>
      <c r="AB1681" s="182">
        <v>4.7865239479980559E-2</v>
      </c>
    </row>
    <row r="1682" spans="17:28" x14ac:dyDescent="0.2">
      <c r="Q1682" s="141"/>
      <c r="T1682" s="141"/>
      <c r="U1682" s="162"/>
      <c r="X1682" s="183" t="str">
        <f t="shared" si="32"/>
        <v>1w</v>
      </c>
      <c r="Y1682" s="181">
        <f>_xll.qlCalendarAdvance(Calendar,Y1681,X1682,"f",FALSE)</f>
        <v>50712</v>
      </c>
      <c r="Z1682" s="184">
        <f>_xll.qlCalendarAdvance(Calendar,Y1682,NDays&amp;"D")</f>
        <v>50712</v>
      </c>
      <c r="AA1682" s="185">
        <v>4.8116120273483408E-2</v>
      </c>
      <c r="AB1682" s="182">
        <v>4.7860234382783862E-2</v>
      </c>
    </row>
    <row r="1683" spans="17:28" x14ac:dyDescent="0.2">
      <c r="Q1683" s="141"/>
      <c r="T1683" s="141"/>
      <c r="U1683" s="162"/>
      <c r="X1683" s="183" t="str">
        <f t="shared" si="32"/>
        <v>1w</v>
      </c>
      <c r="Y1683" s="181">
        <f>_xll.qlCalendarAdvance(Calendar,Y1682,X1683,"f",FALSE)</f>
        <v>50719</v>
      </c>
      <c r="Z1683" s="184">
        <f>_xll.qlCalendarAdvance(Calendar,Y1683,NDays&amp;"D")</f>
        <v>50719</v>
      </c>
      <c r="AA1683" s="185">
        <v>4.8111564001738105E-2</v>
      </c>
      <c r="AB1683" s="182">
        <v>4.7855296329583075E-2</v>
      </c>
    </row>
    <row r="1684" spans="17:28" x14ac:dyDescent="0.2">
      <c r="Q1684" s="141"/>
      <c r="T1684" s="141"/>
      <c r="U1684" s="162"/>
      <c r="X1684" s="183" t="str">
        <f t="shared" si="32"/>
        <v>1w</v>
      </c>
      <c r="Y1684" s="181">
        <f>_xll.qlCalendarAdvance(Calendar,Y1683,X1684,"f",FALSE)</f>
        <v>50726</v>
      </c>
      <c r="Z1684" s="184">
        <f>_xll.qlCalendarAdvance(Calendar,Y1684,NDays&amp;"D")</f>
        <v>50726</v>
      </c>
      <c r="AA1684" s="185">
        <v>4.8107075582997968E-2</v>
      </c>
      <c r="AB1684" s="182">
        <v>4.7850425320297152E-2</v>
      </c>
    </row>
    <row r="1685" spans="17:28" x14ac:dyDescent="0.2">
      <c r="Q1685" s="141"/>
      <c r="T1685" s="141"/>
      <c r="U1685" s="162"/>
      <c r="X1685" s="183" t="str">
        <f t="shared" ref="X1685:X1748" si="33">X1684</f>
        <v>1w</v>
      </c>
      <c r="Y1685" s="181">
        <f>_xll.qlCalendarAdvance(Calendar,Y1684,X1685,"f",FALSE)</f>
        <v>50733</v>
      </c>
      <c r="Z1685" s="184">
        <f>_xll.qlCalendarAdvance(Calendar,Y1685,NDays&amp;"D")</f>
        <v>50733</v>
      </c>
      <c r="AA1685" s="185">
        <v>4.8102655017032203E-2</v>
      </c>
      <c r="AB1685" s="182">
        <v>4.7845621354601908E-2</v>
      </c>
    </row>
    <row r="1686" spans="17:28" x14ac:dyDescent="0.2">
      <c r="Q1686" s="141"/>
      <c r="T1686" s="141"/>
      <c r="U1686" s="162"/>
      <c r="X1686" s="183" t="str">
        <f t="shared" si="33"/>
        <v>1w</v>
      </c>
      <c r="Y1686" s="181">
        <f>_xll.qlCalendarAdvance(Calendar,Y1685,X1686,"f",FALSE)</f>
        <v>50740</v>
      </c>
      <c r="Z1686" s="184">
        <f>_xll.qlCalendarAdvance(Calendar,Y1686,NDays&amp;"D")</f>
        <v>50740</v>
      </c>
      <c r="AA1686" s="185">
        <v>4.8092586609922168E-2</v>
      </c>
      <c r="AB1686" s="182">
        <v>4.7840884432983621E-2</v>
      </c>
    </row>
    <row r="1687" spans="17:28" x14ac:dyDescent="0.2">
      <c r="Q1687" s="141"/>
      <c r="T1687" s="141"/>
      <c r="U1687" s="162"/>
      <c r="X1687" s="183" t="str">
        <f t="shared" si="33"/>
        <v>1w</v>
      </c>
      <c r="Y1687" s="181">
        <f>_xll.qlCalendarAdvance(Calendar,Y1686,X1687,"f",FALSE)</f>
        <v>50747</v>
      </c>
      <c r="Z1687" s="184">
        <f>_xll.qlCalendarAdvance(Calendar,Y1687,NDays&amp;"D")</f>
        <v>50747</v>
      </c>
      <c r="AA1687" s="185">
        <v>4.8088293180537693E-2</v>
      </c>
      <c r="AB1687" s="182">
        <v>4.7836214554874967E-2</v>
      </c>
    </row>
    <row r="1688" spans="17:28" x14ac:dyDescent="0.2">
      <c r="Q1688" s="141"/>
      <c r="T1688" s="141"/>
      <c r="U1688" s="162"/>
      <c r="X1688" s="183" t="str">
        <f t="shared" si="33"/>
        <v>1w</v>
      </c>
      <c r="Y1688" s="181">
        <f>_xll.qlCalendarAdvance(Calendar,Y1687,X1688,"f",FALSE)</f>
        <v>50754</v>
      </c>
      <c r="Z1688" s="184">
        <f>_xll.qlCalendarAdvance(Calendar,Y1688,NDays&amp;"D")</f>
        <v>50754</v>
      </c>
      <c r="AA1688" s="185">
        <v>4.8084067585428714E-2</v>
      </c>
      <c r="AB1688" s="182">
        <v>4.7831611720924316E-2</v>
      </c>
    </row>
    <row r="1689" spans="17:28" x14ac:dyDescent="0.2">
      <c r="Q1689" s="141"/>
      <c r="T1689" s="141"/>
      <c r="U1689" s="162"/>
      <c r="X1689" s="183" t="str">
        <f t="shared" si="33"/>
        <v>1w</v>
      </c>
      <c r="Y1689" s="181">
        <f>_xll.qlCalendarAdvance(Calendar,Y1688,X1689,"f",FALSE)</f>
        <v>50761</v>
      </c>
      <c r="Z1689" s="184">
        <f>_xll.qlCalendarAdvance(Calendar,Y1689,NDays&amp;"D")</f>
        <v>50761</v>
      </c>
      <c r="AA1689" s="185">
        <v>4.8079909824384509E-2</v>
      </c>
      <c r="AB1689" s="182">
        <v>4.7827075930726437E-2</v>
      </c>
    </row>
    <row r="1690" spans="17:28" x14ac:dyDescent="0.2">
      <c r="Q1690" s="141"/>
      <c r="T1690" s="141"/>
      <c r="U1690" s="162"/>
      <c r="X1690" s="183" t="str">
        <f t="shared" si="33"/>
        <v>1w</v>
      </c>
      <c r="Y1690" s="181">
        <f>_xll.qlCalendarAdvance(Calendar,Y1689,X1690,"f",FALSE)</f>
        <v>50768</v>
      </c>
      <c r="Z1690" s="184">
        <f>_xll.qlCalendarAdvance(Calendar,Y1690,NDays&amp;"D")</f>
        <v>50768</v>
      </c>
      <c r="AA1690" s="185">
        <v>4.807581989720066E-2</v>
      </c>
      <c r="AB1690" s="182">
        <v>4.7822607184281329E-2</v>
      </c>
    </row>
    <row r="1691" spans="17:28" x14ac:dyDescent="0.2">
      <c r="Q1691" s="141"/>
      <c r="T1691" s="141"/>
      <c r="U1691" s="162"/>
      <c r="X1691" s="183" t="str">
        <f t="shared" si="33"/>
        <v>1w</v>
      </c>
      <c r="Y1691" s="181">
        <f>_xll.qlCalendarAdvance(Calendar,Y1690,X1691,"f",FALSE)</f>
        <v>50775</v>
      </c>
      <c r="Z1691" s="184">
        <f>_xll.qlCalendarAdvance(Calendar,Y1691,NDays&amp;"D")</f>
        <v>50775</v>
      </c>
      <c r="AA1691" s="185">
        <v>4.8071797803673648E-2</v>
      </c>
      <c r="AB1691" s="182">
        <v>4.7818205481751086E-2</v>
      </c>
    </row>
    <row r="1692" spans="17:28" x14ac:dyDescent="0.2">
      <c r="Q1692" s="141"/>
      <c r="T1692" s="141"/>
      <c r="U1692" s="162"/>
      <c r="X1692" s="183" t="str">
        <f t="shared" si="33"/>
        <v>1w</v>
      </c>
      <c r="Y1692" s="181">
        <f>_xll.qlCalendarAdvance(Calendar,Y1691,X1692,"f",FALSE)</f>
        <v>50782</v>
      </c>
      <c r="Z1692" s="184">
        <f>_xll.qlCalendarAdvance(Calendar,Y1692,NDays&amp;"D")</f>
        <v>50782</v>
      </c>
      <c r="AA1692" s="185">
        <v>4.8067843543605361E-2</v>
      </c>
      <c r="AB1692" s="182">
        <v>4.7813870823054661E-2</v>
      </c>
    </row>
    <row r="1693" spans="17:28" x14ac:dyDescent="0.2">
      <c r="Q1693" s="141"/>
      <c r="T1693" s="141"/>
      <c r="U1693" s="162"/>
      <c r="X1693" s="183" t="str">
        <f t="shared" si="33"/>
        <v>1w</v>
      </c>
      <c r="Y1693" s="181">
        <f>_xll.qlCalendarAdvance(Calendar,Y1692,X1693,"f",FALSE)</f>
        <v>50789</v>
      </c>
      <c r="Z1693" s="184">
        <f>_xll.qlCalendarAdvance(Calendar,Y1693,NDays&amp;"D")</f>
        <v>50789</v>
      </c>
      <c r="AA1693" s="185">
        <v>4.8063957116796785E-2</v>
      </c>
      <c r="AB1693" s="182">
        <v>4.7809603208273099E-2</v>
      </c>
    </row>
    <row r="1694" spans="17:28" x14ac:dyDescent="0.2">
      <c r="Q1694" s="141"/>
      <c r="T1694" s="141"/>
      <c r="U1694" s="162"/>
      <c r="X1694" s="183" t="str">
        <f t="shared" si="33"/>
        <v>1w</v>
      </c>
      <c r="Y1694" s="181">
        <f>_xll.qlCalendarAdvance(Calendar,Y1693,X1694,"f",FALSE)</f>
        <v>50797</v>
      </c>
      <c r="Z1694" s="184">
        <f>_xll.qlCalendarAdvance(Calendar,Y1694,NDays&amp;"D")</f>
        <v>50797</v>
      </c>
      <c r="AA1694" s="185">
        <v>4.8059598547046757E-2</v>
      </c>
      <c r="AB1694" s="182">
        <v>4.7804808028480972E-2</v>
      </c>
    </row>
    <row r="1695" spans="17:28" x14ac:dyDescent="0.2">
      <c r="Q1695" s="141"/>
      <c r="T1695" s="141"/>
      <c r="U1695" s="162"/>
      <c r="X1695" s="183" t="str">
        <f t="shared" si="33"/>
        <v>1w</v>
      </c>
      <c r="Y1695" s="181">
        <f>_xll.qlCalendarAdvance(Calendar,Y1694,X1695,"f",FALSE)</f>
        <v>50804</v>
      </c>
      <c r="Z1695" s="184">
        <f>_xll.qlCalendarAdvance(Calendar,Y1695,NDays&amp;"D")</f>
        <v>50804</v>
      </c>
      <c r="AA1695" s="185">
        <v>4.8052961133696462E-2</v>
      </c>
      <c r="AB1695" s="182">
        <v>4.7800684078849187E-2</v>
      </c>
    </row>
    <row r="1696" spans="17:28" x14ac:dyDescent="0.2">
      <c r="Q1696" s="141"/>
      <c r="T1696" s="141"/>
      <c r="U1696" s="162"/>
      <c r="X1696" s="183" t="str">
        <f t="shared" si="33"/>
        <v>1w</v>
      </c>
      <c r="Y1696" s="181">
        <f>_xll.qlCalendarAdvance(Calendar,Y1695,X1696,"f",FALSE)</f>
        <v>50811</v>
      </c>
      <c r="Z1696" s="184">
        <f>_xll.qlCalendarAdvance(Calendar,Y1696,NDays&amp;"D")</f>
        <v>50811</v>
      </c>
      <c r="AA1696" s="185">
        <v>4.8049283532086394E-2</v>
      </c>
      <c r="AB1696" s="182">
        <v>4.7796627173213313E-2</v>
      </c>
    </row>
    <row r="1697" spans="17:28" x14ac:dyDescent="0.2">
      <c r="Q1697" s="141"/>
      <c r="T1697" s="141"/>
      <c r="U1697" s="162"/>
      <c r="X1697" s="183" t="str">
        <f t="shared" si="33"/>
        <v>1w</v>
      </c>
      <c r="Y1697" s="181">
        <f>_xll.qlCalendarAdvance(Calendar,Y1696,X1697,"f",FALSE)</f>
        <v>50818</v>
      </c>
      <c r="Z1697" s="184">
        <f>_xll.qlCalendarAdvance(Calendar,Y1697,NDays&amp;"D")</f>
        <v>50818</v>
      </c>
      <c r="AA1697" s="185">
        <v>4.8045673754059139E-2</v>
      </c>
      <c r="AB1697" s="182">
        <v>4.7792637311249164E-2</v>
      </c>
    </row>
    <row r="1698" spans="17:28" x14ac:dyDescent="0.2">
      <c r="Q1698" s="141"/>
      <c r="T1698" s="141"/>
      <c r="U1698" s="162"/>
      <c r="X1698" s="183" t="str">
        <f t="shared" si="33"/>
        <v>1w</v>
      </c>
      <c r="Y1698" s="181">
        <f>_xll.qlCalendarAdvance(Calendar,Y1697,X1698,"f",FALSE)</f>
        <v>50825</v>
      </c>
      <c r="Z1698" s="184">
        <f>_xll.qlCalendarAdvance(Calendar,Y1698,NDays&amp;"D")</f>
        <v>50825</v>
      </c>
      <c r="AA1698" s="185">
        <v>4.8042131799440772E-2</v>
      </c>
      <c r="AB1698" s="182">
        <v>4.778871449319988E-2</v>
      </c>
    </row>
    <row r="1699" spans="17:28" x14ac:dyDescent="0.2">
      <c r="Q1699" s="141"/>
      <c r="T1699" s="141"/>
      <c r="U1699" s="162"/>
      <c r="X1699" s="183" t="str">
        <f t="shared" si="33"/>
        <v>1w</v>
      </c>
      <c r="Y1699" s="181">
        <f>_xll.qlCalendarAdvance(Calendar,Y1698,X1699,"f",FALSE)</f>
        <v>50832</v>
      </c>
      <c r="Z1699" s="184">
        <f>_xll.qlCalendarAdvance(Calendar,Y1699,NDays&amp;"D")</f>
        <v>50832</v>
      </c>
      <c r="AA1699" s="185">
        <v>4.8047401247576775E-2</v>
      </c>
      <c r="AB1699" s="182">
        <v>4.7784858718741274E-2</v>
      </c>
    </row>
    <row r="1700" spans="17:28" x14ac:dyDescent="0.2">
      <c r="Q1700" s="141"/>
      <c r="T1700" s="141"/>
      <c r="U1700" s="162"/>
      <c r="X1700" s="183" t="str">
        <f t="shared" si="33"/>
        <v>1w</v>
      </c>
      <c r="Y1700" s="181">
        <f>_xll.qlCalendarAdvance(Calendar,Y1699,X1700,"f",FALSE)</f>
        <v>50839</v>
      </c>
      <c r="Z1700" s="184">
        <f>_xll.qlCalendarAdvance(Calendar,Y1700,NDays&amp;"D")</f>
        <v>50839</v>
      </c>
      <c r="AA1700" s="185">
        <v>4.8044008141106952E-2</v>
      </c>
      <c r="AB1700" s="182">
        <v>4.7781069988278579E-2</v>
      </c>
    </row>
    <row r="1701" spans="17:28" x14ac:dyDescent="0.2">
      <c r="Q1701" s="141"/>
      <c r="T1701" s="141"/>
      <c r="U1701" s="162"/>
      <c r="X1701" s="183" t="str">
        <f t="shared" si="33"/>
        <v>1w</v>
      </c>
      <c r="Y1701" s="181">
        <f>_xll.qlCalendarAdvance(Calendar,Y1700,X1701,"f",FALSE)</f>
        <v>50846</v>
      </c>
      <c r="Z1701" s="184">
        <f>_xll.qlCalendarAdvance(Calendar,Y1701,NDays&amp;"D")</f>
        <v>50846</v>
      </c>
      <c r="AA1701" s="185">
        <v>4.8040682884214564E-2</v>
      </c>
      <c r="AB1701" s="182">
        <v>4.7777348301649702E-2</v>
      </c>
    </row>
    <row r="1702" spans="17:28" x14ac:dyDescent="0.2">
      <c r="Q1702" s="141"/>
      <c r="T1702" s="141"/>
      <c r="U1702" s="162"/>
      <c r="X1702" s="183" t="str">
        <f t="shared" si="33"/>
        <v>1w</v>
      </c>
      <c r="Y1702" s="181">
        <f>_xll.qlCalendarAdvance(Calendar,Y1701,X1702,"f",FALSE)</f>
        <v>50853</v>
      </c>
      <c r="Z1702" s="184">
        <f>_xll.qlCalendarAdvance(Calendar,Y1702,NDays&amp;"D")</f>
        <v>50853</v>
      </c>
      <c r="AA1702" s="185">
        <v>4.8037425476734001E-2</v>
      </c>
      <c r="AB1702" s="182">
        <v>4.7773693658773597E-2</v>
      </c>
    </row>
    <row r="1703" spans="17:28" x14ac:dyDescent="0.2">
      <c r="Q1703" s="141"/>
      <c r="T1703" s="141"/>
      <c r="U1703" s="162"/>
      <c r="X1703" s="183" t="str">
        <f t="shared" si="33"/>
        <v>1w</v>
      </c>
      <c r="Y1703" s="181">
        <f>_xll.qlCalendarAdvance(Calendar,Y1702,X1703,"f",FALSE)</f>
        <v>50860</v>
      </c>
      <c r="Z1703" s="184">
        <f>_xll.qlCalendarAdvance(Calendar,Y1703,NDays&amp;"D")</f>
        <v>50860</v>
      </c>
      <c r="AA1703" s="185">
        <v>4.8031303056264789E-2</v>
      </c>
      <c r="AB1703" s="182">
        <v>4.7770106059650264E-2</v>
      </c>
    </row>
    <row r="1704" spans="17:28" x14ac:dyDescent="0.2">
      <c r="Q1704" s="141"/>
      <c r="T1704" s="141"/>
      <c r="U1704" s="162"/>
      <c r="X1704" s="183" t="str">
        <f t="shared" si="33"/>
        <v>1w</v>
      </c>
      <c r="Y1704" s="181">
        <f>_xll.qlCalendarAdvance(Calendar,Y1703,X1704,"f",FALSE)</f>
        <v>50867</v>
      </c>
      <c r="Z1704" s="184">
        <f>_xll.qlCalendarAdvance(Calendar,Y1704,NDays&amp;"D")</f>
        <v>50867</v>
      </c>
      <c r="AA1704" s="185">
        <v>4.8028176909712748E-2</v>
      </c>
      <c r="AB1704" s="182">
        <v>4.777809660429444E-2</v>
      </c>
    </row>
    <row r="1705" spans="17:28" x14ac:dyDescent="0.2">
      <c r="Q1705" s="141"/>
      <c r="T1705" s="141"/>
      <c r="U1705" s="162"/>
      <c r="X1705" s="183" t="str">
        <f t="shared" si="33"/>
        <v>1w</v>
      </c>
      <c r="Y1705" s="181">
        <f>_xll.qlCalendarAdvance(Calendar,Y1704,X1705,"f",FALSE)</f>
        <v>50874</v>
      </c>
      <c r="Z1705" s="184">
        <f>_xll.qlCalendarAdvance(Calendar,Y1705,NDays&amp;"D")</f>
        <v>50874</v>
      </c>
      <c r="AA1705" s="185">
        <v>4.8025118603197643E-2</v>
      </c>
      <c r="AB1705" s="182">
        <v>4.776313199290505E-2</v>
      </c>
    </row>
    <row r="1706" spans="17:28" x14ac:dyDescent="0.2">
      <c r="Q1706" s="141"/>
      <c r="T1706" s="141"/>
      <c r="U1706" s="162"/>
      <c r="X1706" s="183" t="str">
        <f t="shared" si="33"/>
        <v>1w</v>
      </c>
      <c r="Y1706" s="181">
        <f>_xll.qlCalendarAdvance(Calendar,Y1705,X1706,"f",FALSE)</f>
        <v>50881</v>
      </c>
      <c r="Z1706" s="184">
        <f>_xll.qlCalendarAdvance(Calendar,Y1706,NDays&amp;"D")</f>
        <v>50881</v>
      </c>
      <c r="AA1706" s="185">
        <v>4.8022128136565395E-2</v>
      </c>
      <c r="AB1706" s="182">
        <v>4.7759745525202124E-2</v>
      </c>
    </row>
    <row r="1707" spans="17:28" x14ac:dyDescent="0.2">
      <c r="Q1707" s="141"/>
      <c r="T1707" s="141"/>
      <c r="U1707" s="162"/>
      <c r="X1707" s="183" t="str">
        <f t="shared" si="33"/>
        <v>1w</v>
      </c>
      <c r="Y1707" s="181">
        <f>_xll.qlCalendarAdvance(Calendar,Y1706,X1707,"f",FALSE)</f>
        <v>50888</v>
      </c>
      <c r="Z1707" s="184">
        <f>_xll.qlCalendarAdvance(Calendar,Y1707,NDays&amp;"D")</f>
        <v>50888</v>
      </c>
      <c r="AA1707" s="185">
        <v>4.8019205509667269E-2</v>
      </c>
      <c r="AB1707" s="182">
        <v>4.7756426101414062E-2</v>
      </c>
    </row>
    <row r="1708" spans="17:28" x14ac:dyDescent="0.2">
      <c r="Q1708" s="141"/>
      <c r="T1708" s="141"/>
      <c r="U1708" s="162"/>
      <c r="X1708" s="183" t="str">
        <f t="shared" si="33"/>
        <v>1w</v>
      </c>
      <c r="Y1708" s="181">
        <f>_xll.qlCalendarAdvance(Calendar,Y1707,X1708,"f",FALSE)</f>
        <v>50895</v>
      </c>
      <c r="Z1708" s="184">
        <f>_xll.qlCalendarAdvance(Calendar,Y1708,NDays&amp;"D")</f>
        <v>50895</v>
      </c>
      <c r="AA1708" s="185">
        <v>4.8019305860475522E-2</v>
      </c>
      <c r="AB1708" s="182">
        <v>4.7753173721297726E-2</v>
      </c>
    </row>
    <row r="1709" spans="17:28" x14ac:dyDescent="0.2">
      <c r="Q1709" s="141"/>
      <c r="T1709" s="141"/>
      <c r="U1709" s="162"/>
      <c r="X1709" s="183" t="str">
        <f t="shared" si="33"/>
        <v>1w</v>
      </c>
      <c r="Y1709" s="181">
        <f>_xll.qlCalendarAdvance(Calendar,Y1708,X1709,"f",FALSE)</f>
        <v>50902</v>
      </c>
      <c r="Z1709" s="184">
        <f>_xll.qlCalendarAdvance(Calendar,Y1709,NDays&amp;"D")</f>
        <v>50902</v>
      </c>
      <c r="AA1709" s="185">
        <v>4.8016523394441332E-2</v>
      </c>
      <c r="AB1709" s="182">
        <v>4.7749988385015207E-2</v>
      </c>
    </row>
    <row r="1710" spans="17:28" x14ac:dyDescent="0.2">
      <c r="Q1710" s="141"/>
      <c r="T1710" s="141"/>
      <c r="U1710" s="162"/>
      <c r="X1710" s="183" t="str">
        <f t="shared" si="33"/>
        <v>1w</v>
      </c>
      <c r="Y1710" s="181">
        <f>_xll.qlCalendarAdvance(Calendar,Y1709,X1710,"f",FALSE)</f>
        <v>50909</v>
      </c>
      <c r="Z1710" s="184">
        <f>_xll.qlCalendarAdvance(Calendar,Y1710,NDays&amp;"D")</f>
        <v>50909</v>
      </c>
      <c r="AA1710" s="185">
        <v>4.8013808776592712E-2</v>
      </c>
      <c r="AB1710" s="182">
        <v>4.7746870092566507E-2</v>
      </c>
    </row>
    <row r="1711" spans="17:28" x14ac:dyDescent="0.2">
      <c r="Q1711" s="141"/>
      <c r="T1711" s="141"/>
      <c r="U1711" s="162"/>
      <c r="X1711" s="183" t="str">
        <f t="shared" si="33"/>
        <v>1w</v>
      </c>
      <c r="Y1711" s="181">
        <f>_xll.qlCalendarAdvance(Calendar,Y1710,X1711,"f",FALSE)</f>
        <v>50916</v>
      </c>
      <c r="Z1711" s="184">
        <f>_xll.qlCalendarAdvance(Calendar,Y1711,NDays&amp;"D")</f>
        <v>50916</v>
      </c>
      <c r="AA1711" s="185">
        <v>4.8011162006793978E-2</v>
      </c>
      <c r="AB1711" s="182">
        <v>4.7743818843789532E-2</v>
      </c>
    </row>
    <row r="1712" spans="17:28" x14ac:dyDescent="0.2">
      <c r="Q1712" s="141"/>
      <c r="T1712" s="141"/>
      <c r="U1712" s="162"/>
      <c r="X1712" s="183" t="str">
        <f t="shared" si="33"/>
        <v>1w</v>
      </c>
      <c r="Y1712" s="181">
        <f>_xll.qlCalendarAdvance(Calendar,Y1711,X1712,"f",FALSE)</f>
        <v>50923</v>
      </c>
      <c r="Z1712" s="184">
        <f>_xll.qlCalendarAdvance(Calendar,Y1712,NDays&amp;"D")</f>
        <v>50923</v>
      </c>
      <c r="AA1712" s="185">
        <v>4.800858308490772E-2</v>
      </c>
      <c r="AB1712" s="182">
        <v>4.7740834638846374E-2</v>
      </c>
    </row>
    <row r="1713" spans="17:28" x14ac:dyDescent="0.2">
      <c r="Q1713" s="141"/>
      <c r="T1713" s="141"/>
      <c r="U1713" s="162"/>
      <c r="X1713" s="183" t="str">
        <f t="shared" si="33"/>
        <v>1w</v>
      </c>
      <c r="Y1713" s="181">
        <f>_xll.qlCalendarAdvance(Calendar,Y1712,X1713,"f",FALSE)</f>
        <v>50930</v>
      </c>
      <c r="Z1713" s="184">
        <f>_xll.qlCalendarAdvance(Calendar,Y1713,NDays&amp;"D")</f>
        <v>50930</v>
      </c>
      <c r="AA1713" s="185">
        <v>4.8006072010807074E-2</v>
      </c>
      <c r="AB1713" s="182">
        <v>4.7737917477737035E-2</v>
      </c>
    </row>
    <row r="1714" spans="17:28" x14ac:dyDescent="0.2">
      <c r="Q1714" s="141"/>
      <c r="T1714" s="141"/>
      <c r="U1714" s="162"/>
      <c r="X1714" s="183" t="str">
        <f t="shared" si="33"/>
        <v>1w</v>
      </c>
      <c r="Y1714" s="181">
        <f>_xll.qlCalendarAdvance(Calendar,Y1713,X1714,"f",FALSE)</f>
        <v>50937</v>
      </c>
      <c r="Z1714" s="184">
        <f>_xll.qlCalendarAdvance(Calendar,Y1714,NDays&amp;"D")</f>
        <v>50937</v>
      </c>
      <c r="AA1714" s="185">
        <v>4.8003628784363428E-2</v>
      </c>
      <c r="AB1714" s="182">
        <v>4.7735067360380468E-2</v>
      </c>
    </row>
    <row r="1715" spans="17:28" x14ac:dyDescent="0.2">
      <c r="Q1715" s="141"/>
      <c r="T1715" s="141"/>
      <c r="U1715" s="162"/>
      <c r="X1715" s="183" t="str">
        <f t="shared" si="33"/>
        <v>1w</v>
      </c>
      <c r="Y1715" s="181">
        <f>_xll.qlCalendarAdvance(Calendar,Y1714,X1715,"f",FALSE)</f>
        <v>50944</v>
      </c>
      <c r="Z1715" s="184">
        <f>_xll.qlCalendarAdvance(Calendar,Y1715,NDays&amp;"D")</f>
        <v>50944</v>
      </c>
      <c r="AA1715" s="185">
        <v>4.8001252640482266E-2</v>
      </c>
      <c r="AB1715" s="182">
        <v>4.7732284286776672E-2</v>
      </c>
    </row>
    <row r="1716" spans="17:28" x14ac:dyDescent="0.2">
      <c r="Q1716" s="141"/>
      <c r="T1716" s="141"/>
      <c r="U1716" s="162"/>
      <c r="X1716" s="183" t="str">
        <f t="shared" si="33"/>
        <v>1w</v>
      </c>
      <c r="Y1716" s="181">
        <f>_xll.qlCalendarAdvance(Calendar,Y1715,X1716,"f",FALSE)</f>
        <v>50951</v>
      </c>
      <c r="Z1716" s="184">
        <f>_xll.qlCalendarAdvance(Calendar,Y1716,NDays&amp;"D")</f>
        <v>50951</v>
      </c>
      <c r="AA1716" s="185">
        <v>4.7998939754207277E-2</v>
      </c>
      <c r="AB1716" s="182">
        <v>4.7729568257006694E-2</v>
      </c>
    </row>
    <row r="1717" spans="17:28" x14ac:dyDescent="0.2">
      <c r="Q1717" s="141"/>
      <c r="T1717" s="141"/>
      <c r="U1717" s="162"/>
      <c r="X1717" s="183" t="str">
        <f t="shared" si="33"/>
        <v>1w</v>
      </c>
      <c r="Y1717" s="181">
        <f>_xll.qlCalendarAdvance(Calendar,Y1716,X1717,"f",FALSE)</f>
        <v>50958</v>
      </c>
      <c r="Z1717" s="184">
        <f>_xll.qlCalendarAdvance(Calendar,Y1717,NDays&amp;"D")</f>
        <v>50958</v>
      </c>
      <c r="AA1717" s="185">
        <v>4.7996685535620649E-2</v>
      </c>
      <c r="AB1717" s="182">
        <v>4.7726919270908441E-2</v>
      </c>
    </row>
    <row r="1718" spans="17:28" x14ac:dyDescent="0.2">
      <c r="Q1718" s="141"/>
      <c r="T1718" s="141"/>
      <c r="U1718" s="162"/>
      <c r="X1718" s="183" t="str">
        <f t="shared" si="33"/>
        <v>1w</v>
      </c>
      <c r="Y1718" s="181">
        <f>_xll.qlCalendarAdvance(Calendar,Y1717,X1718,"f",FALSE)</f>
        <v>50965</v>
      </c>
      <c r="Z1718" s="184">
        <f>_xll.qlCalendarAdvance(Calendar,Y1718,NDays&amp;"D")</f>
        <v>50965</v>
      </c>
      <c r="AA1718" s="185">
        <v>4.7994485394823962E-2</v>
      </c>
      <c r="AB1718" s="182">
        <v>4.7724337328806099E-2</v>
      </c>
    </row>
    <row r="1719" spans="17:28" x14ac:dyDescent="0.2">
      <c r="Q1719" s="141"/>
      <c r="T1719" s="141"/>
      <c r="U1719" s="162"/>
      <c r="X1719" s="183" t="str">
        <f t="shared" si="33"/>
        <v>1w</v>
      </c>
      <c r="Y1719" s="181">
        <f>_xll.qlCalendarAdvance(Calendar,Y1718,X1719,"f",FALSE)</f>
        <v>50972</v>
      </c>
      <c r="Z1719" s="184">
        <f>_xll.qlCalendarAdvance(Calendar,Y1719,NDays&amp;"D")</f>
        <v>50972</v>
      </c>
      <c r="AA1719" s="185">
        <v>4.7992334741924957E-2</v>
      </c>
      <c r="AB1719" s="182">
        <v>4.7721822430294436E-2</v>
      </c>
    </row>
    <row r="1720" spans="17:28" x14ac:dyDescent="0.2">
      <c r="Q1720" s="141"/>
      <c r="T1720" s="141"/>
      <c r="U1720" s="162"/>
      <c r="X1720" s="183" t="str">
        <f t="shared" si="33"/>
        <v>1w</v>
      </c>
      <c r="Y1720" s="181">
        <f>_xll.qlCalendarAdvance(Calendar,Y1719,X1720,"f",FALSE)</f>
        <v>50979</v>
      </c>
      <c r="Z1720" s="184">
        <f>_xll.qlCalendarAdvance(Calendar,Y1720,NDays&amp;"D")</f>
        <v>50979</v>
      </c>
      <c r="AA1720" s="185">
        <v>4.7990228987048994E-2</v>
      </c>
      <c r="AB1720" s="182">
        <v>4.7719374575697637E-2</v>
      </c>
    </row>
    <row r="1721" spans="17:28" x14ac:dyDescent="0.2">
      <c r="Q1721" s="141"/>
      <c r="T1721" s="141"/>
      <c r="U1721" s="162"/>
      <c r="X1721" s="183" t="str">
        <f t="shared" si="33"/>
        <v>1w</v>
      </c>
      <c r="Y1721" s="181">
        <f>_xll.qlCalendarAdvance(Calendar,Y1720,X1721,"f",FALSE)</f>
        <v>50986</v>
      </c>
      <c r="Z1721" s="184">
        <f>_xll.qlCalendarAdvance(Calendar,Y1721,NDays&amp;"D")</f>
        <v>50986</v>
      </c>
      <c r="AA1721" s="185">
        <v>4.7988163540325833E-2</v>
      </c>
      <c r="AB1721" s="182">
        <v>4.7716993764691518E-2</v>
      </c>
    </row>
    <row r="1722" spans="17:28" x14ac:dyDescent="0.2">
      <c r="Q1722" s="141"/>
      <c r="T1722" s="141"/>
      <c r="U1722" s="162"/>
      <c r="X1722" s="183" t="str">
        <f t="shared" si="33"/>
        <v>1w</v>
      </c>
      <c r="Y1722" s="181">
        <f>_xll.qlCalendarAdvance(Calendar,Y1721,X1722,"f",FALSE)</f>
        <v>50993</v>
      </c>
      <c r="Z1722" s="184">
        <f>_xll.qlCalendarAdvance(Calendar,Y1722,NDays&amp;"D")</f>
        <v>50993</v>
      </c>
      <c r="AA1722" s="185">
        <v>4.7986133811902865E-2</v>
      </c>
      <c r="AB1722" s="182">
        <v>4.7714679997519216E-2</v>
      </c>
    </row>
    <row r="1723" spans="17:28" x14ac:dyDescent="0.2">
      <c r="Q1723" s="141"/>
      <c r="T1723" s="141"/>
      <c r="U1723" s="162"/>
      <c r="X1723" s="183" t="str">
        <f t="shared" si="33"/>
        <v>1w</v>
      </c>
      <c r="Y1723" s="181">
        <f>_xll.qlCalendarAdvance(Calendar,Y1722,X1723,"f",FALSE)</f>
        <v>51000</v>
      </c>
      <c r="Z1723" s="184">
        <f>_xll.qlCalendarAdvance(Calendar,Y1723,NDays&amp;"D")</f>
        <v>51000</v>
      </c>
      <c r="AA1723" s="185">
        <v>4.7984135211933635E-2</v>
      </c>
      <c r="AB1723" s="182">
        <v>4.7712433274261778E-2</v>
      </c>
    </row>
    <row r="1724" spans="17:28" x14ac:dyDescent="0.2">
      <c r="Q1724" s="141"/>
      <c r="T1724" s="141"/>
      <c r="U1724" s="162"/>
      <c r="X1724" s="183" t="str">
        <f t="shared" si="33"/>
        <v>1w</v>
      </c>
      <c r="Y1724" s="181">
        <f>_xll.qlCalendarAdvance(Calendar,Y1723,X1724,"f",FALSE)</f>
        <v>51007</v>
      </c>
      <c r="Z1724" s="184">
        <f>_xll.qlCalendarAdvance(Calendar,Y1724,NDays&amp;"D")</f>
        <v>51007</v>
      </c>
      <c r="AA1724" s="185">
        <v>4.7982163150581389E-2</v>
      </c>
      <c r="AB1724" s="182">
        <v>4.771025359459502E-2</v>
      </c>
    </row>
    <row r="1725" spans="17:28" x14ac:dyDescent="0.2">
      <c r="Q1725" s="141"/>
      <c r="T1725" s="141"/>
      <c r="U1725" s="162"/>
      <c r="X1725" s="183" t="str">
        <f t="shared" si="33"/>
        <v>1w</v>
      </c>
      <c r="Y1725" s="181">
        <f>_xll.qlCalendarAdvance(Calendar,Y1724,X1725,"f",FALSE)</f>
        <v>51014</v>
      </c>
      <c r="Z1725" s="184">
        <f>_xll.qlCalendarAdvance(Calendar,Y1725,NDays&amp;"D")</f>
        <v>51014</v>
      </c>
      <c r="AA1725" s="185">
        <v>4.7977209028374976E-2</v>
      </c>
      <c r="AB1725" s="182">
        <v>4.770814095876208E-2</v>
      </c>
    </row>
    <row r="1726" spans="17:28" x14ac:dyDescent="0.2">
      <c r="Q1726" s="141"/>
      <c r="T1726" s="141"/>
      <c r="U1726" s="162"/>
      <c r="X1726" s="183" t="str">
        <f t="shared" si="33"/>
        <v>1w</v>
      </c>
      <c r="Y1726" s="181">
        <f>_xll.qlCalendarAdvance(Calendar,Y1725,X1726,"f",FALSE)</f>
        <v>51021</v>
      </c>
      <c r="Z1726" s="184">
        <f>_xll.qlCalendarAdvance(Calendar,Y1726,NDays&amp;"D")</f>
        <v>51021</v>
      </c>
      <c r="AA1726" s="185">
        <v>4.7975275919817852E-2</v>
      </c>
      <c r="AB1726" s="182">
        <v>4.7706095366762957E-2</v>
      </c>
    </row>
    <row r="1727" spans="17:28" x14ac:dyDescent="0.2">
      <c r="Q1727" s="141"/>
      <c r="T1727" s="141"/>
      <c r="U1727" s="162"/>
      <c r="X1727" s="183" t="str">
        <f t="shared" si="33"/>
        <v>1w</v>
      </c>
      <c r="Y1727" s="181">
        <f>_xll.qlCalendarAdvance(Calendar,Y1726,X1727,"f",FALSE)</f>
        <v>51028</v>
      </c>
      <c r="Z1727" s="184">
        <f>_xll.qlCalendarAdvance(Calendar,Y1727,NDays&amp;"D")</f>
        <v>51028</v>
      </c>
      <c r="AA1727" s="185">
        <v>4.7973355636386682E-2</v>
      </c>
      <c r="AB1727" s="182">
        <v>4.770411681843556E-2</v>
      </c>
    </row>
    <row r="1728" spans="17:28" x14ac:dyDescent="0.2">
      <c r="Q1728" s="141"/>
      <c r="T1728" s="141"/>
      <c r="U1728" s="162"/>
      <c r="X1728" s="183" t="str">
        <f t="shared" si="33"/>
        <v>1w</v>
      </c>
      <c r="Y1728" s="181">
        <f>_xll.qlCalendarAdvance(Calendar,Y1727,X1728,"f",FALSE)</f>
        <v>51035</v>
      </c>
      <c r="Z1728" s="184">
        <f>_xll.qlCalendarAdvance(Calendar,Y1728,NDays&amp;"D")</f>
        <v>51035</v>
      </c>
      <c r="AA1728" s="185">
        <v>4.7971444025407199E-2</v>
      </c>
      <c r="AB1728" s="182">
        <v>4.7702179563998692E-2</v>
      </c>
    </row>
    <row r="1729" spans="17:28" x14ac:dyDescent="0.2">
      <c r="Q1729" s="141"/>
      <c r="T1729" s="141"/>
      <c r="U1729" s="162"/>
      <c r="X1729" s="183" t="str">
        <f t="shared" si="33"/>
        <v>1w</v>
      </c>
      <c r="Y1729" s="181">
        <f>_xll.qlCalendarAdvance(Calendar,Y1728,X1729,"f",FALSE)</f>
        <v>51042</v>
      </c>
      <c r="Z1729" s="184">
        <f>_xll.qlCalendarAdvance(Calendar,Y1729,NDays&amp;"D")</f>
        <v>51042</v>
      </c>
      <c r="AA1729" s="185">
        <v>4.7969539939367367E-2</v>
      </c>
      <c r="AB1729" s="182">
        <v>4.7700249946309725E-2</v>
      </c>
    </row>
    <row r="1730" spans="17:28" x14ac:dyDescent="0.2">
      <c r="Q1730" s="141"/>
      <c r="T1730" s="141"/>
      <c r="U1730" s="162"/>
      <c r="X1730" s="183" t="str">
        <f t="shared" si="33"/>
        <v>1w</v>
      </c>
      <c r="Y1730" s="181">
        <f>_xll.qlCalendarAdvance(Calendar,Y1729,X1730,"f",FALSE)</f>
        <v>51049</v>
      </c>
      <c r="Z1730" s="184">
        <f>_xll.qlCalendarAdvance(Calendar,Y1730,NDays&amp;"D")</f>
        <v>51049</v>
      </c>
      <c r="AA1730" s="185">
        <v>4.7970648905535415E-2</v>
      </c>
      <c r="AB1730" s="182">
        <v>4.7698327762428772E-2</v>
      </c>
    </row>
    <row r="1731" spans="17:28" x14ac:dyDescent="0.2">
      <c r="Q1731" s="141"/>
      <c r="T1731" s="141"/>
      <c r="U1731" s="162"/>
      <c r="X1731" s="183" t="str">
        <f t="shared" si="33"/>
        <v>1w</v>
      </c>
      <c r="Y1731" s="181">
        <f>_xll.qlCalendarAdvance(Calendar,Y1730,X1731,"f",FALSE)</f>
        <v>51056</v>
      </c>
      <c r="Z1731" s="184">
        <f>_xll.qlCalendarAdvance(Calendar,Y1731,NDays&amp;"D")</f>
        <v>51056</v>
      </c>
      <c r="AA1731" s="185">
        <v>4.7968760155438828E-2</v>
      </c>
      <c r="AB1731" s="182">
        <v>4.7696413012355832E-2</v>
      </c>
    </row>
    <row r="1732" spans="17:28" x14ac:dyDescent="0.2">
      <c r="Q1732" s="141"/>
      <c r="T1732" s="141"/>
      <c r="U1732" s="162"/>
      <c r="X1732" s="183" t="str">
        <f t="shared" si="33"/>
        <v>1w</v>
      </c>
      <c r="Y1732" s="181">
        <f>_xll.qlCalendarAdvance(Calendar,Y1731,X1732,"f",FALSE)</f>
        <v>51063</v>
      </c>
      <c r="Z1732" s="184">
        <f>_xll.qlCalendarAdvance(Calendar,Y1732,NDays&amp;"D")</f>
        <v>51063</v>
      </c>
      <c r="AA1732" s="185">
        <v>4.796687892898565E-2</v>
      </c>
      <c r="AB1732" s="182">
        <v>4.7694505696171952E-2</v>
      </c>
    </row>
    <row r="1733" spans="17:28" x14ac:dyDescent="0.2">
      <c r="Q1733" s="141"/>
      <c r="T1733" s="141"/>
      <c r="U1733" s="162"/>
      <c r="X1733" s="183" t="str">
        <f t="shared" si="33"/>
        <v>1w</v>
      </c>
      <c r="Y1733" s="181">
        <f>_xll.qlCalendarAdvance(Calendar,Y1732,X1733,"f",FALSE)</f>
        <v>51070</v>
      </c>
      <c r="Z1733" s="184">
        <f>_xll.qlCalendarAdvance(Calendar,Y1733,NDays&amp;"D")</f>
        <v>51070</v>
      </c>
      <c r="AA1733" s="185">
        <v>4.7965005226164432E-2</v>
      </c>
      <c r="AB1733" s="182">
        <v>4.7692605813958178E-2</v>
      </c>
    </row>
    <row r="1734" spans="17:28" x14ac:dyDescent="0.2">
      <c r="Q1734" s="141"/>
      <c r="T1734" s="141"/>
      <c r="U1734" s="162"/>
      <c r="X1734" s="183" t="str">
        <f t="shared" si="33"/>
        <v>1w</v>
      </c>
      <c r="Y1734" s="181">
        <f>_xll.qlCalendarAdvance(Calendar,Y1733,X1734,"f",FALSE)</f>
        <v>51077</v>
      </c>
      <c r="Z1734" s="184">
        <f>_xll.qlCalendarAdvance(Calendar,Y1734,NDays&amp;"D")</f>
        <v>51077</v>
      </c>
      <c r="AA1734" s="185">
        <v>4.7963139046967244E-2</v>
      </c>
      <c r="AB1734" s="182">
        <v>4.7690713365552417E-2</v>
      </c>
    </row>
    <row r="1735" spans="17:28" x14ac:dyDescent="0.2">
      <c r="Q1735" s="141"/>
      <c r="T1735" s="141"/>
      <c r="U1735" s="162"/>
      <c r="X1735" s="183" t="str">
        <f t="shared" si="33"/>
        <v>1w</v>
      </c>
      <c r="Y1735" s="181">
        <f>_xll.qlCalendarAdvance(Calendar,Y1734,X1735,"f",FALSE)</f>
        <v>51084</v>
      </c>
      <c r="Z1735" s="184">
        <f>_xll.qlCalendarAdvance(Calendar,Y1735,NDays&amp;"D")</f>
        <v>51084</v>
      </c>
      <c r="AA1735" s="185">
        <v>4.796128039137823E-2</v>
      </c>
      <c r="AB1735" s="182">
        <v>4.7688828351035717E-2</v>
      </c>
    </row>
    <row r="1736" spans="17:28" x14ac:dyDescent="0.2">
      <c r="Q1736" s="141"/>
      <c r="T1736" s="141"/>
      <c r="U1736" s="162"/>
      <c r="X1736" s="183" t="str">
        <f t="shared" si="33"/>
        <v>1w</v>
      </c>
      <c r="Y1736" s="181">
        <f>_xll.qlCalendarAdvance(Calendar,Y1735,X1736,"f",FALSE)</f>
        <v>51091</v>
      </c>
      <c r="Z1736" s="184">
        <f>_xll.qlCalendarAdvance(Calendar,Y1736,NDays&amp;"D")</f>
        <v>51091</v>
      </c>
      <c r="AA1736" s="185">
        <v>4.7959429259392103E-2</v>
      </c>
      <c r="AB1736" s="182">
        <v>4.7686950770408076E-2</v>
      </c>
    </row>
    <row r="1737" spans="17:28" x14ac:dyDescent="0.2">
      <c r="Q1737" s="141"/>
      <c r="T1737" s="141"/>
      <c r="U1737" s="162"/>
      <c r="X1737" s="183" t="str">
        <f t="shared" si="33"/>
        <v>1w</v>
      </c>
      <c r="Y1737" s="181">
        <f>_xll.qlCalendarAdvance(Calendar,Y1736,X1737,"f",FALSE)</f>
        <v>51098</v>
      </c>
      <c r="Z1737" s="184">
        <f>_xll.qlCalendarAdvance(Calendar,Y1737,NDays&amp;"D")</f>
        <v>51098</v>
      </c>
      <c r="AA1737" s="185">
        <v>4.7957585650996531E-2</v>
      </c>
      <c r="AB1737" s="182">
        <v>4.7685080623669496E-2</v>
      </c>
    </row>
    <row r="1738" spans="17:28" x14ac:dyDescent="0.2">
      <c r="Q1738" s="141"/>
      <c r="T1738" s="141"/>
      <c r="U1738" s="162"/>
      <c r="X1738" s="183" t="str">
        <f t="shared" si="33"/>
        <v>1w</v>
      </c>
      <c r="Y1738" s="181">
        <f>_xll.qlCalendarAdvance(Calendar,Y1737,X1738,"f",FALSE)</f>
        <v>51105</v>
      </c>
      <c r="Z1738" s="184">
        <f>_xll.qlCalendarAdvance(Calendar,Y1738,NDays&amp;"D")</f>
        <v>51105</v>
      </c>
      <c r="AA1738" s="185">
        <v>4.7952741684004048E-2</v>
      </c>
      <c r="AB1738" s="182">
        <v>4.7683217910657882E-2</v>
      </c>
    </row>
    <row r="1739" spans="17:28" x14ac:dyDescent="0.2">
      <c r="Q1739" s="141"/>
      <c r="T1739" s="141"/>
      <c r="U1739" s="162"/>
      <c r="X1739" s="183" t="str">
        <f t="shared" si="33"/>
        <v>1w</v>
      </c>
      <c r="Y1739" s="181">
        <f>_xll.qlCalendarAdvance(Calendar,Y1738,X1739,"f",FALSE)</f>
        <v>51112</v>
      </c>
      <c r="Z1739" s="184">
        <f>_xll.qlCalendarAdvance(Calendar,Y1739,NDays&amp;"D")</f>
        <v>51112</v>
      </c>
      <c r="AA1739" s="185">
        <v>4.7950912824217186E-2</v>
      </c>
      <c r="AB1739" s="182">
        <v>4.7681362631616375E-2</v>
      </c>
    </row>
    <row r="1740" spans="17:28" x14ac:dyDescent="0.2">
      <c r="Q1740" s="141"/>
      <c r="T1740" s="141"/>
      <c r="U1740" s="162"/>
      <c r="X1740" s="183" t="str">
        <f t="shared" si="33"/>
        <v>1w</v>
      </c>
      <c r="Y1740" s="181">
        <f>_xll.qlCalendarAdvance(Calendar,Y1739,X1740,"f",FALSE)</f>
        <v>51119</v>
      </c>
      <c r="Z1740" s="184">
        <f>_xll.qlCalendarAdvance(Calendar,Y1740,NDays&amp;"D")</f>
        <v>51119</v>
      </c>
      <c r="AA1740" s="185">
        <v>4.7949091487001834E-2</v>
      </c>
      <c r="AB1740" s="182">
        <v>4.7679514786382882E-2</v>
      </c>
    </row>
    <row r="1741" spans="17:28" x14ac:dyDescent="0.2">
      <c r="Q1741" s="141"/>
      <c r="T1741" s="141"/>
      <c r="U1741" s="162"/>
      <c r="X1741" s="183" t="str">
        <f t="shared" si="33"/>
        <v>1w</v>
      </c>
      <c r="Y1741" s="181">
        <f>_xll.qlCalendarAdvance(Calendar,Y1740,X1741,"f",FALSE)</f>
        <v>51126</v>
      </c>
      <c r="Z1741" s="184">
        <f>_xll.qlCalendarAdvance(Calendar,Y1741,NDays&amp;"D")</f>
        <v>51126</v>
      </c>
      <c r="AA1741" s="185">
        <v>4.7947277672345509E-2</v>
      </c>
      <c r="AB1741" s="182">
        <v>4.7677674375200541E-2</v>
      </c>
    </row>
    <row r="1742" spans="17:28" x14ac:dyDescent="0.2">
      <c r="Q1742" s="141"/>
      <c r="T1742" s="141"/>
      <c r="U1742" s="162"/>
      <c r="X1742" s="183" t="str">
        <f t="shared" si="33"/>
        <v>1w</v>
      </c>
      <c r="Y1742" s="181">
        <f>_xll.qlCalendarAdvance(Calendar,Y1741,X1742,"f",FALSE)</f>
        <v>51133</v>
      </c>
      <c r="Z1742" s="184">
        <f>_xll.qlCalendarAdvance(Calendar,Y1742,NDays&amp;"D")</f>
        <v>51133</v>
      </c>
      <c r="AA1742" s="185">
        <v>4.7945471380234861E-2</v>
      </c>
      <c r="AB1742" s="182">
        <v>4.767584139766412E-2</v>
      </c>
    </row>
    <row r="1743" spans="17:28" x14ac:dyDescent="0.2">
      <c r="Q1743" s="141"/>
      <c r="T1743" s="141"/>
      <c r="U1743" s="162"/>
      <c r="X1743" s="183" t="str">
        <f t="shared" si="33"/>
        <v>1w</v>
      </c>
      <c r="Y1743" s="181">
        <f>_xll.qlCalendarAdvance(Calendar,Y1742,X1743,"f",FALSE)</f>
        <v>51140</v>
      </c>
      <c r="Z1743" s="184">
        <f>_xll.qlCalendarAdvance(Calendar,Y1743,NDays&amp;"D")</f>
        <v>51140</v>
      </c>
      <c r="AA1743" s="185">
        <v>4.7943672610664546E-2</v>
      </c>
      <c r="AB1743" s="182">
        <v>4.7674015854097807E-2</v>
      </c>
    </row>
    <row r="1744" spans="17:28" x14ac:dyDescent="0.2">
      <c r="Q1744" s="141"/>
      <c r="T1744" s="141"/>
      <c r="U1744" s="162"/>
      <c r="X1744" s="183" t="str">
        <f t="shared" si="33"/>
        <v>1w</v>
      </c>
      <c r="Y1744" s="181">
        <f>_xll.qlCalendarAdvance(Calendar,Y1743,X1744,"f",FALSE)</f>
        <v>51147</v>
      </c>
      <c r="Z1744" s="184">
        <f>_xll.qlCalendarAdvance(Calendar,Y1744,NDays&amp;"D")</f>
        <v>51147</v>
      </c>
      <c r="AA1744" s="185">
        <v>4.794188136362388E-2</v>
      </c>
      <c r="AB1744" s="182">
        <v>4.7672197744420552E-2</v>
      </c>
    </row>
    <row r="1745" spans="17:28" x14ac:dyDescent="0.2">
      <c r="Q1745" s="141"/>
      <c r="T1745" s="141"/>
      <c r="U1745" s="162"/>
      <c r="X1745" s="183" t="str">
        <f t="shared" si="33"/>
        <v>1w</v>
      </c>
      <c r="Y1745" s="181">
        <f>_xll.qlCalendarAdvance(Calendar,Y1744,X1745,"f",FALSE)</f>
        <v>51154</v>
      </c>
      <c r="Z1745" s="184">
        <f>_xll.qlCalendarAdvance(Calendar,Y1745,NDays&amp;"D")</f>
        <v>51154</v>
      </c>
      <c r="AA1745" s="185">
        <v>4.7940097639101273E-2</v>
      </c>
      <c r="AB1745" s="182">
        <v>4.7670387068632358E-2</v>
      </c>
    </row>
    <row r="1746" spans="17:28" x14ac:dyDescent="0.2">
      <c r="Q1746" s="141"/>
      <c r="T1746" s="141"/>
      <c r="U1746" s="162"/>
      <c r="X1746" s="183" t="str">
        <f t="shared" si="33"/>
        <v>1w</v>
      </c>
      <c r="Y1746" s="181">
        <f>_xll.qlCalendarAdvance(Calendar,Y1745,X1746,"f",FALSE)</f>
        <v>51162</v>
      </c>
      <c r="Z1746" s="184">
        <f>_xll.qlCalendarAdvance(Calendar,Y1746,NDays&amp;"D")</f>
        <v>51162</v>
      </c>
      <c r="AA1746" s="185">
        <v>4.7938068308023982E-2</v>
      </c>
      <c r="AB1746" s="182">
        <v>4.7674295630046513E-2</v>
      </c>
    </row>
    <row r="1747" spans="17:28" x14ac:dyDescent="0.2">
      <c r="Q1747" s="141"/>
      <c r="T1747" s="141"/>
      <c r="U1747" s="162"/>
      <c r="X1747" s="183" t="str">
        <f t="shared" si="33"/>
        <v>1w</v>
      </c>
      <c r="Y1747" s="181">
        <f>_xll.qlCalendarAdvance(Calendar,Y1746,X1747,"f",FALSE)</f>
        <v>51169</v>
      </c>
      <c r="Z1747" s="184">
        <f>_xll.qlCalendarAdvance(Calendar,Y1747,NDays&amp;"D")</f>
        <v>51169</v>
      </c>
      <c r="AA1747" s="185">
        <v>4.7933290346329774E-2</v>
      </c>
      <c r="AB1747" s="182">
        <v>4.7672501477379711E-2</v>
      </c>
    </row>
    <row r="1748" spans="17:28" x14ac:dyDescent="0.2">
      <c r="Q1748" s="141"/>
      <c r="T1748" s="141"/>
      <c r="U1748" s="162"/>
      <c r="X1748" s="183" t="str">
        <f t="shared" si="33"/>
        <v>1w</v>
      </c>
      <c r="Y1748" s="181">
        <f>_xll.qlCalendarAdvance(Calendar,Y1747,X1748,"f",FALSE)</f>
        <v>51176</v>
      </c>
      <c r="Z1748" s="184">
        <f>_xll.qlCalendarAdvance(Calendar,Y1748,NDays&amp;"D")</f>
        <v>51176</v>
      </c>
      <c r="AA1748" s="185">
        <v>4.7931529956462035E-2</v>
      </c>
      <c r="AB1748" s="182">
        <v>4.7670714760574093E-2</v>
      </c>
    </row>
    <row r="1749" spans="17:28" x14ac:dyDescent="0.2">
      <c r="Q1749" s="141"/>
      <c r="T1749" s="141"/>
      <c r="U1749" s="162"/>
      <c r="X1749" s="183" t="str">
        <f t="shared" ref="X1749:X1812" si="34">X1748</f>
        <v>1w</v>
      </c>
      <c r="Y1749" s="181">
        <f>_xll.qlCalendarAdvance(Calendar,Y1748,X1749,"f",FALSE)</f>
        <v>51183</v>
      </c>
      <c r="Z1749" s="184">
        <f>_xll.qlCalendarAdvance(Calendar,Y1749,NDays&amp;"D")</f>
        <v>51183</v>
      </c>
      <c r="AA1749" s="185">
        <v>4.7929777088082673E-2</v>
      </c>
      <c r="AB1749" s="182">
        <v>4.7668935479521599E-2</v>
      </c>
    </row>
    <row r="1750" spans="17:28" x14ac:dyDescent="0.2">
      <c r="Q1750" s="141"/>
      <c r="T1750" s="141"/>
      <c r="U1750" s="162"/>
      <c r="X1750" s="183" t="str">
        <f t="shared" si="34"/>
        <v>1w</v>
      </c>
      <c r="Y1750" s="181">
        <f>_xll.qlCalendarAdvance(Calendar,Y1749,X1750,"f",FALSE)</f>
        <v>51190</v>
      </c>
      <c r="Z1750" s="184">
        <f>_xll.qlCalendarAdvance(Calendar,Y1750,NDays&amp;"D")</f>
        <v>51190</v>
      </c>
      <c r="AA1750" s="185">
        <v>4.792803174118089E-2</v>
      </c>
      <c r="AB1750" s="182">
        <v>4.7667163634384321E-2</v>
      </c>
    </row>
    <row r="1751" spans="17:28" x14ac:dyDescent="0.2">
      <c r="Q1751" s="141"/>
      <c r="T1751" s="141"/>
      <c r="U1751" s="162"/>
      <c r="X1751" s="183" t="str">
        <f t="shared" si="34"/>
        <v>1w</v>
      </c>
      <c r="Y1751" s="181">
        <f>_xll.qlCalendarAdvance(Calendar,Y1750,X1751,"f",FALSE)</f>
        <v>51197</v>
      </c>
      <c r="Z1751" s="184">
        <f>_xll.qlCalendarAdvance(Calendar,Y1751,NDays&amp;"D")</f>
        <v>51197</v>
      </c>
      <c r="AA1751" s="185">
        <v>4.7938342039763313E-2</v>
      </c>
      <c r="AB1751" s="182">
        <v>4.7665399225027182E-2</v>
      </c>
    </row>
    <row r="1752" spans="17:28" x14ac:dyDescent="0.2">
      <c r="Q1752" s="141"/>
      <c r="T1752" s="141"/>
      <c r="U1752" s="162"/>
      <c r="X1752" s="183" t="str">
        <f t="shared" si="34"/>
        <v>1w</v>
      </c>
      <c r="Y1752" s="181">
        <f>_xll.qlCalendarAdvance(Calendar,Y1751,X1752,"f",FALSE)</f>
        <v>51204</v>
      </c>
      <c r="Z1752" s="184">
        <f>_xll.qlCalendarAdvance(Calendar,Y1752,NDays&amp;"D")</f>
        <v>51204</v>
      </c>
      <c r="AA1752" s="185">
        <v>4.7939626055773649E-2</v>
      </c>
      <c r="AB1752" s="182">
        <v>4.7663642251504219E-2</v>
      </c>
    </row>
    <row r="1753" spans="17:28" x14ac:dyDescent="0.2">
      <c r="Q1753" s="141"/>
      <c r="T1753" s="141"/>
      <c r="U1753" s="162"/>
      <c r="X1753" s="183" t="str">
        <f t="shared" si="34"/>
        <v>1w</v>
      </c>
      <c r="Y1753" s="181">
        <f>_xll.qlCalendarAdvance(Calendar,Y1752,X1753,"f",FALSE)</f>
        <v>51211</v>
      </c>
      <c r="Z1753" s="184">
        <f>_xll.qlCalendarAdvance(Calendar,Y1753,NDays&amp;"D")</f>
        <v>51211</v>
      </c>
      <c r="AA1753" s="185">
        <v>4.7934891450095017E-2</v>
      </c>
      <c r="AB1753" s="182">
        <v>4.7661892713815421E-2</v>
      </c>
    </row>
    <row r="1754" spans="17:28" x14ac:dyDescent="0.2">
      <c r="Q1754" s="141"/>
      <c r="T1754" s="141"/>
      <c r="U1754" s="162"/>
      <c r="X1754" s="183" t="str">
        <f t="shared" si="34"/>
        <v>1w</v>
      </c>
      <c r="Y1754" s="181">
        <f>_xll.qlCalendarAdvance(Calendar,Y1753,X1754,"f",FALSE)</f>
        <v>51218</v>
      </c>
      <c r="Z1754" s="184">
        <f>_xll.qlCalendarAdvance(Calendar,Y1754,NDays&amp;"D")</f>
        <v>51218</v>
      </c>
      <c r="AA1754" s="185">
        <v>4.7933177443360987E-2</v>
      </c>
      <c r="AB1754" s="182">
        <v>4.7660150611906767E-2</v>
      </c>
    </row>
    <row r="1755" spans="17:28" x14ac:dyDescent="0.2">
      <c r="Q1755" s="141"/>
      <c r="T1755" s="141"/>
      <c r="U1755" s="162"/>
      <c r="X1755" s="183" t="str">
        <f t="shared" si="34"/>
        <v>1w</v>
      </c>
      <c r="Y1755" s="181">
        <f>_xll.qlCalendarAdvance(Calendar,Y1754,X1755,"f",FALSE)</f>
        <v>51229</v>
      </c>
      <c r="Z1755" s="184">
        <f>_xll.qlCalendarAdvance(Calendar,Y1755,NDays&amp;"D")</f>
        <v>51229</v>
      </c>
      <c r="AA1755" s="185">
        <v>4.7921458378750892E-2</v>
      </c>
      <c r="AB1755" s="182">
        <v>4.7651453483401607E-2</v>
      </c>
    </row>
    <row r="1756" spans="17:28" x14ac:dyDescent="0.2">
      <c r="Q1756" s="141"/>
      <c r="T1756" s="141"/>
      <c r="U1756" s="162"/>
      <c r="X1756" s="183" t="str">
        <f t="shared" si="34"/>
        <v>1w</v>
      </c>
      <c r="Y1756" s="181">
        <f>_xll.qlCalendarAdvance(Calendar,Y1755,X1756,"f",FALSE)</f>
        <v>51236</v>
      </c>
      <c r="Z1756" s="184">
        <f>_xll.qlCalendarAdvance(Calendar,Y1756,NDays&amp;"D")</f>
        <v>51236</v>
      </c>
      <c r="AA1756" s="185">
        <v>4.7919762774435097E-2</v>
      </c>
      <c r="AB1756" s="182">
        <v>4.7649729889978065E-2</v>
      </c>
    </row>
    <row r="1757" spans="17:28" x14ac:dyDescent="0.2">
      <c r="Q1757" s="141"/>
      <c r="T1757" s="141"/>
      <c r="U1757" s="162"/>
      <c r="X1757" s="183" t="str">
        <f t="shared" si="34"/>
        <v>1w</v>
      </c>
      <c r="Y1757" s="181">
        <f>_xll.qlCalendarAdvance(Calendar,Y1756,X1757,"f",FALSE)</f>
        <v>51243</v>
      </c>
      <c r="Z1757" s="184">
        <f>_xll.qlCalendarAdvance(Calendar,Y1757,NDays&amp;"D")</f>
        <v>51243</v>
      </c>
      <c r="AA1757" s="185">
        <v>4.7918074692515349E-2</v>
      </c>
      <c r="AB1757" s="182">
        <v>4.764801373052463E-2</v>
      </c>
    </row>
    <row r="1758" spans="17:28" x14ac:dyDescent="0.2">
      <c r="Q1758" s="141"/>
      <c r="T1758" s="141"/>
      <c r="U1758" s="162"/>
      <c r="X1758" s="183" t="str">
        <f t="shared" si="34"/>
        <v>1w</v>
      </c>
      <c r="Y1758" s="181">
        <f>_xll.qlCalendarAdvance(Calendar,Y1757,X1758,"f",FALSE)</f>
        <v>51250</v>
      </c>
      <c r="Z1758" s="184">
        <f>_xll.qlCalendarAdvance(Calendar,Y1758,NDays&amp;"D")</f>
        <v>51250</v>
      </c>
      <c r="AA1758" s="185">
        <v>4.7916394132980974E-2</v>
      </c>
      <c r="AB1758" s="182">
        <v>4.764929306296517E-2</v>
      </c>
    </row>
    <row r="1759" spans="17:28" x14ac:dyDescent="0.2">
      <c r="Q1759" s="141"/>
      <c r="T1759" s="141"/>
      <c r="U1759" s="162"/>
      <c r="X1759" s="183" t="str">
        <f t="shared" si="34"/>
        <v>1w</v>
      </c>
      <c r="Y1759" s="181">
        <f>_xll.qlCalendarAdvance(Calendar,Y1758,X1759,"f",FALSE)</f>
        <v>51257</v>
      </c>
      <c r="Z1759" s="184">
        <f>_xll.qlCalendarAdvance(Calendar,Y1759,NDays&amp;"D")</f>
        <v>51257</v>
      </c>
      <c r="AA1759" s="185">
        <v>4.7917735683245359E-2</v>
      </c>
      <c r="AB1759" s="182">
        <v>4.76446037130418E-2</v>
      </c>
    </row>
    <row r="1760" spans="17:28" x14ac:dyDescent="0.2">
      <c r="Q1760" s="141"/>
      <c r="T1760" s="141"/>
      <c r="U1760" s="162"/>
      <c r="X1760" s="183" t="str">
        <f t="shared" si="34"/>
        <v>1w</v>
      </c>
      <c r="Y1760" s="181">
        <f>_xll.qlCalendarAdvance(Calendar,Y1759,X1760,"f",FALSE)</f>
        <v>51264</v>
      </c>
      <c r="Z1760" s="184">
        <f>_xll.qlCalendarAdvance(Calendar,Y1760,NDays&amp;"D")</f>
        <v>51264</v>
      </c>
      <c r="AA1760" s="185">
        <v>4.7916070488484098E-2</v>
      </c>
      <c r="AB1760" s="182">
        <v>4.7642909855255544E-2</v>
      </c>
    </row>
    <row r="1761" spans="17:28" x14ac:dyDescent="0.2">
      <c r="Q1761" s="141"/>
      <c r="T1761" s="141"/>
      <c r="U1761" s="162"/>
      <c r="X1761" s="183" t="str">
        <f t="shared" si="34"/>
        <v>1w</v>
      </c>
      <c r="Y1761" s="181">
        <f>_xll.qlCalendarAdvance(Calendar,Y1760,X1761,"f",FALSE)</f>
        <v>51271</v>
      </c>
      <c r="Z1761" s="184">
        <f>_xll.qlCalendarAdvance(Calendar,Y1761,NDays&amp;"D")</f>
        <v>51271</v>
      </c>
      <c r="AA1761" s="185">
        <v>4.7914412817072018E-2</v>
      </c>
      <c r="AB1761" s="182">
        <v>4.7641223431034163E-2</v>
      </c>
    </row>
    <row r="1762" spans="17:28" x14ac:dyDescent="0.2">
      <c r="Q1762" s="141"/>
      <c r="T1762" s="141"/>
      <c r="U1762" s="162"/>
      <c r="X1762" s="183" t="str">
        <f t="shared" si="34"/>
        <v>1w</v>
      </c>
      <c r="Y1762" s="181">
        <f>_xll.qlCalendarAdvance(Calendar,Y1761,X1762,"f",FALSE)</f>
        <v>51278</v>
      </c>
      <c r="Z1762" s="184">
        <f>_xll.qlCalendarAdvance(Calendar,Y1762,NDays&amp;"D")</f>
        <v>51278</v>
      </c>
      <c r="AA1762" s="185">
        <v>4.7912762668996786E-2</v>
      </c>
      <c r="AB1762" s="182">
        <v>4.7639544440863935E-2</v>
      </c>
    </row>
    <row r="1763" spans="17:28" x14ac:dyDescent="0.2">
      <c r="Q1763" s="141"/>
      <c r="T1763" s="141"/>
      <c r="U1763" s="162"/>
      <c r="X1763" s="183" t="str">
        <f t="shared" si="34"/>
        <v>1w</v>
      </c>
      <c r="Y1763" s="181">
        <f>_xll.qlCalendarAdvance(Calendar,Y1762,X1763,"f",FALSE)</f>
        <v>51285</v>
      </c>
      <c r="Z1763" s="184">
        <f>_xll.qlCalendarAdvance(Calendar,Y1763,NDays&amp;"D")</f>
        <v>51285</v>
      </c>
      <c r="AA1763" s="185">
        <v>4.7911120044251347E-2</v>
      </c>
      <c r="AB1763" s="182">
        <v>4.7637872884744858E-2</v>
      </c>
    </row>
    <row r="1764" spans="17:28" x14ac:dyDescent="0.2">
      <c r="Q1764" s="141"/>
      <c r="T1764" s="141"/>
      <c r="U1764" s="162"/>
      <c r="X1764" s="183" t="str">
        <f t="shared" si="34"/>
        <v>1w</v>
      </c>
      <c r="Y1764" s="181">
        <f>_xll.qlCalendarAdvance(Calendar,Y1763,X1764,"f",FALSE)</f>
        <v>51292</v>
      </c>
      <c r="Z1764" s="184">
        <f>_xll.qlCalendarAdvance(Calendar,Y1764,NDays&amp;"D")</f>
        <v>51292</v>
      </c>
      <c r="AA1764" s="185">
        <v>4.7909484942822489E-2</v>
      </c>
      <c r="AB1764" s="182">
        <v>4.7636208762190657E-2</v>
      </c>
    </row>
    <row r="1765" spans="17:28" x14ac:dyDescent="0.2">
      <c r="Q1765" s="141"/>
      <c r="T1765" s="141"/>
      <c r="U1765" s="162"/>
      <c r="X1765" s="183" t="str">
        <f t="shared" si="34"/>
        <v>1w</v>
      </c>
      <c r="Y1765" s="181">
        <f>_xll.qlCalendarAdvance(Calendar,Y1764,X1765,"f",FALSE)</f>
        <v>51299</v>
      </c>
      <c r="Z1765" s="184">
        <f>_xll.qlCalendarAdvance(Calendar,Y1765,NDays&amp;"D")</f>
        <v>51299</v>
      </c>
      <c r="AA1765" s="185">
        <v>4.7907857364706694E-2</v>
      </c>
      <c r="AB1765" s="182">
        <v>4.7634552073687608E-2</v>
      </c>
    </row>
    <row r="1766" spans="17:28" x14ac:dyDescent="0.2">
      <c r="Q1766" s="141"/>
      <c r="T1766" s="141"/>
      <c r="U1766" s="162"/>
      <c r="X1766" s="183" t="str">
        <f t="shared" si="34"/>
        <v>1w</v>
      </c>
      <c r="Y1766" s="181">
        <f>_xll.qlCalendarAdvance(Calendar,Y1765,X1766,"f",FALSE)</f>
        <v>51306</v>
      </c>
      <c r="Z1766" s="184">
        <f>_xll.qlCalendarAdvance(Calendar,Y1766,NDays&amp;"D")</f>
        <v>51306</v>
      </c>
      <c r="AA1766" s="185">
        <v>4.790623730988898E-2</v>
      </c>
      <c r="AB1766" s="182">
        <v>4.7632902818911527E-2</v>
      </c>
    </row>
    <row r="1767" spans="17:28" x14ac:dyDescent="0.2">
      <c r="Q1767" s="141"/>
      <c r="T1767" s="141"/>
      <c r="U1767" s="162"/>
      <c r="X1767" s="183" t="str">
        <f t="shared" si="34"/>
        <v>1w</v>
      </c>
      <c r="Y1767" s="181">
        <f>_xll.qlCalendarAdvance(Calendar,Y1766,X1767,"f",FALSE)</f>
        <v>51313</v>
      </c>
      <c r="Z1767" s="184">
        <f>_xll.qlCalendarAdvance(Calendar,Y1767,NDays&amp;"D")</f>
        <v>51313</v>
      </c>
      <c r="AA1767" s="185">
        <v>4.7904624778364067E-2</v>
      </c>
      <c r="AB1767" s="182">
        <v>4.7631260998186598E-2</v>
      </c>
    </row>
    <row r="1768" spans="17:28" x14ac:dyDescent="0.2">
      <c r="Q1768" s="141"/>
      <c r="T1768" s="141"/>
      <c r="U1768" s="162"/>
      <c r="X1768" s="183" t="str">
        <f t="shared" si="34"/>
        <v>1w</v>
      </c>
      <c r="Y1768" s="181">
        <f>_xll.qlCalendarAdvance(Calendar,Y1767,X1768,"f",FALSE)</f>
        <v>51320</v>
      </c>
      <c r="Z1768" s="184">
        <f>_xll.qlCalendarAdvance(Calendar,Y1768,NDays&amp;"D")</f>
        <v>51320</v>
      </c>
      <c r="AA1768" s="185">
        <v>4.7903019770122263E-2</v>
      </c>
      <c r="AB1768" s="182">
        <v>4.7629626611026543E-2</v>
      </c>
    </row>
    <row r="1769" spans="17:28" x14ac:dyDescent="0.2">
      <c r="Q1769" s="141"/>
      <c r="T1769" s="141"/>
      <c r="U1769" s="162"/>
      <c r="X1769" s="183" t="str">
        <f t="shared" si="34"/>
        <v>1w</v>
      </c>
      <c r="Y1769" s="181">
        <f>_xll.qlCalendarAdvance(Calendar,Y1768,X1769,"f",FALSE)</f>
        <v>51327</v>
      </c>
      <c r="Z1769" s="184">
        <f>_xll.qlCalendarAdvance(Calendar,Y1769,NDays&amp;"D")</f>
        <v>51327</v>
      </c>
      <c r="AA1769" s="185">
        <v>4.7901422285152109E-2</v>
      </c>
      <c r="AB1769" s="182">
        <v>4.7627999657917641E-2</v>
      </c>
    </row>
    <row r="1770" spans="17:28" x14ac:dyDescent="0.2">
      <c r="Q1770" s="141"/>
      <c r="T1770" s="141"/>
      <c r="U1770" s="162"/>
      <c r="X1770" s="183" t="str">
        <f t="shared" si="34"/>
        <v>1w</v>
      </c>
      <c r="Y1770" s="181">
        <f>_xll.qlCalendarAdvance(Calendar,Y1769,X1770,"f",FALSE)</f>
        <v>51334</v>
      </c>
      <c r="Z1770" s="184">
        <f>_xll.qlCalendarAdvance(Calendar,Y1770,NDays&amp;"D")</f>
        <v>51334</v>
      </c>
      <c r="AA1770" s="185">
        <v>4.7899832323449208E-2</v>
      </c>
      <c r="AB1770" s="182">
        <v>4.7626380138616753E-2</v>
      </c>
    </row>
    <row r="1771" spans="17:28" x14ac:dyDescent="0.2">
      <c r="Q1771" s="141"/>
      <c r="T1771" s="141"/>
      <c r="U1771" s="162"/>
      <c r="X1771" s="183" t="str">
        <f t="shared" si="34"/>
        <v>1w</v>
      </c>
      <c r="Y1771" s="181">
        <f>_xll.qlCalendarAdvance(Calendar,Y1770,X1771,"f",FALSE)</f>
        <v>51341</v>
      </c>
      <c r="Z1771" s="184">
        <f>_xll.qlCalendarAdvance(Calendar,Y1771,NDays&amp;"D")</f>
        <v>51341</v>
      </c>
      <c r="AA1771" s="185">
        <v>4.789824988499946E-2</v>
      </c>
      <c r="AB1771" s="182">
        <v>4.7624768053204924E-2</v>
      </c>
    </row>
    <row r="1772" spans="17:28" x14ac:dyDescent="0.2">
      <c r="Q1772" s="141"/>
      <c r="T1772" s="141"/>
      <c r="U1772" s="162"/>
      <c r="X1772" s="183" t="str">
        <f t="shared" si="34"/>
        <v>1w</v>
      </c>
      <c r="Y1772" s="181">
        <f>_xll.qlCalendarAdvance(Calendar,Y1771,X1772,"f",FALSE)</f>
        <v>51348</v>
      </c>
      <c r="Z1772" s="184">
        <f>_xll.qlCalendarAdvance(Calendar,Y1772,NDays&amp;"D")</f>
        <v>51348</v>
      </c>
      <c r="AA1772" s="185">
        <v>4.7896674969798471E-2</v>
      </c>
      <c r="AB1772" s="182">
        <v>4.7623163401844248E-2</v>
      </c>
    </row>
    <row r="1773" spans="17:28" x14ac:dyDescent="0.2">
      <c r="Q1773" s="141"/>
      <c r="T1773" s="141"/>
      <c r="U1773" s="162"/>
      <c r="X1773" s="183" t="str">
        <f t="shared" si="34"/>
        <v>1w</v>
      </c>
      <c r="Y1773" s="181">
        <f>_xll.qlCalendarAdvance(Calendar,Y1772,X1773,"f",FALSE)</f>
        <v>51355</v>
      </c>
      <c r="Z1773" s="184">
        <f>_xll.qlCalendarAdvance(Calendar,Y1773,NDays&amp;"D")</f>
        <v>51355</v>
      </c>
      <c r="AA1773" s="185">
        <v>4.7895107577834772E-2</v>
      </c>
      <c r="AB1773" s="182">
        <v>4.7621566184048447E-2</v>
      </c>
    </row>
    <row r="1774" spans="17:28" x14ac:dyDescent="0.2">
      <c r="Q1774" s="141"/>
      <c r="T1774" s="141"/>
      <c r="U1774" s="162"/>
      <c r="X1774" s="183" t="str">
        <f t="shared" si="34"/>
        <v>1w</v>
      </c>
      <c r="Y1774" s="181">
        <f>_xll.qlCalendarAdvance(Calendar,Y1773,X1774,"f",FALSE)</f>
        <v>51362</v>
      </c>
      <c r="Z1774" s="184">
        <f>_xll.qlCalendarAdvance(Calendar,Y1774,NDays&amp;"D")</f>
        <v>51362</v>
      </c>
      <c r="AA1774" s="185">
        <v>4.7893547709100447E-2</v>
      </c>
      <c r="AB1774" s="182">
        <v>4.7619976400384845E-2</v>
      </c>
    </row>
    <row r="1775" spans="17:28" x14ac:dyDescent="0.2">
      <c r="Q1775" s="141"/>
      <c r="T1775" s="141"/>
      <c r="U1775" s="162"/>
      <c r="X1775" s="183" t="str">
        <f t="shared" si="34"/>
        <v>1w</v>
      </c>
      <c r="Y1775" s="181">
        <f>_xll.qlCalendarAdvance(Calendar,Y1774,X1775,"f",FALSE)</f>
        <v>51369</v>
      </c>
      <c r="Z1775" s="184">
        <f>_xll.qlCalendarAdvance(Calendar,Y1775,NDays&amp;"D")</f>
        <v>51369</v>
      </c>
      <c r="AA1775" s="185">
        <v>4.7891995363585807E-2</v>
      </c>
      <c r="AB1775" s="182">
        <v>4.7618394050448209E-2</v>
      </c>
    </row>
    <row r="1776" spans="17:28" x14ac:dyDescent="0.2">
      <c r="Q1776" s="141"/>
      <c r="T1776" s="141"/>
      <c r="U1776" s="162"/>
      <c r="X1776" s="183" t="str">
        <f t="shared" si="34"/>
        <v>1w</v>
      </c>
      <c r="Y1776" s="181">
        <f>_xll.qlCalendarAdvance(Calendar,Y1775,X1776,"f",FALSE)</f>
        <v>51376</v>
      </c>
      <c r="Z1776" s="184">
        <f>_xll.qlCalendarAdvance(Calendar,Y1776,NDays&amp;"D")</f>
        <v>51376</v>
      </c>
      <c r="AA1776" s="185">
        <v>4.789045054128379E-2</v>
      </c>
      <c r="AB1776" s="182">
        <v>4.7616819134400634E-2</v>
      </c>
    </row>
    <row r="1777" spans="17:28" x14ac:dyDescent="0.2">
      <c r="Q1777" s="141"/>
      <c r="T1777" s="141"/>
      <c r="U1777" s="162"/>
      <c r="X1777" s="183" t="str">
        <f t="shared" si="34"/>
        <v>1w</v>
      </c>
      <c r="Y1777" s="181">
        <f>_xll.qlCalendarAdvance(Calendar,Y1776,X1777,"f",FALSE)</f>
        <v>51383</v>
      </c>
      <c r="Z1777" s="184">
        <f>_xll.qlCalendarAdvance(Calendar,Y1777,NDays&amp;"D")</f>
        <v>51383</v>
      </c>
      <c r="AA1777" s="185">
        <v>4.7885892743076169E-2</v>
      </c>
      <c r="AB1777" s="182">
        <v>4.7615251652080026E-2</v>
      </c>
    </row>
    <row r="1778" spans="17:28" x14ac:dyDescent="0.2">
      <c r="Q1778" s="141"/>
      <c r="T1778" s="141"/>
      <c r="U1778" s="162"/>
      <c r="X1778" s="183" t="str">
        <f t="shared" si="34"/>
        <v>1w</v>
      </c>
      <c r="Y1778" s="181">
        <f>_xll.qlCalendarAdvance(Calendar,Y1777,X1778,"f",FALSE)</f>
        <v>51390</v>
      </c>
      <c r="Z1778" s="184">
        <f>_xll.qlCalendarAdvance(Calendar,Y1778,NDays&amp;"D")</f>
        <v>51390</v>
      </c>
      <c r="AA1778" s="185">
        <v>4.7884362629362742E-2</v>
      </c>
      <c r="AB1778" s="182">
        <v>4.7613691603810571E-2</v>
      </c>
    </row>
    <row r="1779" spans="17:28" x14ac:dyDescent="0.2">
      <c r="Q1779" s="141"/>
      <c r="T1779" s="141"/>
      <c r="U1779" s="162"/>
      <c r="X1779" s="183" t="str">
        <f t="shared" si="34"/>
        <v>1w</v>
      </c>
      <c r="Y1779" s="181">
        <f>_xll.qlCalendarAdvance(Calendar,Y1778,X1779,"f",FALSE)</f>
        <v>51397</v>
      </c>
      <c r="Z1779" s="184">
        <f>_xll.qlCalendarAdvance(Calendar,Y1779,NDays&amp;"D")</f>
        <v>51397</v>
      </c>
      <c r="AA1779" s="185">
        <v>4.7882840037850323E-2</v>
      </c>
      <c r="AB1779" s="182">
        <v>4.7612138989430175E-2</v>
      </c>
    </row>
    <row r="1780" spans="17:28" x14ac:dyDescent="0.2">
      <c r="Q1780" s="141"/>
      <c r="T1780" s="141"/>
      <c r="U1780" s="162"/>
      <c r="X1780" s="183" t="str">
        <f t="shared" si="34"/>
        <v>1w</v>
      </c>
      <c r="Y1780" s="181">
        <f>_xll.qlCalendarAdvance(Calendar,Y1779,X1780,"f",FALSE)</f>
        <v>51404</v>
      </c>
      <c r="Z1780" s="184">
        <f>_xll.qlCalendarAdvance(Calendar,Y1780,NDays&amp;"D")</f>
        <v>51404</v>
      </c>
      <c r="AA1780" s="185">
        <v>4.7887368295086961E-2</v>
      </c>
      <c r="AB1780" s="182">
        <v>4.7610593808776747E-2</v>
      </c>
    </row>
    <row r="1781" spans="17:28" x14ac:dyDescent="0.2">
      <c r="Q1781" s="141"/>
      <c r="T1781" s="141"/>
      <c r="U1781" s="162"/>
      <c r="X1781" s="183" t="str">
        <f t="shared" si="34"/>
        <v>1w</v>
      </c>
      <c r="Y1781" s="181">
        <f>_xll.qlCalendarAdvance(Calendar,Y1780,X1781,"f",FALSE)</f>
        <v>51411</v>
      </c>
      <c r="Z1781" s="184">
        <f>_xll.qlCalendarAdvance(Calendar,Y1781,NDays&amp;"D")</f>
        <v>51411</v>
      </c>
      <c r="AA1781" s="185">
        <v>4.7882839277644321E-2</v>
      </c>
      <c r="AB1781" s="182">
        <v>4.7609056062174471E-2</v>
      </c>
    </row>
    <row r="1782" spans="17:28" x14ac:dyDescent="0.2">
      <c r="Q1782" s="141"/>
      <c r="T1782" s="141"/>
      <c r="U1782" s="162"/>
      <c r="X1782" s="183" t="str">
        <f t="shared" si="34"/>
        <v>1w</v>
      </c>
      <c r="Y1782" s="181">
        <f>_xll.qlCalendarAdvance(Calendar,Y1781,X1782,"f",FALSE)</f>
        <v>51418</v>
      </c>
      <c r="Z1782" s="184">
        <f>_xll.qlCalendarAdvance(Calendar,Y1782,NDays&amp;"D")</f>
        <v>51418</v>
      </c>
      <c r="AA1782" s="185">
        <v>4.7881339594428703E-2</v>
      </c>
      <c r="AB1782" s="182">
        <v>4.760752574913707E-2</v>
      </c>
    </row>
    <row r="1783" spans="17:28" x14ac:dyDescent="0.2">
      <c r="Q1783" s="141"/>
      <c r="T1783" s="141"/>
      <c r="U1783" s="162"/>
      <c r="X1783" s="183" t="str">
        <f t="shared" si="34"/>
        <v>1w</v>
      </c>
      <c r="Y1783" s="181">
        <f>_xll.qlCalendarAdvance(Calendar,Y1782,X1783,"f",FALSE)</f>
        <v>51425</v>
      </c>
      <c r="Z1783" s="184">
        <f>_xll.qlCalendarAdvance(Calendar,Y1783,NDays&amp;"D")</f>
        <v>51425</v>
      </c>
      <c r="AA1783" s="185">
        <v>4.7879847434367573E-2</v>
      </c>
      <c r="AB1783" s="182">
        <v>4.7606002870312913E-2</v>
      </c>
    </row>
    <row r="1784" spans="17:28" x14ac:dyDescent="0.2">
      <c r="Q1784" s="141"/>
      <c r="T1784" s="141"/>
      <c r="U1784" s="162"/>
      <c r="X1784" s="183" t="str">
        <f t="shared" si="34"/>
        <v>1w</v>
      </c>
      <c r="Y1784" s="181">
        <f>_xll.qlCalendarAdvance(Calendar,Y1783,X1784,"f",FALSE)</f>
        <v>51432</v>
      </c>
      <c r="Z1784" s="184">
        <f>_xll.qlCalendarAdvance(Calendar,Y1784,NDays&amp;"D")</f>
        <v>51432</v>
      </c>
      <c r="AA1784" s="185">
        <v>4.7878362797449482E-2</v>
      </c>
      <c r="AB1784" s="182">
        <v>4.7604487425134678E-2</v>
      </c>
    </row>
    <row r="1785" spans="17:28" x14ac:dyDescent="0.2">
      <c r="Q1785" s="141"/>
      <c r="T1785" s="141"/>
      <c r="U1785" s="162"/>
      <c r="X1785" s="183" t="str">
        <f t="shared" si="34"/>
        <v>1w</v>
      </c>
      <c r="Y1785" s="181">
        <f>_xll.qlCalendarAdvance(Calendar,Y1784,X1785,"f",FALSE)</f>
        <v>51439</v>
      </c>
      <c r="Z1785" s="184">
        <f>_xll.qlCalendarAdvance(Calendar,Y1785,NDays&amp;"D")</f>
        <v>51439</v>
      </c>
      <c r="AA1785" s="185">
        <v>4.7876885683666506E-2</v>
      </c>
      <c r="AB1785" s="182">
        <v>4.7602979413764457E-2</v>
      </c>
    </row>
    <row r="1786" spans="17:28" x14ac:dyDescent="0.2">
      <c r="Q1786" s="141"/>
      <c r="T1786" s="141"/>
      <c r="U1786" s="162"/>
      <c r="X1786" s="183" t="str">
        <f t="shared" si="34"/>
        <v>1w</v>
      </c>
      <c r="Y1786" s="181">
        <f>_xll.qlCalendarAdvance(Calendar,Y1785,X1786,"f",FALSE)</f>
        <v>51446</v>
      </c>
      <c r="Z1786" s="184">
        <f>_xll.qlCalendarAdvance(Calendar,Y1786,NDays&amp;"D")</f>
        <v>51446</v>
      </c>
      <c r="AA1786" s="185">
        <v>4.7875416093009826E-2</v>
      </c>
      <c r="AB1786" s="182">
        <v>4.7601478836445388E-2</v>
      </c>
    </row>
    <row r="1787" spans="17:28" x14ac:dyDescent="0.2">
      <c r="Q1787" s="141"/>
      <c r="T1787" s="141"/>
      <c r="U1787" s="162"/>
      <c r="X1787" s="183" t="str">
        <f t="shared" si="34"/>
        <v>1w</v>
      </c>
      <c r="Y1787" s="181">
        <f>_xll.qlCalendarAdvance(Calendar,Y1786,X1787,"f",FALSE)</f>
        <v>51453</v>
      </c>
      <c r="Z1787" s="184">
        <f>_xll.qlCalendarAdvance(Calendar,Y1787,NDays&amp;"D")</f>
        <v>51453</v>
      </c>
      <c r="AA1787" s="185">
        <v>4.7873954025470643E-2</v>
      </c>
      <c r="AB1787" s="182">
        <v>4.7599985692853286E-2</v>
      </c>
    </row>
    <row r="1788" spans="17:28" x14ac:dyDescent="0.2">
      <c r="Q1788" s="141"/>
      <c r="T1788" s="141"/>
      <c r="U1788" s="162"/>
      <c r="X1788" s="183" t="str">
        <f t="shared" si="34"/>
        <v>1w</v>
      </c>
      <c r="Y1788" s="181">
        <f>_xll.qlCalendarAdvance(Calendar,Y1787,X1788,"f",FALSE)</f>
        <v>51460</v>
      </c>
      <c r="Z1788" s="184">
        <f>_xll.qlCalendarAdvance(Calendar,Y1788,NDays&amp;"D")</f>
        <v>51460</v>
      </c>
      <c r="AA1788" s="185">
        <v>4.7872499481042781E-2</v>
      </c>
      <c r="AB1788" s="182">
        <v>4.7598499983069198E-2</v>
      </c>
    </row>
    <row r="1789" spans="17:28" x14ac:dyDescent="0.2">
      <c r="Q1789" s="141"/>
      <c r="T1789" s="141"/>
      <c r="U1789" s="162"/>
      <c r="X1789" s="183" t="str">
        <f t="shared" si="34"/>
        <v>1w</v>
      </c>
      <c r="Y1789" s="181">
        <f>_xll.qlCalendarAdvance(Calendar,Y1788,X1789,"f",FALSE)</f>
        <v>51467</v>
      </c>
      <c r="Z1789" s="184">
        <f>_xll.qlCalendarAdvance(Calendar,Y1789,NDays&amp;"D")</f>
        <v>51467</v>
      </c>
      <c r="AA1789" s="185">
        <v>4.7871052459717428E-2</v>
      </c>
      <c r="AB1789" s="182">
        <v>4.7597021707417309E-2</v>
      </c>
    </row>
    <row r="1790" spans="17:28" x14ac:dyDescent="0.2">
      <c r="Q1790" s="141"/>
      <c r="T1790" s="141"/>
      <c r="U1790" s="162"/>
      <c r="X1790" s="183" t="str">
        <f t="shared" si="34"/>
        <v>1w</v>
      </c>
      <c r="Y1790" s="181">
        <f>_xll.qlCalendarAdvance(Calendar,Y1789,X1790,"f",FALSE)</f>
        <v>51474</v>
      </c>
      <c r="Z1790" s="184">
        <f>_xll.qlCalendarAdvance(Calendar,Y1790,NDays&amp;"D")</f>
        <v>51474</v>
      </c>
      <c r="AA1790" s="185">
        <v>4.7863563323096457E-2</v>
      </c>
      <c r="AB1790" s="182">
        <v>4.759555086541134E-2</v>
      </c>
    </row>
    <row r="1791" spans="17:28" x14ac:dyDescent="0.2">
      <c r="Q1791" s="141"/>
      <c r="T1791" s="141"/>
      <c r="U1791" s="162"/>
      <c r="X1791" s="183" t="str">
        <f t="shared" si="34"/>
        <v>1w</v>
      </c>
      <c r="Y1791" s="181">
        <f>_xll.qlCalendarAdvance(Calendar,Y1790,X1791,"f",FALSE)</f>
        <v>51481</v>
      </c>
      <c r="Z1791" s="184">
        <f>_xll.qlCalendarAdvance(Calendar,Y1791,NDays&amp;"D")</f>
        <v>51481</v>
      </c>
      <c r="AA1791" s="185">
        <v>4.7862130646812502E-2</v>
      </c>
      <c r="AB1791" s="182">
        <v>4.7594087457294432E-2</v>
      </c>
    </row>
    <row r="1792" spans="17:28" x14ac:dyDescent="0.2">
      <c r="Q1792" s="141"/>
      <c r="T1792" s="141"/>
      <c r="U1792" s="162"/>
      <c r="X1792" s="183" t="str">
        <f t="shared" si="34"/>
        <v>1w</v>
      </c>
      <c r="Y1792" s="181">
        <f>_xll.qlCalendarAdvance(Calendar,Y1791,X1792,"f",FALSE)</f>
        <v>51488</v>
      </c>
      <c r="Z1792" s="184">
        <f>_xll.qlCalendarAdvance(Calendar,Y1792,NDays&amp;"D")</f>
        <v>51488</v>
      </c>
      <c r="AA1792" s="185">
        <v>4.7860705491632412E-2</v>
      </c>
      <c r="AB1792" s="182">
        <v>4.7592631483147629E-2</v>
      </c>
    </row>
    <row r="1793" spans="17:28" x14ac:dyDescent="0.2">
      <c r="Q1793" s="141"/>
      <c r="T1793" s="141"/>
      <c r="U1793" s="162"/>
      <c r="X1793" s="183" t="str">
        <f t="shared" si="34"/>
        <v>1w</v>
      </c>
      <c r="Y1793" s="181">
        <f>_xll.qlCalendarAdvance(Calendar,Y1792,X1793,"f",FALSE)</f>
        <v>51497</v>
      </c>
      <c r="Z1793" s="184">
        <f>_xll.qlCalendarAdvance(Calendar,Y1793,NDays&amp;"D")</f>
        <v>51497</v>
      </c>
      <c r="AA1793" s="185">
        <v>4.7858884200669811E-2</v>
      </c>
      <c r="AB1793" s="182">
        <v>4.7590770439527308E-2</v>
      </c>
    </row>
    <row r="1794" spans="17:28" x14ac:dyDescent="0.2">
      <c r="Q1794" s="141"/>
      <c r="T1794" s="141"/>
      <c r="U1794" s="162"/>
      <c r="X1794" s="183" t="str">
        <f t="shared" si="34"/>
        <v>1w</v>
      </c>
      <c r="Y1794" s="181">
        <f>_xll.qlCalendarAdvance(Calendar,Y1793,X1794,"f",FALSE)</f>
        <v>51504</v>
      </c>
      <c r="Z1794" s="184">
        <f>_xll.qlCalendarAdvance(Calendar,Y1794,NDays&amp;"D")</f>
        <v>51504</v>
      </c>
      <c r="AA1794" s="185">
        <v>4.7857476236562141E-2</v>
      </c>
      <c r="AB1794" s="182">
        <v>4.7589331456976414E-2</v>
      </c>
    </row>
    <row r="1795" spans="17:28" x14ac:dyDescent="0.2">
      <c r="Q1795" s="141"/>
      <c r="T1795" s="141"/>
      <c r="U1795" s="162"/>
      <c r="X1795" s="183" t="str">
        <f t="shared" si="34"/>
        <v>1w</v>
      </c>
      <c r="Y1795" s="181">
        <f>_xll.qlCalendarAdvance(Calendar,Y1794,X1795,"f",FALSE)</f>
        <v>51511</v>
      </c>
      <c r="Z1795" s="184">
        <f>_xll.qlCalendarAdvance(Calendar,Y1795,NDays&amp;"D")</f>
        <v>51511</v>
      </c>
      <c r="AA1795" s="185">
        <v>4.7856075793535818E-2</v>
      </c>
      <c r="AB1795" s="182">
        <v>4.7587899908314579E-2</v>
      </c>
    </row>
    <row r="1796" spans="17:28" x14ac:dyDescent="0.2">
      <c r="Q1796" s="141"/>
      <c r="T1796" s="141"/>
      <c r="U1796" s="162"/>
      <c r="X1796" s="183" t="str">
        <f t="shared" si="34"/>
        <v>1w</v>
      </c>
      <c r="Y1796" s="181">
        <f>_xll.qlCalendarAdvance(Calendar,Y1795,X1796,"f",FALSE)</f>
        <v>51518</v>
      </c>
      <c r="Z1796" s="184">
        <f>_xll.qlCalendarAdvance(Calendar,Y1796,NDays&amp;"D")</f>
        <v>51518</v>
      </c>
      <c r="AA1796" s="185">
        <v>4.7854682871582739E-2</v>
      </c>
      <c r="AB1796" s="182">
        <v>4.7586475793541805E-2</v>
      </c>
    </row>
    <row r="1797" spans="17:28" x14ac:dyDescent="0.2">
      <c r="Q1797" s="141"/>
      <c r="T1797" s="141"/>
      <c r="U1797" s="162"/>
      <c r="X1797" s="183" t="str">
        <f t="shared" si="34"/>
        <v>1w</v>
      </c>
      <c r="Y1797" s="181">
        <f>_xll.qlCalendarAdvance(Calendar,Y1796,X1797,"f",FALSE)</f>
        <v>51525</v>
      </c>
      <c r="Z1797" s="184">
        <f>_xll.qlCalendarAdvance(Calendar,Y1797,NDays&amp;"D")</f>
        <v>51525</v>
      </c>
      <c r="AA1797" s="185">
        <v>4.7853297470696603E-2</v>
      </c>
      <c r="AB1797" s="182">
        <v>4.7585059112577044E-2</v>
      </c>
    </row>
    <row r="1798" spans="17:28" x14ac:dyDescent="0.2">
      <c r="Q1798" s="141"/>
      <c r="T1798" s="141"/>
      <c r="U1798" s="162"/>
      <c r="X1798" s="183" t="str">
        <f t="shared" si="34"/>
        <v>1w</v>
      </c>
      <c r="Y1798" s="181">
        <f>_xll.qlCalendarAdvance(Calendar,Y1797,X1798,"f",FALSE)</f>
        <v>51532</v>
      </c>
      <c r="Z1798" s="184">
        <f>_xll.qlCalendarAdvance(Calendar,Y1798,NDays&amp;"D")</f>
        <v>51532</v>
      </c>
      <c r="AA1798" s="185">
        <v>4.7848892283667614E-2</v>
      </c>
      <c r="AB1798" s="182">
        <v>4.7583649865420297E-2</v>
      </c>
    </row>
    <row r="1799" spans="17:28" x14ac:dyDescent="0.2">
      <c r="Q1799" s="141"/>
      <c r="T1799" s="141"/>
      <c r="U1799" s="162"/>
      <c r="X1799" s="183" t="str">
        <f t="shared" si="34"/>
        <v>1w</v>
      </c>
      <c r="Y1799" s="181">
        <f>_xll.qlCalendarAdvance(Calendar,Y1798,X1799,"f",FALSE)</f>
        <v>51539</v>
      </c>
      <c r="Z1799" s="184">
        <f>_xll.qlCalendarAdvance(Calendar,Y1799,NDays&amp;"D")</f>
        <v>51539</v>
      </c>
      <c r="AA1799" s="185">
        <v>4.7847521566331645E-2</v>
      </c>
      <c r="AB1799" s="182">
        <v>4.7582248052152609E-2</v>
      </c>
    </row>
    <row r="1800" spans="17:28" x14ac:dyDescent="0.2">
      <c r="Q1800" s="141"/>
      <c r="T1800" s="141"/>
      <c r="U1800" s="162"/>
      <c r="X1800" s="183" t="str">
        <f t="shared" si="34"/>
        <v>1w</v>
      </c>
      <c r="Y1800" s="181">
        <f>_xll.qlCalendarAdvance(Calendar,Y1799,X1800,"f",FALSE)</f>
        <v>51546</v>
      </c>
      <c r="Z1800" s="184">
        <f>_xll.qlCalendarAdvance(Calendar,Y1800,NDays&amp;"D")</f>
        <v>51546</v>
      </c>
      <c r="AA1800" s="185">
        <v>4.7846158369055154E-2</v>
      </c>
      <c r="AB1800" s="182">
        <v>4.7580853672936074E-2</v>
      </c>
    </row>
    <row r="1801" spans="17:28" x14ac:dyDescent="0.2">
      <c r="Q1801" s="141"/>
      <c r="T1801" s="141"/>
      <c r="U1801" s="162"/>
      <c r="X1801" s="183" t="str">
        <f t="shared" si="34"/>
        <v>1w</v>
      </c>
      <c r="Y1801" s="181">
        <f>_xll.qlCalendarAdvance(Calendar,Y1800,X1801,"f",FALSE)</f>
        <v>51553</v>
      </c>
      <c r="Z1801" s="184">
        <f>_xll.qlCalendarAdvance(Calendar,Y1801,NDays&amp;"D")</f>
        <v>51553</v>
      </c>
      <c r="AA1801" s="185">
        <v>4.7844802691828107E-2</v>
      </c>
      <c r="AB1801" s="182">
        <v>4.757946672736546E-2</v>
      </c>
    </row>
    <row r="1802" spans="17:28" x14ac:dyDescent="0.2">
      <c r="Q1802" s="141"/>
      <c r="T1802" s="141"/>
      <c r="U1802" s="162"/>
      <c r="X1802" s="183" t="str">
        <f t="shared" si="34"/>
        <v>1w</v>
      </c>
      <c r="Y1802" s="181">
        <f>_xll.qlCalendarAdvance(Calendar,Y1801,X1802,"f",FALSE)</f>
        <v>51560</v>
      </c>
      <c r="Z1802" s="184">
        <f>_xll.qlCalendarAdvance(Calendar,Y1802,NDays&amp;"D")</f>
        <v>51560</v>
      </c>
      <c r="AA1802" s="185">
        <v>4.7852541670978868E-2</v>
      </c>
      <c r="AB1802" s="182">
        <v>4.7578087215764953E-2</v>
      </c>
    </row>
    <row r="1803" spans="17:28" x14ac:dyDescent="0.2">
      <c r="Q1803" s="141"/>
      <c r="T1803" s="141"/>
      <c r="U1803" s="162"/>
      <c r="X1803" s="183" t="str">
        <f t="shared" si="34"/>
        <v>1w</v>
      </c>
      <c r="Y1803" s="181">
        <f>_xll.qlCalendarAdvance(Calendar,Y1802,X1803,"f",FALSE)</f>
        <v>51567</v>
      </c>
      <c r="Z1803" s="184">
        <f>_xll.qlCalendarAdvance(Calendar,Y1803,NDays&amp;"D")</f>
        <v>51567</v>
      </c>
      <c r="AA1803" s="185">
        <v>4.7851202121673209E-2</v>
      </c>
      <c r="AB1803" s="182">
        <v>4.7576715137891412E-2</v>
      </c>
    </row>
    <row r="1804" spans="17:28" x14ac:dyDescent="0.2">
      <c r="Q1804" s="141"/>
      <c r="T1804" s="141"/>
      <c r="U1804" s="162"/>
      <c r="X1804" s="183" t="str">
        <f t="shared" si="34"/>
        <v>1w</v>
      </c>
      <c r="Y1804" s="181">
        <f>_xll.qlCalendarAdvance(Calendar,Y1803,X1804,"f",FALSE)</f>
        <v>51574</v>
      </c>
      <c r="Z1804" s="184">
        <f>_xll.qlCalendarAdvance(Calendar,Y1804,NDays&amp;"D")</f>
        <v>51574</v>
      </c>
      <c r="AA1804" s="185">
        <v>4.7849870095349377E-2</v>
      </c>
      <c r="AB1804" s="182">
        <v>4.757535049415007E-2</v>
      </c>
    </row>
    <row r="1805" spans="17:28" x14ac:dyDescent="0.2">
      <c r="Q1805" s="141"/>
      <c r="T1805" s="141"/>
      <c r="U1805" s="162"/>
      <c r="X1805" s="183" t="str">
        <f t="shared" si="34"/>
        <v>1w</v>
      </c>
      <c r="Y1805" s="181">
        <f>_xll.qlCalendarAdvance(Calendar,Y1804,X1805,"f",FALSE)</f>
        <v>51581</v>
      </c>
      <c r="Z1805" s="184">
        <f>_xll.qlCalendarAdvance(Calendar,Y1805,NDays&amp;"D")</f>
        <v>51581</v>
      </c>
      <c r="AA1805" s="185">
        <v>4.7848545591998567E-2</v>
      </c>
      <c r="AB1805" s="182">
        <v>4.757399328405465E-2</v>
      </c>
    </row>
    <row r="1806" spans="17:28" x14ac:dyDescent="0.2">
      <c r="Q1806" s="141"/>
      <c r="T1806" s="141"/>
      <c r="U1806" s="162"/>
      <c r="X1806" s="183" t="str">
        <f t="shared" si="34"/>
        <v>1w</v>
      </c>
      <c r="Y1806" s="181">
        <f>_xll.qlCalendarAdvance(Calendar,Y1805,X1806,"f",FALSE)</f>
        <v>51588</v>
      </c>
      <c r="Z1806" s="184">
        <f>_xll.qlCalendarAdvance(Calendar,Y1806,NDays&amp;"D")</f>
        <v>51588</v>
      </c>
      <c r="AA1806" s="185">
        <v>4.7847228611616367E-2</v>
      </c>
      <c r="AB1806" s="182">
        <v>4.7572643507929335E-2</v>
      </c>
    </row>
    <row r="1807" spans="17:28" x14ac:dyDescent="0.2">
      <c r="Q1807" s="141"/>
      <c r="T1807" s="141"/>
      <c r="U1807" s="162"/>
      <c r="X1807" s="183" t="str">
        <f t="shared" si="34"/>
        <v>1w</v>
      </c>
      <c r="Y1807" s="181">
        <f>_xll.qlCalendarAdvance(Calendar,Y1806,X1807,"f",FALSE)</f>
        <v>51595</v>
      </c>
      <c r="Z1807" s="184">
        <f>_xll.qlCalendarAdvance(Calendar,Y1807,NDays&amp;"D")</f>
        <v>51595</v>
      </c>
      <c r="AA1807" s="185">
        <v>4.7842887987127436E-2</v>
      </c>
      <c r="AB1807" s="182">
        <v>4.7571301165612034E-2</v>
      </c>
    </row>
    <row r="1808" spans="17:28" x14ac:dyDescent="0.2">
      <c r="Q1808" s="141"/>
      <c r="T1808" s="141"/>
      <c r="U1808" s="162"/>
      <c r="X1808" s="183" t="str">
        <f t="shared" si="34"/>
        <v>1w</v>
      </c>
      <c r="Y1808" s="181">
        <f>_xll.qlCalendarAdvance(Calendar,Y1807,X1808,"f",FALSE)</f>
        <v>51602</v>
      </c>
      <c r="Z1808" s="184">
        <f>_xll.qlCalendarAdvance(Calendar,Y1808,NDays&amp;"D")</f>
        <v>51602</v>
      </c>
      <c r="AA1808" s="185">
        <v>4.7841585685004649E-2</v>
      </c>
      <c r="AB1808" s="182">
        <v>4.7569966257183793E-2</v>
      </c>
    </row>
    <row r="1809" spans="17:28" x14ac:dyDescent="0.2">
      <c r="Q1809" s="141"/>
      <c r="T1809" s="141"/>
      <c r="U1809" s="162"/>
      <c r="X1809" s="183" t="str">
        <f t="shared" si="34"/>
        <v>1w</v>
      </c>
      <c r="Y1809" s="181">
        <f>_xll.qlCalendarAdvance(Calendar,Y1808,X1809,"f",FALSE)</f>
        <v>51609</v>
      </c>
      <c r="Z1809" s="184">
        <f>_xll.qlCalendarAdvance(Calendar,Y1809,NDays&amp;"D")</f>
        <v>51609</v>
      </c>
      <c r="AA1809" s="185">
        <v>4.7840290904843298E-2</v>
      </c>
      <c r="AB1809" s="182">
        <v>4.7580661209545072E-2</v>
      </c>
    </row>
    <row r="1810" spans="17:28" x14ac:dyDescent="0.2">
      <c r="Q1810" s="141"/>
      <c r="T1810" s="141"/>
      <c r="U1810" s="162"/>
      <c r="X1810" s="183" t="str">
        <f t="shared" si="34"/>
        <v>1w</v>
      </c>
      <c r="Y1810" s="181">
        <f>_xll.qlCalendarAdvance(Calendar,Y1809,X1810,"f",FALSE)</f>
        <v>51617</v>
      </c>
      <c r="Z1810" s="184">
        <f>_xll.qlCalendarAdvance(Calendar,Y1810,NDays&amp;"D")</f>
        <v>51617</v>
      </c>
      <c r="AA1810" s="185">
        <v>4.7838820366642429E-2</v>
      </c>
      <c r="AB1810" s="182">
        <v>4.7573142215276983E-2</v>
      </c>
    </row>
    <row r="1811" spans="17:28" x14ac:dyDescent="0.2">
      <c r="Q1811" s="141"/>
      <c r="T1811" s="141"/>
      <c r="U1811" s="162"/>
      <c r="X1811" s="183" t="str">
        <f t="shared" si="34"/>
        <v>1w</v>
      </c>
      <c r="Y1811" s="181">
        <f>_xll.qlCalendarAdvance(Calendar,Y1810,X1811,"f",FALSE)</f>
        <v>51624</v>
      </c>
      <c r="Z1811" s="184">
        <f>_xll.qlCalendarAdvance(Calendar,Y1811,NDays&amp;"D")</f>
        <v>51624</v>
      </c>
      <c r="AA1811" s="185">
        <v>4.7849674287123875E-2</v>
      </c>
      <c r="AB1811" s="182">
        <v>4.7571831390777662E-2</v>
      </c>
    </row>
    <row r="1812" spans="17:28" x14ac:dyDescent="0.2">
      <c r="Q1812" s="141"/>
      <c r="T1812" s="141"/>
      <c r="U1812" s="162"/>
      <c r="X1812" s="183" t="str">
        <f t="shared" si="34"/>
        <v>1w</v>
      </c>
      <c r="Y1812" s="181">
        <f>_xll.qlCalendarAdvance(Calendar,Y1811,X1812,"f",FALSE)</f>
        <v>51631</v>
      </c>
      <c r="Z1812" s="184">
        <f>_xll.qlCalendarAdvance(Calendar,Y1812,NDays&amp;"D")</f>
        <v>51631</v>
      </c>
      <c r="AA1812" s="185">
        <v>4.7845370668391007E-2</v>
      </c>
      <c r="AB1812" s="182">
        <v>4.7570528002112519E-2</v>
      </c>
    </row>
    <row r="1813" spans="17:28" x14ac:dyDescent="0.2">
      <c r="Q1813" s="141"/>
      <c r="T1813" s="141"/>
      <c r="U1813" s="162"/>
      <c r="X1813" s="183" t="str">
        <f t="shared" ref="X1813:X1876" si="35">X1812</f>
        <v>1w</v>
      </c>
      <c r="Y1813" s="181">
        <f>_xll.qlCalendarAdvance(Calendar,Y1812,X1813,"f",FALSE)</f>
        <v>51638</v>
      </c>
      <c r="Z1813" s="184">
        <f>_xll.qlCalendarAdvance(Calendar,Y1813,NDays&amp;"D")</f>
        <v>51638</v>
      </c>
      <c r="AA1813" s="185">
        <v>4.7844108169063822E-2</v>
      </c>
      <c r="AB1813" s="182">
        <v>4.7569232049227514E-2</v>
      </c>
    </row>
    <row r="1814" spans="17:28" x14ac:dyDescent="0.2">
      <c r="Q1814" s="141"/>
      <c r="T1814" s="141"/>
      <c r="U1814" s="162"/>
      <c r="X1814" s="183" t="str">
        <f t="shared" si="35"/>
        <v>1w</v>
      </c>
      <c r="Y1814" s="181">
        <f>_xll.qlCalendarAdvance(Calendar,Y1813,X1814,"f",FALSE)</f>
        <v>51645</v>
      </c>
      <c r="Z1814" s="184">
        <f>_xll.qlCalendarAdvance(Calendar,Y1814,NDays&amp;"D")</f>
        <v>51645</v>
      </c>
      <c r="AA1814" s="185">
        <v>4.784285319461308E-2</v>
      </c>
      <c r="AB1814" s="182">
        <v>4.7567943532176679E-2</v>
      </c>
    </row>
    <row r="1815" spans="17:28" x14ac:dyDescent="0.2">
      <c r="Q1815" s="141"/>
      <c r="T1815" s="141"/>
      <c r="U1815" s="162"/>
      <c r="X1815" s="183" t="str">
        <f t="shared" si="35"/>
        <v>1w</v>
      </c>
      <c r="Y1815" s="181">
        <f>_xll.qlCalendarAdvance(Calendar,Y1814,X1815,"f",FALSE)</f>
        <v>51652</v>
      </c>
      <c r="Z1815" s="184">
        <f>_xll.qlCalendarAdvance(Calendar,Y1815,NDays&amp;"D")</f>
        <v>51652</v>
      </c>
      <c r="AA1815" s="185">
        <v>4.7832502277470809E-2</v>
      </c>
      <c r="AB1815" s="182">
        <v>4.7566662450933002E-2</v>
      </c>
    </row>
    <row r="1816" spans="17:28" x14ac:dyDescent="0.2">
      <c r="Q1816" s="141"/>
      <c r="T1816" s="141"/>
      <c r="U1816" s="162"/>
      <c r="X1816" s="183" t="str">
        <f t="shared" si="35"/>
        <v>1w</v>
      </c>
      <c r="Y1816" s="181">
        <f>_xll.qlCalendarAdvance(Calendar,Y1815,X1816,"f",FALSE)</f>
        <v>51659</v>
      </c>
      <c r="Z1816" s="184">
        <f>_xll.qlCalendarAdvance(Calendar,Y1816,NDays&amp;"D")</f>
        <v>51659</v>
      </c>
      <c r="AA1816" s="185">
        <v>4.7840365820310746E-2</v>
      </c>
      <c r="AB1816" s="182">
        <v>4.7568397147372821E-2</v>
      </c>
    </row>
    <row r="1817" spans="17:28" x14ac:dyDescent="0.2">
      <c r="Q1817" s="141"/>
      <c r="T1817" s="141"/>
      <c r="U1817" s="162"/>
      <c r="X1817" s="183" t="str">
        <f t="shared" si="35"/>
        <v>1w</v>
      </c>
      <c r="Y1817" s="181">
        <f>_xll.qlCalendarAdvance(Calendar,Y1816,X1817,"f",FALSE)</f>
        <v>51666</v>
      </c>
      <c r="Z1817" s="184">
        <f>_xll.qlCalendarAdvance(Calendar,Y1817,NDays&amp;"D")</f>
        <v>51666</v>
      </c>
      <c r="AA1817" s="185">
        <v>4.7839133420446218E-2</v>
      </c>
      <c r="AB1817" s="182">
        <v>4.7564122595867106E-2</v>
      </c>
    </row>
    <row r="1818" spans="17:28" x14ac:dyDescent="0.2">
      <c r="Q1818" s="141"/>
      <c r="T1818" s="141"/>
      <c r="U1818" s="162"/>
      <c r="X1818" s="183" t="str">
        <f t="shared" si="35"/>
        <v>1w</v>
      </c>
      <c r="Y1818" s="181">
        <f>_xll.qlCalendarAdvance(Calendar,Y1817,X1818,"f",FALSE)</f>
        <v>51673</v>
      </c>
      <c r="Z1818" s="184">
        <f>_xll.qlCalendarAdvance(Calendar,Y1818,NDays&amp;"D")</f>
        <v>51673</v>
      </c>
      <c r="AA1818" s="185">
        <v>4.7837908545429686E-2</v>
      </c>
      <c r="AB1818" s="182">
        <v>4.7562863822071907E-2</v>
      </c>
    </row>
    <row r="1819" spans="17:28" x14ac:dyDescent="0.2">
      <c r="Q1819" s="141"/>
      <c r="T1819" s="141"/>
      <c r="U1819" s="162"/>
      <c r="X1819" s="183" t="str">
        <f t="shared" si="35"/>
        <v>1w</v>
      </c>
      <c r="Y1819" s="181">
        <f>_xll.qlCalendarAdvance(Calendar,Y1818,X1819,"f",FALSE)</f>
        <v>51680</v>
      </c>
      <c r="Z1819" s="184">
        <f>_xll.qlCalendarAdvance(Calendar,Y1819,NDays&amp;"D")</f>
        <v>51680</v>
      </c>
      <c r="AA1819" s="185">
        <v>4.7836691195252523E-2</v>
      </c>
      <c r="AB1819" s="182">
        <v>4.7561612484056846E-2</v>
      </c>
    </row>
    <row r="1820" spans="17:28" x14ac:dyDescent="0.2">
      <c r="Q1820" s="141"/>
      <c r="T1820" s="141"/>
      <c r="U1820" s="162"/>
      <c r="X1820" s="183" t="str">
        <f t="shared" si="35"/>
        <v>1w</v>
      </c>
      <c r="Y1820" s="181">
        <f>_xll.qlCalendarAdvance(Calendar,Y1819,X1820,"f",FALSE)</f>
        <v>51687</v>
      </c>
      <c r="Z1820" s="184">
        <f>_xll.qlCalendarAdvance(Calendar,Y1820,NDays&amp;"D")</f>
        <v>51687</v>
      </c>
      <c r="AA1820" s="185">
        <v>4.7838518348642958E-2</v>
      </c>
      <c r="AB1820" s="182">
        <v>4.756036858182193E-2</v>
      </c>
    </row>
    <row r="1821" spans="17:28" x14ac:dyDescent="0.2">
      <c r="Q1821" s="141"/>
      <c r="T1821" s="141"/>
      <c r="U1821" s="162"/>
      <c r="X1821" s="183" t="str">
        <f t="shared" si="35"/>
        <v>1w</v>
      </c>
      <c r="Y1821" s="181">
        <f>_xll.qlCalendarAdvance(Calendar,Y1820,X1821,"f",FALSE)</f>
        <v>51694</v>
      </c>
      <c r="Z1821" s="184">
        <f>_xll.qlCalendarAdvance(Calendar,Y1821,NDays&amp;"D")</f>
        <v>51694</v>
      </c>
      <c r="AA1821" s="185">
        <v>4.7834279069393887E-2</v>
      </c>
      <c r="AB1821" s="182">
        <v>4.7559132115448197E-2</v>
      </c>
    </row>
    <row r="1822" spans="17:28" x14ac:dyDescent="0.2">
      <c r="Q1822" s="141"/>
      <c r="T1822" s="141"/>
      <c r="U1822" s="162"/>
      <c r="X1822" s="183" t="str">
        <f t="shared" si="35"/>
        <v>1w</v>
      </c>
      <c r="Y1822" s="181">
        <f>_xll.qlCalendarAdvance(Calendar,Y1821,X1822,"f",FALSE)</f>
        <v>51701</v>
      </c>
      <c r="Z1822" s="184">
        <f>_xll.qlCalendarAdvance(Calendar,Y1822,NDays&amp;"D")</f>
        <v>51701</v>
      </c>
      <c r="AA1822" s="185">
        <v>4.7833084293697752E-2</v>
      </c>
      <c r="AB1822" s="182">
        <v>4.7557903084800575E-2</v>
      </c>
    </row>
    <row r="1823" spans="17:28" x14ac:dyDescent="0.2">
      <c r="Q1823" s="141"/>
      <c r="T1823" s="141"/>
      <c r="U1823" s="162"/>
      <c r="X1823" s="183" t="str">
        <f t="shared" si="35"/>
        <v>1w</v>
      </c>
      <c r="Y1823" s="181">
        <f>_xll.qlCalendarAdvance(Calendar,Y1822,X1823,"f",FALSE)</f>
        <v>51708</v>
      </c>
      <c r="Z1823" s="184">
        <f>_xll.qlCalendarAdvance(Calendar,Y1823,NDays&amp;"D")</f>
        <v>51708</v>
      </c>
      <c r="AA1823" s="185">
        <v>4.7831897042815125E-2</v>
      </c>
      <c r="AB1823" s="182">
        <v>4.755668149004115E-2</v>
      </c>
    </row>
    <row r="1824" spans="17:28" x14ac:dyDescent="0.2">
      <c r="Q1824" s="141"/>
      <c r="T1824" s="141"/>
      <c r="U1824" s="162"/>
      <c r="X1824" s="183" t="str">
        <f t="shared" si="35"/>
        <v>1w</v>
      </c>
      <c r="Y1824" s="181">
        <f>_xll.qlCalendarAdvance(Calendar,Y1823,X1824,"f",FALSE)</f>
        <v>51715</v>
      </c>
      <c r="Z1824" s="184">
        <f>_xll.qlCalendarAdvance(Calendar,Y1824,NDays&amp;"D")</f>
        <v>51715</v>
      </c>
      <c r="AA1824" s="185">
        <v>4.7830717316738235E-2</v>
      </c>
      <c r="AB1824" s="182">
        <v>4.7558478629938783E-2</v>
      </c>
    </row>
    <row r="1825" spans="17:28" x14ac:dyDescent="0.2">
      <c r="Q1825" s="141"/>
      <c r="T1825" s="141"/>
      <c r="U1825" s="162"/>
      <c r="X1825" s="183" t="str">
        <f t="shared" si="35"/>
        <v>1w</v>
      </c>
      <c r="Y1825" s="181">
        <f>_xll.qlCalendarAdvance(Calendar,Y1824,X1825,"f",FALSE)</f>
        <v>51722</v>
      </c>
      <c r="Z1825" s="184">
        <f>_xll.qlCalendarAdvance(Calendar,Y1825,NDays&amp;"D")</f>
        <v>51722</v>
      </c>
      <c r="AA1825" s="185">
        <v>4.7829545115461058E-2</v>
      </c>
      <c r="AB1825" s="182">
        <v>4.755426060788974E-2</v>
      </c>
    </row>
    <row r="1826" spans="17:28" x14ac:dyDescent="0.2">
      <c r="Q1826" s="141"/>
      <c r="T1826" s="141"/>
      <c r="U1826" s="162"/>
      <c r="X1826" s="183" t="str">
        <f t="shared" si="35"/>
        <v>1w</v>
      </c>
      <c r="Y1826" s="181">
        <f>_xll.qlCalendarAdvance(Calendar,Y1825,X1826,"f",FALSE)</f>
        <v>51729</v>
      </c>
      <c r="Z1826" s="184">
        <f>_xll.qlCalendarAdvance(Calendar,Y1826,NDays&amp;"D")</f>
        <v>51729</v>
      </c>
      <c r="AA1826" s="185">
        <v>4.7828380438976692E-2</v>
      </c>
      <c r="AB1826" s="182">
        <v>4.7553061320524767E-2</v>
      </c>
    </row>
    <row r="1827" spans="17:28" x14ac:dyDescent="0.2">
      <c r="Q1827" s="141"/>
      <c r="T1827" s="141"/>
      <c r="U1827" s="162"/>
      <c r="X1827" s="183" t="str">
        <f t="shared" si="35"/>
        <v>1w</v>
      </c>
      <c r="Y1827" s="181">
        <f>_xll.qlCalendarAdvance(Calendar,Y1826,X1827,"f",FALSE)</f>
        <v>51736</v>
      </c>
      <c r="Z1827" s="184">
        <f>_xll.qlCalendarAdvance(Calendar,Y1827,NDays&amp;"D")</f>
        <v>51736</v>
      </c>
      <c r="AA1827" s="185">
        <v>4.7827223287277371E-2</v>
      </c>
      <c r="AB1827" s="182">
        <v>4.7551869468966952E-2</v>
      </c>
    </row>
    <row r="1828" spans="17:28" x14ac:dyDescent="0.2">
      <c r="Q1828" s="141"/>
      <c r="T1828" s="141"/>
      <c r="U1828" s="162"/>
      <c r="X1828" s="183" t="str">
        <f t="shared" si="35"/>
        <v>1w</v>
      </c>
      <c r="Y1828" s="181">
        <f>_xll.qlCalendarAdvance(Calendar,Y1827,X1828,"f",FALSE)</f>
        <v>51743</v>
      </c>
      <c r="Z1828" s="184">
        <f>_xll.qlCalendarAdvance(Calendar,Y1828,NDays&amp;"D")</f>
        <v>51743</v>
      </c>
      <c r="AA1828" s="185">
        <v>4.7816955307065138E-2</v>
      </c>
      <c r="AB1828" s="182">
        <v>4.7550685053243301E-2</v>
      </c>
    </row>
    <row r="1829" spans="17:28" x14ac:dyDescent="0.2">
      <c r="Q1829" s="141"/>
      <c r="T1829" s="141"/>
      <c r="U1829" s="162"/>
      <c r="X1829" s="183" t="str">
        <f t="shared" si="35"/>
        <v>1w</v>
      </c>
      <c r="Y1829" s="181">
        <f>_xll.qlCalendarAdvance(Calendar,Y1828,X1829,"f",FALSE)</f>
        <v>51750</v>
      </c>
      <c r="Z1829" s="184">
        <f>_xll.qlCalendarAdvance(Calendar,Y1829,NDays&amp;"D")</f>
        <v>51750</v>
      </c>
      <c r="AA1829" s="185">
        <v>4.7815812039215422E-2</v>
      </c>
      <c r="AB1829" s="182">
        <v>4.7549508073218748E-2</v>
      </c>
    </row>
    <row r="1830" spans="17:28" x14ac:dyDescent="0.2">
      <c r="Q1830" s="141"/>
      <c r="T1830" s="141"/>
      <c r="U1830" s="162"/>
      <c r="X1830" s="183" t="str">
        <f t="shared" si="35"/>
        <v>1w</v>
      </c>
      <c r="Y1830" s="181">
        <f>_xll.qlCalendarAdvance(Calendar,Y1829,X1830,"f",FALSE)</f>
        <v>51757</v>
      </c>
      <c r="Z1830" s="184">
        <f>_xll.qlCalendarAdvance(Calendar,Y1830,NDays&amp;"D")</f>
        <v>51757</v>
      </c>
      <c r="AA1830" s="185">
        <v>4.7814676293185525E-2</v>
      </c>
      <c r="AB1830" s="182">
        <v>4.7548338529109412E-2</v>
      </c>
    </row>
    <row r="1831" spans="17:28" x14ac:dyDescent="0.2">
      <c r="Q1831" s="141"/>
      <c r="T1831" s="141"/>
      <c r="U1831" s="162"/>
      <c r="X1831" s="183" t="str">
        <f t="shared" si="35"/>
        <v>1w</v>
      </c>
      <c r="Y1831" s="181">
        <f>_xll.qlCalendarAdvance(Calendar,Y1830,X1831,"f",FALSE)</f>
        <v>51764</v>
      </c>
      <c r="Z1831" s="184">
        <f>_xll.qlCalendarAdvance(Calendar,Y1831,NDays&amp;"D")</f>
        <v>51764</v>
      </c>
      <c r="AA1831" s="185">
        <v>4.7813548068966538E-2</v>
      </c>
      <c r="AB1831" s="182">
        <v>4.75471764207532E-2</v>
      </c>
    </row>
    <row r="1832" spans="17:28" x14ac:dyDescent="0.2">
      <c r="Q1832" s="141"/>
      <c r="T1832" s="141"/>
      <c r="U1832" s="162"/>
      <c r="X1832" s="183" t="str">
        <f t="shared" si="35"/>
        <v>1w</v>
      </c>
      <c r="Y1832" s="181">
        <f>_xll.qlCalendarAdvance(Calendar,Y1831,X1832,"f",FALSE)</f>
        <v>51771</v>
      </c>
      <c r="Z1832" s="184">
        <f>_xll.qlCalendarAdvance(Calendar,Y1832,NDays&amp;"D")</f>
        <v>51771</v>
      </c>
      <c r="AA1832" s="185">
        <v>4.7812427366552238E-2</v>
      </c>
      <c r="AB1832" s="182">
        <v>4.7546021748231158E-2</v>
      </c>
    </row>
    <row r="1833" spans="17:28" x14ac:dyDescent="0.2">
      <c r="Q1833" s="141"/>
      <c r="T1833" s="141"/>
      <c r="U1833" s="162"/>
      <c r="X1833" s="183" t="str">
        <f t="shared" si="35"/>
        <v>1w</v>
      </c>
      <c r="Y1833" s="181">
        <f>_xll.qlCalendarAdvance(Calendar,Y1832,X1833,"f",FALSE)</f>
        <v>51778</v>
      </c>
      <c r="Z1833" s="184">
        <f>_xll.qlCalendarAdvance(Calendar,Y1833,NDays&amp;"D")</f>
        <v>51778</v>
      </c>
      <c r="AA1833" s="185">
        <v>4.7820438397225225E-2</v>
      </c>
      <c r="AB1833" s="182">
        <v>4.7547889211351779E-2</v>
      </c>
    </row>
    <row r="1834" spans="17:28" x14ac:dyDescent="0.2">
      <c r="Q1834" s="141"/>
      <c r="T1834" s="141"/>
      <c r="U1834" s="162"/>
      <c r="X1834" s="183" t="str">
        <f t="shared" si="35"/>
        <v>1w</v>
      </c>
      <c r="Y1834" s="181">
        <f>_xll.qlCalendarAdvance(Calendar,Y1833,X1834,"f",FALSE)</f>
        <v>51785</v>
      </c>
      <c r="Z1834" s="184">
        <f>_xll.qlCalendarAdvance(Calendar,Y1834,NDays&amp;"D")</f>
        <v>51785</v>
      </c>
      <c r="AA1834" s="185">
        <v>4.7819333918844513E-2</v>
      </c>
      <c r="AB1834" s="182">
        <v>4.7543734710554515E-2</v>
      </c>
    </row>
    <row r="1835" spans="17:28" x14ac:dyDescent="0.2">
      <c r="Q1835" s="141"/>
      <c r="T1835" s="141"/>
      <c r="U1835" s="162"/>
      <c r="X1835" s="183" t="str">
        <f t="shared" si="35"/>
        <v>1w</v>
      </c>
      <c r="Y1835" s="181">
        <f>_xll.qlCalendarAdvance(Calendar,Y1834,X1835,"f",FALSE)</f>
        <v>51792</v>
      </c>
      <c r="Z1835" s="184">
        <f>_xll.qlCalendarAdvance(Calendar,Y1835,NDays&amp;"D")</f>
        <v>51792</v>
      </c>
      <c r="AA1835" s="185">
        <v>4.7818236965198838E-2</v>
      </c>
      <c r="AB1835" s="182">
        <v>4.754260234545394E-2</v>
      </c>
    </row>
    <row r="1836" spans="17:28" x14ac:dyDescent="0.2">
      <c r="Q1836" s="141"/>
      <c r="T1836" s="141"/>
      <c r="U1836" s="162"/>
      <c r="X1836" s="183" t="str">
        <f t="shared" si="35"/>
        <v>1w</v>
      </c>
      <c r="Y1836" s="181">
        <f>_xll.qlCalendarAdvance(Calendar,Y1835,X1836,"f",FALSE)</f>
        <v>51799</v>
      </c>
      <c r="Z1836" s="184">
        <f>_xll.qlCalendarAdvance(Calendar,Y1836,NDays&amp;"D")</f>
        <v>51799</v>
      </c>
      <c r="AA1836" s="185">
        <v>4.7820190728092911E-2</v>
      </c>
      <c r="AB1836" s="182">
        <v>4.7541477416160514E-2</v>
      </c>
    </row>
    <row r="1837" spans="17:28" x14ac:dyDescent="0.2">
      <c r="Q1837" s="141"/>
      <c r="T1837" s="141"/>
      <c r="U1837" s="162"/>
      <c r="X1837" s="183" t="str">
        <f t="shared" si="35"/>
        <v>1w</v>
      </c>
      <c r="Y1837" s="181">
        <f>_xll.qlCalendarAdvance(Calendar,Y1836,X1837,"f",FALSE)</f>
        <v>51806</v>
      </c>
      <c r="Z1837" s="184">
        <f>_xll.qlCalendarAdvance(Calendar,Y1837,NDays&amp;"D")</f>
        <v>51806</v>
      </c>
      <c r="AA1837" s="185">
        <v>4.7816065632085035E-2</v>
      </c>
      <c r="AB1837" s="182">
        <v>4.7540359922620221E-2</v>
      </c>
    </row>
    <row r="1838" spans="17:28" x14ac:dyDescent="0.2">
      <c r="Q1838" s="141"/>
      <c r="T1838" s="141"/>
      <c r="U1838" s="162"/>
      <c r="X1838" s="183" t="str">
        <f t="shared" si="35"/>
        <v>1w</v>
      </c>
      <c r="Y1838" s="181">
        <f>_xll.qlCalendarAdvance(Calendar,Y1837,X1838,"f",FALSE)</f>
        <v>51813</v>
      </c>
      <c r="Z1838" s="184">
        <f>_xll.qlCalendarAdvance(Calendar,Y1838,NDays&amp;"D")</f>
        <v>51813</v>
      </c>
      <c r="AA1838" s="185">
        <v>4.7814991252603967E-2</v>
      </c>
      <c r="AB1838" s="182">
        <v>4.7539249864887077E-2</v>
      </c>
    </row>
    <row r="1839" spans="17:28" x14ac:dyDescent="0.2">
      <c r="Q1839" s="141"/>
      <c r="T1839" s="141"/>
      <c r="U1839" s="162"/>
      <c r="X1839" s="183" t="str">
        <f t="shared" si="35"/>
        <v>1w</v>
      </c>
      <c r="Y1839" s="181">
        <f>_xll.qlCalendarAdvance(Calendar,Y1838,X1839,"f",FALSE)</f>
        <v>51820</v>
      </c>
      <c r="Z1839" s="184">
        <f>_xll.qlCalendarAdvance(Calendar,Y1839,NDays&amp;"D")</f>
        <v>51820</v>
      </c>
      <c r="AA1839" s="185">
        <v>4.7813924397832074E-2</v>
      </c>
      <c r="AB1839" s="182">
        <v>4.7538147243015125E-2</v>
      </c>
    </row>
    <row r="1840" spans="17:28" x14ac:dyDescent="0.2">
      <c r="Q1840" s="141"/>
      <c r="T1840" s="141"/>
      <c r="U1840" s="162"/>
      <c r="X1840" s="183" t="str">
        <f t="shared" si="35"/>
        <v>1w</v>
      </c>
      <c r="Y1840" s="181">
        <f>_xll.qlCalendarAdvance(Calendar,Y1839,X1840,"f",FALSE)</f>
        <v>51827</v>
      </c>
      <c r="Z1840" s="184">
        <f>_xll.qlCalendarAdvance(Calendar,Y1840,NDays&amp;"D")</f>
        <v>51827</v>
      </c>
      <c r="AA1840" s="185">
        <v>4.7812865067764193E-2</v>
      </c>
      <c r="AB1840" s="182">
        <v>4.7537052056869276E-2</v>
      </c>
    </row>
    <row r="1841" spans="17:28" x14ac:dyDescent="0.2">
      <c r="Q1841" s="141"/>
      <c r="T1841" s="141"/>
      <c r="U1841" s="162"/>
      <c r="X1841" s="183" t="str">
        <f t="shared" si="35"/>
        <v>1w</v>
      </c>
      <c r="Y1841" s="181">
        <f>_xll.qlCalendarAdvance(Calendar,Y1840,X1841,"f",FALSE)</f>
        <v>51834</v>
      </c>
      <c r="Z1841" s="184">
        <f>_xll.qlCalendarAdvance(Calendar,Y1841,NDays&amp;"D")</f>
        <v>51834</v>
      </c>
      <c r="AA1841" s="185">
        <v>4.7802679525050039E-2</v>
      </c>
      <c r="AB1841" s="182">
        <v>4.7535964306584619E-2</v>
      </c>
    </row>
    <row r="1842" spans="17:28" x14ac:dyDescent="0.2">
      <c r="Q1842" s="141"/>
      <c r="T1842" s="141"/>
      <c r="U1842" s="162"/>
      <c r="X1842" s="183" t="str">
        <f t="shared" si="35"/>
        <v>1w</v>
      </c>
      <c r="Y1842" s="181">
        <f>_xll.qlCalendarAdvance(Calendar,Y1841,X1842,"f",FALSE)</f>
        <v>51841</v>
      </c>
      <c r="Z1842" s="184">
        <f>_xll.qlCalendarAdvance(Calendar,Y1842,NDays&amp;"D")</f>
        <v>51841</v>
      </c>
      <c r="AA1842" s="185">
        <v>4.7798589665885266E-2</v>
      </c>
      <c r="AB1842" s="182">
        <v>4.7534883992080099E-2</v>
      </c>
    </row>
    <row r="1843" spans="17:28" x14ac:dyDescent="0.2">
      <c r="Q1843" s="141"/>
      <c r="T1843" s="141"/>
      <c r="U1843" s="162"/>
      <c r="X1843" s="183" t="str">
        <f t="shared" si="35"/>
        <v>1w</v>
      </c>
      <c r="Y1843" s="181">
        <f>_xll.qlCalendarAdvance(Calendar,Y1842,X1843,"f",FALSE)</f>
        <v>51848</v>
      </c>
      <c r="Z1843" s="184">
        <f>_xll.qlCalendarAdvance(Calendar,Y1843,NDays&amp;"D")</f>
        <v>51848</v>
      </c>
      <c r="AA1843" s="185">
        <v>4.7797551300851941E-2</v>
      </c>
      <c r="AB1843" s="182">
        <v>4.7533811113436762E-2</v>
      </c>
    </row>
    <row r="1844" spans="17:28" x14ac:dyDescent="0.2">
      <c r="Q1844" s="141"/>
      <c r="T1844" s="141"/>
      <c r="U1844" s="162"/>
      <c r="X1844" s="183" t="str">
        <f t="shared" si="35"/>
        <v>1w</v>
      </c>
      <c r="Y1844" s="181">
        <f>_xll.qlCalendarAdvance(Calendar,Y1843,X1844,"f",FALSE)</f>
        <v>51855</v>
      </c>
      <c r="Z1844" s="184">
        <f>_xll.qlCalendarAdvance(Calendar,Y1844,NDays&amp;"D")</f>
        <v>51855</v>
      </c>
      <c r="AA1844" s="185">
        <v>4.7796520456570374E-2</v>
      </c>
      <c r="AB1844" s="182">
        <v>4.7532745670519537E-2</v>
      </c>
    </row>
    <row r="1845" spans="17:28" x14ac:dyDescent="0.2">
      <c r="Q1845" s="141"/>
      <c r="T1845" s="141"/>
      <c r="U1845" s="162"/>
      <c r="X1845" s="183" t="str">
        <f t="shared" si="35"/>
        <v>1w</v>
      </c>
      <c r="Y1845" s="181">
        <f>_xll.qlCalendarAdvance(Calendar,Y1844,X1845,"f",FALSE)</f>
        <v>51862</v>
      </c>
      <c r="Z1845" s="184">
        <f>_xll.qlCalendarAdvance(Calendar,Y1845,NDays&amp;"D")</f>
        <v>51862</v>
      </c>
      <c r="AA1845" s="185">
        <v>4.7795497133035166E-2</v>
      </c>
      <c r="AB1845" s="182">
        <v>4.7531687663436482E-2</v>
      </c>
    </row>
    <row r="1846" spans="17:28" x14ac:dyDescent="0.2">
      <c r="Q1846" s="141"/>
      <c r="T1846" s="141"/>
      <c r="U1846" s="162"/>
      <c r="X1846" s="183" t="str">
        <f t="shared" si="35"/>
        <v>1w</v>
      </c>
      <c r="Y1846" s="181">
        <f>_xll.qlCalendarAdvance(Calendar,Y1845,X1846,"f",FALSE)</f>
        <v>51869</v>
      </c>
      <c r="Z1846" s="184">
        <f>_xll.qlCalendarAdvance(Calendar,Y1846,NDays&amp;"D")</f>
        <v>51869</v>
      </c>
      <c r="AA1846" s="185">
        <v>4.7794481330240016E-2</v>
      </c>
      <c r="AB1846" s="182">
        <v>4.7530637092133572E-2</v>
      </c>
    </row>
    <row r="1847" spans="17:28" x14ac:dyDescent="0.2">
      <c r="Q1847" s="141"/>
      <c r="T1847" s="141"/>
      <c r="U1847" s="162"/>
      <c r="X1847" s="183" t="str">
        <f t="shared" si="35"/>
        <v>1w</v>
      </c>
      <c r="Y1847" s="181">
        <f>_xll.qlCalendarAdvance(Calendar,Y1846,X1847,"f",FALSE)</f>
        <v>51876</v>
      </c>
      <c r="Z1847" s="184">
        <f>_xll.qlCalendarAdvance(Calendar,Y1847,NDays&amp;"D")</f>
        <v>51876</v>
      </c>
      <c r="AA1847" s="185">
        <v>4.7793473048178617E-2</v>
      </c>
      <c r="AB1847" s="182">
        <v>4.7529593956610793E-2</v>
      </c>
    </row>
    <row r="1848" spans="17:28" x14ac:dyDescent="0.2">
      <c r="Q1848" s="141"/>
      <c r="T1848" s="141"/>
      <c r="U1848" s="162"/>
      <c r="X1848" s="183" t="str">
        <f t="shared" si="35"/>
        <v>1w</v>
      </c>
      <c r="Y1848" s="181">
        <f>_xll.qlCalendarAdvance(Calendar,Y1847,X1848,"f",FALSE)</f>
        <v>51883</v>
      </c>
      <c r="Z1848" s="184">
        <f>_xll.qlCalendarAdvance(Calendar,Y1848,NDays&amp;"D")</f>
        <v>51883</v>
      </c>
      <c r="AA1848" s="185">
        <v>4.779247228684827E-2</v>
      </c>
      <c r="AB1848" s="182">
        <v>4.7528558256949203E-2</v>
      </c>
    </row>
    <row r="1849" spans="17:28" x14ac:dyDescent="0.2">
      <c r="Q1849" s="141"/>
      <c r="T1849" s="141"/>
      <c r="U1849" s="162"/>
      <c r="X1849" s="183" t="str">
        <f t="shared" si="35"/>
        <v>1w</v>
      </c>
      <c r="Y1849" s="181">
        <f>_xll.qlCalendarAdvance(Calendar,Y1848,X1849,"f",FALSE)</f>
        <v>51890</v>
      </c>
      <c r="Z1849" s="184">
        <f>_xll.qlCalendarAdvance(Calendar,Y1849,NDays&amp;"D")</f>
        <v>51890</v>
      </c>
      <c r="AA1849" s="185">
        <v>4.7791479046240863E-2</v>
      </c>
      <c r="AB1849" s="182">
        <v>4.7530550933493898E-2</v>
      </c>
    </row>
    <row r="1850" spans="17:28" x14ac:dyDescent="0.2">
      <c r="Q1850" s="141"/>
      <c r="T1850" s="141"/>
      <c r="U1850" s="162"/>
      <c r="X1850" s="183" t="str">
        <f t="shared" si="35"/>
        <v>1w</v>
      </c>
      <c r="Y1850" s="181">
        <f>_xll.qlCalendarAdvance(Calendar,Y1849,X1850,"f",FALSE)</f>
        <v>51897</v>
      </c>
      <c r="Z1850" s="184">
        <f>_xll.qlCalendarAdvance(Calendar,Y1850,NDays&amp;"D")</f>
        <v>51897</v>
      </c>
      <c r="AA1850" s="185">
        <v>4.7787446011703025E-2</v>
      </c>
      <c r="AB1850" s="182">
        <v>4.7526509164966445E-2</v>
      </c>
    </row>
    <row r="1851" spans="17:28" x14ac:dyDescent="0.2">
      <c r="Q1851" s="141"/>
      <c r="T1851" s="141"/>
      <c r="U1851" s="162"/>
      <c r="X1851" s="183" t="str">
        <f t="shared" si="35"/>
        <v>1w</v>
      </c>
      <c r="Y1851" s="181">
        <f>_xll.qlCalendarAdvance(Calendar,Y1850,X1851,"f",FALSE)</f>
        <v>51904</v>
      </c>
      <c r="Z1851" s="184">
        <f>_xll.qlCalendarAdvance(Calendar,Y1851,NDays&amp;"D")</f>
        <v>51904</v>
      </c>
      <c r="AA1851" s="185">
        <v>4.7786467402723569E-2</v>
      </c>
      <c r="AB1851" s="182">
        <v>4.7525495772672295E-2</v>
      </c>
    </row>
    <row r="1852" spans="17:28" x14ac:dyDescent="0.2">
      <c r="Q1852" s="141"/>
      <c r="T1852" s="141"/>
      <c r="U1852" s="162"/>
      <c r="X1852" s="183" t="str">
        <f t="shared" si="35"/>
        <v>1w</v>
      </c>
      <c r="Y1852" s="181">
        <f>_xll.qlCalendarAdvance(Calendar,Y1851,X1852,"f",FALSE)</f>
        <v>51911</v>
      </c>
      <c r="Z1852" s="184">
        <f>_xll.qlCalendarAdvance(Calendar,Y1852,NDays&amp;"D")</f>
        <v>51911</v>
      </c>
      <c r="AA1852" s="185">
        <v>4.7785496313470288E-2</v>
      </c>
      <c r="AB1852" s="182">
        <v>4.7524489816212309E-2</v>
      </c>
    </row>
    <row r="1853" spans="17:28" x14ac:dyDescent="0.2">
      <c r="Q1853" s="141"/>
      <c r="T1853" s="141"/>
      <c r="U1853" s="162"/>
      <c r="X1853" s="183" t="str">
        <f t="shared" si="35"/>
        <v>1w</v>
      </c>
      <c r="Y1853" s="181">
        <f>_xll.qlCalendarAdvance(Calendar,Y1852,X1853,"f",FALSE)</f>
        <v>51918</v>
      </c>
      <c r="Z1853" s="184">
        <f>_xll.qlCalendarAdvance(Calendar,Y1853,NDays&amp;"D")</f>
        <v>51918</v>
      </c>
      <c r="AA1853" s="185">
        <v>4.778453274393954E-2</v>
      </c>
      <c r="AB1853" s="182">
        <v>4.7523491295559481E-2</v>
      </c>
    </row>
    <row r="1854" spans="17:28" x14ac:dyDescent="0.2">
      <c r="Q1854" s="141"/>
      <c r="T1854" s="141"/>
      <c r="U1854" s="162"/>
      <c r="X1854" s="183" t="str">
        <f t="shared" si="35"/>
        <v>1w</v>
      </c>
      <c r="Y1854" s="181">
        <f>_xll.qlCalendarAdvance(Calendar,Y1853,X1854,"f",FALSE)</f>
        <v>51925</v>
      </c>
      <c r="Z1854" s="184">
        <f>_xll.qlCalendarAdvance(Calendar,Y1854,NDays&amp;"D")</f>
        <v>51925</v>
      </c>
      <c r="AA1854" s="185">
        <v>4.7789674918016355E-2</v>
      </c>
      <c r="AB1854" s="182">
        <v>4.7522500210659777E-2</v>
      </c>
    </row>
    <row r="1855" spans="17:28" x14ac:dyDescent="0.2">
      <c r="Q1855" s="141"/>
      <c r="T1855" s="141"/>
      <c r="U1855" s="162"/>
      <c r="X1855" s="183" t="str">
        <f t="shared" si="35"/>
        <v>1w</v>
      </c>
      <c r="Y1855" s="181">
        <f>_xll.qlCalendarAdvance(Calendar,Y1854,X1855,"f",FALSE)</f>
        <v>51932</v>
      </c>
      <c r="Z1855" s="184">
        <f>_xll.qlCalendarAdvance(Calendar,Y1855,NDays&amp;"D")</f>
        <v>51932</v>
      </c>
      <c r="AA1855" s="185">
        <v>4.7800928973586558E-2</v>
      </c>
      <c r="AB1855" s="182">
        <v>4.752151656156723E-2</v>
      </c>
    </row>
    <row r="1856" spans="17:28" x14ac:dyDescent="0.2">
      <c r="Q1856" s="141"/>
      <c r="T1856" s="141"/>
      <c r="U1856" s="162"/>
      <c r="X1856" s="183" t="str">
        <f t="shared" si="35"/>
        <v>1w</v>
      </c>
      <c r="Y1856" s="181">
        <f>_xll.qlCalendarAdvance(Calendar,Y1855,X1856,"f",FALSE)</f>
        <v>51939</v>
      </c>
      <c r="Z1856" s="184">
        <f>_xll.qlCalendarAdvance(Calendar,Y1856,NDays&amp;"D")</f>
        <v>51939</v>
      </c>
      <c r="AA1856" s="185">
        <v>4.7796939141440828E-2</v>
      </c>
      <c r="AB1856" s="182">
        <v>4.7520540348281834E-2</v>
      </c>
    </row>
    <row r="1857" spans="17:28" x14ac:dyDescent="0.2">
      <c r="Q1857" s="141"/>
      <c r="T1857" s="141"/>
      <c r="U1857" s="162"/>
      <c r="X1857" s="183" t="str">
        <f t="shared" si="35"/>
        <v>1w</v>
      </c>
      <c r="Y1857" s="181">
        <f>_xll.qlCalendarAdvance(Calendar,Y1856,X1857,"f",FALSE)</f>
        <v>51946</v>
      </c>
      <c r="Z1857" s="184">
        <f>_xll.qlCalendarAdvance(Calendar,Y1857,NDays&amp;"D")</f>
        <v>51946</v>
      </c>
      <c r="AA1857" s="185">
        <v>4.7796007730427949E-2</v>
      </c>
      <c r="AB1857" s="182">
        <v>4.7519571570776582E-2</v>
      </c>
    </row>
    <row r="1858" spans="17:28" x14ac:dyDescent="0.2">
      <c r="Q1858" s="141"/>
      <c r="T1858" s="141"/>
      <c r="U1858" s="162"/>
      <c r="X1858" s="183" t="str">
        <f t="shared" si="35"/>
        <v>1w</v>
      </c>
      <c r="Y1858" s="181">
        <f>_xll.qlCalendarAdvance(Calendar,Y1857,X1858,"f",FALSE)</f>
        <v>51953</v>
      </c>
      <c r="Z1858" s="184">
        <f>_xll.qlCalendarAdvance(Calendar,Y1858,NDays&amp;"D")</f>
        <v>51953</v>
      </c>
      <c r="AA1858" s="185">
        <v>4.7795083844015609E-2</v>
      </c>
      <c r="AB1858" s="182">
        <v>4.7518610229105494E-2</v>
      </c>
    </row>
    <row r="1859" spans="17:28" x14ac:dyDescent="0.2">
      <c r="Q1859" s="141"/>
      <c r="T1859" s="141"/>
      <c r="U1859" s="162"/>
      <c r="X1859" s="183" t="str">
        <f t="shared" si="35"/>
        <v>1w</v>
      </c>
      <c r="Y1859" s="181">
        <f>_xll.qlCalendarAdvance(Calendar,Y1858,X1859,"f",FALSE)</f>
        <v>51964</v>
      </c>
      <c r="Z1859" s="184">
        <f>_xll.qlCalendarAdvance(Calendar,Y1859,NDays&amp;"D")</f>
        <v>51964</v>
      </c>
      <c r="AA1859" s="185">
        <v>4.778449064712828E-2</v>
      </c>
      <c r="AB1859" s="182">
        <v>4.7511065076658587E-2</v>
      </c>
    </row>
    <row r="1860" spans="17:28" x14ac:dyDescent="0.2">
      <c r="Q1860" s="141"/>
      <c r="T1860" s="141"/>
      <c r="U1860" s="162"/>
      <c r="X1860" s="183" t="str">
        <f t="shared" si="35"/>
        <v>1w</v>
      </c>
      <c r="Y1860" s="181">
        <f>_xll.qlCalendarAdvance(Calendar,Y1859,X1860,"f",FALSE)</f>
        <v>51971</v>
      </c>
      <c r="Z1860" s="184">
        <f>_xll.qlCalendarAdvance(Calendar,Y1860,NDays&amp;"D")</f>
        <v>51971</v>
      </c>
      <c r="AA1860" s="185">
        <v>4.7783584850966898E-2</v>
      </c>
      <c r="AB1860" s="182">
        <v>4.751012203883076E-2</v>
      </c>
    </row>
    <row r="1861" spans="17:28" x14ac:dyDescent="0.2">
      <c r="Q1861" s="141"/>
      <c r="T1861" s="141"/>
      <c r="U1861" s="162"/>
      <c r="X1861" s="183" t="str">
        <f t="shared" si="35"/>
        <v>1w</v>
      </c>
      <c r="Y1861" s="181">
        <f>_xll.qlCalendarAdvance(Calendar,Y1860,X1861,"f",FALSE)</f>
        <v>51978</v>
      </c>
      <c r="Z1861" s="184">
        <f>_xll.qlCalendarAdvance(Calendar,Y1861,NDays&amp;"D")</f>
        <v>51978</v>
      </c>
      <c r="AA1861" s="185">
        <v>4.7782686576444536E-2</v>
      </c>
      <c r="AB1861" s="182">
        <v>4.7509186434973039E-2</v>
      </c>
    </row>
    <row r="1862" spans="17:28" x14ac:dyDescent="0.2">
      <c r="Q1862" s="141"/>
      <c r="T1862" s="141"/>
      <c r="U1862" s="162"/>
      <c r="X1862" s="183" t="str">
        <f t="shared" si="35"/>
        <v>1w</v>
      </c>
      <c r="Y1862" s="181">
        <f>_xll.qlCalendarAdvance(Calendar,Y1861,X1862,"f",FALSE)</f>
        <v>51985</v>
      </c>
      <c r="Z1862" s="184">
        <f>_xll.qlCalendarAdvance(Calendar,Y1862,NDays&amp;"D")</f>
        <v>51985</v>
      </c>
      <c r="AA1862" s="185">
        <v>4.7781795823555857E-2</v>
      </c>
      <c r="AB1862" s="182">
        <v>4.7508258264842285E-2</v>
      </c>
    </row>
    <row r="1863" spans="17:28" x14ac:dyDescent="0.2">
      <c r="Q1863" s="141"/>
      <c r="T1863" s="141"/>
      <c r="U1863" s="162"/>
      <c r="X1863" s="183" t="str">
        <f t="shared" si="35"/>
        <v>1w</v>
      </c>
      <c r="Y1863" s="181">
        <f>_xll.qlCalendarAdvance(Calendar,Y1862,X1863,"f",FALSE)</f>
        <v>51992</v>
      </c>
      <c r="Z1863" s="184">
        <f>_xll.qlCalendarAdvance(Calendar,Y1863,NDays&amp;"D")</f>
        <v>51992</v>
      </c>
      <c r="AA1863" s="185">
        <v>4.7783966163459535E-2</v>
      </c>
      <c r="AB1863" s="182">
        <v>4.7507337528681637E-2</v>
      </c>
    </row>
    <row r="1864" spans="17:28" x14ac:dyDescent="0.2">
      <c r="Q1864" s="141"/>
      <c r="T1864" s="141"/>
      <c r="U1864" s="162"/>
      <c r="X1864" s="183" t="str">
        <f t="shared" si="35"/>
        <v>1w</v>
      </c>
      <c r="Y1864" s="181">
        <f>_xll.qlCalendarAdvance(Calendar,Y1863,X1864,"f",FALSE)</f>
        <v>51999</v>
      </c>
      <c r="Z1864" s="184">
        <f>_xll.qlCalendarAdvance(Calendar,Y1864,NDays&amp;"D")</f>
        <v>51999</v>
      </c>
      <c r="AA1864" s="185">
        <v>4.7783090877185436E-2</v>
      </c>
      <c r="AB1864" s="182">
        <v>4.7506424226247956E-2</v>
      </c>
    </row>
    <row r="1865" spans="17:28" x14ac:dyDescent="0.2">
      <c r="Q1865" s="141"/>
      <c r="T1865" s="141"/>
      <c r="U1865" s="162"/>
      <c r="X1865" s="183" t="str">
        <f t="shared" si="35"/>
        <v>1w</v>
      </c>
      <c r="Y1865" s="181">
        <f>_xll.qlCalendarAdvance(Calendar,Y1864,X1865,"f",FALSE)</f>
        <v>52006</v>
      </c>
      <c r="Z1865" s="184">
        <f>_xll.qlCalendarAdvance(Calendar,Y1865,NDays&amp;"D")</f>
        <v>52006</v>
      </c>
      <c r="AA1865" s="185">
        <v>4.7782223113512594E-2</v>
      </c>
      <c r="AB1865" s="182">
        <v>4.7505518357784382E-2</v>
      </c>
    </row>
    <row r="1866" spans="17:28" x14ac:dyDescent="0.2">
      <c r="Q1866" s="141"/>
      <c r="T1866" s="141"/>
      <c r="U1866" s="162"/>
      <c r="X1866" s="183" t="str">
        <f t="shared" si="35"/>
        <v>1w</v>
      </c>
      <c r="Y1866" s="181">
        <f>_xll.qlCalendarAdvance(Calendar,Y1865,X1866,"f",FALSE)</f>
        <v>52013</v>
      </c>
      <c r="Z1866" s="184">
        <f>_xll.qlCalendarAdvance(Calendar,Y1866,NDays&amp;"D")</f>
        <v>52013</v>
      </c>
      <c r="AA1866" s="185">
        <v>4.7781362872433973E-2</v>
      </c>
      <c r="AB1866" s="182">
        <v>4.7504619923128821E-2</v>
      </c>
    </row>
    <row r="1867" spans="17:28" x14ac:dyDescent="0.2">
      <c r="Q1867" s="141"/>
      <c r="T1867" s="141"/>
      <c r="U1867" s="162"/>
      <c r="X1867" s="183" t="str">
        <f t="shared" si="35"/>
        <v>1w</v>
      </c>
      <c r="Y1867" s="181">
        <f>_xll.qlCalendarAdvance(Calendar,Y1866,X1867,"f",FALSE)</f>
        <v>52020</v>
      </c>
      <c r="Z1867" s="184">
        <f>_xll.qlCalendarAdvance(Calendar,Y1867,NDays&amp;"D")</f>
        <v>52020</v>
      </c>
      <c r="AA1867" s="185">
        <v>4.7780510153944272E-2</v>
      </c>
      <c r="AB1867" s="182">
        <v>4.750372892236232E-2</v>
      </c>
    </row>
    <row r="1868" spans="17:28" x14ac:dyDescent="0.2">
      <c r="Q1868" s="141"/>
      <c r="T1868" s="141"/>
      <c r="U1868" s="162"/>
      <c r="X1868" s="183" t="str">
        <f t="shared" si="35"/>
        <v>1w</v>
      </c>
      <c r="Y1868" s="181">
        <f>_xll.qlCalendarAdvance(Calendar,Y1867,X1868,"f",FALSE)</f>
        <v>52027</v>
      </c>
      <c r="Z1868" s="184">
        <f>_xll.qlCalendarAdvance(Calendar,Y1868,NDays&amp;"D")</f>
        <v>52027</v>
      </c>
      <c r="AA1868" s="185">
        <v>4.7779664958039987E-2</v>
      </c>
      <c r="AB1868" s="182">
        <v>4.7502845355403833E-2</v>
      </c>
    </row>
    <row r="1869" spans="17:28" x14ac:dyDescent="0.2">
      <c r="Q1869" s="141"/>
      <c r="T1869" s="141"/>
      <c r="U1869" s="162"/>
      <c r="X1869" s="183" t="str">
        <f t="shared" si="35"/>
        <v>1w</v>
      </c>
      <c r="Y1869" s="181">
        <f>_xll.qlCalendarAdvance(Calendar,Y1868,X1869,"f",FALSE)</f>
        <v>52034</v>
      </c>
      <c r="Z1869" s="184">
        <f>_xll.qlCalendarAdvance(Calendar,Y1869,NDays&amp;"D")</f>
        <v>52034</v>
      </c>
      <c r="AA1869" s="185">
        <v>4.7778827284715809E-2</v>
      </c>
      <c r="AB1869" s="182">
        <v>4.7501969222334406E-2</v>
      </c>
    </row>
    <row r="1870" spans="17:28" x14ac:dyDescent="0.2">
      <c r="Q1870" s="141"/>
      <c r="T1870" s="141"/>
      <c r="U1870" s="162"/>
      <c r="X1870" s="183" t="str">
        <f t="shared" si="35"/>
        <v>1w</v>
      </c>
      <c r="Y1870" s="181">
        <f>_xll.qlCalendarAdvance(Calendar,Y1869,X1870,"f",FALSE)</f>
        <v>52041</v>
      </c>
      <c r="Z1870" s="184">
        <f>_xll.qlCalendarAdvance(Calendar,Y1870,NDays&amp;"D")</f>
        <v>52041</v>
      </c>
      <c r="AA1870" s="185">
        <v>4.7777997133968235E-2</v>
      </c>
      <c r="AB1870" s="182">
        <v>4.7501100523154038E-2</v>
      </c>
    </row>
    <row r="1871" spans="17:28" x14ac:dyDescent="0.2">
      <c r="Q1871" s="141"/>
      <c r="T1871" s="141"/>
      <c r="U1871" s="162"/>
      <c r="X1871" s="183" t="str">
        <f t="shared" si="35"/>
        <v>1w</v>
      </c>
      <c r="Y1871" s="181">
        <f>_xll.qlCalendarAdvance(Calendar,Y1870,X1871,"f",FALSE)</f>
        <v>52048</v>
      </c>
      <c r="Z1871" s="184">
        <f>_xll.qlCalendarAdvance(Calendar,Y1871,NDays&amp;"D")</f>
        <v>52048</v>
      </c>
      <c r="AA1871" s="185">
        <v>4.7777174505791088E-2</v>
      </c>
      <c r="AB1871" s="182">
        <v>4.7500239257781685E-2</v>
      </c>
    </row>
    <row r="1872" spans="17:28" x14ac:dyDescent="0.2">
      <c r="Q1872" s="141"/>
      <c r="T1872" s="141"/>
      <c r="U1872" s="162"/>
      <c r="X1872" s="183" t="str">
        <f t="shared" si="35"/>
        <v>1w</v>
      </c>
      <c r="Y1872" s="181">
        <f>_xll.qlCalendarAdvance(Calendar,Y1871,X1872,"f",FALSE)</f>
        <v>52055</v>
      </c>
      <c r="Z1872" s="184">
        <f>_xll.qlCalendarAdvance(Calendar,Y1872,NDays&amp;"D")</f>
        <v>52055</v>
      </c>
      <c r="AA1872" s="185">
        <v>4.7776359400180844E-2</v>
      </c>
      <c r="AB1872" s="182">
        <v>4.7499385426298391E-2</v>
      </c>
    </row>
    <row r="1873" spans="17:28" x14ac:dyDescent="0.2">
      <c r="Q1873" s="141"/>
      <c r="T1873" s="141"/>
      <c r="U1873" s="162"/>
      <c r="X1873" s="183" t="str">
        <f t="shared" si="35"/>
        <v>1w</v>
      </c>
      <c r="Y1873" s="181">
        <f>_xll.qlCalendarAdvance(Calendar,Y1872,X1873,"f",FALSE)</f>
        <v>52062</v>
      </c>
      <c r="Z1873" s="184">
        <f>_xll.qlCalendarAdvance(Calendar,Y1873,NDays&amp;"D")</f>
        <v>52062</v>
      </c>
      <c r="AA1873" s="185">
        <v>4.7775551817131341E-2</v>
      </c>
      <c r="AB1873" s="182">
        <v>4.749853902862311E-2</v>
      </c>
    </row>
    <row r="1874" spans="17:28" x14ac:dyDescent="0.2">
      <c r="Q1874" s="141"/>
      <c r="T1874" s="141"/>
      <c r="U1874" s="162"/>
      <c r="X1874" s="183" t="str">
        <f t="shared" si="35"/>
        <v>1w</v>
      </c>
      <c r="Y1874" s="181">
        <f>_xll.qlCalendarAdvance(Calendar,Y1873,X1874,"f",FALSE)</f>
        <v>52069</v>
      </c>
      <c r="Z1874" s="184">
        <f>_xll.qlCalendarAdvance(Calendar,Y1874,NDays&amp;"D")</f>
        <v>52069</v>
      </c>
      <c r="AA1874" s="185">
        <v>4.7774751756639935E-2</v>
      </c>
      <c r="AB1874" s="182">
        <v>4.7497700064917936E-2</v>
      </c>
    </row>
    <row r="1875" spans="17:28" x14ac:dyDescent="0.2">
      <c r="Q1875" s="141"/>
      <c r="T1875" s="141"/>
      <c r="U1875" s="162"/>
      <c r="X1875" s="183" t="str">
        <f t="shared" si="35"/>
        <v>1w</v>
      </c>
      <c r="Y1875" s="181">
        <f>_xll.qlCalendarAdvance(Calendar,Y1874,X1875,"f",FALSE)</f>
        <v>52076</v>
      </c>
      <c r="Z1875" s="184">
        <f>_xll.qlCalendarAdvance(Calendar,Y1875,NDays&amp;"D")</f>
        <v>52076</v>
      </c>
      <c r="AA1875" s="185">
        <v>4.7773959218699577E-2</v>
      </c>
      <c r="AB1875" s="182">
        <v>4.7496868534939729E-2</v>
      </c>
    </row>
    <row r="1876" spans="17:28" x14ac:dyDescent="0.2">
      <c r="Q1876" s="141"/>
      <c r="T1876" s="141"/>
      <c r="U1876" s="162"/>
      <c r="X1876" s="183" t="str">
        <f t="shared" si="35"/>
        <v>1w</v>
      </c>
      <c r="Y1876" s="181">
        <f>_xll.qlCalendarAdvance(Calendar,Y1875,X1876,"f",FALSE)</f>
        <v>52083</v>
      </c>
      <c r="Z1876" s="184">
        <f>_xll.qlCalendarAdvance(Calendar,Y1876,NDays&amp;"D")</f>
        <v>52083</v>
      </c>
      <c r="AA1876" s="185">
        <v>4.7773174203309385E-2</v>
      </c>
      <c r="AB1876" s="182">
        <v>4.7496044438931628E-2</v>
      </c>
    </row>
    <row r="1877" spans="17:28" x14ac:dyDescent="0.2">
      <c r="Q1877" s="141"/>
      <c r="T1877" s="141"/>
      <c r="U1877" s="162"/>
      <c r="X1877" s="183" t="str">
        <f t="shared" ref="X1877:X1940" si="36">X1876</f>
        <v>1w</v>
      </c>
      <c r="Y1877" s="181">
        <f>_xll.qlCalendarAdvance(Calendar,Y1876,X1877,"f",FALSE)</f>
        <v>52090</v>
      </c>
      <c r="Z1877" s="184">
        <f>_xll.qlCalendarAdvance(Calendar,Y1877,NDays&amp;"D")</f>
        <v>52090</v>
      </c>
      <c r="AA1877" s="185">
        <v>4.7772396710461427E-2</v>
      </c>
      <c r="AB1877" s="182">
        <v>4.7495227776731541E-2</v>
      </c>
    </row>
    <row r="1878" spans="17:28" x14ac:dyDescent="0.2">
      <c r="Q1878" s="141"/>
      <c r="T1878" s="141"/>
      <c r="U1878" s="162"/>
      <c r="X1878" s="183" t="str">
        <f t="shared" si="36"/>
        <v>1w</v>
      </c>
      <c r="Y1878" s="181">
        <f>_xll.qlCalendarAdvance(Calendar,Y1877,X1878,"f",FALSE)</f>
        <v>52097</v>
      </c>
      <c r="Z1878" s="184">
        <f>_xll.qlCalendarAdvance(Calendar,Y1878,NDays&amp;"D")</f>
        <v>52097</v>
      </c>
      <c r="AA1878" s="185">
        <v>4.7771626740153075E-2</v>
      </c>
      <c r="AB1878" s="182">
        <v>4.7494418548339468E-2</v>
      </c>
    </row>
    <row r="1879" spans="17:28" x14ac:dyDescent="0.2">
      <c r="Q1879" s="141"/>
      <c r="T1879" s="141"/>
      <c r="U1879" s="162"/>
      <c r="X1879" s="183" t="str">
        <f t="shared" si="36"/>
        <v>1w</v>
      </c>
      <c r="Y1879" s="181">
        <f>_xll.qlCalendarAdvance(Calendar,Y1878,X1879,"f",FALSE)</f>
        <v>52104</v>
      </c>
      <c r="Z1879" s="184">
        <f>_xll.qlCalendarAdvance(Calendar,Y1879,NDays&amp;"D")</f>
        <v>52104</v>
      </c>
      <c r="AA1879" s="185">
        <v>4.7770864292380789E-2</v>
      </c>
      <c r="AB1879" s="182">
        <v>4.74936167539175E-2</v>
      </c>
    </row>
    <row r="1880" spans="17:28" x14ac:dyDescent="0.2">
      <c r="Q1880" s="141"/>
      <c r="T1880" s="141"/>
      <c r="U1880" s="162"/>
      <c r="X1880" s="183" t="str">
        <f t="shared" si="36"/>
        <v>1w</v>
      </c>
      <c r="Y1880" s="181">
        <f>_xll.qlCalendarAdvance(Calendar,Y1879,X1880,"f",FALSE)</f>
        <v>52111</v>
      </c>
      <c r="Z1880" s="184">
        <f>_xll.qlCalendarAdvance(Calendar,Y1880,NDays&amp;"D")</f>
        <v>52111</v>
      </c>
      <c r="AA1880" s="185">
        <v>4.7767048465473187E-2</v>
      </c>
      <c r="AB1880" s="182">
        <v>4.74928223932225E-2</v>
      </c>
    </row>
    <row r="1881" spans="17:28" x14ac:dyDescent="0.2">
      <c r="Q1881" s="141"/>
      <c r="T1881" s="141"/>
      <c r="U1881" s="162"/>
      <c r="X1881" s="183" t="str">
        <f t="shared" si="36"/>
        <v>1w</v>
      </c>
      <c r="Y1881" s="181">
        <f>_xll.qlCalendarAdvance(Calendar,Y1880,X1881,"f",FALSE)</f>
        <v>52118</v>
      </c>
      <c r="Z1881" s="184">
        <f>_xll.qlCalendarAdvance(Calendar,Y1881,NDays&amp;"D")</f>
        <v>52118</v>
      </c>
      <c r="AA1881" s="185">
        <v>4.7766300622732072E-2</v>
      </c>
      <c r="AB1881" s="182">
        <v>4.7492035466497606E-2</v>
      </c>
    </row>
    <row r="1882" spans="17:28" x14ac:dyDescent="0.2">
      <c r="Q1882" s="141"/>
      <c r="T1882" s="141"/>
      <c r="U1882" s="162"/>
      <c r="X1882" s="183" t="str">
        <f t="shared" si="36"/>
        <v>1w</v>
      </c>
      <c r="Y1882" s="181">
        <f>_xll.qlCalendarAdvance(Calendar,Y1881,X1882,"f",FALSE)</f>
        <v>52125</v>
      </c>
      <c r="Z1882" s="184">
        <f>_xll.qlCalendarAdvance(Calendar,Y1882,NDays&amp;"D")</f>
        <v>52125</v>
      </c>
      <c r="AA1882" s="185">
        <v>4.7765560301532901E-2</v>
      </c>
      <c r="AB1882" s="182">
        <v>4.749125597349968E-2</v>
      </c>
    </row>
    <row r="1883" spans="17:28" x14ac:dyDescent="0.2">
      <c r="Q1883" s="141"/>
      <c r="T1883" s="141"/>
      <c r="U1883" s="162"/>
      <c r="X1883" s="183" t="str">
        <f t="shared" si="36"/>
        <v>1w</v>
      </c>
      <c r="Y1883" s="181">
        <f>_xll.qlCalendarAdvance(Calendar,Y1882,X1883,"f",FALSE)</f>
        <v>52132</v>
      </c>
      <c r="Z1883" s="184">
        <f>_xll.qlCalendarAdvance(Calendar,Y1883,NDays&amp;"D")</f>
        <v>52132</v>
      </c>
      <c r="AA1883" s="185">
        <v>4.7764827501872123E-2</v>
      </c>
      <c r="AB1883" s="182">
        <v>4.7490483914552906E-2</v>
      </c>
    </row>
    <row r="1884" spans="17:28" x14ac:dyDescent="0.2">
      <c r="Q1884" s="141"/>
      <c r="T1884" s="141"/>
      <c r="U1884" s="162"/>
      <c r="X1884" s="183" t="str">
        <f t="shared" si="36"/>
        <v>1w</v>
      </c>
      <c r="Y1884" s="181">
        <f>_xll.qlCalendarAdvance(Calendar,Y1883,X1884,"f",FALSE)</f>
        <v>52139</v>
      </c>
      <c r="Z1884" s="184">
        <f>_xll.qlCalendarAdvance(Calendar,Y1884,NDays&amp;"D")</f>
        <v>52139</v>
      </c>
      <c r="AA1884" s="185">
        <v>4.7767164891394834E-2</v>
      </c>
      <c r="AB1884" s="182">
        <v>4.7489719289333099E-2</v>
      </c>
    </row>
    <row r="1885" spans="17:28" x14ac:dyDescent="0.2">
      <c r="Q1885" s="141"/>
      <c r="T1885" s="141"/>
      <c r="U1885" s="162"/>
      <c r="X1885" s="183" t="str">
        <f t="shared" si="36"/>
        <v>1w</v>
      </c>
      <c r="Y1885" s="181">
        <f>_xll.qlCalendarAdvance(Calendar,Y1884,X1885,"f",FALSE)</f>
        <v>52146</v>
      </c>
      <c r="Z1885" s="184">
        <f>_xll.qlCalendarAdvance(Calendar,Y1885,NDays&amp;"D")</f>
        <v>52146</v>
      </c>
      <c r="AA1885" s="185">
        <v>4.7766447578743841E-2</v>
      </c>
      <c r="AB1885" s="182">
        <v>4.7488962098002352E-2</v>
      </c>
    </row>
    <row r="1886" spans="17:28" x14ac:dyDescent="0.2">
      <c r="Q1886" s="141"/>
      <c r="T1886" s="141"/>
      <c r="U1886" s="162"/>
      <c r="X1886" s="183" t="str">
        <f t="shared" si="36"/>
        <v>1w</v>
      </c>
      <c r="Y1886" s="181">
        <f>_xll.qlCalendarAdvance(Calendar,Y1885,X1886,"f",FALSE)</f>
        <v>52153</v>
      </c>
      <c r="Z1886" s="184">
        <f>_xll.qlCalendarAdvance(Calendar,Y1886,NDays&amp;"D")</f>
        <v>52153</v>
      </c>
      <c r="AA1886" s="185">
        <v>4.7765737788598966E-2</v>
      </c>
      <c r="AB1886" s="182">
        <v>4.7488212340560665E-2</v>
      </c>
    </row>
    <row r="1887" spans="17:28" x14ac:dyDescent="0.2">
      <c r="Q1887" s="141"/>
      <c r="T1887" s="141"/>
      <c r="U1887" s="162"/>
      <c r="X1887" s="183" t="str">
        <f t="shared" si="36"/>
        <v>1w</v>
      </c>
      <c r="Y1887" s="181">
        <f>_xll.qlCalendarAdvance(Calendar,Y1886,X1887,"f",FALSE)</f>
        <v>52160</v>
      </c>
      <c r="Z1887" s="184">
        <f>_xll.qlCalendarAdvance(Calendar,Y1887,NDays&amp;"D")</f>
        <v>52160</v>
      </c>
      <c r="AA1887" s="185">
        <v>4.7765035520955811E-2</v>
      </c>
      <c r="AB1887" s="182">
        <v>4.7487470016926991E-2</v>
      </c>
    </row>
    <row r="1888" spans="17:28" x14ac:dyDescent="0.2">
      <c r="Q1888" s="141"/>
      <c r="T1888" s="141"/>
      <c r="U1888" s="162"/>
      <c r="X1888" s="183" t="str">
        <f t="shared" si="36"/>
        <v>1w</v>
      </c>
      <c r="Y1888" s="181">
        <f>_xll.qlCalendarAdvance(Calendar,Y1887,X1888,"f",FALSE)</f>
        <v>52167</v>
      </c>
      <c r="Z1888" s="184">
        <f>_xll.qlCalendarAdvance(Calendar,Y1888,NDays&amp;"D")</f>
        <v>52167</v>
      </c>
      <c r="AA1888" s="185">
        <v>4.7764340775812611E-2</v>
      </c>
      <c r="AB1888" s="182">
        <v>4.7486735127182378E-2</v>
      </c>
    </row>
    <row r="1889" spans="17:28" x14ac:dyDescent="0.2">
      <c r="Q1889" s="141"/>
      <c r="T1889" s="141"/>
      <c r="U1889" s="162"/>
      <c r="X1889" s="183" t="str">
        <f t="shared" si="36"/>
        <v>1w</v>
      </c>
      <c r="Y1889" s="181">
        <f>_xll.qlCalendarAdvance(Calendar,Y1888,X1889,"f",FALSE)</f>
        <v>52174</v>
      </c>
      <c r="Z1889" s="184">
        <f>_xll.qlCalendarAdvance(Calendar,Y1889,NDays&amp;"D")</f>
        <v>52174</v>
      </c>
      <c r="AA1889" s="185">
        <v>4.7763653553160548E-2</v>
      </c>
      <c r="AB1889" s="182">
        <v>4.7486007671164732E-2</v>
      </c>
    </row>
    <row r="1890" spans="17:28" x14ac:dyDescent="0.2">
      <c r="Q1890" s="141"/>
      <c r="T1890" s="141"/>
      <c r="U1890" s="162"/>
      <c r="X1890" s="183" t="str">
        <f t="shared" si="36"/>
        <v>1w</v>
      </c>
      <c r="Y1890" s="181">
        <f>_xll.qlCalendarAdvance(Calendar,Y1889,X1890,"f",FALSE)</f>
        <v>52181</v>
      </c>
      <c r="Z1890" s="184">
        <f>_xll.qlCalendarAdvance(Calendar,Y1890,NDays&amp;"D")</f>
        <v>52181</v>
      </c>
      <c r="AA1890" s="185">
        <v>4.7762973853000518E-2</v>
      </c>
      <c r="AB1890" s="182">
        <v>4.7485287649198238E-2</v>
      </c>
    </row>
    <row r="1891" spans="17:28" x14ac:dyDescent="0.2">
      <c r="Q1891" s="141"/>
      <c r="T1891" s="141"/>
      <c r="U1891" s="162"/>
      <c r="X1891" s="183" t="str">
        <f t="shared" si="36"/>
        <v>1w</v>
      </c>
      <c r="Y1891" s="181">
        <f>_xll.qlCalendarAdvance(Calendar,Y1890,X1891,"f",FALSE)</f>
        <v>52188</v>
      </c>
      <c r="Z1891" s="184">
        <f>_xll.qlCalendarAdvance(Calendar,Y1891,NDays&amp;"D")</f>
        <v>52188</v>
      </c>
      <c r="AA1891" s="185">
        <v>4.7762301675327225E-2</v>
      </c>
      <c r="AB1891" s="182">
        <v>4.7484575060958711E-2</v>
      </c>
    </row>
    <row r="1892" spans="17:28" x14ac:dyDescent="0.2">
      <c r="Q1892" s="141"/>
      <c r="T1892" s="141"/>
      <c r="U1892" s="162"/>
      <c r="X1892" s="183" t="str">
        <f t="shared" si="36"/>
        <v>1w</v>
      </c>
      <c r="Y1892" s="181">
        <f>_xll.qlCalendarAdvance(Calendar,Y1891,X1892,"f",FALSE)</f>
        <v>52195</v>
      </c>
      <c r="Z1892" s="184">
        <f>_xll.qlCalendarAdvance(Calendar,Y1892,NDays&amp;"D")</f>
        <v>52195</v>
      </c>
      <c r="AA1892" s="185">
        <v>4.776163702013627E-2</v>
      </c>
      <c r="AB1892" s="182">
        <v>4.7483869906689291E-2</v>
      </c>
    </row>
    <row r="1893" spans="17:28" x14ac:dyDescent="0.2">
      <c r="Q1893" s="141"/>
      <c r="T1893" s="141"/>
      <c r="U1893" s="162"/>
      <c r="X1893" s="183" t="str">
        <f t="shared" si="36"/>
        <v>1w</v>
      </c>
      <c r="Y1893" s="181">
        <f>_xll.qlCalendarAdvance(Calendar,Y1892,X1893,"f",FALSE)</f>
        <v>52202</v>
      </c>
      <c r="Z1893" s="184">
        <f>_xll.qlCalendarAdvance(Calendar,Y1893,NDays&amp;"D")</f>
        <v>52202</v>
      </c>
      <c r="AA1893" s="185">
        <v>4.7754846800035985E-2</v>
      </c>
      <c r="AB1893" s="182">
        <v>4.7483172186227884E-2</v>
      </c>
    </row>
    <row r="1894" spans="17:28" x14ac:dyDescent="0.2">
      <c r="Q1894" s="141"/>
      <c r="T1894" s="141"/>
      <c r="U1894" s="162"/>
      <c r="X1894" s="183" t="str">
        <f t="shared" si="36"/>
        <v>1w</v>
      </c>
      <c r="Y1894" s="181">
        <f>_xll.qlCalendarAdvance(Calendar,Y1893,X1894,"f",FALSE)</f>
        <v>52209</v>
      </c>
      <c r="Z1894" s="184">
        <f>_xll.qlCalendarAdvance(Calendar,Y1894,NDays&amp;"D")</f>
        <v>52209</v>
      </c>
      <c r="AA1894" s="185">
        <v>4.77541962844081E-2</v>
      </c>
      <c r="AB1894" s="182">
        <v>4.7482481899655538E-2</v>
      </c>
    </row>
    <row r="1895" spans="17:28" x14ac:dyDescent="0.2">
      <c r="Q1895" s="141"/>
      <c r="T1895" s="141"/>
      <c r="U1895" s="162"/>
      <c r="X1895" s="183" t="str">
        <f t="shared" si="36"/>
        <v>1w</v>
      </c>
      <c r="Y1895" s="181">
        <f>_xll.qlCalendarAdvance(Calendar,Y1894,X1895,"f",FALSE)</f>
        <v>52216</v>
      </c>
      <c r="Z1895" s="184">
        <f>_xll.qlCalendarAdvance(Calendar,Y1895,NDays&amp;"D")</f>
        <v>52216</v>
      </c>
      <c r="AA1895" s="185">
        <v>4.7753553289292441E-2</v>
      </c>
      <c r="AB1895" s="182">
        <v>4.7481799046810158E-2</v>
      </c>
    </row>
    <row r="1896" spans="17:28" x14ac:dyDescent="0.2">
      <c r="Q1896" s="141"/>
      <c r="T1896" s="141"/>
      <c r="U1896" s="162"/>
      <c r="X1896" s="183" t="str">
        <f t="shared" si="36"/>
        <v>1w</v>
      </c>
      <c r="Y1896" s="181">
        <f>_xll.qlCalendarAdvance(Calendar,Y1895,X1896,"f",FALSE)</f>
        <v>52223</v>
      </c>
      <c r="Z1896" s="184">
        <f>_xll.qlCalendarAdvance(Calendar,Y1896,NDays&amp;"D")</f>
        <v>52223</v>
      </c>
      <c r="AA1896" s="185">
        <v>4.775291781468631E-2</v>
      </c>
      <c r="AB1896" s="182">
        <v>4.7481123627934885E-2</v>
      </c>
    </row>
    <row r="1897" spans="17:28" x14ac:dyDescent="0.2">
      <c r="Q1897" s="141"/>
      <c r="T1897" s="141"/>
      <c r="U1897" s="162"/>
      <c r="X1897" s="183" t="str">
        <f t="shared" si="36"/>
        <v>1w</v>
      </c>
      <c r="Y1897" s="181">
        <f>_xll.qlCalendarAdvance(Calendar,Y1896,X1897,"f",FALSE)</f>
        <v>52230</v>
      </c>
      <c r="Z1897" s="184">
        <f>_xll.qlCalendarAdvance(Calendar,Y1897,NDays&amp;"D")</f>
        <v>52230</v>
      </c>
      <c r="AA1897" s="185">
        <v>4.7755358065958126E-2</v>
      </c>
      <c r="AB1897" s="182">
        <v>4.7480455642867625E-2</v>
      </c>
    </row>
    <row r="1898" spans="17:28" x14ac:dyDescent="0.2">
      <c r="Q1898" s="141"/>
      <c r="T1898" s="141"/>
      <c r="U1898" s="162"/>
      <c r="X1898" s="183" t="str">
        <f t="shared" si="36"/>
        <v>1w</v>
      </c>
      <c r="Y1898" s="181">
        <f>_xll.qlCalendarAdvance(Calendar,Y1897,X1898,"f",FALSE)</f>
        <v>52237</v>
      </c>
      <c r="Z1898" s="184">
        <f>_xll.qlCalendarAdvance(Calendar,Y1898,NDays&amp;"D")</f>
        <v>52237</v>
      </c>
      <c r="AA1898" s="185">
        <v>4.7751669426990904E-2</v>
      </c>
      <c r="AB1898" s="182">
        <v>4.7479795091608379E-2</v>
      </c>
    </row>
    <row r="1899" spans="17:28" x14ac:dyDescent="0.2">
      <c r="Q1899" s="141"/>
      <c r="T1899" s="141"/>
      <c r="U1899" s="162"/>
      <c r="X1899" s="183" t="str">
        <f t="shared" si="36"/>
        <v>1w</v>
      </c>
      <c r="Y1899" s="181">
        <f>_xll.qlCalendarAdvance(Calendar,Y1898,X1899,"f",FALSE)</f>
        <v>52244</v>
      </c>
      <c r="Z1899" s="184">
        <f>_xll.qlCalendarAdvance(Calendar,Y1899,NDays&amp;"D")</f>
        <v>52244</v>
      </c>
      <c r="AA1899" s="185">
        <v>4.7751056513894434E-2</v>
      </c>
      <c r="AB1899" s="182">
        <v>4.7479141974319239E-2</v>
      </c>
    </row>
    <row r="1900" spans="17:28" x14ac:dyDescent="0.2">
      <c r="Q1900" s="141"/>
      <c r="T1900" s="141"/>
      <c r="U1900" s="162"/>
      <c r="X1900" s="183" t="str">
        <f t="shared" si="36"/>
        <v>1w</v>
      </c>
      <c r="Y1900" s="181">
        <f>_xll.qlCalendarAdvance(Calendar,Y1899,X1900,"f",FALSE)</f>
        <v>52251</v>
      </c>
      <c r="Z1900" s="184">
        <f>_xll.qlCalendarAdvance(Calendar,Y1900,NDays&amp;"D")</f>
        <v>52251</v>
      </c>
      <c r="AA1900" s="185">
        <v>4.7750451121293974E-2</v>
      </c>
      <c r="AB1900" s="182">
        <v>4.7478496290919159E-2</v>
      </c>
    </row>
    <row r="1901" spans="17:28" x14ac:dyDescent="0.2">
      <c r="Q1901" s="141"/>
      <c r="T1901" s="141"/>
      <c r="U1901" s="162"/>
      <c r="X1901" s="183" t="str">
        <f t="shared" si="36"/>
        <v>1w</v>
      </c>
      <c r="Y1901" s="181">
        <f>_xll.qlCalendarAdvance(Calendar,Y1900,X1901,"f",FALSE)</f>
        <v>52258</v>
      </c>
      <c r="Z1901" s="184">
        <f>_xll.qlCalendarAdvance(Calendar,Y1901,NDays&amp;"D")</f>
        <v>52258</v>
      </c>
      <c r="AA1901" s="185">
        <v>4.7749853249184127E-2</v>
      </c>
      <c r="AB1901" s="182">
        <v>4.7477858041246046E-2</v>
      </c>
    </row>
    <row r="1902" spans="17:28" x14ac:dyDescent="0.2">
      <c r="Q1902" s="141"/>
      <c r="T1902" s="141"/>
      <c r="U1902" s="162"/>
      <c r="X1902" s="183" t="str">
        <f t="shared" si="36"/>
        <v>1w</v>
      </c>
      <c r="Y1902" s="181">
        <f>_xll.qlCalendarAdvance(Calendar,Y1901,X1902,"f",FALSE)</f>
        <v>52265</v>
      </c>
      <c r="Z1902" s="184">
        <f>_xll.qlCalendarAdvance(Calendar,Y1902,NDays&amp;"D")</f>
        <v>52265</v>
      </c>
      <c r="AA1902" s="185">
        <v>4.77492628975658E-2</v>
      </c>
      <c r="AB1902" s="182">
        <v>4.7477227225461993E-2</v>
      </c>
    </row>
    <row r="1903" spans="17:28" x14ac:dyDescent="0.2">
      <c r="Q1903" s="141"/>
      <c r="T1903" s="141"/>
      <c r="U1903" s="162"/>
      <c r="X1903" s="183" t="str">
        <f t="shared" si="36"/>
        <v>1w</v>
      </c>
      <c r="Y1903" s="181">
        <f>_xll.qlCalendarAdvance(Calendar,Y1902,X1903,"f",FALSE)</f>
        <v>52272</v>
      </c>
      <c r="Z1903" s="184">
        <f>_xll.qlCalendarAdvance(Calendar,Y1903,NDays&amp;"D")</f>
        <v>52272</v>
      </c>
      <c r="AA1903" s="185">
        <v>4.7748680066432674E-2</v>
      </c>
      <c r="AB1903" s="182">
        <v>4.7476603843485954E-2</v>
      </c>
    </row>
    <row r="1904" spans="17:28" x14ac:dyDescent="0.2">
      <c r="Q1904" s="141"/>
      <c r="T1904" s="141"/>
      <c r="U1904" s="162"/>
      <c r="X1904" s="183" t="str">
        <f t="shared" si="36"/>
        <v>1w</v>
      </c>
      <c r="Y1904" s="181">
        <f>_xll.qlCalendarAdvance(Calendar,Y1903,X1904,"f",FALSE)</f>
        <v>52279</v>
      </c>
      <c r="Z1904" s="184">
        <f>_xll.qlCalendarAdvance(Calendar,Y1904,NDays&amp;"D")</f>
        <v>52279</v>
      </c>
      <c r="AA1904" s="185">
        <v>4.7748104755782061E-2</v>
      </c>
      <c r="AB1904" s="182">
        <v>4.7475987895561067E-2</v>
      </c>
    </row>
    <row r="1905" spans="17:28" x14ac:dyDescent="0.2">
      <c r="Q1905" s="141"/>
      <c r="T1905" s="141"/>
      <c r="U1905" s="162"/>
      <c r="X1905" s="183" t="str">
        <f t="shared" si="36"/>
        <v>1w</v>
      </c>
      <c r="Y1905" s="181">
        <f>_xll.qlCalendarAdvance(Calendar,Y1904,X1905,"f",FALSE)</f>
        <v>52286</v>
      </c>
      <c r="Z1905" s="184">
        <f>_xll.qlCalendarAdvance(Calendar,Y1905,NDays&amp;"D")</f>
        <v>52286</v>
      </c>
      <c r="AA1905" s="185">
        <v>4.7747536965611258E-2</v>
      </c>
      <c r="AB1905" s="182">
        <v>4.7475379381282101E-2</v>
      </c>
    </row>
    <row r="1906" spans="17:28" x14ac:dyDescent="0.2">
      <c r="Q1906" s="141"/>
      <c r="T1906" s="141"/>
      <c r="U1906" s="162"/>
      <c r="X1906" s="183" t="str">
        <f t="shared" si="36"/>
        <v>1w</v>
      </c>
      <c r="Y1906" s="181">
        <f>_xll.qlCalendarAdvance(Calendar,Y1905,X1906,"f",FALSE)</f>
        <v>52293</v>
      </c>
      <c r="Z1906" s="184">
        <f>_xll.qlCalendarAdvance(Calendar,Y1906,NDays&amp;"D")</f>
        <v>52293</v>
      </c>
      <c r="AA1906" s="185">
        <v>4.7753121706129463E-2</v>
      </c>
      <c r="AB1906" s="182">
        <v>4.7474778300892195E-2</v>
      </c>
    </row>
    <row r="1907" spans="17:28" x14ac:dyDescent="0.2">
      <c r="Q1907" s="141"/>
      <c r="T1907" s="141"/>
      <c r="U1907" s="162"/>
      <c r="X1907" s="183" t="str">
        <f t="shared" si="36"/>
        <v>1w</v>
      </c>
      <c r="Y1907" s="181">
        <f>_xll.qlCalendarAdvance(Calendar,Y1906,X1907,"f",FALSE)</f>
        <v>52300</v>
      </c>
      <c r="Z1907" s="184">
        <f>_xll.qlCalendarAdvance(Calendar,Y1907,NDays&amp;"D")</f>
        <v>52300</v>
      </c>
      <c r="AA1907" s="185">
        <v>4.7752569887754205E-2</v>
      </c>
      <c r="AB1907" s="182">
        <v>4.7474184654391349E-2</v>
      </c>
    </row>
    <row r="1908" spans="17:28" x14ac:dyDescent="0.2">
      <c r="Q1908" s="141"/>
      <c r="T1908" s="141"/>
      <c r="U1908" s="162"/>
      <c r="X1908" s="183" t="str">
        <f t="shared" si="36"/>
        <v>1w</v>
      </c>
      <c r="Y1908" s="181">
        <f>_xll.qlCalendarAdvance(Calendar,Y1907,X1908,"f",FALSE)</f>
        <v>52307</v>
      </c>
      <c r="Z1908" s="184">
        <f>_xll.qlCalendarAdvance(Calendar,Y1908,NDays&amp;"D")</f>
        <v>52307</v>
      </c>
      <c r="AA1908" s="185">
        <v>4.7752025591808425E-2</v>
      </c>
      <c r="AB1908" s="182">
        <v>4.7473598441698517E-2</v>
      </c>
    </row>
    <row r="1909" spans="17:28" x14ac:dyDescent="0.2">
      <c r="Q1909" s="141"/>
      <c r="T1909" s="141"/>
      <c r="U1909" s="162"/>
      <c r="X1909" s="183" t="str">
        <f t="shared" si="36"/>
        <v>1w</v>
      </c>
      <c r="Y1909" s="181">
        <f>_xll.qlCalendarAdvance(Calendar,Y1908,X1909,"f",FALSE)</f>
        <v>52314</v>
      </c>
      <c r="Z1909" s="184">
        <f>_xll.qlCalendarAdvance(Calendar,Y1909,NDays&amp;"D")</f>
        <v>52314</v>
      </c>
      <c r="AA1909" s="185">
        <v>4.775148881828508E-2</v>
      </c>
      <c r="AB1909" s="182">
        <v>4.7473019663137883E-2</v>
      </c>
    </row>
    <row r="1910" spans="17:28" x14ac:dyDescent="0.2">
      <c r="Q1910" s="141"/>
      <c r="T1910" s="141"/>
      <c r="U1910" s="162"/>
      <c r="X1910" s="183" t="str">
        <f t="shared" si="36"/>
        <v>1w</v>
      </c>
      <c r="Y1910" s="181">
        <f>_xll.qlCalendarAdvance(Calendar,Y1909,X1910,"f",FALSE)</f>
        <v>52321</v>
      </c>
      <c r="Z1910" s="184">
        <f>_xll.qlCalendarAdvance(Calendar,Y1910,NDays&amp;"D")</f>
        <v>52321</v>
      </c>
      <c r="AA1910" s="185">
        <v>4.7747885038690048E-2</v>
      </c>
      <c r="AB1910" s="182">
        <v>4.747244831822317E-2</v>
      </c>
    </row>
    <row r="1911" spans="17:28" x14ac:dyDescent="0.2">
      <c r="Q1911" s="141"/>
      <c r="T1911" s="141"/>
      <c r="U1911" s="162"/>
      <c r="X1911" s="183" t="str">
        <f t="shared" si="36"/>
        <v>1w</v>
      </c>
      <c r="Y1911" s="181">
        <f>_xll.qlCalendarAdvance(Calendar,Y1910,X1911,"f",FALSE)</f>
        <v>52328</v>
      </c>
      <c r="Z1911" s="184">
        <f>_xll.qlCalendarAdvance(Calendar,Y1911,NDays&amp;"D")</f>
        <v>52328</v>
      </c>
      <c r="AA1911" s="185">
        <v>4.7747362840605163E-2</v>
      </c>
      <c r="AB1911" s="182">
        <v>4.7471884407116471E-2</v>
      </c>
    </row>
    <row r="1912" spans="17:28" x14ac:dyDescent="0.2">
      <c r="Q1912" s="141"/>
      <c r="T1912" s="141"/>
      <c r="U1912" s="162"/>
      <c r="X1912" s="183" t="str">
        <f t="shared" si="36"/>
        <v>1w</v>
      </c>
      <c r="Y1912" s="181">
        <f>_xll.qlCalendarAdvance(Calendar,Y1911,X1912,"f",FALSE)</f>
        <v>52335</v>
      </c>
      <c r="Z1912" s="184">
        <f>_xll.qlCalendarAdvance(Calendar,Y1912,NDays&amp;"D")</f>
        <v>52335</v>
      </c>
      <c r="AA1912" s="185">
        <v>4.7746848163959812E-2</v>
      </c>
      <c r="AB1912" s="182">
        <v>4.7471327930060925E-2</v>
      </c>
    </row>
    <row r="1913" spans="17:28" x14ac:dyDescent="0.2">
      <c r="Q1913" s="141"/>
      <c r="T1913" s="141"/>
      <c r="U1913" s="162"/>
      <c r="X1913" s="183" t="str">
        <f t="shared" si="36"/>
        <v>1w</v>
      </c>
      <c r="Y1913" s="181">
        <f>_xll.qlCalendarAdvance(Calendar,Y1912,X1913,"f",FALSE)</f>
        <v>52342</v>
      </c>
      <c r="Z1913" s="184">
        <f>_xll.qlCalendarAdvance(Calendar,Y1913,NDays&amp;"D")</f>
        <v>52342</v>
      </c>
      <c r="AA1913" s="185">
        <v>4.7746341008745967E-2</v>
      </c>
      <c r="AB1913" s="182">
        <v>4.7470778886651299E-2</v>
      </c>
    </row>
    <row r="1914" spans="17:28" x14ac:dyDescent="0.2">
      <c r="Q1914" s="141"/>
      <c r="T1914" s="141"/>
      <c r="U1914" s="162"/>
      <c r="X1914" s="183" t="str">
        <f t="shared" si="36"/>
        <v>1w</v>
      </c>
      <c r="Y1914" s="181">
        <f>_xll.qlCalendarAdvance(Calendar,Y1913,X1914,"f",FALSE)</f>
        <v>52349</v>
      </c>
      <c r="Z1914" s="184">
        <f>_xll.qlCalendarAdvance(Calendar,Y1914,NDays&amp;"D")</f>
        <v>52349</v>
      </c>
      <c r="AA1914" s="185">
        <v>4.7745841374964522E-2</v>
      </c>
      <c r="AB1914" s="182">
        <v>4.7470237277049687E-2</v>
      </c>
    </row>
    <row r="1915" spans="17:28" x14ac:dyDescent="0.2">
      <c r="Q1915" s="141"/>
      <c r="T1915" s="141"/>
      <c r="U1915" s="162"/>
      <c r="X1915" s="183" t="str">
        <f t="shared" si="36"/>
        <v>1w</v>
      </c>
      <c r="Y1915" s="181">
        <f>_xll.qlCalendarAdvance(Calendar,Y1914,X1915,"f",FALSE)</f>
        <v>52356</v>
      </c>
      <c r="Z1915" s="184">
        <f>_xll.qlCalendarAdvance(Calendar,Y1915,NDays&amp;"D")</f>
        <v>52356</v>
      </c>
      <c r="AA1915" s="185">
        <v>4.7748426147909459E-2</v>
      </c>
      <c r="AB1915" s="182">
        <v>4.7469703101499228E-2</v>
      </c>
    </row>
    <row r="1916" spans="17:28" x14ac:dyDescent="0.2">
      <c r="Q1916" s="141"/>
      <c r="T1916" s="141"/>
      <c r="U1916" s="162"/>
      <c r="X1916" s="183" t="str">
        <f t="shared" si="36"/>
        <v>1w</v>
      </c>
      <c r="Y1916" s="181">
        <f>_xll.qlCalendarAdvance(Calendar,Y1915,X1916,"f",FALSE)</f>
        <v>52363</v>
      </c>
      <c r="Z1916" s="184">
        <f>_xll.qlCalendarAdvance(Calendar,Y1916,NDays&amp;"D")</f>
        <v>52363</v>
      </c>
      <c r="AA1916" s="185">
        <v>4.7747942031278828E-2</v>
      </c>
      <c r="AB1916" s="182">
        <v>4.7469176359594689E-2</v>
      </c>
    </row>
    <row r="1917" spans="17:28" x14ac:dyDescent="0.2">
      <c r="Q1917" s="141"/>
      <c r="T1917" s="141"/>
      <c r="U1917" s="162"/>
      <c r="X1917" s="183" t="str">
        <f t="shared" si="36"/>
        <v>1w</v>
      </c>
      <c r="Y1917" s="181">
        <f>_xll.qlCalendarAdvance(Calendar,Y1916,X1917,"f",FALSE)</f>
        <v>52370</v>
      </c>
      <c r="Z1917" s="184">
        <f>_xll.qlCalendarAdvance(Calendar,Y1917,NDays&amp;"D")</f>
        <v>52370</v>
      </c>
      <c r="AA1917" s="185">
        <v>4.7747465437053882E-2</v>
      </c>
      <c r="AB1917" s="182">
        <v>4.7468657051741303E-2</v>
      </c>
    </row>
    <row r="1918" spans="17:28" x14ac:dyDescent="0.2">
      <c r="Q1918" s="141"/>
      <c r="T1918" s="141"/>
      <c r="U1918" s="162"/>
      <c r="X1918" s="183" t="str">
        <f t="shared" si="36"/>
        <v>1w</v>
      </c>
      <c r="Y1918" s="181">
        <f>_xll.qlCalendarAdvance(Calendar,Y1917,X1918,"f",FALSE)</f>
        <v>52377</v>
      </c>
      <c r="Z1918" s="184">
        <f>_xll.qlCalendarAdvance(Calendar,Y1918,NDays&amp;"D")</f>
        <v>52377</v>
      </c>
      <c r="AA1918" s="185">
        <v>4.7746996365223185E-2</v>
      </c>
      <c r="AB1918" s="182">
        <v>4.7468145177695931E-2</v>
      </c>
    </row>
    <row r="1919" spans="17:28" x14ac:dyDescent="0.2">
      <c r="Q1919" s="141"/>
      <c r="T1919" s="141"/>
      <c r="U1919" s="162"/>
      <c r="X1919" s="183" t="str">
        <f t="shared" si="36"/>
        <v>1w</v>
      </c>
      <c r="Y1919" s="181">
        <f>_xll.qlCalendarAdvance(Calendar,Y1918,X1919,"f",FALSE)</f>
        <v>52384</v>
      </c>
      <c r="Z1919" s="184">
        <f>_xll.qlCalendarAdvance(Calendar,Y1919,NDays&amp;"D")</f>
        <v>52384</v>
      </c>
      <c r="AA1919" s="185">
        <v>4.7746534815792892E-2</v>
      </c>
      <c r="AB1919" s="182">
        <v>4.7467640737539618E-2</v>
      </c>
    </row>
    <row r="1920" spans="17:28" x14ac:dyDescent="0.2">
      <c r="Q1920" s="141"/>
      <c r="T1920" s="141"/>
      <c r="U1920" s="162"/>
      <c r="X1920" s="183" t="str">
        <f t="shared" si="36"/>
        <v>1w</v>
      </c>
      <c r="Y1920" s="181">
        <f>_xll.qlCalendarAdvance(Calendar,Y1919,X1920,"f",FALSE)</f>
        <v>52391</v>
      </c>
      <c r="Z1920" s="184">
        <f>_xll.qlCalendarAdvance(Calendar,Y1920,NDays&amp;"D")</f>
        <v>52391</v>
      </c>
      <c r="AA1920" s="185">
        <v>4.774608078875419E-2</v>
      </c>
      <c r="AB1920" s="182">
        <v>4.7467143731110273E-2</v>
      </c>
    </row>
    <row r="1921" spans="17:28" x14ac:dyDescent="0.2">
      <c r="Q1921" s="141"/>
      <c r="T1921" s="141"/>
      <c r="U1921" s="162"/>
      <c r="X1921" s="183" t="str">
        <f t="shared" si="36"/>
        <v>1w</v>
      </c>
      <c r="Y1921" s="181">
        <f>_xll.qlCalendarAdvance(Calendar,Y1920,X1921,"f",FALSE)</f>
        <v>52398</v>
      </c>
      <c r="Z1921" s="184">
        <f>_xll.qlCalendarAdvance(Calendar,Y1921,NDays&amp;"D")</f>
        <v>52398</v>
      </c>
      <c r="AA1921" s="185">
        <v>4.7745634284108857E-2</v>
      </c>
      <c r="AB1921" s="182">
        <v>4.746665415873208E-2</v>
      </c>
    </row>
    <row r="1922" spans="17:28" x14ac:dyDescent="0.2">
      <c r="Q1922" s="141"/>
      <c r="T1922" s="141"/>
      <c r="U1922" s="162"/>
      <c r="X1922" s="183" t="str">
        <f t="shared" si="36"/>
        <v>1w</v>
      </c>
      <c r="Y1922" s="181">
        <f>_xll.qlCalendarAdvance(Calendar,Y1921,X1922,"f",FALSE)</f>
        <v>52405</v>
      </c>
      <c r="Z1922" s="184">
        <f>_xll.qlCalendarAdvance(Calendar,Y1922,NDays&amp;"D")</f>
        <v>52405</v>
      </c>
      <c r="AA1922" s="185">
        <v>4.7745195301850715E-2</v>
      </c>
      <c r="AB1922" s="182">
        <v>4.7466172019999808E-2</v>
      </c>
    </row>
    <row r="1923" spans="17:28" x14ac:dyDescent="0.2">
      <c r="Q1923" s="141"/>
      <c r="T1923" s="141"/>
      <c r="U1923" s="162"/>
      <c r="X1923" s="183" t="str">
        <f t="shared" si="36"/>
        <v>1w</v>
      </c>
      <c r="Y1923" s="181">
        <f>_xll.qlCalendarAdvance(Calendar,Y1922,X1923,"f",FALSE)</f>
        <v>52412</v>
      </c>
      <c r="Z1923" s="184">
        <f>_xll.qlCalendarAdvance(Calendar,Y1923,NDays&amp;"D")</f>
        <v>52412</v>
      </c>
      <c r="AA1923" s="185">
        <v>4.7744763841980654E-2</v>
      </c>
      <c r="AB1923" s="182">
        <v>4.7465697315318689E-2</v>
      </c>
    </row>
    <row r="1924" spans="17:28" x14ac:dyDescent="0.2">
      <c r="Q1924" s="141"/>
      <c r="T1924" s="141"/>
      <c r="U1924" s="162"/>
      <c r="X1924" s="183" t="str">
        <f t="shared" si="36"/>
        <v>1w</v>
      </c>
      <c r="Y1924" s="181">
        <f>_xll.qlCalendarAdvance(Calendar,Y1923,X1924,"f",FALSE)</f>
        <v>52419</v>
      </c>
      <c r="Z1924" s="184">
        <f>_xll.qlCalendarAdvance(Calendar,Y1924,NDays&amp;"D")</f>
        <v>52419</v>
      </c>
      <c r="AA1924" s="185">
        <v>4.7744339904492492E-2</v>
      </c>
      <c r="AB1924" s="182">
        <v>4.7465230044283491E-2</v>
      </c>
    </row>
    <row r="1925" spans="17:28" x14ac:dyDescent="0.2">
      <c r="Q1925" s="141"/>
      <c r="T1925" s="141"/>
      <c r="U1925" s="162"/>
      <c r="X1925" s="183" t="str">
        <f t="shared" si="36"/>
        <v>1w</v>
      </c>
      <c r="Y1925" s="181">
        <f>_xll.qlCalendarAdvance(Calendar,Y1924,X1925,"f",FALSE)</f>
        <v>52426</v>
      </c>
      <c r="Z1925" s="184">
        <f>_xll.qlCalendarAdvance(Calendar,Y1925,NDays&amp;"D")</f>
        <v>52426</v>
      </c>
      <c r="AA1925" s="185">
        <v>4.7743923489388891E-2</v>
      </c>
      <c r="AB1925" s="182">
        <v>4.7464770207299445E-2</v>
      </c>
    </row>
    <row r="1926" spans="17:28" x14ac:dyDescent="0.2">
      <c r="Q1926" s="141"/>
      <c r="T1926" s="141"/>
      <c r="U1926" s="162"/>
      <c r="X1926" s="183" t="str">
        <f t="shared" si="36"/>
        <v>1w</v>
      </c>
      <c r="Y1926" s="181">
        <f>_xll.qlCalendarAdvance(Calendar,Y1925,X1926,"f",FALSE)</f>
        <v>52433</v>
      </c>
      <c r="Z1926" s="184">
        <f>_xll.qlCalendarAdvance(Calendar,Y1926,NDays&amp;"D")</f>
        <v>52433</v>
      </c>
      <c r="AA1926" s="185">
        <v>4.7743514596664545E-2</v>
      </c>
      <c r="AB1926" s="182">
        <v>4.7464317804123413E-2</v>
      </c>
    </row>
    <row r="1927" spans="17:28" x14ac:dyDescent="0.2">
      <c r="Q1927" s="141"/>
      <c r="T1927" s="141"/>
      <c r="U1927" s="162"/>
      <c r="X1927" s="183" t="str">
        <f t="shared" si="36"/>
        <v>1w</v>
      </c>
      <c r="Y1927" s="181">
        <f>_xll.qlCalendarAdvance(Calendar,Y1926,X1927,"f",FALSE)</f>
        <v>52440</v>
      </c>
      <c r="Z1927" s="184">
        <f>_xll.qlCalendarAdvance(Calendar,Y1927,NDays&amp;"D")</f>
        <v>52440</v>
      </c>
      <c r="AA1927" s="185">
        <v>4.7743113226315949E-2</v>
      </c>
      <c r="AB1927" s="182">
        <v>4.7463872834755394E-2</v>
      </c>
    </row>
    <row r="1928" spans="17:28" x14ac:dyDescent="0.2">
      <c r="Q1928" s="141"/>
      <c r="T1928" s="141"/>
      <c r="U1928" s="162"/>
      <c r="X1928" s="183" t="str">
        <f t="shared" si="36"/>
        <v>1w</v>
      </c>
      <c r="Y1928" s="181">
        <f>_xll.qlCalendarAdvance(Calendar,Y1927,X1928,"f",FALSE)</f>
        <v>52447</v>
      </c>
      <c r="Z1928" s="184">
        <f>_xll.qlCalendarAdvance(Calendar,Y1928,NDays&amp;"D")</f>
        <v>52447</v>
      </c>
      <c r="AA1928" s="185">
        <v>4.7742719378342208E-2</v>
      </c>
      <c r="AB1928" s="182">
        <v>4.7463435299114343E-2</v>
      </c>
    </row>
    <row r="1929" spans="17:28" x14ac:dyDescent="0.2">
      <c r="Q1929" s="141"/>
      <c r="T1929" s="141"/>
      <c r="U1929" s="162"/>
      <c r="X1929" s="183" t="str">
        <f t="shared" si="36"/>
        <v>1w</v>
      </c>
      <c r="Y1929" s="181">
        <f>_xll.qlCalendarAdvance(Calendar,Y1928,X1929,"f",FALSE)</f>
        <v>52454</v>
      </c>
      <c r="Z1929" s="184">
        <f>_xll.qlCalendarAdvance(Calendar,Y1929,NDays&amp;"D")</f>
        <v>52454</v>
      </c>
      <c r="AA1929" s="185">
        <v>4.7742333052741566E-2</v>
      </c>
      <c r="AB1929" s="182">
        <v>4.7463005197524444E-2</v>
      </c>
    </row>
    <row r="1930" spans="17:28" x14ac:dyDescent="0.2">
      <c r="Q1930" s="141"/>
      <c r="T1930" s="141"/>
      <c r="U1930" s="162"/>
      <c r="X1930" s="183" t="str">
        <f t="shared" si="36"/>
        <v>1w</v>
      </c>
      <c r="Y1930" s="181">
        <f>_xll.qlCalendarAdvance(Calendar,Y1929,X1930,"f",FALSE)</f>
        <v>52461</v>
      </c>
      <c r="Z1930" s="184">
        <f>_xll.qlCalendarAdvance(Calendar,Y1930,NDays&amp;"D")</f>
        <v>52461</v>
      </c>
      <c r="AA1930" s="185">
        <v>4.7741954249510506E-2</v>
      </c>
      <c r="AB1930" s="182">
        <v>4.7462582529904651E-2</v>
      </c>
    </row>
    <row r="1931" spans="17:28" x14ac:dyDescent="0.2">
      <c r="Q1931" s="141"/>
      <c r="T1931" s="141"/>
      <c r="U1931" s="162"/>
      <c r="X1931" s="183" t="str">
        <f t="shared" si="36"/>
        <v>1w</v>
      </c>
      <c r="Y1931" s="181">
        <f>_xll.qlCalendarAdvance(Calendar,Y1930,X1931,"f",FALSE)</f>
        <v>52468</v>
      </c>
      <c r="Z1931" s="184">
        <f>_xll.qlCalendarAdvance(Calendar,Y1931,NDays&amp;"D")</f>
        <v>52468</v>
      </c>
      <c r="AA1931" s="185">
        <v>4.7741582968649013E-2</v>
      </c>
      <c r="AB1931" s="182">
        <v>4.7462167295930779E-2</v>
      </c>
    </row>
    <row r="1932" spans="17:28" x14ac:dyDescent="0.2">
      <c r="Q1932" s="141"/>
      <c r="T1932" s="141"/>
      <c r="U1932" s="162"/>
      <c r="X1932" s="183" t="str">
        <f t="shared" si="36"/>
        <v>1w</v>
      </c>
      <c r="Y1932" s="181">
        <f>_xll.qlCalendarAdvance(Calendar,Y1931,X1932,"f",FALSE)</f>
        <v>52475</v>
      </c>
      <c r="Z1932" s="184">
        <f>_xll.qlCalendarAdvance(Calendar,Y1932,NDays&amp;"D")</f>
        <v>52475</v>
      </c>
      <c r="AA1932" s="185">
        <v>4.7738134128759629E-2</v>
      </c>
      <c r="AB1932" s="182">
        <v>4.7461759495927014E-2</v>
      </c>
    </row>
    <row r="1933" spans="17:28" x14ac:dyDescent="0.2">
      <c r="Q1933" s="141"/>
      <c r="T1933" s="141"/>
      <c r="U1933" s="162"/>
      <c r="X1933" s="183" t="str">
        <f t="shared" si="36"/>
        <v>1w</v>
      </c>
      <c r="Y1933" s="181">
        <f>_xll.qlCalendarAdvance(Calendar,Y1932,X1933,"f",FALSE)</f>
        <v>52482</v>
      </c>
      <c r="Z1933" s="184">
        <f>_xll.qlCalendarAdvance(Calendar,Y1933,NDays&amp;"D")</f>
        <v>52482</v>
      </c>
      <c r="AA1933" s="185">
        <v>4.7737777401698649E-2</v>
      </c>
      <c r="AB1933" s="182">
        <v>4.7461359129569169E-2</v>
      </c>
    </row>
    <row r="1934" spans="17:28" x14ac:dyDescent="0.2">
      <c r="Q1934" s="141"/>
      <c r="T1934" s="141"/>
      <c r="U1934" s="162"/>
      <c r="X1934" s="183" t="str">
        <f t="shared" si="36"/>
        <v>1w</v>
      </c>
      <c r="Y1934" s="181">
        <f>_xll.qlCalendarAdvance(Calendar,Y1933,X1934,"f",FALSE)</f>
        <v>52489</v>
      </c>
      <c r="Z1934" s="184">
        <f>_xll.qlCalendarAdvance(Calendar,Y1934,NDays&amp;"D")</f>
        <v>52489</v>
      </c>
      <c r="AA1934" s="185">
        <v>4.7737428196023758E-2</v>
      </c>
      <c r="AB1934" s="182">
        <v>4.7460966197262477E-2</v>
      </c>
    </row>
    <row r="1935" spans="17:28" x14ac:dyDescent="0.2">
      <c r="Q1935" s="141"/>
      <c r="T1935" s="141"/>
      <c r="U1935" s="162"/>
      <c r="X1935" s="183" t="str">
        <f t="shared" si="36"/>
        <v>1w</v>
      </c>
      <c r="Y1935" s="181">
        <f>_xll.qlCalendarAdvance(Calendar,Y1934,X1935,"f",FALSE)</f>
        <v>52496</v>
      </c>
      <c r="Z1935" s="184">
        <f>_xll.qlCalendarAdvance(Calendar,Y1935,NDays&amp;"D")</f>
        <v>52496</v>
      </c>
      <c r="AA1935" s="185">
        <v>4.7737086511730503E-2</v>
      </c>
      <c r="AB1935" s="182">
        <v>4.7460580698763799E-2</v>
      </c>
    </row>
    <row r="1936" spans="17:28" x14ac:dyDescent="0.2">
      <c r="Q1936" s="141"/>
      <c r="T1936" s="141"/>
      <c r="U1936" s="162"/>
      <c r="X1936" s="183" t="str">
        <f t="shared" si="36"/>
        <v>1w</v>
      </c>
      <c r="Y1936" s="181">
        <f>_xll.qlCalendarAdvance(Calendar,Y1935,X1936,"f",FALSE)</f>
        <v>52503</v>
      </c>
      <c r="Z1936" s="184">
        <f>_xll.qlCalendarAdvance(Calendar,Y1936,NDays&amp;"D")</f>
        <v>52503</v>
      </c>
      <c r="AA1936" s="185">
        <v>4.7736752348816219E-2</v>
      </c>
      <c r="AB1936" s="182">
        <v>4.7460202634073134E-2</v>
      </c>
    </row>
    <row r="1937" spans="17:28" x14ac:dyDescent="0.2">
      <c r="Q1937" s="141"/>
      <c r="T1937" s="141"/>
      <c r="U1937" s="162"/>
      <c r="X1937" s="183" t="str">
        <f t="shared" si="36"/>
        <v>1w</v>
      </c>
      <c r="Y1937" s="181">
        <f>_xll.qlCalendarAdvance(Calendar,Y1936,X1937,"f",FALSE)</f>
        <v>52510</v>
      </c>
      <c r="Z1937" s="184">
        <f>_xll.qlCalendarAdvance(Calendar,Y1937,NDays&amp;"D")</f>
        <v>52510</v>
      </c>
      <c r="AA1937" s="185">
        <v>4.7739513253097554E-2</v>
      </c>
      <c r="AB1937" s="182">
        <v>4.7459832003190483E-2</v>
      </c>
    </row>
    <row r="1938" spans="17:28" x14ac:dyDescent="0.2">
      <c r="Q1938" s="141"/>
      <c r="T1938" s="141"/>
      <c r="U1938" s="162"/>
      <c r="X1938" s="183" t="str">
        <f t="shared" si="36"/>
        <v>1w</v>
      </c>
      <c r="Y1938" s="181">
        <f>_xll.qlCalendarAdvance(Calendar,Y1937,X1938,"f",FALSE)</f>
        <v>52517</v>
      </c>
      <c r="Z1938" s="184">
        <f>_xll.qlCalendarAdvance(Calendar,Y1938,NDays&amp;"D")</f>
        <v>52517</v>
      </c>
      <c r="AA1938" s="185">
        <v>4.7739194628757017E-2</v>
      </c>
      <c r="AB1938" s="182">
        <v>4.7459468806358984E-2</v>
      </c>
    </row>
    <row r="1939" spans="17:28" x14ac:dyDescent="0.2">
      <c r="Q1939" s="141"/>
      <c r="T1939" s="141"/>
      <c r="U1939" s="162"/>
      <c r="X1939" s="183" t="str">
        <f t="shared" si="36"/>
        <v>1w</v>
      </c>
      <c r="Y1939" s="181">
        <f>_xll.qlCalendarAdvance(Calendar,Y1938,X1939,"f",FALSE)</f>
        <v>52524</v>
      </c>
      <c r="Z1939" s="184">
        <f>_xll.qlCalendarAdvance(Calendar,Y1939,NDays&amp;"D")</f>
        <v>52524</v>
      </c>
      <c r="AA1939" s="185">
        <v>4.7738883526771962E-2</v>
      </c>
      <c r="AB1939" s="182">
        <v>4.7459113043335499E-2</v>
      </c>
    </row>
    <row r="1940" spans="17:28" x14ac:dyDescent="0.2">
      <c r="Q1940" s="141"/>
      <c r="T1940" s="141"/>
      <c r="U1940" s="162"/>
      <c r="X1940" s="183" t="str">
        <f t="shared" si="36"/>
        <v>1w</v>
      </c>
      <c r="Y1940" s="181">
        <f>_xll.qlCalendarAdvance(Calendar,Y1939,X1940,"f",FALSE)</f>
        <v>52531</v>
      </c>
      <c r="Z1940" s="184">
        <f>_xll.qlCalendarAdvance(Calendar,Y1940,NDays&amp;"D")</f>
        <v>52531</v>
      </c>
      <c r="AA1940" s="185">
        <v>4.7738579947134464E-2</v>
      </c>
      <c r="AB1940" s="182">
        <v>4.7458764714038981E-2</v>
      </c>
    </row>
    <row r="1941" spans="17:28" x14ac:dyDescent="0.2">
      <c r="Q1941" s="141"/>
      <c r="T1941" s="141"/>
      <c r="U1941" s="162"/>
      <c r="X1941" s="183" t="str">
        <f t="shared" ref="X1941:X2004" si="37">X1940</f>
        <v>1w</v>
      </c>
      <c r="Y1941" s="181">
        <f>_xll.qlCalendarAdvance(Calendar,Y1940,X1941,"f",FALSE)</f>
        <v>52538</v>
      </c>
      <c r="Z1941" s="184">
        <f>_xll.qlCalendarAdvance(Calendar,Y1941,NDays&amp;"D")</f>
        <v>52538</v>
      </c>
      <c r="AA1941" s="185">
        <v>4.7738283889849797E-2</v>
      </c>
      <c r="AB1941" s="182">
        <v>4.7458423818793616E-2</v>
      </c>
    </row>
    <row r="1942" spans="17:28" x14ac:dyDescent="0.2">
      <c r="Q1942" s="141"/>
      <c r="T1942" s="141"/>
      <c r="U1942" s="162"/>
      <c r="X1942" s="183" t="str">
        <f t="shared" si="37"/>
        <v>1w</v>
      </c>
      <c r="Y1942" s="181">
        <f>_xll.qlCalendarAdvance(Calendar,Y1941,X1942,"f",FALSE)</f>
        <v>52545</v>
      </c>
      <c r="Z1942" s="184">
        <f>_xll.qlCalendarAdvance(Calendar,Y1942,NDays&amp;"D")</f>
        <v>52545</v>
      </c>
      <c r="AA1942" s="185">
        <v>4.7737995354910918E-2</v>
      </c>
      <c r="AB1942" s="182">
        <v>4.7458090357194171E-2</v>
      </c>
    </row>
    <row r="1943" spans="17:28" x14ac:dyDescent="0.2">
      <c r="Q1943" s="141"/>
      <c r="T1943" s="141"/>
      <c r="U1943" s="162"/>
      <c r="X1943" s="183" t="str">
        <f t="shared" si="37"/>
        <v>1w</v>
      </c>
      <c r="Y1943" s="181">
        <f>_xll.qlCalendarAdvance(Calendar,Y1942,X1943,"f",FALSE)</f>
        <v>52552</v>
      </c>
      <c r="Z1943" s="184">
        <f>_xll.qlCalendarAdvance(Calendar,Y1943,NDays&amp;"D")</f>
        <v>52552</v>
      </c>
      <c r="AA1943" s="185">
        <v>4.7737714342317834E-2</v>
      </c>
      <c r="AB1943" s="182">
        <v>4.7457764329564833E-2</v>
      </c>
    </row>
    <row r="1944" spans="17:28" x14ac:dyDescent="0.2">
      <c r="Q1944" s="141"/>
      <c r="T1944" s="141"/>
      <c r="U1944" s="162"/>
      <c r="X1944" s="183" t="str">
        <f t="shared" si="37"/>
        <v>1w</v>
      </c>
      <c r="Y1944" s="181">
        <f>_xll.qlCalendarAdvance(Calendar,Y1943,X1944,"f",FALSE)</f>
        <v>52559</v>
      </c>
      <c r="Z1944" s="184">
        <f>_xll.qlCalendarAdvance(Calendar,Y1944,NDays&amp;"D")</f>
        <v>52559</v>
      </c>
      <c r="AA1944" s="185">
        <v>4.7737440852069657E-2</v>
      </c>
      <c r="AB1944" s="182">
        <v>4.7457445735662462E-2</v>
      </c>
    </row>
    <row r="1945" spans="17:28" x14ac:dyDescent="0.2">
      <c r="Q1945" s="141"/>
      <c r="T1945" s="141"/>
      <c r="U1945" s="162"/>
      <c r="X1945" s="183" t="str">
        <f t="shared" si="37"/>
        <v>1w</v>
      </c>
      <c r="Y1945" s="181">
        <f>_xll.qlCalendarAdvance(Calendar,Y1944,X1945,"f",FALSE)</f>
        <v>52566</v>
      </c>
      <c r="Z1945" s="184">
        <f>_xll.qlCalendarAdvance(Calendar,Y1945,NDays&amp;"D")</f>
        <v>52566</v>
      </c>
      <c r="AA1945" s="185">
        <v>4.7734083344412183E-2</v>
      </c>
      <c r="AB1945" s="182">
        <v>4.7457134575730198E-2</v>
      </c>
    </row>
    <row r="1946" spans="17:28" x14ac:dyDescent="0.2">
      <c r="Q1946" s="141"/>
      <c r="T1946" s="141"/>
      <c r="U1946" s="162"/>
      <c r="X1946" s="183" t="str">
        <f t="shared" si="37"/>
        <v>1w</v>
      </c>
      <c r="Y1946" s="181">
        <f>_xll.qlCalendarAdvance(Calendar,Y1945,X1946,"f",FALSE)</f>
        <v>52573</v>
      </c>
      <c r="Z1946" s="184">
        <f>_xll.qlCalendarAdvance(Calendar,Y1946,NDays&amp;"D")</f>
        <v>52573</v>
      </c>
      <c r="AA1946" s="185">
        <v>4.7733824395207396E-2</v>
      </c>
      <c r="AB1946" s="182">
        <v>4.7456830849686993E-2</v>
      </c>
    </row>
    <row r="1947" spans="17:28" x14ac:dyDescent="0.2">
      <c r="Q1947" s="141"/>
      <c r="T1947" s="141"/>
      <c r="U1947" s="162"/>
      <c r="X1947" s="183" t="str">
        <f t="shared" si="37"/>
        <v>1w</v>
      </c>
      <c r="Y1947" s="181">
        <f>_xll.qlCalendarAdvance(Calendar,Y1946,X1947,"f",FALSE)</f>
        <v>52580</v>
      </c>
      <c r="Z1947" s="184">
        <f>_xll.qlCalendarAdvance(Calendar,Y1947,NDays&amp;"D")</f>
        <v>52580</v>
      </c>
      <c r="AA1947" s="185">
        <v>4.7733572967361977E-2</v>
      </c>
      <c r="AB1947" s="182">
        <v>4.7456534557370755E-2</v>
      </c>
    </row>
    <row r="1948" spans="17:28" x14ac:dyDescent="0.2">
      <c r="Q1948" s="141"/>
      <c r="T1948" s="141"/>
      <c r="U1948" s="162"/>
      <c r="X1948" s="183" t="str">
        <f t="shared" si="37"/>
        <v>1w</v>
      </c>
      <c r="Y1948" s="181">
        <f>_xll.qlCalendarAdvance(Calendar,Y1947,X1948,"f",FALSE)</f>
        <v>52587</v>
      </c>
      <c r="Z1948" s="184">
        <f>_xll.qlCalendarAdvance(Calendar,Y1948,NDays&amp;"D")</f>
        <v>52587</v>
      </c>
      <c r="AA1948" s="185">
        <v>4.7733329060878606E-2</v>
      </c>
      <c r="AB1948" s="182">
        <v>4.745624569910567E-2</v>
      </c>
    </row>
    <row r="1949" spans="17:28" x14ac:dyDescent="0.2">
      <c r="Q1949" s="141"/>
      <c r="T1949" s="141"/>
      <c r="U1949" s="162"/>
      <c r="X1949" s="183" t="str">
        <f t="shared" si="37"/>
        <v>1w</v>
      </c>
      <c r="Y1949" s="181">
        <f>_xll.qlCalendarAdvance(Calendar,Y1948,X1949,"f",FALSE)</f>
        <v>52594</v>
      </c>
      <c r="Z1949" s="184">
        <f>_xll.qlCalendarAdvance(Calendar,Y1949,NDays&amp;"D")</f>
        <v>52594</v>
      </c>
      <c r="AA1949" s="185">
        <v>4.7733092675753715E-2</v>
      </c>
      <c r="AB1949" s="182">
        <v>4.7455964274486506E-2</v>
      </c>
    </row>
    <row r="1950" spans="17:28" x14ac:dyDescent="0.2">
      <c r="Q1950" s="141"/>
      <c r="T1950" s="141"/>
      <c r="U1950" s="162"/>
      <c r="X1950" s="183" t="str">
        <f t="shared" si="37"/>
        <v>1w</v>
      </c>
      <c r="Y1950" s="181">
        <f>_xll.qlCalendarAdvance(Calendar,Y1949,X1950,"f",FALSE)</f>
        <v>52601</v>
      </c>
      <c r="Z1950" s="184">
        <f>_xll.qlCalendarAdvance(Calendar,Y1950,NDays&amp;"D")</f>
        <v>52601</v>
      </c>
      <c r="AA1950" s="185">
        <v>4.7732863811987297E-2</v>
      </c>
      <c r="AB1950" s="182">
        <v>4.7455690283837448E-2</v>
      </c>
    </row>
    <row r="1951" spans="17:28" x14ac:dyDescent="0.2">
      <c r="Q1951" s="141"/>
      <c r="T1951" s="141"/>
      <c r="U1951" s="162"/>
      <c r="X1951" s="183" t="str">
        <f t="shared" si="37"/>
        <v>1w</v>
      </c>
      <c r="Y1951" s="181">
        <f>_xll.qlCalendarAdvance(Calendar,Y1950,X1951,"f",FALSE)</f>
        <v>52608</v>
      </c>
      <c r="Z1951" s="184">
        <f>_xll.qlCalendarAdvance(Calendar,Y1951,NDays&amp;"D")</f>
        <v>52608</v>
      </c>
      <c r="AA1951" s="185">
        <v>4.7732642469575808E-2</v>
      </c>
      <c r="AB1951" s="182">
        <v>4.7455423726915358E-2</v>
      </c>
    </row>
    <row r="1952" spans="17:28" x14ac:dyDescent="0.2">
      <c r="Q1952" s="141"/>
      <c r="T1952" s="141"/>
      <c r="U1952" s="162"/>
      <c r="X1952" s="183" t="str">
        <f t="shared" si="37"/>
        <v>1w</v>
      </c>
      <c r="Y1952" s="181">
        <f>_xll.qlCalendarAdvance(Calendar,Y1951,X1952,"f",FALSE)</f>
        <v>52615</v>
      </c>
      <c r="Z1952" s="184">
        <f>_xll.qlCalendarAdvance(Calendar,Y1952,NDays&amp;"D")</f>
        <v>52615</v>
      </c>
      <c r="AA1952" s="185">
        <v>4.7732428648521903E-2</v>
      </c>
      <c r="AB1952" s="182">
        <v>4.745516460404442E-2</v>
      </c>
    </row>
    <row r="1953" spans="17:28" x14ac:dyDescent="0.2">
      <c r="Q1953" s="141"/>
      <c r="T1953" s="141"/>
      <c r="U1953" s="162"/>
      <c r="X1953" s="183" t="str">
        <f t="shared" si="37"/>
        <v>1w</v>
      </c>
      <c r="Y1953" s="181">
        <f>_xll.qlCalendarAdvance(Calendar,Y1952,X1953,"f",FALSE)</f>
        <v>52623</v>
      </c>
      <c r="Z1953" s="184">
        <f>_xll.qlCalendarAdvance(Calendar,Y1953,NDays&amp;"D")</f>
        <v>52623</v>
      </c>
      <c r="AA1953" s="185">
        <v>4.7732193491424504E-2</v>
      </c>
      <c r="AB1953" s="182">
        <v>4.745487756632194E-2</v>
      </c>
    </row>
    <row r="1954" spans="17:28" x14ac:dyDescent="0.2">
      <c r="Q1954" s="141"/>
      <c r="T1954" s="141"/>
      <c r="U1954" s="162"/>
      <c r="X1954" s="183" t="str">
        <f t="shared" si="37"/>
        <v>1w</v>
      </c>
      <c r="Y1954" s="181">
        <f>_xll.qlCalendarAdvance(Calendar,Y1953,X1954,"f",FALSE)</f>
        <v>52630</v>
      </c>
      <c r="Z1954" s="184">
        <f>_xll.qlCalendarAdvance(Calendar,Y1954,NDays&amp;"D")</f>
        <v>52630</v>
      </c>
      <c r="AA1954" s="185">
        <v>4.7728899924223876E-2</v>
      </c>
      <c r="AB1954" s="182">
        <v>4.7454634372854354E-2</v>
      </c>
    </row>
    <row r="1955" spans="17:28" x14ac:dyDescent="0.2">
      <c r="Q1955" s="141"/>
      <c r="T1955" s="141"/>
      <c r="U1955" s="162"/>
      <c r="X1955" s="183" t="str">
        <f t="shared" si="37"/>
        <v>1w</v>
      </c>
      <c r="Y1955" s="181">
        <f>_xll.qlCalendarAdvance(Calendar,Y1954,X1955,"f",FALSE)</f>
        <v>52637</v>
      </c>
      <c r="Z1955" s="184">
        <f>_xll.qlCalendarAdvance(Calendar,Y1955,NDays&amp;"D")</f>
        <v>52637</v>
      </c>
      <c r="AA1955" s="185">
        <v>4.772870922925912E-2</v>
      </c>
      <c r="AB1955" s="182">
        <v>4.7454398613518967E-2</v>
      </c>
    </row>
    <row r="1956" spans="17:28" x14ac:dyDescent="0.2">
      <c r="Q1956" s="141"/>
      <c r="T1956" s="141"/>
      <c r="U1956" s="162"/>
      <c r="X1956" s="183" t="str">
        <f t="shared" si="37"/>
        <v>1w</v>
      </c>
      <c r="Y1956" s="181">
        <f>_xll.qlCalendarAdvance(Calendar,Y1955,X1956,"f",FALSE)</f>
        <v>52644</v>
      </c>
      <c r="Z1956" s="184">
        <f>_xll.qlCalendarAdvance(Calendar,Y1956,NDays&amp;"D")</f>
        <v>52644</v>
      </c>
      <c r="AA1956" s="185">
        <v>4.7728526054669707E-2</v>
      </c>
      <c r="AB1956" s="182">
        <v>4.7454170287991593E-2</v>
      </c>
    </row>
    <row r="1957" spans="17:28" x14ac:dyDescent="0.2">
      <c r="Q1957" s="141"/>
      <c r="T1957" s="141"/>
      <c r="U1957" s="162"/>
      <c r="X1957" s="183" t="str">
        <f t="shared" si="37"/>
        <v>1w</v>
      </c>
      <c r="Y1957" s="181">
        <f>_xll.qlCalendarAdvance(Calendar,Y1956,X1957,"f",FALSE)</f>
        <v>52651</v>
      </c>
      <c r="Z1957" s="184">
        <f>_xll.qlCalendarAdvance(Calendar,Y1957,NDays&amp;"D")</f>
        <v>52651</v>
      </c>
      <c r="AA1957" s="185">
        <v>4.7728350400450245E-2</v>
      </c>
      <c r="AB1957" s="182">
        <v>4.7453949396272233E-2</v>
      </c>
    </row>
    <row r="1958" spans="17:28" x14ac:dyDescent="0.2">
      <c r="Q1958" s="141"/>
      <c r="T1958" s="141"/>
      <c r="U1958" s="162"/>
      <c r="X1958" s="183" t="str">
        <f t="shared" si="37"/>
        <v>1w</v>
      </c>
      <c r="Y1958" s="181">
        <f>_xll.qlCalendarAdvance(Calendar,Y1957,X1958,"f",FALSE)</f>
        <v>52658</v>
      </c>
      <c r="Z1958" s="184">
        <f>_xll.qlCalendarAdvance(Calendar,Y1958,NDays&amp;"D")</f>
        <v>52658</v>
      </c>
      <c r="AA1958" s="185">
        <v>4.7734378422683389E-2</v>
      </c>
      <c r="AB1958" s="182">
        <v>4.7453735938441932E-2</v>
      </c>
    </row>
    <row r="1959" spans="17:28" x14ac:dyDescent="0.2">
      <c r="Q1959" s="141"/>
      <c r="T1959" s="141"/>
      <c r="U1959" s="162"/>
      <c r="X1959" s="183" t="str">
        <f t="shared" si="37"/>
        <v>1w</v>
      </c>
      <c r="Y1959" s="181">
        <f>_xll.qlCalendarAdvance(Calendar,Y1958,X1959,"f",FALSE)</f>
        <v>52665</v>
      </c>
      <c r="Z1959" s="184">
        <f>_xll.qlCalendarAdvance(Calendar,Y1959,NDays&amp;"D")</f>
        <v>52665</v>
      </c>
      <c r="AA1959" s="185">
        <v>4.7734218842060534E-2</v>
      </c>
      <c r="AB1959" s="182">
        <v>4.7453529914500692E-2</v>
      </c>
    </row>
    <row r="1960" spans="17:28" x14ac:dyDescent="0.2">
      <c r="Q1960" s="141"/>
      <c r="T1960" s="141"/>
      <c r="U1960" s="162"/>
      <c r="X1960" s="183" t="str">
        <f t="shared" si="37"/>
        <v>1w</v>
      </c>
      <c r="Y1960" s="181">
        <f>_xll.qlCalendarAdvance(Calendar,Y1959,X1960,"f",FALSE)</f>
        <v>52672</v>
      </c>
      <c r="Z1960" s="184">
        <f>_xll.qlCalendarAdvance(Calendar,Y1960,NDays&amp;"D")</f>
        <v>52672</v>
      </c>
      <c r="AA1960" s="185">
        <v>4.7734066783761443E-2</v>
      </c>
      <c r="AB1960" s="182">
        <v>4.7453331324205372E-2</v>
      </c>
    </row>
    <row r="1961" spans="17:28" x14ac:dyDescent="0.2">
      <c r="Q1961" s="141"/>
      <c r="T1961" s="141"/>
      <c r="U1961" s="162"/>
      <c r="X1961" s="183" t="str">
        <f t="shared" si="37"/>
        <v>1w</v>
      </c>
      <c r="Y1961" s="181">
        <f>_xll.qlCalendarAdvance(Calendar,Y1960,X1961,"f",FALSE)</f>
        <v>52679</v>
      </c>
      <c r="Z1961" s="184">
        <f>_xll.qlCalendarAdvance(Calendar,Y1961,NDays&amp;"D")</f>
        <v>52679</v>
      </c>
      <c r="AA1961" s="185">
        <v>4.7733922247786997E-2</v>
      </c>
      <c r="AB1961" s="182">
        <v>4.7453140167961205E-2</v>
      </c>
    </row>
    <row r="1962" spans="17:28" x14ac:dyDescent="0.2">
      <c r="Q1962" s="141"/>
      <c r="T1962" s="141"/>
      <c r="U1962" s="162"/>
      <c r="X1962" s="183" t="str">
        <f t="shared" si="37"/>
        <v>1w</v>
      </c>
      <c r="Y1962" s="181">
        <f>_xll.qlCalendarAdvance(Calendar,Y1961,X1962,"f",FALSE)</f>
        <v>52686</v>
      </c>
      <c r="Z1962" s="184">
        <f>_xll.qlCalendarAdvance(Calendar,Y1962,NDays&amp;"D")</f>
        <v>52686</v>
      </c>
      <c r="AA1962" s="185">
        <v>4.7733785234137197E-2</v>
      </c>
      <c r="AB1962" s="182">
        <v>4.7452956445687144E-2</v>
      </c>
    </row>
    <row r="1963" spans="17:28" x14ac:dyDescent="0.2">
      <c r="Q1963" s="141"/>
      <c r="T1963" s="141"/>
      <c r="U1963" s="162"/>
      <c r="X1963" s="183" t="str">
        <f t="shared" si="37"/>
        <v>1w</v>
      </c>
      <c r="Y1963" s="181">
        <f>_xll.qlCalendarAdvance(Calendar,Y1962,X1963,"f",FALSE)</f>
        <v>52693</v>
      </c>
      <c r="Z1963" s="184">
        <f>_xll.qlCalendarAdvance(Calendar,Y1963,NDays&amp;"D")</f>
        <v>52693</v>
      </c>
      <c r="AA1963" s="185">
        <v>4.7730554913461024E-2</v>
      </c>
      <c r="AB1963" s="182">
        <v>4.7452780157059005E-2</v>
      </c>
    </row>
    <row r="1964" spans="17:28" x14ac:dyDescent="0.2">
      <c r="Q1964" s="141"/>
      <c r="T1964" s="141"/>
      <c r="U1964" s="162"/>
      <c r="X1964" s="183" t="str">
        <f t="shared" si="37"/>
        <v>1w</v>
      </c>
      <c r="Y1964" s="181">
        <f>_xll.qlCalendarAdvance(Calendar,Y1963,X1964,"f",FALSE)</f>
        <v>52700</v>
      </c>
      <c r="Z1964" s="184">
        <f>_xll.qlCalendarAdvance(Calendar,Y1964,NDays&amp;"D")</f>
        <v>52700</v>
      </c>
      <c r="AA1964" s="185">
        <v>4.7730432423069971E-2</v>
      </c>
      <c r="AB1964" s="182">
        <v>4.7452611302319925E-2</v>
      </c>
    </row>
    <row r="1965" spans="17:28" x14ac:dyDescent="0.2">
      <c r="Q1965" s="141"/>
      <c r="T1965" s="141"/>
      <c r="U1965" s="162"/>
      <c r="X1965" s="183" t="str">
        <f t="shared" si="37"/>
        <v>1w</v>
      </c>
      <c r="Y1965" s="181">
        <f>_xll.qlCalendarAdvance(Calendar,Y1964,X1965,"f",FALSE)</f>
        <v>52707</v>
      </c>
      <c r="Z1965" s="184">
        <f>_xll.qlCalendarAdvance(Calendar,Y1965,NDays&amp;"D")</f>
        <v>52707</v>
      </c>
      <c r="AA1965" s="185">
        <v>4.7730317454022252E-2</v>
      </c>
      <c r="AB1965" s="182">
        <v>4.7452449881469905E-2</v>
      </c>
    </row>
    <row r="1966" spans="17:28" x14ac:dyDescent="0.2">
      <c r="Q1966" s="141"/>
      <c r="T1966" s="141"/>
      <c r="U1966" s="162"/>
      <c r="X1966" s="183" t="str">
        <f t="shared" si="37"/>
        <v>1w</v>
      </c>
      <c r="Y1966" s="181">
        <f>_xll.qlCalendarAdvance(Calendar,Y1965,X1966,"f",FALSE)</f>
        <v>52714</v>
      </c>
      <c r="Z1966" s="184">
        <f>_xll.qlCalendarAdvance(Calendar,Y1966,NDays&amp;"D")</f>
        <v>52714</v>
      </c>
      <c r="AA1966" s="185">
        <v>4.7730210006316103E-2</v>
      </c>
      <c r="AB1966" s="182">
        <v>4.7452295894508945E-2</v>
      </c>
    </row>
    <row r="1967" spans="17:28" x14ac:dyDescent="0.2">
      <c r="Q1967" s="141"/>
      <c r="T1967" s="141"/>
      <c r="U1967" s="162"/>
      <c r="X1967" s="183" t="str">
        <f t="shared" si="37"/>
        <v>1w</v>
      </c>
      <c r="Y1967" s="181">
        <f>_xll.qlCalendarAdvance(Calendar,Y1966,X1967,"f",FALSE)</f>
        <v>52721</v>
      </c>
      <c r="Z1967" s="184">
        <f>_xll.qlCalendarAdvance(Calendar,Y1967,NDays&amp;"D")</f>
        <v>52721</v>
      </c>
      <c r="AA1967" s="185">
        <v>4.7733213000698896E-2</v>
      </c>
      <c r="AB1967" s="182">
        <v>4.7452149341193905E-2</v>
      </c>
    </row>
    <row r="1968" spans="17:28" x14ac:dyDescent="0.2">
      <c r="Q1968" s="141"/>
      <c r="T1968" s="141"/>
      <c r="U1968" s="162"/>
      <c r="X1968" s="183" t="str">
        <f t="shared" si="37"/>
        <v>1w</v>
      </c>
      <c r="Y1968" s="181">
        <f>_xll.qlCalendarAdvance(Calendar,Y1967,X1968,"f",FALSE)</f>
        <v>52728</v>
      </c>
      <c r="Z1968" s="184">
        <f>_xll.qlCalendarAdvance(Calendar,Y1968,NDays&amp;"D")</f>
        <v>52728</v>
      </c>
      <c r="AA1968" s="185">
        <v>4.7733121120973193E-2</v>
      </c>
      <c r="AB1968" s="182">
        <v>4.7452010222011065E-2</v>
      </c>
    </row>
    <row r="1969" spans="17:28" x14ac:dyDescent="0.2">
      <c r="Q1969" s="141"/>
      <c r="T1969" s="141"/>
      <c r="U1969" s="162"/>
      <c r="X1969" s="183" t="str">
        <f t="shared" si="37"/>
        <v>1w</v>
      </c>
      <c r="Y1969" s="181">
        <f>_xll.qlCalendarAdvance(Calendar,Y1968,X1969,"f",FALSE)</f>
        <v>52735</v>
      </c>
      <c r="Z1969" s="184">
        <f>_xll.qlCalendarAdvance(Calendar,Y1969,NDays&amp;"D")</f>
        <v>52735</v>
      </c>
      <c r="AA1969" s="185">
        <v>4.7733036763565093E-2</v>
      </c>
      <c r="AB1969" s="182">
        <v>4.7451878536555192E-2</v>
      </c>
    </row>
    <row r="1970" spans="17:28" x14ac:dyDescent="0.2">
      <c r="Q1970" s="141"/>
      <c r="T1970" s="141"/>
      <c r="U1970" s="162"/>
      <c r="X1970" s="183" t="str">
        <f t="shared" si="37"/>
        <v>1w</v>
      </c>
      <c r="Y1970" s="181">
        <f>_xll.qlCalendarAdvance(Calendar,Y1969,X1970,"f",FALSE)</f>
        <v>52742</v>
      </c>
      <c r="Z1970" s="184">
        <f>_xll.qlCalendarAdvance(Calendar,Y1970,NDays&amp;"D")</f>
        <v>52742</v>
      </c>
      <c r="AA1970" s="185">
        <v>4.7732959928476357E-2</v>
      </c>
      <c r="AB1970" s="182">
        <v>4.7451754285069425E-2</v>
      </c>
    </row>
    <row r="1971" spans="17:28" x14ac:dyDescent="0.2">
      <c r="Q1971" s="141"/>
      <c r="T1971" s="141"/>
      <c r="U1971" s="162"/>
      <c r="X1971" s="183" t="str">
        <f t="shared" si="37"/>
        <v>1w</v>
      </c>
      <c r="Y1971" s="181">
        <f>_xll.qlCalendarAdvance(Calendar,Y1970,X1971,"f",FALSE)</f>
        <v>52749</v>
      </c>
      <c r="Z1971" s="184">
        <f>_xll.qlCalendarAdvance(Calendar,Y1971,NDays&amp;"D")</f>
        <v>52749</v>
      </c>
      <c r="AA1971" s="185">
        <v>4.7732890615704335E-2</v>
      </c>
      <c r="AB1971" s="182">
        <v>4.7451637467229579E-2</v>
      </c>
    </row>
    <row r="1972" spans="17:28" x14ac:dyDescent="0.2">
      <c r="Q1972" s="141"/>
      <c r="T1972" s="141"/>
      <c r="U1972" s="162"/>
      <c r="X1972" s="183" t="str">
        <f t="shared" si="37"/>
        <v>1w</v>
      </c>
      <c r="Y1972" s="181">
        <f>_xll.qlCalendarAdvance(Calendar,Y1971,X1972,"f",FALSE)</f>
        <v>52756</v>
      </c>
      <c r="Z1972" s="184">
        <f>_xll.qlCalendarAdvance(Calendar,Y1972,NDays&amp;"D")</f>
        <v>52756</v>
      </c>
      <c r="AA1972" s="185">
        <v>4.7732828825247278E-2</v>
      </c>
      <c r="AB1972" s="182">
        <v>4.745152808335984E-2</v>
      </c>
    </row>
    <row r="1973" spans="17:28" x14ac:dyDescent="0.2">
      <c r="Q1973" s="141"/>
      <c r="T1973" s="141"/>
      <c r="U1973" s="162"/>
      <c r="X1973" s="183" t="str">
        <f t="shared" si="37"/>
        <v>1w</v>
      </c>
      <c r="Y1973" s="181">
        <f>_xll.qlCalendarAdvance(Calendar,Y1972,X1973,"f",FALSE)</f>
        <v>52763</v>
      </c>
      <c r="Z1973" s="184">
        <f>_xll.qlCalendarAdvance(Calendar,Y1973,NDays&amp;"D")</f>
        <v>52763</v>
      </c>
      <c r="AA1973" s="185">
        <v>4.7732774557110454E-2</v>
      </c>
      <c r="AB1973" s="182">
        <v>4.7451426133460206E-2</v>
      </c>
    </row>
    <row r="1974" spans="17:28" x14ac:dyDescent="0.2">
      <c r="Q1974" s="141"/>
      <c r="T1974" s="141"/>
      <c r="U1974" s="162"/>
      <c r="X1974" s="183" t="str">
        <f t="shared" si="37"/>
        <v>1w</v>
      </c>
      <c r="Y1974" s="181">
        <f>_xll.qlCalendarAdvance(Calendar,Y1973,X1974,"f",FALSE)</f>
        <v>52770</v>
      </c>
      <c r="Z1974" s="184">
        <f>_xll.qlCalendarAdvance(Calendar,Y1974,NDays&amp;"D")</f>
        <v>52770</v>
      </c>
      <c r="AA1974" s="185" t="e">
        <v>#N/A</v>
      </c>
      <c r="AB1974" s="182">
        <v>4.745133161728754E-2</v>
      </c>
    </row>
    <row r="1975" spans="17:28" x14ac:dyDescent="0.2">
      <c r="Q1975" s="141"/>
      <c r="T1975" s="141"/>
      <c r="U1975" s="162"/>
      <c r="X1975" s="183" t="str">
        <f t="shared" si="37"/>
        <v>1w</v>
      </c>
      <c r="Y1975" s="181">
        <f>_xll.qlCalendarAdvance(Calendar,Y1974,X1975,"f",FALSE)</f>
        <v>52777</v>
      </c>
      <c r="Z1975" s="184">
        <f>_xll.qlCalendarAdvance(Calendar,Y1975,NDays&amp;"D")</f>
        <v>52777</v>
      </c>
      <c r="AA1975" s="185" t="e">
        <v>#N/A</v>
      </c>
      <c r="AB1975" s="182">
        <v>4.7451244535003934E-2</v>
      </c>
    </row>
    <row r="1976" spans="17:28" x14ac:dyDescent="0.2">
      <c r="Q1976" s="141"/>
      <c r="T1976" s="141"/>
      <c r="U1976" s="162"/>
      <c r="X1976" s="183" t="str">
        <f t="shared" si="37"/>
        <v>1w</v>
      </c>
      <c r="Y1976" s="181">
        <f>_xll.qlCalendarAdvance(Calendar,Y1975,X1976,"f",FALSE)</f>
        <v>52784</v>
      </c>
      <c r="Z1976" s="184">
        <f>_xll.qlCalendarAdvance(Calendar,Y1976,NDays&amp;"D")</f>
        <v>52784</v>
      </c>
      <c r="AA1976" s="185" t="e">
        <v>#N/A</v>
      </c>
      <c r="AB1976" s="182">
        <v>4.7451164886528341E-2</v>
      </c>
    </row>
    <row r="1977" spans="17:28" x14ac:dyDescent="0.2">
      <c r="Q1977" s="141"/>
      <c r="T1977" s="141"/>
      <c r="U1977" s="162"/>
      <c r="X1977" s="183" t="str">
        <f t="shared" si="37"/>
        <v>1w</v>
      </c>
      <c r="Y1977" s="181">
        <f>_xll.qlCalendarAdvance(Calendar,Y1976,X1977,"f",FALSE)</f>
        <v>52791</v>
      </c>
      <c r="Z1977" s="184">
        <f>_xll.qlCalendarAdvance(Calendar,Y1977,NDays&amp;"D")</f>
        <v>52791</v>
      </c>
      <c r="AA1977" s="185" t="e">
        <v>#N/A</v>
      </c>
      <c r="AB1977" s="182">
        <v>4.7451092671860762E-2</v>
      </c>
    </row>
    <row r="1978" spans="17:28" x14ac:dyDescent="0.2">
      <c r="Q1978" s="141"/>
      <c r="T1978" s="141"/>
      <c r="U1978" s="162"/>
      <c r="X1978" s="183" t="str">
        <f t="shared" si="37"/>
        <v>1w</v>
      </c>
      <c r="Y1978" s="181">
        <f>_xll.qlCalendarAdvance(Calendar,Y1977,X1978,"f",FALSE)</f>
        <v>52798</v>
      </c>
      <c r="Z1978" s="184">
        <f>_xll.qlCalendarAdvance(Calendar,Y1978,NDays&amp;"D")</f>
        <v>52798</v>
      </c>
      <c r="AA1978" s="185" t="e">
        <v>#N/A</v>
      </c>
      <c r="AB1978" s="182">
        <v>4.7451027891163289E-2</v>
      </c>
    </row>
    <row r="1979" spans="17:28" x14ac:dyDescent="0.2">
      <c r="Q1979" s="141"/>
      <c r="T1979" s="141"/>
      <c r="U1979" s="162"/>
      <c r="X1979" s="183" t="str">
        <f t="shared" si="37"/>
        <v>1w</v>
      </c>
      <c r="Y1979" s="181">
        <f>_xll.qlCalendarAdvance(Calendar,Y1978,X1979,"f",FALSE)</f>
        <v>52805</v>
      </c>
      <c r="Z1979" s="184">
        <f>_xll.qlCalendarAdvance(Calendar,Y1979,NDays&amp;"D")</f>
        <v>52805</v>
      </c>
      <c r="AA1979" s="185" t="e">
        <v>#N/A</v>
      </c>
      <c r="AB1979" s="182">
        <v>4.7450970544273829E-2</v>
      </c>
    </row>
    <row r="1980" spans="17:28" x14ac:dyDescent="0.2">
      <c r="Q1980" s="141"/>
      <c r="T1980" s="141"/>
      <c r="U1980" s="162"/>
      <c r="X1980" s="183" t="str">
        <f t="shared" si="37"/>
        <v>1w</v>
      </c>
      <c r="Y1980" s="181">
        <f>_xll.qlCalendarAdvance(Calendar,Y1979,X1980,"f",FALSE)</f>
        <v>52812</v>
      </c>
      <c r="Z1980" s="184">
        <f>_xll.qlCalendarAdvance(Calendar,Y1980,NDays&amp;"D")</f>
        <v>52812</v>
      </c>
      <c r="AA1980" s="185" t="e">
        <v>#N/A</v>
      </c>
      <c r="AB1980" s="182">
        <v>4.7450920631192384E-2</v>
      </c>
    </row>
    <row r="1981" spans="17:28" x14ac:dyDescent="0.2">
      <c r="Q1981" s="141"/>
      <c r="T1981" s="141"/>
      <c r="U1981" s="162"/>
      <c r="X1981" s="183" t="str">
        <f t="shared" si="37"/>
        <v>1w</v>
      </c>
      <c r="Y1981" s="181">
        <f>_xll.qlCalendarAdvance(Calendar,Y1980,X1981,"f",FALSE)</f>
        <v>52819</v>
      </c>
      <c r="Z1981" s="184">
        <f>_xll.qlCalendarAdvance(Calendar,Y1981,NDays&amp;"D")</f>
        <v>52819</v>
      </c>
      <c r="AA1981" s="185" t="e">
        <v>#N/A</v>
      </c>
      <c r="AB1981" s="182">
        <v>4.7450878152081044E-2</v>
      </c>
    </row>
    <row r="1982" spans="17:28" x14ac:dyDescent="0.2">
      <c r="Q1982" s="141"/>
      <c r="T1982" s="141"/>
      <c r="U1982" s="162"/>
      <c r="X1982" s="183" t="str">
        <f t="shared" si="37"/>
        <v>1w</v>
      </c>
      <c r="Y1982" s="181">
        <f>_xll.qlCalendarAdvance(Calendar,Y1981,X1982,"f",FALSE)</f>
        <v>52826</v>
      </c>
      <c r="Z1982" s="184">
        <f>_xll.qlCalendarAdvance(Calendar,Y1982,NDays&amp;"D")</f>
        <v>52826</v>
      </c>
      <c r="AA1982" s="185" t="e">
        <v>#N/A</v>
      </c>
      <c r="AB1982" s="182">
        <v>4.7450843106777718E-2</v>
      </c>
    </row>
    <row r="1983" spans="17:28" x14ac:dyDescent="0.2">
      <c r="Q1983" s="141"/>
      <c r="T1983" s="141"/>
      <c r="U1983" s="162"/>
      <c r="X1983" s="183" t="str">
        <f t="shared" si="37"/>
        <v>1w</v>
      </c>
      <c r="Y1983" s="181">
        <f>_xll.qlCalendarAdvance(Calendar,Y1982,X1983,"f",FALSE)</f>
        <v>52833</v>
      </c>
      <c r="Z1983" s="184">
        <f>_xll.qlCalendarAdvance(Calendar,Y1983,NDays&amp;"D")</f>
        <v>52833</v>
      </c>
      <c r="AA1983" s="185" t="e">
        <v>#N/A</v>
      </c>
      <c r="AB1983" s="182">
        <v>4.7450815495363452E-2</v>
      </c>
    </row>
    <row r="1984" spans="17:28" x14ac:dyDescent="0.2">
      <c r="Q1984" s="141"/>
      <c r="T1984" s="141"/>
      <c r="U1984" s="162"/>
      <c r="X1984" s="183" t="str">
        <f t="shared" si="37"/>
        <v>1w</v>
      </c>
      <c r="Y1984" s="181">
        <f>_xll.qlCalendarAdvance(Calendar,Y1983,X1984,"f",FALSE)</f>
        <v>52840</v>
      </c>
      <c r="Z1984" s="184">
        <f>_xll.qlCalendarAdvance(Calendar,Y1984,NDays&amp;"D")</f>
        <v>52840</v>
      </c>
      <c r="AA1984" s="185" t="e">
        <v>#N/A</v>
      </c>
      <c r="AB1984" s="182">
        <v>4.7450795317757199E-2</v>
      </c>
    </row>
    <row r="1985" spans="17:28" x14ac:dyDescent="0.2">
      <c r="Q1985" s="141"/>
      <c r="T1985" s="141"/>
      <c r="U1985" s="162"/>
      <c r="X1985" s="183" t="str">
        <f t="shared" si="37"/>
        <v>1w</v>
      </c>
      <c r="Y1985" s="181">
        <f>_xll.qlCalendarAdvance(Calendar,Y1984,X1985,"f",FALSE)</f>
        <v>52847</v>
      </c>
      <c r="Z1985" s="184">
        <f>_xll.qlCalendarAdvance(Calendar,Y1985,NDays&amp;"D")</f>
        <v>52847</v>
      </c>
      <c r="AA1985" s="185" t="e">
        <v>#N/A</v>
      </c>
      <c r="AB1985" s="182">
        <v>4.7450782573958961E-2</v>
      </c>
    </row>
    <row r="1986" spans="17:28" x14ac:dyDescent="0.2">
      <c r="Q1986" s="141"/>
      <c r="T1986" s="141"/>
      <c r="U1986" s="162"/>
      <c r="X1986" s="183" t="str">
        <f t="shared" si="37"/>
        <v>1w</v>
      </c>
      <c r="Y1986" s="181">
        <f>_xll.qlCalendarAdvance(Calendar,Y1985,X1986,"f",FALSE)</f>
        <v>52854</v>
      </c>
      <c r="Z1986" s="184">
        <f>_xll.qlCalendarAdvance(Calendar,Y1986,NDays&amp;"D")</f>
        <v>52854</v>
      </c>
      <c r="AA1986" s="185" t="e">
        <v>#N/A</v>
      </c>
      <c r="AB1986" s="182">
        <v>4.7450777264049782E-2</v>
      </c>
    </row>
    <row r="1987" spans="17:28" x14ac:dyDescent="0.2">
      <c r="Q1987" s="141"/>
      <c r="T1987" s="141"/>
      <c r="U1987" s="162"/>
      <c r="X1987" s="183" t="str">
        <f t="shared" si="37"/>
        <v>1w</v>
      </c>
      <c r="Y1987" s="181">
        <f>_xll.qlCalendarAdvance(Calendar,Y1986,X1987,"f",FALSE)</f>
        <v>52861</v>
      </c>
      <c r="Z1987" s="184">
        <f>_xll.qlCalendarAdvance(Calendar,Y1987,NDays&amp;"D")</f>
        <v>52861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37"/>
        <v>1w</v>
      </c>
      <c r="Y1988" s="181">
        <f>_xll.qlCalendarAdvance(Calendar,Y1987,X1988,"f",FALSE)</f>
        <v>52868</v>
      </c>
      <c r="Z1988" s="184">
        <f>_xll.qlCalendarAdvance(Calendar,Y1988,NDays&amp;"D")</f>
        <v>52868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37"/>
        <v>1w</v>
      </c>
      <c r="Y1989" s="181">
        <f>_xll.qlCalendarAdvance(Calendar,Y1988,X1989,"f",FALSE)</f>
        <v>52875</v>
      </c>
      <c r="Z1989" s="184">
        <f>_xll.qlCalendarAdvance(Calendar,Y1989,NDays&amp;"D")</f>
        <v>52875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37"/>
        <v>1w</v>
      </c>
      <c r="Y1990" s="181">
        <f>_xll.qlCalendarAdvance(Calendar,Y1989,X1990,"f",FALSE)</f>
        <v>52882</v>
      </c>
      <c r="Z1990" s="184">
        <f>_xll.qlCalendarAdvance(Calendar,Y1990,NDays&amp;"D")</f>
        <v>52882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37"/>
        <v>1w</v>
      </c>
      <c r="Y1991" s="181">
        <f>_xll.qlCalendarAdvance(Calendar,Y1990,X1991,"f",FALSE)</f>
        <v>52889</v>
      </c>
      <c r="Z1991" s="184">
        <f>_xll.qlCalendarAdvance(Calendar,Y1991,NDays&amp;"D")</f>
        <v>52889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37"/>
        <v>1w</v>
      </c>
      <c r="Y1992" s="181">
        <f>_xll.qlCalendarAdvance(Calendar,Y1991,X1992,"f",FALSE)</f>
        <v>52896</v>
      </c>
      <c r="Z1992" s="184">
        <f>_xll.qlCalendarAdvance(Calendar,Y1992,NDays&amp;"D")</f>
        <v>52896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37"/>
        <v>1w</v>
      </c>
      <c r="Y1993" s="181">
        <f>_xll.qlCalendarAdvance(Calendar,Y1992,X1993,"f",FALSE)</f>
        <v>52903</v>
      </c>
      <c r="Z1993" s="184">
        <f>_xll.qlCalendarAdvance(Calendar,Y1993,NDays&amp;"D")</f>
        <v>52903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37"/>
        <v>1w</v>
      </c>
      <c r="Y1994" s="181">
        <f>_xll.qlCalendarAdvance(Calendar,Y1993,X1994,"f",FALSE)</f>
        <v>52910</v>
      </c>
      <c r="Z1994" s="184">
        <f>_xll.qlCalendarAdvance(Calendar,Y1994,NDays&amp;"D")</f>
        <v>52910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37"/>
        <v>1w</v>
      </c>
      <c r="Y1995" s="181">
        <f>_xll.qlCalendarAdvance(Calendar,Y1994,X1995,"f",FALSE)</f>
        <v>52917</v>
      </c>
      <c r="Z1995" s="184">
        <f>_xll.qlCalendarAdvance(Calendar,Y1995,NDays&amp;"D")</f>
        <v>52917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37"/>
        <v>1w</v>
      </c>
      <c r="Y1996" s="181">
        <f>_xll.qlCalendarAdvance(Calendar,Y1995,X1996,"f",FALSE)</f>
        <v>52924</v>
      </c>
      <c r="Z1996" s="184">
        <f>_xll.qlCalendarAdvance(Calendar,Y1996,NDays&amp;"D")</f>
        <v>52924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37"/>
        <v>1w</v>
      </c>
      <c r="Y1997" s="181">
        <f>_xll.qlCalendarAdvance(Calendar,Y1996,X1997,"f",FALSE)</f>
        <v>52931</v>
      </c>
      <c r="Z1997" s="184">
        <f>_xll.qlCalendarAdvance(Calendar,Y1997,NDays&amp;"D")</f>
        <v>52931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37"/>
        <v>1w</v>
      </c>
      <c r="Y1998" s="181">
        <f>_xll.qlCalendarAdvance(Calendar,Y1997,X1998,"f",FALSE)</f>
        <v>52938</v>
      </c>
      <c r="Z1998" s="184">
        <f>_xll.qlCalendarAdvance(Calendar,Y1998,NDays&amp;"D")</f>
        <v>52938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37"/>
        <v>1w</v>
      </c>
      <c r="Y1999" s="181">
        <f>_xll.qlCalendarAdvance(Calendar,Y1998,X1999,"f",FALSE)</f>
        <v>52945</v>
      </c>
      <c r="Z1999" s="184">
        <f>_xll.qlCalendarAdvance(Calendar,Y1999,NDays&amp;"D")</f>
        <v>52945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37"/>
        <v>1w</v>
      </c>
      <c r="Y2000" s="181">
        <f>_xll.qlCalendarAdvance(Calendar,Y1999,X2000,"f",FALSE)</f>
        <v>52952</v>
      </c>
      <c r="Z2000" s="184">
        <f>_xll.qlCalendarAdvance(Calendar,Y2000,NDays&amp;"D")</f>
        <v>52952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37"/>
        <v>1w</v>
      </c>
      <c r="Y2001" s="181">
        <f>_xll.qlCalendarAdvance(Calendar,Y2000,X2001,"f",FALSE)</f>
        <v>52959</v>
      </c>
      <c r="Z2001" s="184">
        <f>_xll.qlCalendarAdvance(Calendar,Y2001,NDays&amp;"D")</f>
        <v>52959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37"/>
        <v>1w</v>
      </c>
      <c r="Y2002" s="181">
        <f>_xll.qlCalendarAdvance(Calendar,Y2001,X2002,"f",FALSE)</f>
        <v>52966</v>
      </c>
      <c r="Z2002" s="184">
        <f>_xll.qlCalendarAdvance(Calendar,Y2002,NDays&amp;"D")</f>
        <v>52966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37"/>
        <v>1w</v>
      </c>
      <c r="Y2003" s="181">
        <f>_xll.qlCalendarAdvance(Calendar,Y2002,X2003,"f",FALSE)</f>
        <v>52973</v>
      </c>
      <c r="Z2003" s="184">
        <f>_xll.qlCalendarAdvance(Calendar,Y2003,NDays&amp;"D")</f>
        <v>52973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37"/>
        <v>1w</v>
      </c>
      <c r="Y2004" s="181">
        <f>_xll.qlCalendarAdvance(Calendar,Y2003,X2004,"f",FALSE)</f>
        <v>52980</v>
      </c>
      <c r="Z2004" s="184">
        <f>_xll.qlCalendarAdvance(Calendar,Y2004,NDays&amp;"D")</f>
        <v>52980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38">X2004</f>
        <v>1w</v>
      </c>
      <c r="Y2005" s="181">
        <f>_xll.qlCalendarAdvance(Calendar,Y2004,X2005,"f",FALSE)</f>
        <v>52987</v>
      </c>
      <c r="Z2005" s="184">
        <f>_xll.qlCalendarAdvance(Calendar,Y2005,NDays&amp;"D")</f>
        <v>52987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38"/>
        <v>1w</v>
      </c>
      <c r="Y2006" s="181">
        <f>_xll.qlCalendarAdvance(Calendar,Y2005,X2006,"f",FALSE)</f>
        <v>52994</v>
      </c>
      <c r="Z2006" s="184">
        <f>_xll.qlCalendarAdvance(Calendar,Y2006,NDays&amp;"D")</f>
        <v>52994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38"/>
        <v>1w</v>
      </c>
      <c r="Y2007" s="181">
        <f>_xll.qlCalendarAdvance(Calendar,Y2006,X2007,"f",FALSE)</f>
        <v>53001</v>
      </c>
      <c r="Z2007" s="184">
        <f>_xll.qlCalendarAdvance(Calendar,Y2007,NDays&amp;"D")</f>
        <v>53001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38"/>
        <v>1w</v>
      </c>
      <c r="Y2008" s="181">
        <f>_xll.qlCalendarAdvance(Calendar,Y2007,X2008,"f",FALSE)</f>
        <v>53008</v>
      </c>
      <c r="Z2008" s="184">
        <f>_xll.qlCalendarAdvance(Calendar,Y2008,NDays&amp;"D")</f>
        <v>53008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38"/>
        <v>1w</v>
      </c>
      <c r="Y2009" s="181">
        <f>_xll.qlCalendarAdvance(Calendar,Y2008,X2009,"f",FALSE)</f>
        <v>53015</v>
      </c>
      <c r="Z2009" s="184">
        <f>_xll.qlCalendarAdvance(Calendar,Y2009,NDays&amp;"D")</f>
        <v>53015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38"/>
        <v>1w</v>
      </c>
      <c r="Y2010" s="181">
        <f>_xll.qlCalendarAdvance(Calendar,Y2009,X2010,"f",FALSE)</f>
        <v>53022</v>
      </c>
      <c r="Z2010" s="184">
        <f>_xll.qlCalendarAdvance(Calendar,Y2010,NDays&amp;"D")</f>
        <v>53022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38"/>
        <v>1w</v>
      </c>
      <c r="Y2011" s="181">
        <f>_xll.qlCalendarAdvance(Calendar,Y2010,X2011,"f",FALSE)</f>
        <v>53029</v>
      </c>
      <c r="Z2011" s="184">
        <f>_xll.qlCalendarAdvance(Calendar,Y2011,NDays&amp;"D")</f>
        <v>53029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38"/>
        <v>1w</v>
      </c>
      <c r="Y2012" s="181">
        <f>_xll.qlCalendarAdvance(Calendar,Y2011,X2012,"f",FALSE)</f>
        <v>53036</v>
      </c>
      <c r="Z2012" s="184">
        <f>_xll.qlCalendarAdvance(Calendar,Y2012,NDays&amp;"D")</f>
        <v>53036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38"/>
        <v>1w</v>
      </c>
      <c r="Y2013" s="181">
        <f>_xll.qlCalendarAdvance(Calendar,Y2012,X2013,"f",FALSE)</f>
        <v>53043</v>
      </c>
      <c r="Z2013" s="184">
        <f>_xll.qlCalendarAdvance(Calendar,Y2013,NDays&amp;"D")</f>
        <v>53043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38"/>
        <v>1w</v>
      </c>
      <c r="Y2014" s="181">
        <f>_xll.qlCalendarAdvance(Calendar,Y2013,X2014,"f",FALSE)</f>
        <v>53050</v>
      </c>
      <c r="Z2014" s="184">
        <f>_xll.qlCalendarAdvance(Calendar,Y2014,NDays&amp;"D")</f>
        <v>53050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38"/>
        <v>1w</v>
      </c>
      <c r="Y2015" s="181">
        <f>_xll.qlCalendarAdvance(Calendar,Y2014,X2015,"f",FALSE)</f>
        <v>53057</v>
      </c>
      <c r="Z2015" s="184">
        <f>_xll.qlCalendarAdvance(Calendar,Y2015,NDays&amp;"D")</f>
        <v>53057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38"/>
        <v>1w</v>
      </c>
      <c r="Y2016" s="181">
        <f>_xll.qlCalendarAdvance(Calendar,Y2015,X2016,"f",FALSE)</f>
        <v>53064</v>
      </c>
      <c r="Z2016" s="184">
        <f>_xll.qlCalendarAdvance(Calendar,Y2016,NDays&amp;"D")</f>
        <v>53064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38"/>
        <v>1w</v>
      </c>
      <c r="Y2017" s="181">
        <f>_xll.qlCalendarAdvance(Calendar,Y2016,X2017,"f",FALSE)</f>
        <v>53071</v>
      </c>
      <c r="Z2017" s="184">
        <f>_xll.qlCalendarAdvance(Calendar,Y2017,NDays&amp;"D")</f>
        <v>53071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38"/>
        <v>1w</v>
      </c>
      <c r="Y2018" s="181">
        <f>_xll.qlCalendarAdvance(Calendar,Y2017,X2018,"f",FALSE)</f>
        <v>53078</v>
      </c>
      <c r="Z2018" s="184">
        <f>_xll.qlCalendarAdvance(Calendar,Y2018,NDays&amp;"D")</f>
        <v>53078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38"/>
        <v>1w</v>
      </c>
      <c r="Y2019" s="181">
        <f>_xll.qlCalendarAdvance(Calendar,Y2018,X2019,"f",FALSE)</f>
        <v>53085</v>
      </c>
      <c r="Z2019" s="184">
        <f>_xll.qlCalendarAdvance(Calendar,Y2019,NDays&amp;"D")</f>
        <v>53085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38"/>
        <v>1w</v>
      </c>
      <c r="Y2020" s="181">
        <f>_xll.qlCalendarAdvance(Calendar,Y2019,X2020,"f",FALSE)</f>
        <v>53092</v>
      </c>
      <c r="Z2020" s="184">
        <f>_xll.qlCalendarAdvance(Calendar,Y2020,NDays&amp;"D")</f>
        <v>53092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38"/>
        <v>1w</v>
      </c>
      <c r="Y2021" s="181">
        <f>_xll.qlCalendarAdvance(Calendar,Y2020,X2021,"f",FALSE)</f>
        <v>53099</v>
      </c>
      <c r="Z2021" s="184">
        <f>_xll.qlCalendarAdvance(Calendar,Y2021,NDays&amp;"D")</f>
        <v>53099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38"/>
        <v>1w</v>
      </c>
      <c r="Y2022" s="181">
        <f>_xll.qlCalendarAdvance(Calendar,Y2021,X2022,"f",FALSE)</f>
        <v>53106</v>
      </c>
      <c r="Z2022" s="184">
        <f>_xll.qlCalendarAdvance(Calendar,Y2022,NDays&amp;"D")</f>
        <v>53106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38"/>
        <v>1w</v>
      </c>
      <c r="Y2023" s="181">
        <f>_xll.qlCalendarAdvance(Calendar,Y2022,X2023,"f",FALSE)</f>
        <v>53113</v>
      </c>
      <c r="Z2023" s="184">
        <f>_xll.qlCalendarAdvance(Calendar,Y2023,NDays&amp;"D")</f>
        <v>53113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38"/>
        <v>1w</v>
      </c>
      <c r="Y2024" s="181">
        <f>_xll.qlCalendarAdvance(Calendar,Y2023,X2024,"f",FALSE)</f>
        <v>53120</v>
      </c>
      <c r="Z2024" s="184">
        <f>_xll.qlCalendarAdvance(Calendar,Y2024,NDays&amp;"D")</f>
        <v>53120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38"/>
        <v>1w</v>
      </c>
      <c r="Y2025" s="181">
        <f>_xll.qlCalendarAdvance(Calendar,Y2024,X2025,"f",FALSE)</f>
        <v>53127</v>
      </c>
      <c r="Z2025" s="184">
        <f>_xll.qlCalendarAdvance(Calendar,Y2025,NDays&amp;"D")</f>
        <v>53127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38"/>
        <v>1w</v>
      </c>
      <c r="Y2026" s="181">
        <f>_xll.qlCalendarAdvance(Calendar,Y2025,X2026,"f",FALSE)</f>
        <v>53134</v>
      </c>
      <c r="Z2026" s="184">
        <f>_xll.qlCalendarAdvance(Calendar,Y2026,NDays&amp;"D")</f>
        <v>53134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38"/>
        <v>1w</v>
      </c>
      <c r="Y2027" s="181">
        <f>_xll.qlCalendarAdvance(Calendar,Y2026,X2027,"f",FALSE)</f>
        <v>53141</v>
      </c>
      <c r="Z2027" s="184">
        <f>_xll.qlCalendarAdvance(Calendar,Y2027,NDays&amp;"D")</f>
        <v>53141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38"/>
        <v>1w</v>
      </c>
      <c r="Y2028" s="181">
        <f>_xll.qlCalendarAdvance(Calendar,Y2027,X2028,"f",FALSE)</f>
        <v>53148</v>
      </c>
      <c r="Z2028" s="184">
        <f>_xll.qlCalendarAdvance(Calendar,Y2028,NDays&amp;"D")</f>
        <v>53148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38"/>
        <v>1w</v>
      </c>
      <c r="Y2029" s="181">
        <f>_xll.qlCalendarAdvance(Calendar,Y2028,X2029,"f",FALSE)</f>
        <v>53155</v>
      </c>
      <c r="Z2029" s="184">
        <f>_xll.qlCalendarAdvance(Calendar,Y2029,NDays&amp;"D")</f>
        <v>53155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38"/>
        <v>1w</v>
      </c>
      <c r="Y2030" s="181">
        <f>_xll.qlCalendarAdvance(Calendar,Y2029,X2030,"f",FALSE)</f>
        <v>53162</v>
      </c>
      <c r="Z2030" s="184">
        <f>_xll.qlCalendarAdvance(Calendar,Y2030,NDays&amp;"D")</f>
        <v>53162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38"/>
        <v>1w</v>
      </c>
      <c r="Y2031" s="181">
        <f>_xll.qlCalendarAdvance(Calendar,Y2030,X2031,"f",FALSE)</f>
        <v>53169</v>
      </c>
      <c r="Z2031" s="184">
        <f>_xll.qlCalendarAdvance(Calendar,Y2031,NDays&amp;"D")</f>
        <v>53169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38"/>
        <v>1w</v>
      </c>
      <c r="Y2032" s="181">
        <f>_xll.qlCalendarAdvance(Calendar,Y2031,X2032,"f",FALSE)</f>
        <v>53176</v>
      </c>
      <c r="Z2032" s="184">
        <f>_xll.qlCalendarAdvance(Calendar,Y2032,NDays&amp;"D")</f>
        <v>53176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38"/>
        <v>1w</v>
      </c>
      <c r="Y2033" s="181">
        <f>_xll.qlCalendarAdvance(Calendar,Y2032,X2033,"f",FALSE)</f>
        <v>53183</v>
      </c>
      <c r="Z2033" s="184">
        <f>_xll.qlCalendarAdvance(Calendar,Y2033,NDays&amp;"D")</f>
        <v>53183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38"/>
        <v>1w</v>
      </c>
      <c r="Y2034" s="181">
        <f>_xll.qlCalendarAdvance(Calendar,Y2033,X2034,"f",FALSE)</f>
        <v>53190</v>
      </c>
      <c r="Z2034" s="184">
        <f>_xll.qlCalendarAdvance(Calendar,Y2034,NDays&amp;"D")</f>
        <v>53190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38"/>
        <v>1w</v>
      </c>
      <c r="Y2035" s="181">
        <f>_xll.qlCalendarAdvance(Calendar,Y2034,X2035,"f",FALSE)</f>
        <v>53197</v>
      </c>
      <c r="Z2035" s="184">
        <f>_xll.qlCalendarAdvance(Calendar,Y2035,NDays&amp;"D")</f>
        <v>53197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38"/>
        <v>1w</v>
      </c>
      <c r="Y2036" s="181">
        <f>_xll.qlCalendarAdvance(Calendar,Y2035,X2036,"f",FALSE)</f>
        <v>53204</v>
      </c>
      <c r="Z2036" s="184">
        <f>_xll.qlCalendarAdvance(Calendar,Y2036,NDays&amp;"D")</f>
        <v>53204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38"/>
        <v>1w</v>
      </c>
      <c r="Y2037" s="181">
        <f>_xll.qlCalendarAdvance(Calendar,Y2036,X2037,"f",FALSE)</f>
        <v>53211</v>
      </c>
      <c r="Z2037" s="184">
        <f>_xll.qlCalendarAdvance(Calendar,Y2037,NDays&amp;"D")</f>
        <v>53211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38"/>
        <v>1w</v>
      </c>
      <c r="Y2038" s="181">
        <f>_xll.qlCalendarAdvance(Calendar,Y2037,X2038,"f",FALSE)</f>
        <v>53218</v>
      </c>
      <c r="Z2038" s="184">
        <f>_xll.qlCalendarAdvance(Calendar,Y2038,NDays&amp;"D")</f>
        <v>53218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38"/>
        <v>1w</v>
      </c>
      <c r="Y2039" s="181">
        <f>_xll.qlCalendarAdvance(Calendar,Y2038,X2039,"f",FALSE)</f>
        <v>53225</v>
      </c>
      <c r="Z2039" s="184">
        <f>_xll.qlCalendarAdvance(Calendar,Y2039,NDays&amp;"D")</f>
        <v>53225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38"/>
        <v>1w</v>
      </c>
      <c r="Y2040" s="181">
        <f>_xll.qlCalendarAdvance(Calendar,Y2039,X2040,"f",FALSE)</f>
        <v>53232</v>
      </c>
      <c r="Z2040" s="184">
        <f>_xll.qlCalendarAdvance(Calendar,Y2040,NDays&amp;"D")</f>
        <v>53232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38"/>
        <v>1w</v>
      </c>
      <c r="Y2041" s="181">
        <f>_xll.qlCalendarAdvance(Calendar,Y2040,X2041,"f",FALSE)</f>
        <v>53239</v>
      </c>
      <c r="Z2041" s="184">
        <f>_xll.qlCalendarAdvance(Calendar,Y2041,NDays&amp;"D")</f>
        <v>53239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38"/>
        <v>1w</v>
      </c>
      <c r="Y2042" s="181">
        <f>_xll.qlCalendarAdvance(Calendar,Y2041,X2042,"f",FALSE)</f>
        <v>53246</v>
      </c>
      <c r="Z2042" s="184">
        <f>_xll.qlCalendarAdvance(Calendar,Y2042,NDays&amp;"D")</f>
        <v>53246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38"/>
        <v>1w</v>
      </c>
      <c r="Y2043" s="181">
        <f>_xll.qlCalendarAdvance(Calendar,Y2042,X2043,"f",FALSE)</f>
        <v>53253</v>
      </c>
      <c r="Z2043" s="184">
        <f>_xll.qlCalendarAdvance(Calendar,Y2043,NDays&amp;"D")</f>
        <v>53253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38"/>
        <v>1w</v>
      </c>
      <c r="Y2044" s="181">
        <f>_xll.qlCalendarAdvance(Calendar,Y2043,X2044,"f",FALSE)</f>
        <v>53260</v>
      </c>
      <c r="Z2044" s="184">
        <f>_xll.qlCalendarAdvance(Calendar,Y2044,NDays&amp;"D")</f>
        <v>53260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38"/>
        <v>1w</v>
      </c>
      <c r="Y2045" s="181">
        <f>_xll.qlCalendarAdvance(Calendar,Y2044,X2045,"f",FALSE)</f>
        <v>53267</v>
      </c>
      <c r="Z2045" s="184">
        <f>_xll.qlCalendarAdvance(Calendar,Y2045,NDays&amp;"D")</f>
        <v>53267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38"/>
        <v>1w</v>
      </c>
      <c r="Y2046" s="181">
        <f>_xll.qlCalendarAdvance(Calendar,Y2045,X2046,"f",FALSE)</f>
        <v>53274</v>
      </c>
      <c r="Z2046" s="184">
        <f>_xll.qlCalendarAdvance(Calendar,Y2046,NDays&amp;"D")</f>
        <v>53274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38"/>
        <v>1w</v>
      </c>
      <c r="Y2047" s="181">
        <f>_xll.qlCalendarAdvance(Calendar,Y2046,X2047,"f",FALSE)</f>
        <v>53281</v>
      </c>
      <c r="Z2047" s="184">
        <f>_xll.qlCalendarAdvance(Calendar,Y2047,NDays&amp;"D")</f>
        <v>53281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38"/>
        <v>1w</v>
      </c>
      <c r="Y2048" s="181">
        <f>_xll.qlCalendarAdvance(Calendar,Y2047,X2048,"f",FALSE)</f>
        <v>53288</v>
      </c>
      <c r="Z2048" s="184">
        <f>_xll.qlCalendarAdvance(Calendar,Y2048,NDays&amp;"D")</f>
        <v>53288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38"/>
        <v>1w</v>
      </c>
      <c r="Y2049" s="181">
        <f>_xll.qlCalendarAdvance(Calendar,Y2048,X2049,"f",FALSE)</f>
        <v>53295</v>
      </c>
      <c r="Z2049" s="184">
        <f>_xll.qlCalendarAdvance(Calendar,Y2049,NDays&amp;"D")</f>
        <v>53295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38"/>
        <v>1w</v>
      </c>
      <c r="Y2050" s="181">
        <f>_xll.qlCalendarAdvance(Calendar,Y2049,X2050,"f",FALSE)</f>
        <v>53302</v>
      </c>
      <c r="Z2050" s="184">
        <f>_xll.qlCalendarAdvance(Calendar,Y2050,NDays&amp;"D")</f>
        <v>53302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38"/>
        <v>1w</v>
      </c>
      <c r="Y2051" s="181">
        <f>_xll.qlCalendarAdvance(Calendar,Y2050,X2051,"f",FALSE)</f>
        <v>53309</v>
      </c>
      <c r="Z2051" s="184">
        <f>_xll.qlCalendarAdvance(Calendar,Y2051,NDays&amp;"D")</f>
        <v>53309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38"/>
        <v>1w</v>
      </c>
      <c r="Y2052" s="181">
        <f>_xll.qlCalendarAdvance(Calendar,Y2051,X2052,"f",FALSE)</f>
        <v>53316</v>
      </c>
      <c r="Z2052" s="184">
        <f>_xll.qlCalendarAdvance(Calendar,Y2052,NDays&amp;"D")</f>
        <v>53316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38"/>
        <v>1w</v>
      </c>
      <c r="Y2053" s="181">
        <f>_xll.qlCalendarAdvance(Calendar,Y2052,X2053,"f",FALSE)</f>
        <v>53323</v>
      </c>
      <c r="Z2053" s="184">
        <f>_xll.qlCalendarAdvance(Calendar,Y2053,NDays&amp;"D")</f>
        <v>53323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38"/>
        <v>1w</v>
      </c>
      <c r="Y2054" s="181">
        <f>_xll.qlCalendarAdvance(Calendar,Y2053,X2054,"f",FALSE)</f>
        <v>53330</v>
      </c>
      <c r="Z2054" s="184">
        <f>_xll.qlCalendarAdvance(Calendar,Y2054,NDays&amp;"D")</f>
        <v>53330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38"/>
        <v>1w</v>
      </c>
      <c r="Y2055" s="181">
        <f>_xll.qlCalendarAdvance(Calendar,Y2054,X2055,"f",FALSE)</f>
        <v>53337</v>
      </c>
      <c r="Z2055" s="184">
        <f>_xll.qlCalendarAdvance(Calendar,Y2055,NDays&amp;"D")</f>
        <v>53337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38"/>
        <v>1w</v>
      </c>
      <c r="Y2056" s="181">
        <f>_xll.qlCalendarAdvance(Calendar,Y2055,X2056,"f",FALSE)</f>
        <v>53344</v>
      </c>
      <c r="Z2056" s="184">
        <f>_xll.qlCalendarAdvance(Calendar,Y2056,NDays&amp;"D")</f>
        <v>53344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38"/>
        <v>1w</v>
      </c>
      <c r="Y2057" s="181">
        <f>_xll.qlCalendarAdvance(Calendar,Y2056,X2057,"f",FALSE)</f>
        <v>53351</v>
      </c>
      <c r="Z2057" s="184">
        <f>_xll.qlCalendarAdvance(Calendar,Y2057,NDays&amp;"D")</f>
        <v>53351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38"/>
        <v>1w</v>
      </c>
      <c r="Y2058" s="181">
        <f>_xll.qlCalendarAdvance(Calendar,Y2057,X2058,"f",FALSE)</f>
        <v>53358</v>
      </c>
      <c r="Z2058" s="184">
        <f>_xll.qlCalendarAdvance(Calendar,Y2058,NDays&amp;"D")</f>
        <v>53358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38"/>
        <v>1w</v>
      </c>
      <c r="Y2059" s="181">
        <f>_xll.qlCalendarAdvance(Calendar,Y2058,X2059,"f",FALSE)</f>
        <v>53365</v>
      </c>
      <c r="Z2059" s="184">
        <f>_xll.qlCalendarAdvance(Calendar,Y2059,NDays&amp;"D")</f>
        <v>53365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38"/>
        <v>1w</v>
      </c>
      <c r="Y2060" s="181">
        <f>_xll.qlCalendarAdvance(Calendar,Y2059,X2060,"f",FALSE)</f>
        <v>53372</v>
      </c>
      <c r="Z2060" s="184">
        <f>_xll.qlCalendarAdvance(Calendar,Y2060,NDays&amp;"D")</f>
        <v>53372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38"/>
        <v>1w</v>
      </c>
      <c r="Y2061" s="181">
        <f>_xll.qlCalendarAdvance(Calendar,Y2060,X2061,"f",FALSE)</f>
        <v>53379</v>
      </c>
      <c r="Z2061" s="184">
        <f>_xll.qlCalendarAdvance(Calendar,Y2061,NDays&amp;"D")</f>
        <v>53379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38"/>
        <v>1w</v>
      </c>
      <c r="Y2062" s="181">
        <f>_xll.qlCalendarAdvance(Calendar,Y2061,X2062,"f",FALSE)</f>
        <v>53386</v>
      </c>
      <c r="Z2062" s="184">
        <f>_xll.qlCalendarAdvance(Calendar,Y2062,NDays&amp;"D")</f>
        <v>53386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38"/>
        <v>1w</v>
      </c>
      <c r="Y2063" s="181">
        <f>_xll.qlCalendarAdvance(Calendar,Y2062,X2063,"f",FALSE)</f>
        <v>53393</v>
      </c>
      <c r="Z2063" s="184">
        <f>_xll.qlCalendarAdvance(Calendar,Y2063,NDays&amp;"D")</f>
        <v>53393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38"/>
        <v>1w</v>
      </c>
      <c r="Y2064" s="181">
        <f>_xll.qlCalendarAdvance(Calendar,Y2063,X2064,"f",FALSE)</f>
        <v>53400</v>
      </c>
      <c r="Z2064" s="184">
        <f>_xll.qlCalendarAdvance(Calendar,Y2064,NDays&amp;"D")</f>
        <v>53400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38"/>
        <v>1w</v>
      </c>
      <c r="Y2065" s="181">
        <f>_xll.qlCalendarAdvance(Calendar,Y2064,X2065,"f",FALSE)</f>
        <v>53407</v>
      </c>
      <c r="Z2065" s="184">
        <f>_xll.qlCalendarAdvance(Calendar,Y2065,NDays&amp;"D")</f>
        <v>53407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38"/>
        <v>1w</v>
      </c>
      <c r="Y2066" s="181">
        <f>_xll.qlCalendarAdvance(Calendar,Y2065,X2066,"f",FALSE)</f>
        <v>53414</v>
      </c>
      <c r="Z2066" s="184">
        <f>_xll.qlCalendarAdvance(Calendar,Y2066,NDays&amp;"D")</f>
        <v>53414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38"/>
        <v>1w</v>
      </c>
      <c r="Y2067" s="181">
        <f>_xll.qlCalendarAdvance(Calendar,Y2066,X2067,"f",FALSE)</f>
        <v>53421</v>
      </c>
      <c r="Z2067" s="184">
        <f>_xll.qlCalendarAdvance(Calendar,Y2067,NDays&amp;"D")</f>
        <v>53421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38"/>
        <v>1w</v>
      </c>
      <c r="Y2068" s="181">
        <f>_xll.qlCalendarAdvance(Calendar,Y2067,X2068,"f",FALSE)</f>
        <v>53428</v>
      </c>
      <c r="Z2068" s="184">
        <f>_xll.qlCalendarAdvance(Calendar,Y2068,NDays&amp;"D")</f>
        <v>53428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39">X2068</f>
        <v>1w</v>
      </c>
      <c r="Y2069" s="181">
        <f>_xll.qlCalendarAdvance(Calendar,Y2068,X2069,"f",FALSE)</f>
        <v>53435</v>
      </c>
      <c r="Z2069" s="184">
        <f>_xll.qlCalendarAdvance(Calendar,Y2069,NDays&amp;"D")</f>
        <v>53435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39"/>
        <v>1w</v>
      </c>
      <c r="Y2070" s="181">
        <f>_xll.qlCalendarAdvance(Calendar,Y2069,X2070,"f",FALSE)</f>
        <v>53443</v>
      </c>
      <c r="Z2070" s="184">
        <f>_xll.qlCalendarAdvance(Calendar,Y2070,NDays&amp;"D")</f>
        <v>53443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39"/>
        <v>1w</v>
      </c>
      <c r="Y2071" s="181">
        <f>_xll.qlCalendarAdvance(Calendar,Y2070,X2071,"f",FALSE)</f>
        <v>53450</v>
      </c>
      <c r="Z2071" s="184">
        <f>_xll.qlCalendarAdvance(Calendar,Y2071,NDays&amp;"D")</f>
        <v>53450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39"/>
        <v>1w</v>
      </c>
      <c r="Y2072" s="181">
        <f>_xll.qlCalendarAdvance(Calendar,Y2071,X2072,"f",FALSE)</f>
        <v>53457</v>
      </c>
      <c r="Z2072" s="184">
        <f>_xll.qlCalendarAdvance(Calendar,Y2072,NDays&amp;"D")</f>
        <v>53457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39"/>
        <v>1w</v>
      </c>
      <c r="Y2073" s="181">
        <f>_xll.qlCalendarAdvance(Calendar,Y2072,X2073,"f",FALSE)</f>
        <v>53464</v>
      </c>
      <c r="Z2073" s="184">
        <f>_xll.qlCalendarAdvance(Calendar,Y2073,NDays&amp;"D")</f>
        <v>53464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39"/>
        <v>1w</v>
      </c>
      <c r="Y2074" s="181">
        <f>_xll.qlCalendarAdvance(Calendar,Y2073,X2074,"f",FALSE)</f>
        <v>53471</v>
      </c>
      <c r="Z2074" s="184">
        <f>_xll.qlCalendarAdvance(Calendar,Y2074,NDays&amp;"D")</f>
        <v>53471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39"/>
        <v>1w</v>
      </c>
      <c r="Y2075" s="181">
        <f>_xll.qlCalendarAdvance(Calendar,Y2074,X2075,"f",FALSE)</f>
        <v>53478</v>
      </c>
      <c r="Z2075" s="184">
        <f>_xll.qlCalendarAdvance(Calendar,Y2075,NDays&amp;"D")</f>
        <v>53478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39"/>
        <v>1w</v>
      </c>
      <c r="Y2076" s="181">
        <f>_xll.qlCalendarAdvance(Calendar,Y2075,X2076,"f",FALSE)</f>
        <v>53485</v>
      </c>
      <c r="Z2076" s="184">
        <f>_xll.qlCalendarAdvance(Calendar,Y2076,NDays&amp;"D")</f>
        <v>53485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39"/>
        <v>1w</v>
      </c>
      <c r="Y2077" s="181">
        <f>_xll.qlCalendarAdvance(Calendar,Y2076,X2077,"f",FALSE)</f>
        <v>53492</v>
      </c>
      <c r="Z2077" s="184">
        <f>_xll.qlCalendarAdvance(Calendar,Y2077,NDays&amp;"D")</f>
        <v>53492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39"/>
        <v>1w</v>
      </c>
      <c r="Y2078" s="181">
        <f>_xll.qlCalendarAdvance(Calendar,Y2077,X2078,"f",FALSE)</f>
        <v>53499</v>
      </c>
      <c r="Z2078" s="184">
        <f>_xll.qlCalendarAdvance(Calendar,Y2078,NDays&amp;"D")</f>
        <v>53499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39"/>
        <v>1w</v>
      </c>
      <c r="Y2079" s="181">
        <f>_xll.qlCalendarAdvance(Calendar,Y2078,X2079,"f",FALSE)</f>
        <v>53506</v>
      </c>
      <c r="Z2079" s="184">
        <f>_xll.qlCalendarAdvance(Calendar,Y2079,NDays&amp;"D")</f>
        <v>53506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39"/>
        <v>1w</v>
      </c>
      <c r="Y2080" s="181">
        <f>_xll.qlCalendarAdvance(Calendar,Y2079,X2080,"f",FALSE)</f>
        <v>53513</v>
      </c>
      <c r="Z2080" s="184">
        <f>_xll.qlCalendarAdvance(Calendar,Y2080,NDays&amp;"D")</f>
        <v>53513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39"/>
        <v>1w</v>
      </c>
      <c r="Y2081" s="181">
        <f>_xll.qlCalendarAdvance(Calendar,Y2080,X2081,"f",FALSE)</f>
        <v>53520</v>
      </c>
      <c r="Z2081" s="184">
        <f>_xll.qlCalendarAdvance(Calendar,Y2081,NDays&amp;"D")</f>
        <v>53520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39"/>
        <v>1w</v>
      </c>
      <c r="Y2082" s="181">
        <f>_xll.qlCalendarAdvance(Calendar,Y2081,X2082,"f",FALSE)</f>
        <v>53527</v>
      </c>
      <c r="Z2082" s="184">
        <f>_xll.qlCalendarAdvance(Calendar,Y2082,NDays&amp;"D")</f>
        <v>53527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39"/>
        <v>1w</v>
      </c>
      <c r="Y2083" s="181">
        <f>_xll.qlCalendarAdvance(Calendar,Y2082,X2083,"f",FALSE)</f>
        <v>53534</v>
      </c>
      <c r="Z2083" s="184">
        <f>_xll.qlCalendarAdvance(Calendar,Y2083,NDays&amp;"D")</f>
        <v>53534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39"/>
        <v>1w</v>
      </c>
      <c r="Y2084" s="181">
        <f>_xll.qlCalendarAdvance(Calendar,Y2083,X2084,"f",FALSE)</f>
        <v>53541</v>
      </c>
      <c r="Z2084" s="184">
        <f>_xll.qlCalendarAdvance(Calendar,Y2084,NDays&amp;"D")</f>
        <v>53541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39"/>
        <v>1w</v>
      </c>
      <c r="Y2085" s="181">
        <f>_xll.qlCalendarAdvance(Calendar,Y2084,X2085,"f",FALSE)</f>
        <v>53548</v>
      </c>
      <c r="Z2085" s="184">
        <f>_xll.qlCalendarAdvance(Calendar,Y2085,NDays&amp;"D")</f>
        <v>53548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39"/>
        <v>1w</v>
      </c>
      <c r="Y2086" s="181">
        <f>_xll.qlCalendarAdvance(Calendar,Y2085,X2086,"f",FALSE)</f>
        <v>53555</v>
      </c>
      <c r="Z2086" s="184">
        <f>_xll.qlCalendarAdvance(Calendar,Y2086,NDays&amp;"D")</f>
        <v>53555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39"/>
        <v>1w</v>
      </c>
      <c r="Y2087" s="181">
        <f>_xll.qlCalendarAdvance(Calendar,Y2086,X2087,"f",FALSE)</f>
        <v>53562</v>
      </c>
      <c r="Z2087" s="184">
        <f>_xll.qlCalendarAdvance(Calendar,Y2087,NDays&amp;"D")</f>
        <v>53562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39"/>
        <v>1w</v>
      </c>
      <c r="Y2088" s="181">
        <f>_xll.qlCalendarAdvance(Calendar,Y2087,X2088,"f",FALSE)</f>
        <v>53569</v>
      </c>
      <c r="Z2088" s="184">
        <f>_xll.qlCalendarAdvance(Calendar,Y2088,NDays&amp;"D")</f>
        <v>53569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39"/>
        <v>1w</v>
      </c>
      <c r="Y2089" s="181">
        <f>_xll.qlCalendarAdvance(Calendar,Y2088,X2089,"f",FALSE)</f>
        <v>53576</v>
      </c>
      <c r="Z2089" s="184">
        <f>_xll.qlCalendarAdvance(Calendar,Y2089,NDays&amp;"D")</f>
        <v>53576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39"/>
        <v>1w</v>
      </c>
      <c r="Y2090" s="181">
        <f>_xll.qlCalendarAdvance(Calendar,Y2089,X2090,"f",FALSE)</f>
        <v>53583</v>
      </c>
      <c r="Z2090" s="184">
        <f>_xll.qlCalendarAdvance(Calendar,Y2090,NDays&amp;"D")</f>
        <v>53583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39"/>
        <v>1w</v>
      </c>
      <c r="Y2091" s="181">
        <f>_xll.qlCalendarAdvance(Calendar,Y2090,X2091,"f",FALSE)</f>
        <v>53590</v>
      </c>
      <c r="Z2091" s="184">
        <f>_xll.qlCalendarAdvance(Calendar,Y2091,NDays&amp;"D")</f>
        <v>53590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39"/>
        <v>1w</v>
      </c>
      <c r="Y2092" s="181">
        <f>_xll.qlCalendarAdvance(Calendar,Y2091,X2092,"f",FALSE)</f>
        <v>53597</v>
      </c>
      <c r="Z2092" s="184">
        <f>_xll.qlCalendarAdvance(Calendar,Y2092,NDays&amp;"D")</f>
        <v>53597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39"/>
        <v>1w</v>
      </c>
      <c r="Y2093" s="181">
        <f>_xll.qlCalendarAdvance(Calendar,Y2092,X2093,"f",FALSE)</f>
        <v>53604</v>
      </c>
      <c r="Z2093" s="184">
        <f>_xll.qlCalendarAdvance(Calendar,Y2093,NDays&amp;"D")</f>
        <v>53604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39"/>
        <v>1w</v>
      </c>
      <c r="Y2094" s="181">
        <f>_xll.qlCalendarAdvance(Calendar,Y2093,X2094,"f",FALSE)</f>
        <v>53611</v>
      </c>
      <c r="Z2094" s="184">
        <f>_xll.qlCalendarAdvance(Calendar,Y2094,NDays&amp;"D")</f>
        <v>53611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39"/>
        <v>1w</v>
      </c>
      <c r="Y2095" s="181">
        <f>_xll.qlCalendarAdvance(Calendar,Y2094,X2095,"f",FALSE)</f>
        <v>53618</v>
      </c>
      <c r="Z2095" s="184">
        <f>_xll.qlCalendarAdvance(Calendar,Y2095,NDays&amp;"D")</f>
        <v>53618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39"/>
        <v>1w</v>
      </c>
      <c r="Y2096" s="181">
        <f>_xll.qlCalendarAdvance(Calendar,Y2095,X2096,"f",FALSE)</f>
        <v>53625</v>
      </c>
      <c r="Z2096" s="184">
        <f>_xll.qlCalendarAdvance(Calendar,Y2096,NDays&amp;"D")</f>
        <v>53625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39"/>
        <v>1w</v>
      </c>
      <c r="Y2097" s="181">
        <f>_xll.qlCalendarAdvance(Calendar,Y2096,X2097,"f",FALSE)</f>
        <v>53632</v>
      </c>
      <c r="Z2097" s="184">
        <f>_xll.qlCalendarAdvance(Calendar,Y2097,NDays&amp;"D")</f>
        <v>53632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39"/>
        <v>1w</v>
      </c>
      <c r="Y2098" s="181">
        <f>_xll.qlCalendarAdvance(Calendar,Y2097,X2098,"f",FALSE)</f>
        <v>53639</v>
      </c>
      <c r="Z2098" s="184">
        <f>_xll.qlCalendarAdvance(Calendar,Y2098,NDays&amp;"D")</f>
        <v>53639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39"/>
        <v>1w</v>
      </c>
      <c r="Y2099" s="181">
        <f>_xll.qlCalendarAdvance(Calendar,Y2098,X2099,"f",FALSE)</f>
        <v>53646</v>
      </c>
      <c r="Z2099" s="184">
        <f>_xll.qlCalendarAdvance(Calendar,Y2099,NDays&amp;"D")</f>
        <v>53646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39"/>
        <v>1w</v>
      </c>
      <c r="Y2100" s="181">
        <f>_xll.qlCalendarAdvance(Calendar,Y2099,X2100,"f",FALSE)</f>
        <v>53653</v>
      </c>
      <c r="Z2100" s="184">
        <f>_xll.qlCalendarAdvance(Calendar,Y2100,NDays&amp;"D")</f>
        <v>53653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39"/>
        <v>1w</v>
      </c>
      <c r="Y2101" s="181">
        <f>_xll.qlCalendarAdvance(Calendar,Y2100,X2101,"f",FALSE)</f>
        <v>53660</v>
      </c>
      <c r="Z2101" s="184">
        <f>_xll.qlCalendarAdvance(Calendar,Y2101,NDays&amp;"D")</f>
        <v>53660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39"/>
        <v>1w</v>
      </c>
      <c r="Y2102" s="181">
        <f>_xll.qlCalendarAdvance(Calendar,Y2101,X2102,"f",FALSE)</f>
        <v>53667</v>
      </c>
      <c r="Z2102" s="184">
        <f>_xll.qlCalendarAdvance(Calendar,Y2102,NDays&amp;"D")</f>
        <v>53667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39"/>
        <v>1w</v>
      </c>
      <c r="Y2103" s="181">
        <f>_xll.qlCalendarAdvance(Calendar,Y2102,X2103,"f",FALSE)</f>
        <v>53674</v>
      </c>
      <c r="Z2103" s="184">
        <f>_xll.qlCalendarAdvance(Calendar,Y2103,NDays&amp;"D")</f>
        <v>53674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39"/>
        <v>1w</v>
      </c>
      <c r="Y2104" s="181">
        <f>_xll.qlCalendarAdvance(Calendar,Y2103,X2104,"f",FALSE)</f>
        <v>53681</v>
      </c>
      <c r="Z2104" s="184">
        <f>_xll.qlCalendarAdvance(Calendar,Y2104,NDays&amp;"D")</f>
        <v>53681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39"/>
        <v>1w</v>
      </c>
      <c r="Y2105" s="181">
        <f>_xll.qlCalendarAdvance(Calendar,Y2104,X2105,"f",FALSE)</f>
        <v>53688</v>
      </c>
      <c r="Z2105" s="184">
        <f>_xll.qlCalendarAdvance(Calendar,Y2105,NDays&amp;"D")</f>
        <v>53688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39"/>
        <v>1w</v>
      </c>
      <c r="Y2106" s="181">
        <f>_xll.qlCalendarAdvance(Calendar,Y2105,X2106,"f",FALSE)</f>
        <v>53695</v>
      </c>
      <c r="Z2106" s="184">
        <f>_xll.qlCalendarAdvance(Calendar,Y2106,NDays&amp;"D")</f>
        <v>53695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39"/>
        <v>1w</v>
      </c>
      <c r="Y2107" s="181">
        <f>_xll.qlCalendarAdvance(Calendar,Y2106,X2107,"f",FALSE)</f>
        <v>53702</v>
      </c>
      <c r="Z2107" s="184">
        <f>_xll.qlCalendarAdvance(Calendar,Y2107,NDays&amp;"D")</f>
        <v>53702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39"/>
        <v>1w</v>
      </c>
      <c r="Y2108" s="181">
        <f>_xll.qlCalendarAdvance(Calendar,Y2107,X2108,"f",FALSE)</f>
        <v>53709</v>
      </c>
      <c r="Z2108" s="184">
        <f>_xll.qlCalendarAdvance(Calendar,Y2108,NDays&amp;"D")</f>
        <v>53709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39"/>
        <v>1w</v>
      </c>
      <c r="Y2109" s="181">
        <f>_xll.qlCalendarAdvance(Calendar,Y2108,X2109,"f",FALSE)</f>
        <v>53716</v>
      </c>
      <c r="Z2109" s="184">
        <f>_xll.qlCalendarAdvance(Calendar,Y2109,NDays&amp;"D")</f>
        <v>53716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39"/>
        <v>1w</v>
      </c>
      <c r="Y2110" s="181">
        <f>_xll.qlCalendarAdvance(Calendar,Y2109,X2110,"f",FALSE)</f>
        <v>53723</v>
      </c>
      <c r="Z2110" s="184">
        <f>_xll.qlCalendarAdvance(Calendar,Y2110,NDays&amp;"D")</f>
        <v>53723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39"/>
        <v>1w</v>
      </c>
      <c r="Y2111" s="181">
        <f>_xll.qlCalendarAdvance(Calendar,Y2110,X2111,"f",FALSE)</f>
        <v>53730</v>
      </c>
      <c r="Z2111" s="184">
        <f>_xll.qlCalendarAdvance(Calendar,Y2111,NDays&amp;"D")</f>
        <v>53730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39"/>
        <v>1w</v>
      </c>
      <c r="Y2112" s="181">
        <f>_xll.qlCalendarAdvance(Calendar,Y2111,X2112,"f",FALSE)</f>
        <v>53737</v>
      </c>
      <c r="Z2112" s="184">
        <f>_xll.qlCalendarAdvance(Calendar,Y2112,NDays&amp;"D")</f>
        <v>53737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39"/>
        <v>1w</v>
      </c>
      <c r="Y2113" s="181">
        <f>_xll.qlCalendarAdvance(Calendar,Y2112,X2113,"f",FALSE)</f>
        <v>53744</v>
      </c>
      <c r="Z2113" s="184">
        <f>_xll.qlCalendarAdvance(Calendar,Y2113,NDays&amp;"D")</f>
        <v>53744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39"/>
        <v>1w</v>
      </c>
      <c r="Y2114" s="181">
        <f>_xll.qlCalendarAdvance(Calendar,Y2113,X2114,"f",FALSE)</f>
        <v>53751</v>
      </c>
      <c r="Z2114" s="184">
        <f>_xll.qlCalendarAdvance(Calendar,Y2114,NDays&amp;"D")</f>
        <v>53751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39"/>
        <v>1w</v>
      </c>
      <c r="Y2115" s="181">
        <f>_xll.qlCalendarAdvance(Calendar,Y2114,X2115,"f",FALSE)</f>
        <v>53758</v>
      </c>
      <c r="Z2115" s="184">
        <f>_xll.qlCalendarAdvance(Calendar,Y2115,NDays&amp;"D")</f>
        <v>53758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39"/>
        <v>1w</v>
      </c>
      <c r="Y2116" s="181">
        <f>_xll.qlCalendarAdvance(Calendar,Y2115,X2116,"f",FALSE)</f>
        <v>53765</v>
      </c>
      <c r="Z2116" s="184">
        <f>_xll.qlCalendarAdvance(Calendar,Y2116,NDays&amp;"D")</f>
        <v>53765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39"/>
        <v>1w</v>
      </c>
      <c r="Y2117" s="181">
        <f>_xll.qlCalendarAdvance(Calendar,Y2116,X2117,"f",FALSE)</f>
        <v>53772</v>
      </c>
      <c r="Z2117" s="184">
        <f>_xll.qlCalendarAdvance(Calendar,Y2117,NDays&amp;"D")</f>
        <v>53772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39"/>
        <v>1w</v>
      </c>
      <c r="Y2118" s="181">
        <f>_xll.qlCalendarAdvance(Calendar,Y2117,X2118,"f",FALSE)</f>
        <v>53779</v>
      </c>
      <c r="Z2118" s="184">
        <f>_xll.qlCalendarAdvance(Calendar,Y2118,NDays&amp;"D")</f>
        <v>53779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39"/>
        <v>1w</v>
      </c>
      <c r="Y2119" s="181">
        <f>_xll.qlCalendarAdvance(Calendar,Y2118,X2119,"f",FALSE)</f>
        <v>53786</v>
      </c>
      <c r="Z2119" s="184">
        <f>_xll.qlCalendarAdvance(Calendar,Y2119,NDays&amp;"D")</f>
        <v>53786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39"/>
        <v>1w</v>
      </c>
      <c r="Y2120" s="181">
        <f>_xll.qlCalendarAdvance(Calendar,Y2119,X2120,"f",FALSE)</f>
        <v>53793</v>
      </c>
      <c r="Z2120" s="184">
        <f>_xll.qlCalendarAdvance(Calendar,Y2120,NDays&amp;"D")</f>
        <v>53793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39"/>
        <v>1w</v>
      </c>
      <c r="Y2121" s="181">
        <f>_xll.qlCalendarAdvance(Calendar,Y2120,X2121,"f",FALSE)</f>
        <v>53800</v>
      </c>
      <c r="Z2121" s="184">
        <f>_xll.qlCalendarAdvance(Calendar,Y2121,NDays&amp;"D")</f>
        <v>53800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39"/>
        <v>1w</v>
      </c>
      <c r="Y2122" s="181">
        <f>_xll.qlCalendarAdvance(Calendar,Y2121,X2122,"f",FALSE)</f>
        <v>53808</v>
      </c>
      <c r="Z2122" s="184">
        <f>_xll.qlCalendarAdvance(Calendar,Y2122,NDays&amp;"D")</f>
        <v>53808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39"/>
        <v>1w</v>
      </c>
      <c r="Y2123" s="181">
        <f>_xll.qlCalendarAdvance(Calendar,Y2122,X2123,"f",FALSE)</f>
        <v>53815</v>
      </c>
      <c r="Z2123" s="184">
        <f>_xll.qlCalendarAdvance(Calendar,Y2123,NDays&amp;"D")</f>
        <v>53815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39"/>
        <v>1w</v>
      </c>
      <c r="Y2124" s="181">
        <f>_xll.qlCalendarAdvance(Calendar,Y2123,X2124,"f",FALSE)</f>
        <v>53822</v>
      </c>
      <c r="Z2124" s="184">
        <f>_xll.qlCalendarAdvance(Calendar,Y2124,NDays&amp;"D")</f>
        <v>53822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39"/>
        <v>1w</v>
      </c>
      <c r="Y2125" s="181">
        <f>_xll.qlCalendarAdvance(Calendar,Y2124,X2125,"f",FALSE)</f>
        <v>53829</v>
      </c>
      <c r="Z2125" s="184">
        <f>_xll.qlCalendarAdvance(Calendar,Y2125,NDays&amp;"D")</f>
        <v>53829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39"/>
        <v>1w</v>
      </c>
      <c r="Y2126" s="181">
        <f>_xll.qlCalendarAdvance(Calendar,Y2125,X2126,"f",FALSE)</f>
        <v>53836</v>
      </c>
      <c r="Z2126" s="184">
        <f>_xll.qlCalendarAdvance(Calendar,Y2126,NDays&amp;"D")</f>
        <v>53836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39"/>
        <v>1w</v>
      </c>
      <c r="Y2127" s="181">
        <f>_xll.qlCalendarAdvance(Calendar,Y2126,X2127,"f",FALSE)</f>
        <v>53843</v>
      </c>
      <c r="Z2127" s="184">
        <f>_xll.qlCalendarAdvance(Calendar,Y2127,NDays&amp;"D")</f>
        <v>53843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39"/>
        <v>1w</v>
      </c>
      <c r="Y2128" s="181">
        <f>_xll.qlCalendarAdvance(Calendar,Y2127,X2128,"f",FALSE)</f>
        <v>53850</v>
      </c>
      <c r="Z2128" s="184">
        <f>_xll.qlCalendarAdvance(Calendar,Y2128,NDays&amp;"D")</f>
        <v>53850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39"/>
        <v>1w</v>
      </c>
      <c r="Y2129" s="181">
        <f>_xll.qlCalendarAdvance(Calendar,Y2128,X2129,"f",FALSE)</f>
        <v>53857</v>
      </c>
      <c r="Z2129" s="184">
        <f>_xll.qlCalendarAdvance(Calendar,Y2129,NDays&amp;"D")</f>
        <v>53857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39"/>
        <v>1w</v>
      </c>
      <c r="Y2130" s="181">
        <f>_xll.qlCalendarAdvance(Calendar,Y2129,X2130,"f",FALSE)</f>
        <v>53864</v>
      </c>
      <c r="Z2130" s="184">
        <f>_xll.qlCalendarAdvance(Calendar,Y2130,NDays&amp;"D")</f>
        <v>53864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39"/>
        <v>1w</v>
      </c>
      <c r="Y2131" s="181">
        <f>_xll.qlCalendarAdvance(Calendar,Y2130,X2131,"f",FALSE)</f>
        <v>53871</v>
      </c>
      <c r="Z2131" s="184">
        <f>_xll.qlCalendarAdvance(Calendar,Y2131,NDays&amp;"D")</f>
        <v>53871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39"/>
        <v>1w</v>
      </c>
      <c r="Y2132" s="181">
        <f>_xll.qlCalendarAdvance(Calendar,Y2131,X2132,"f",FALSE)</f>
        <v>53878</v>
      </c>
      <c r="Z2132" s="184">
        <f>_xll.qlCalendarAdvance(Calendar,Y2132,NDays&amp;"D")</f>
        <v>53878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0">X2132</f>
        <v>1w</v>
      </c>
      <c r="Y2133" s="181">
        <f>_xll.qlCalendarAdvance(Calendar,Y2132,X2133,"f",FALSE)</f>
        <v>53885</v>
      </c>
      <c r="Z2133" s="184">
        <f>_xll.qlCalendarAdvance(Calendar,Y2133,NDays&amp;"D")</f>
        <v>53885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0"/>
        <v>1w</v>
      </c>
      <c r="Y2134" s="181">
        <f>_xll.qlCalendarAdvance(Calendar,Y2133,X2134,"f",FALSE)</f>
        <v>53892</v>
      </c>
      <c r="Z2134" s="184">
        <f>_xll.qlCalendarAdvance(Calendar,Y2134,NDays&amp;"D")</f>
        <v>53892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0"/>
        <v>1w</v>
      </c>
      <c r="Y2135" s="181">
        <f>_xll.qlCalendarAdvance(Calendar,Y2134,X2135,"f",FALSE)</f>
        <v>53899</v>
      </c>
      <c r="Z2135" s="184">
        <f>_xll.qlCalendarAdvance(Calendar,Y2135,NDays&amp;"D")</f>
        <v>53899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0"/>
        <v>1w</v>
      </c>
      <c r="Y2136" s="181">
        <f>_xll.qlCalendarAdvance(Calendar,Y2135,X2136,"f",FALSE)</f>
        <v>53906</v>
      </c>
      <c r="Z2136" s="184">
        <f>_xll.qlCalendarAdvance(Calendar,Y2136,NDays&amp;"D")</f>
        <v>53906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0"/>
        <v>1w</v>
      </c>
      <c r="Y2137" s="181">
        <f>_xll.qlCalendarAdvance(Calendar,Y2136,X2137,"f",FALSE)</f>
        <v>53913</v>
      </c>
      <c r="Z2137" s="184">
        <f>_xll.qlCalendarAdvance(Calendar,Y2137,NDays&amp;"D")</f>
        <v>53913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0"/>
        <v>1w</v>
      </c>
      <c r="Y2138" s="181">
        <f>_xll.qlCalendarAdvance(Calendar,Y2137,X2138,"f",FALSE)</f>
        <v>53920</v>
      </c>
      <c r="Z2138" s="184">
        <f>_xll.qlCalendarAdvance(Calendar,Y2138,NDays&amp;"D")</f>
        <v>53920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0"/>
        <v>1w</v>
      </c>
      <c r="Y2139" s="181">
        <f>_xll.qlCalendarAdvance(Calendar,Y2138,X2139,"f",FALSE)</f>
        <v>53927</v>
      </c>
      <c r="Z2139" s="184">
        <f>_xll.qlCalendarAdvance(Calendar,Y2139,NDays&amp;"D")</f>
        <v>53927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0"/>
        <v>1w</v>
      </c>
      <c r="Y2140" s="181">
        <f>_xll.qlCalendarAdvance(Calendar,Y2139,X2140,"f",FALSE)</f>
        <v>53934</v>
      </c>
      <c r="Z2140" s="184">
        <f>_xll.qlCalendarAdvance(Calendar,Y2140,NDays&amp;"D")</f>
        <v>53934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0"/>
        <v>1w</v>
      </c>
      <c r="Y2141" s="181">
        <f>_xll.qlCalendarAdvance(Calendar,Y2140,X2141,"f",FALSE)</f>
        <v>53941</v>
      </c>
      <c r="Z2141" s="184">
        <f>_xll.qlCalendarAdvance(Calendar,Y2141,NDays&amp;"D")</f>
        <v>53941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0"/>
        <v>1w</v>
      </c>
      <c r="Y2142" s="181">
        <f>_xll.qlCalendarAdvance(Calendar,Y2141,X2142,"f",FALSE)</f>
        <v>53948</v>
      </c>
      <c r="Z2142" s="184">
        <f>_xll.qlCalendarAdvance(Calendar,Y2142,NDays&amp;"D")</f>
        <v>53948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0"/>
        <v>1w</v>
      </c>
      <c r="Y2143" s="181">
        <f>_xll.qlCalendarAdvance(Calendar,Y2142,X2143,"f",FALSE)</f>
        <v>53955</v>
      </c>
      <c r="Z2143" s="184">
        <f>_xll.qlCalendarAdvance(Calendar,Y2143,NDays&amp;"D")</f>
        <v>53955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0"/>
        <v>1w</v>
      </c>
      <c r="Y2144" s="181">
        <f>_xll.qlCalendarAdvance(Calendar,Y2143,X2144,"f",FALSE)</f>
        <v>53962</v>
      </c>
      <c r="Z2144" s="184">
        <f>_xll.qlCalendarAdvance(Calendar,Y2144,NDays&amp;"D")</f>
        <v>53962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0"/>
        <v>1w</v>
      </c>
      <c r="Y2145" s="181">
        <f>_xll.qlCalendarAdvance(Calendar,Y2144,X2145,"f",FALSE)</f>
        <v>53969</v>
      </c>
      <c r="Z2145" s="184">
        <f>_xll.qlCalendarAdvance(Calendar,Y2145,NDays&amp;"D")</f>
        <v>53969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0"/>
        <v>1w</v>
      </c>
      <c r="Y2146" s="181">
        <f>_xll.qlCalendarAdvance(Calendar,Y2145,X2146,"f",FALSE)</f>
        <v>53976</v>
      </c>
      <c r="Z2146" s="184">
        <f>_xll.qlCalendarAdvance(Calendar,Y2146,NDays&amp;"D")</f>
        <v>53976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0"/>
        <v>1w</v>
      </c>
      <c r="Y2147" s="181">
        <f>_xll.qlCalendarAdvance(Calendar,Y2146,X2147,"f",FALSE)</f>
        <v>53983</v>
      </c>
      <c r="Z2147" s="184">
        <f>_xll.qlCalendarAdvance(Calendar,Y2147,NDays&amp;"D")</f>
        <v>53983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0"/>
        <v>1w</v>
      </c>
      <c r="Y2148" s="181">
        <f>_xll.qlCalendarAdvance(Calendar,Y2147,X2148,"f",FALSE)</f>
        <v>53990</v>
      </c>
      <c r="Z2148" s="184">
        <f>_xll.qlCalendarAdvance(Calendar,Y2148,NDays&amp;"D")</f>
        <v>53990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0"/>
        <v>1w</v>
      </c>
      <c r="Y2149" s="181">
        <f>_xll.qlCalendarAdvance(Calendar,Y2148,X2149,"f",FALSE)</f>
        <v>53997</v>
      </c>
      <c r="Z2149" s="184">
        <f>_xll.qlCalendarAdvance(Calendar,Y2149,NDays&amp;"D")</f>
        <v>53997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0"/>
        <v>1w</v>
      </c>
      <c r="Y2150" s="181">
        <f>_xll.qlCalendarAdvance(Calendar,Y2149,X2150,"f",FALSE)</f>
        <v>54004</v>
      </c>
      <c r="Z2150" s="184">
        <f>_xll.qlCalendarAdvance(Calendar,Y2150,NDays&amp;"D")</f>
        <v>54004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0"/>
        <v>1w</v>
      </c>
      <c r="Y2151" s="181">
        <f>_xll.qlCalendarAdvance(Calendar,Y2150,X2151,"f",FALSE)</f>
        <v>54011</v>
      </c>
      <c r="Z2151" s="184">
        <f>_xll.qlCalendarAdvance(Calendar,Y2151,NDays&amp;"D")</f>
        <v>54011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0"/>
        <v>1w</v>
      </c>
      <c r="Y2152" s="181">
        <f>_xll.qlCalendarAdvance(Calendar,Y2151,X2152,"f",FALSE)</f>
        <v>54018</v>
      </c>
      <c r="Z2152" s="184">
        <f>_xll.qlCalendarAdvance(Calendar,Y2152,NDays&amp;"D")</f>
        <v>54018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0"/>
        <v>1w</v>
      </c>
      <c r="Y2153" s="181">
        <f>_xll.qlCalendarAdvance(Calendar,Y2152,X2153,"f",FALSE)</f>
        <v>54025</v>
      </c>
      <c r="Z2153" s="184">
        <f>_xll.qlCalendarAdvance(Calendar,Y2153,NDays&amp;"D")</f>
        <v>54025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0"/>
        <v>1w</v>
      </c>
      <c r="Y2154" s="181">
        <f>_xll.qlCalendarAdvance(Calendar,Y2153,X2154,"f",FALSE)</f>
        <v>54032</v>
      </c>
      <c r="Z2154" s="184">
        <f>_xll.qlCalendarAdvance(Calendar,Y2154,NDays&amp;"D")</f>
        <v>54032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0"/>
        <v>1w</v>
      </c>
      <c r="Y2155" s="181">
        <f>_xll.qlCalendarAdvance(Calendar,Y2154,X2155,"f",FALSE)</f>
        <v>54039</v>
      </c>
      <c r="Z2155" s="184">
        <f>_xll.qlCalendarAdvance(Calendar,Y2155,NDays&amp;"D")</f>
        <v>54039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0"/>
        <v>1w</v>
      </c>
      <c r="Y2156" s="181">
        <f>_xll.qlCalendarAdvance(Calendar,Y2155,X2156,"f",FALSE)</f>
        <v>54046</v>
      </c>
      <c r="Z2156" s="184">
        <f>_xll.qlCalendarAdvance(Calendar,Y2156,NDays&amp;"D")</f>
        <v>54046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0"/>
        <v>1w</v>
      </c>
      <c r="Y2157" s="181">
        <f>_xll.qlCalendarAdvance(Calendar,Y2156,X2157,"f",FALSE)</f>
        <v>54053</v>
      </c>
      <c r="Z2157" s="184">
        <f>_xll.qlCalendarAdvance(Calendar,Y2157,NDays&amp;"D")</f>
        <v>54053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0"/>
        <v>1w</v>
      </c>
      <c r="Y2158" s="181">
        <f>_xll.qlCalendarAdvance(Calendar,Y2157,X2158,"f",FALSE)</f>
        <v>54060</v>
      </c>
      <c r="Z2158" s="184">
        <f>_xll.qlCalendarAdvance(Calendar,Y2158,NDays&amp;"D")</f>
        <v>54060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0"/>
        <v>1w</v>
      </c>
      <c r="Y2159" s="181">
        <f>_xll.qlCalendarAdvance(Calendar,Y2158,X2159,"f",FALSE)</f>
        <v>54067</v>
      </c>
      <c r="Z2159" s="184">
        <f>_xll.qlCalendarAdvance(Calendar,Y2159,NDays&amp;"D")</f>
        <v>54067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0"/>
        <v>1w</v>
      </c>
      <c r="Y2160" s="181">
        <f>_xll.qlCalendarAdvance(Calendar,Y2159,X2160,"f",FALSE)</f>
        <v>54074</v>
      </c>
      <c r="Z2160" s="184">
        <f>_xll.qlCalendarAdvance(Calendar,Y2160,NDays&amp;"D")</f>
        <v>54074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0"/>
        <v>1w</v>
      </c>
      <c r="Y2161" s="181">
        <f>_xll.qlCalendarAdvance(Calendar,Y2160,X2161,"f",FALSE)</f>
        <v>54081</v>
      </c>
      <c r="Z2161" s="184">
        <f>_xll.qlCalendarAdvance(Calendar,Y2161,NDays&amp;"D")</f>
        <v>54081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0"/>
        <v>1w</v>
      </c>
      <c r="Y2162" s="181">
        <f>_xll.qlCalendarAdvance(Calendar,Y2161,X2162,"f",FALSE)</f>
        <v>54088</v>
      </c>
      <c r="Z2162" s="184">
        <f>_xll.qlCalendarAdvance(Calendar,Y2162,NDays&amp;"D")</f>
        <v>54088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0"/>
        <v>1w</v>
      </c>
      <c r="Y2163" s="181">
        <f>_xll.qlCalendarAdvance(Calendar,Y2162,X2163,"f",FALSE)</f>
        <v>54095</v>
      </c>
      <c r="Z2163" s="184">
        <f>_xll.qlCalendarAdvance(Calendar,Y2163,NDays&amp;"D")</f>
        <v>54095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0"/>
        <v>1w</v>
      </c>
      <c r="Y2164" s="181">
        <f>_xll.qlCalendarAdvance(Calendar,Y2163,X2164,"f",FALSE)</f>
        <v>54102</v>
      </c>
      <c r="Z2164" s="184">
        <f>_xll.qlCalendarAdvance(Calendar,Y2164,NDays&amp;"D")</f>
        <v>54102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0"/>
        <v>1w</v>
      </c>
      <c r="Y2165" s="181">
        <f>_xll.qlCalendarAdvance(Calendar,Y2164,X2165,"f",FALSE)</f>
        <v>54109</v>
      </c>
      <c r="Z2165" s="184">
        <f>_xll.qlCalendarAdvance(Calendar,Y2165,NDays&amp;"D")</f>
        <v>54109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0"/>
        <v>1w</v>
      </c>
      <c r="Y2166" s="181">
        <f>_xll.qlCalendarAdvance(Calendar,Y2165,X2166,"f",FALSE)</f>
        <v>54116</v>
      </c>
      <c r="Z2166" s="184">
        <f>_xll.qlCalendarAdvance(Calendar,Y2166,NDays&amp;"D")</f>
        <v>54116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0"/>
        <v>1w</v>
      </c>
      <c r="Y2167" s="181">
        <f>_xll.qlCalendarAdvance(Calendar,Y2166,X2167,"f",FALSE)</f>
        <v>54123</v>
      </c>
      <c r="Z2167" s="184">
        <f>_xll.qlCalendarAdvance(Calendar,Y2167,NDays&amp;"D")</f>
        <v>54123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0"/>
        <v>1w</v>
      </c>
      <c r="Y2168" s="181">
        <f>_xll.qlCalendarAdvance(Calendar,Y2167,X2168,"f",FALSE)</f>
        <v>54130</v>
      </c>
      <c r="Z2168" s="184">
        <f>_xll.qlCalendarAdvance(Calendar,Y2168,NDays&amp;"D")</f>
        <v>54130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0"/>
        <v>1w</v>
      </c>
      <c r="Y2169" s="181">
        <f>_xll.qlCalendarAdvance(Calendar,Y2168,X2169,"f",FALSE)</f>
        <v>54137</v>
      </c>
      <c r="Z2169" s="184">
        <f>_xll.qlCalendarAdvance(Calendar,Y2169,NDays&amp;"D")</f>
        <v>54137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0"/>
        <v>1w</v>
      </c>
      <c r="Y2170" s="181">
        <f>_xll.qlCalendarAdvance(Calendar,Y2169,X2170,"f",FALSE)</f>
        <v>54144</v>
      </c>
      <c r="Z2170" s="184">
        <f>_xll.qlCalendarAdvance(Calendar,Y2170,NDays&amp;"D")</f>
        <v>54144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0"/>
        <v>1w</v>
      </c>
      <c r="Y2171" s="181">
        <f>_xll.qlCalendarAdvance(Calendar,Y2170,X2171,"f",FALSE)</f>
        <v>54155</v>
      </c>
      <c r="Z2171" s="184">
        <f>_xll.qlCalendarAdvance(Calendar,Y2171,NDays&amp;"D")</f>
        <v>54155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0"/>
        <v>1w</v>
      </c>
      <c r="Y2172" s="181">
        <f>_xll.qlCalendarAdvance(Calendar,Y2171,X2172,"f",FALSE)</f>
        <v>54162</v>
      </c>
      <c r="Z2172" s="184">
        <f>_xll.qlCalendarAdvance(Calendar,Y2172,NDays&amp;"D")</f>
        <v>54162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0"/>
        <v>1w</v>
      </c>
      <c r="Y2173" s="181">
        <f>_xll.qlCalendarAdvance(Calendar,Y2172,X2173,"f",FALSE)</f>
        <v>54169</v>
      </c>
      <c r="Z2173" s="184">
        <f>_xll.qlCalendarAdvance(Calendar,Y2173,NDays&amp;"D")</f>
        <v>54169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0"/>
        <v>1w</v>
      </c>
      <c r="Y2174" s="181">
        <f>_xll.qlCalendarAdvance(Calendar,Y2173,X2174,"f",FALSE)</f>
        <v>54176</v>
      </c>
      <c r="Z2174" s="184">
        <f>_xll.qlCalendarAdvance(Calendar,Y2174,NDays&amp;"D")</f>
        <v>54176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0"/>
        <v>1w</v>
      </c>
      <c r="Y2175" s="181">
        <f>_xll.qlCalendarAdvance(Calendar,Y2174,X2175,"f",FALSE)</f>
        <v>54183</v>
      </c>
      <c r="Z2175" s="184">
        <f>_xll.qlCalendarAdvance(Calendar,Y2175,NDays&amp;"D")</f>
        <v>54183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0"/>
        <v>1w</v>
      </c>
      <c r="Y2176" s="181">
        <f>_xll.qlCalendarAdvance(Calendar,Y2175,X2176,"f",FALSE)</f>
        <v>54190</v>
      </c>
      <c r="Z2176" s="184">
        <f>_xll.qlCalendarAdvance(Calendar,Y2176,NDays&amp;"D")</f>
        <v>54190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0"/>
        <v>1w</v>
      </c>
      <c r="Y2177" s="181">
        <f>_xll.qlCalendarAdvance(Calendar,Y2176,X2177,"f",FALSE)</f>
        <v>54197</v>
      </c>
      <c r="Z2177" s="184">
        <f>_xll.qlCalendarAdvance(Calendar,Y2177,NDays&amp;"D")</f>
        <v>54197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0"/>
        <v>1w</v>
      </c>
      <c r="Y2178" s="181">
        <f>_xll.qlCalendarAdvance(Calendar,Y2177,X2178,"f",FALSE)</f>
        <v>54204</v>
      </c>
      <c r="Z2178" s="184">
        <f>_xll.qlCalendarAdvance(Calendar,Y2178,NDays&amp;"D")</f>
        <v>54204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0"/>
        <v>1w</v>
      </c>
      <c r="Y2179" s="181">
        <f>_xll.qlCalendarAdvance(Calendar,Y2178,X2179,"f",FALSE)</f>
        <v>54211</v>
      </c>
      <c r="Z2179" s="184">
        <f>_xll.qlCalendarAdvance(Calendar,Y2179,NDays&amp;"D")</f>
        <v>54211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0"/>
        <v>1w</v>
      </c>
      <c r="Y2180" s="181">
        <f>_xll.qlCalendarAdvance(Calendar,Y2179,X2180,"f",FALSE)</f>
        <v>54218</v>
      </c>
      <c r="Z2180" s="184">
        <f>_xll.qlCalendarAdvance(Calendar,Y2180,NDays&amp;"D")</f>
        <v>54218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0"/>
        <v>1w</v>
      </c>
      <c r="Y2181" s="181">
        <f>_xll.qlCalendarAdvance(Calendar,Y2180,X2181,"f",FALSE)</f>
        <v>54225</v>
      </c>
      <c r="Z2181" s="184">
        <f>_xll.qlCalendarAdvance(Calendar,Y2181,NDays&amp;"D")</f>
        <v>54225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0"/>
        <v>1w</v>
      </c>
      <c r="Y2182" s="181">
        <f>_xll.qlCalendarAdvance(Calendar,Y2181,X2182,"f",FALSE)</f>
        <v>54232</v>
      </c>
      <c r="Z2182" s="184">
        <f>_xll.qlCalendarAdvance(Calendar,Y2182,NDays&amp;"D")</f>
        <v>54232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0"/>
        <v>1w</v>
      </c>
      <c r="Y2183" s="181">
        <f>_xll.qlCalendarAdvance(Calendar,Y2182,X2183,"f",FALSE)</f>
        <v>54239</v>
      </c>
      <c r="Z2183" s="184">
        <f>_xll.qlCalendarAdvance(Calendar,Y2183,NDays&amp;"D")</f>
        <v>54239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0"/>
        <v>1w</v>
      </c>
      <c r="Y2184" s="181">
        <f>_xll.qlCalendarAdvance(Calendar,Y2183,X2184,"f",FALSE)</f>
        <v>54246</v>
      </c>
      <c r="Z2184" s="184">
        <f>_xll.qlCalendarAdvance(Calendar,Y2184,NDays&amp;"D")</f>
        <v>54246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0"/>
        <v>1w</v>
      </c>
      <c r="Y2185" s="181">
        <f>_xll.qlCalendarAdvance(Calendar,Y2184,X2185,"f",FALSE)</f>
        <v>54253</v>
      </c>
      <c r="Z2185" s="184">
        <f>_xll.qlCalendarAdvance(Calendar,Y2185,NDays&amp;"D")</f>
        <v>54253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0"/>
        <v>1w</v>
      </c>
      <c r="Y2186" s="181">
        <f>_xll.qlCalendarAdvance(Calendar,Y2185,X2186,"f",FALSE)</f>
        <v>54260</v>
      </c>
      <c r="Z2186" s="184">
        <f>_xll.qlCalendarAdvance(Calendar,Y2186,NDays&amp;"D")</f>
        <v>54260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0"/>
        <v>1w</v>
      </c>
      <c r="Y2187" s="181">
        <f>_xll.qlCalendarAdvance(Calendar,Y2186,X2187,"f",FALSE)</f>
        <v>54267</v>
      </c>
      <c r="Z2187" s="184">
        <f>_xll.qlCalendarAdvance(Calendar,Y2187,NDays&amp;"D")</f>
        <v>54267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0"/>
        <v>1w</v>
      </c>
      <c r="Y2188" s="181">
        <f>_xll.qlCalendarAdvance(Calendar,Y2187,X2188,"f",FALSE)</f>
        <v>54274</v>
      </c>
      <c r="Z2188" s="184">
        <f>_xll.qlCalendarAdvance(Calendar,Y2188,NDays&amp;"D")</f>
        <v>54274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0"/>
        <v>1w</v>
      </c>
      <c r="Y2189" s="181">
        <f>_xll.qlCalendarAdvance(Calendar,Y2188,X2189,"f",FALSE)</f>
        <v>54281</v>
      </c>
      <c r="Z2189" s="184">
        <f>_xll.qlCalendarAdvance(Calendar,Y2189,NDays&amp;"D")</f>
        <v>54281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0"/>
        <v>1w</v>
      </c>
      <c r="Y2190" s="181">
        <f>_xll.qlCalendarAdvance(Calendar,Y2189,X2190,"f",FALSE)</f>
        <v>54288</v>
      </c>
      <c r="Z2190" s="184">
        <f>_xll.qlCalendarAdvance(Calendar,Y2190,NDays&amp;"D")</f>
        <v>54288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0"/>
        <v>1w</v>
      </c>
      <c r="Y2191" s="181">
        <f>_xll.qlCalendarAdvance(Calendar,Y2190,X2191,"f",FALSE)</f>
        <v>54295</v>
      </c>
      <c r="Z2191" s="184">
        <f>_xll.qlCalendarAdvance(Calendar,Y2191,NDays&amp;"D")</f>
        <v>54295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0"/>
        <v>1w</v>
      </c>
      <c r="Y2192" s="181">
        <f>_xll.qlCalendarAdvance(Calendar,Y2191,X2192,"f",FALSE)</f>
        <v>54302</v>
      </c>
      <c r="Z2192" s="184">
        <f>_xll.qlCalendarAdvance(Calendar,Y2192,NDays&amp;"D")</f>
        <v>54302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0"/>
        <v>1w</v>
      </c>
      <c r="Y2193" s="181">
        <f>_xll.qlCalendarAdvance(Calendar,Y2192,X2193,"f",FALSE)</f>
        <v>54309</v>
      </c>
      <c r="Z2193" s="184">
        <f>_xll.qlCalendarAdvance(Calendar,Y2193,NDays&amp;"D")</f>
        <v>54309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0"/>
        <v>1w</v>
      </c>
      <c r="Y2194" s="181">
        <f>_xll.qlCalendarAdvance(Calendar,Y2193,X2194,"f",FALSE)</f>
        <v>54316</v>
      </c>
      <c r="Z2194" s="184">
        <f>_xll.qlCalendarAdvance(Calendar,Y2194,NDays&amp;"D")</f>
        <v>54316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0"/>
        <v>1w</v>
      </c>
      <c r="Y2195" s="181">
        <f>_xll.qlCalendarAdvance(Calendar,Y2194,X2195,"f",FALSE)</f>
        <v>54323</v>
      </c>
      <c r="Z2195" s="184">
        <f>_xll.qlCalendarAdvance(Calendar,Y2195,NDays&amp;"D")</f>
        <v>54323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0"/>
        <v>1w</v>
      </c>
      <c r="Y2196" s="181">
        <f>_xll.qlCalendarAdvance(Calendar,Y2195,X2196,"f",FALSE)</f>
        <v>54330</v>
      </c>
      <c r="Z2196" s="184">
        <f>_xll.qlCalendarAdvance(Calendar,Y2196,NDays&amp;"D")</f>
        <v>54330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1">X2196</f>
        <v>1w</v>
      </c>
      <c r="Y2197" s="181">
        <f>_xll.qlCalendarAdvance(Calendar,Y2196,X2197,"f",FALSE)</f>
        <v>54337</v>
      </c>
      <c r="Z2197" s="184">
        <f>_xll.qlCalendarAdvance(Calendar,Y2197,NDays&amp;"D")</f>
        <v>54337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1"/>
        <v>1w</v>
      </c>
      <c r="Y2198" s="181">
        <f>_xll.qlCalendarAdvance(Calendar,Y2197,X2198,"f",FALSE)</f>
        <v>54344</v>
      </c>
      <c r="Z2198" s="184">
        <f>_xll.qlCalendarAdvance(Calendar,Y2198,NDays&amp;"D")</f>
        <v>54344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1"/>
        <v>1w</v>
      </c>
      <c r="Y2199" s="181">
        <f>_xll.qlCalendarAdvance(Calendar,Y2198,X2199,"f",FALSE)</f>
        <v>54351</v>
      </c>
      <c r="Z2199" s="184">
        <f>_xll.qlCalendarAdvance(Calendar,Y2199,NDays&amp;"D")</f>
        <v>54351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1"/>
        <v>1w</v>
      </c>
      <c r="Y2200" s="181">
        <f>_xll.qlCalendarAdvance(Calendar,Y2199,X2200,"f",FALSE)</f>
        <v>54358</v>
      </c>
      <c r="Z2200" s="184">
        <f>_xll.qlCalendarAdvance(Calendar,Y2200,NDays&amp;"D")</f>
        <v>54358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1"/>
        <v>1w</v>
      </c>
      <c r="Y2201" s="181">
        <f>_xll.qlCalendarAdvance(Calendar,Y2200,X2201,"f",FALSE)</f>
        <v>54365</v>
      </c>
      <c r="Z2201" s="184">
        <f>_xll.qlCalendarAdvance(Calendar,Y2201,NDays&amp;"D")</f>
        <v>54365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1"/>
        <v>1w</v>
      </c>
      <c r="Y2202" s="181">
        <f>_xll.qlCalendarAdvance(Calendar,Y2201,X2202,"f",FALSE)</f>
        <v>54372</v>
      </c>
      <c r="Z2202" s="184">
        <f>_xll.qlCalendarAdvance(Calendar,Y2202,NDays&amp;"D")</f>
        <v>54372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1"/>
        <v>1w</v>
      </c>
      <c r="Y2203" s="181">
        <f>_xll.qlCalendarAdvance(Calendar,Y2202,X2203,"f",FALSE)</f>
        <v>54379</v>
      </c>
      <c r="Z2203" s="184">
        <f>_xll.qlCalendarAdvance(Calendar,Y2203,NDays&amp;"D")</f>
        <v>54379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1"/>
        <v>1w</v>
      </c>
      <c r="Y2204" s="181">
        <f>_xll.qlCalendarAdvance(Calendar,Y2203,X2204,"f",FALSE)</f>
        <v>54386</v>
      </c>
      <c r="Z2204" s="184">
        <f>_xll.qlCalendarAdvance(Calendar,Y2204,NDays&amp;"D")</f>
        <v>54386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1"/>
        <v>1w</v>
      </c>
      <c r="Y2205" s="181">
        <f>_xll.qlCalendarAdvance(Calendar,Y2204,X2205,"f",FALSE)</f>
        <v>54393</v>
      </c>
      <c r="Z2205" s="184">
        <f>_xll.qlCalendarAdvance(Calendar,Y2205,NDays&amp;"D")</f>
        <v>54393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1"/>
        <v>1w</v>
      </c>
      <c r="Y2206" s="181">
        <f>_xll.qlCalendarAdvance(Calendar,Y2205,X2206,"f",FALSE)</f>
        <v>54400</v>
      </c>
      <c r="Z2206" s="184">
        <f>_xll.qlCalendarAdvance(Calendar,Y2206,NDays&amp;"D")</f>
        <v>54400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1"/>
        <v>1w</v>
      </c>
      <c r="Y2207" s="181">
        <f>_xll.qlCalendarAdvance(Calendar,Y2206,X2207,"f",FALSE)</f>
        <v>54407</v>
      </c>
      <c r="Z2207" s="184">
        <f>_xll.qlCalendarAdvance(Calendar,Y2207,NDays&amp;"D")</f>
        <v>54407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1"/>
        <v>1w</v>
      </c>
      <c r="Y2208" s="181">
        <f>_xll.qlCalendarAdvance(Calendar,Y2207,X2208,"f",FALSE)</f>
        <v>54414</v>
      </c>
      <c r="Z2208" s="184">
        <f>_xll.qlCalendarAdvance(Calendar,Y2208,NDays&amp;"D")</f>
        <v>54414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1"/>
        <v>1w</v>
      </c>
      <c r="Y2209" s="181">
        <f>_xll.qlCalendarAdvance(Calendar,Y2208,X2209,"f",FALSE)</f>
        <v>54421</v>
      </c>
      <c r="Z2209" s="184">
        <f>_xll.qlCalendarAdvance(Calendar,Y2209,NDays&amp;"D")</f>
        <v>54421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1"/>
        <v>1w</v>
      </c>
      <c r="Y2210" s="181">
        <f>_xll.qlCalendarAdvance(Calendar,Y2209,X2210,"f",FALSE)</f>
        <v>54428</v>
      </c>
      <c r="Z2210" s="184">
        <f>_xll.qlCalendarAdvance(Calendar,Y2210,NDays&amp;"D")</f>
        <v>54428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1"/>
        <v>1w</v>
      </c>
      <c r="Y2211" s="181">
        <f>_xll.qlCalendarAdvance(Calendar,Y2210,X2211,"f",FALSE)</f>
        <v>54435</v>
      </c>
      <c r="Z2211" s="184">
        <f>_xll.qlCalendarAdvance(Calendar,Y2211,NDays&amp;"D")</f>
        <v>54435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1"/>
        <v>1w</v>
      </c>
      <c r="Y2212" s="181">
        <f>_xll.qlCalendarAdvance(Calendar,Y2211,X2212,"f",FALSE)</f>
        <v>54442</v>
      </c>
      <c r="Z2212" s="184">
        <f>_xll.qlCalendarAdvance(Calendar,Y2212,NDays&amp;"D")</f>
        <v>54442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1"/>
        <v>1w</v>
      </c>
      <c r="Y2213" s="181">
        <f>_xll.qlCalendarAdvance(Calendar,Y2212,X2213,"f",FALSE)</f>
        <v>54450</v>
      </c>
      <c r="Z2213" s="184">
        <f>_xll.qlCalendarAdvance(Calendar,Y2213,NDays&amp;"D")</f>
        <v>54450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1"/>
        <v>1w</v>
      </c>
      <c r="Y2214" s="181">
        <f>_xll.qlCalendarAdvance(Calendar,Y2213,X2214,"f",FALSE)</f>
        <v>54457</v>
      </c>
      <c r="Z2214" s="184">
        <f>_xll.qlCalendarAdvance(Calendar,Y2214,NDays&amp;"D")</f>
        <v>54457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1"/>
        <v>1w</v>
      </c>
      <c r="Y2215" s="181">
        <f>_xll.qlCalendarAdvance(Calendar,Y2214,X2215,"f",FALSE)</f>
        <v>54464</v>
      </c>
      <c r="Z2215" s="184">
        <f>_xll.qlCalendarAdvance(Calendar,Y2215,NDays&amp;"D")</f>
        <v>54464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1"/>
        <v>1w</v>
      </c>
      <c r="Y2216" s="181">
        <f>_xll.qlCalendarAdvance(Calendar,Y2215,X2216,"f",FALSE)</f>
        <v>54471</v>
      </c>
      <c r="Z2216" s="184">
        <f>_xll.qlCalendarAdvance(Calendar,Y2216,NDays&amp;"D")</f>
        <v>54471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1"/>
        <v>1w</v>
      </c>
      <c r="Y2217" s="181">
        <f>_xll.qlCalendarAdvance(Calendar,Y2216,X2217,"f",FALSE)</f>
        <v>54478</v>
      </c>
      <c r="Z2217" s="184">
        <f>_xll.qlCalendarAdvance(Calendar,Y2217,NDays&amp;"D")</f>
        <v>54478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1"/>
        <v>1w</v>
      </c>
      <c r="Y2218" s="181">
        <f>_xll.qlCalendarAdvance(Calendar,Y2217,X2218,"f",FALSE)</f>
        <v>54485</v>
      </c>
      <c r="Z2218" s="184">
        <f>_xll.qlCalendarAdvance(Calendar,Y2218,NDays&amp;"D")</f>
        <v>54485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1"/>
        <v>1w</v>
      </c>
      <c r="Y2219" s="181">
        <f>_xll.qlCalendarAdvance(Calendar,Y2218,X2219,"f",FALSE)</f>
        <v>54492</v>
      </c>
      <c r="Z2219" s="184">
        <f>_xll.qlCalendarAdvance(Calendar,Y2219,NDays&amp;"D")</f>
        <v>54492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1"/>
        <v>1w</v>
      </c>
      <c r="Y2220" s="181">
        <f>_xll.qlCalendarAdvance(Calendar,Y2219,X2220,"f",FALSE)</f>
        <v>54499</v>
      </c>
      <c r="Z2220" s="184">
        <f>_xll.qlCalendarAdvance(Calendar,Y2220,NDays&amp;"D")</f>
        <v>54499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1"/>
        <v>1w</v>
      </c>
      <c r="Y2221" s="181">
        <f>_xll.qlCalendarAdvance(Calendar,Y2220,X2221,"f",FALSE)</f>
        <v>54506</v>
      </c>
      <c r="Z2221" s="184">
        <f>_xll.qlCalendarAdvance(Calendar,Y2221,NDays&amp;"D")</f>
        <v>54506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1"/>
        <v>1w</v>
      </c>
      <c r="Y2222" s="181">
        <f>_xll.qlCalendarAdvance(Calendar,Y2221,X2222,"f",FALSE)</f>
        <v>54513</v>
      </c>
      <c r="Z2222" s="184">
        <f>_xll.qlCalendarAdvance(Calendar,Y2222,NDays&amp;"D")</f>
        <v>54513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1"/>
        <v>1w</v>
      </c>
      <c r="Y2223" s="181">
        <f>_xll.qlCalendarAdvance(Calendar,Y2222,X2223,"f",FALSE)</f>
        <v>54520</v>
      </c>
      <c r="Z2223" s="184">
        <f>_xll.qlCalendarAdvance(Calendar,Y2223,NDays&amp;"D")</f>
        <v>54520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1"/>
        <v>1w</v>
      </c>
      <c r="Y2224" s="181">
        <f>_xll.qlCalendarAdvance(Calendar,Y2223,X2224,"f",FALSE)</f>
        <v>54527</v>
      </c>
      <c r="Z2224" s="184">
        <f>_xll.qlCalendarAdvance(Calendar,Y2224,NDays&amp;"D")</f>
        <v>54527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1"/>
        <v>1w</v>
      </c>
      <c r="Y2225" s="181">
        <f>_xll.qlCalendarAdvance(Calendar,Y2224,X2225,"f",FALSE)</f>
        <v>54534</v>
      </c>
      <c r="Z2225" s="184">
        <f>_xll.qlCalendarAdvance(Calendar,Y2225,NDays&amp;"D")</f>
        <v>54534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1"/>
        <v>1w</v>
      </c>
      <c r="Y2226" s="181">
        <f>_xll.qlCalendarAdvance(Calendar,Y2225,X2226,"f",FALSE)</f>
        <v>54541</v>
      </c>
      <c r="Z2226" s="184">
        <f>_xll.qlCalendarAdvance(Calendar,Y2226,NDays&amp;"D")</f>
        <v>54541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1"/>
        <v>1w</v>
      </c>
      <c r="Y2227" s="181">
        <f>_xll.qlCalendarAdvance(Calendar,Y2226,X2227,"f",FALSE)</f>
        <v>54548</v>
      </c>
      <c r="Z2227" s="184">
        <f>_xll.qlCalendarAdvance(Calendar,Y2227,NDays&amp;"D")</f>
        <v>54548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1"/>
        <v>1w</v>
      </c>
      <c r="Y2228" s="181">
        <f>_xll.qlCalendarAdvance(Calendar,Y2227,X2228,"f",FALSE)</f>
        <v>54555</v>
      </c>
      <c r="Z2228" s="184">
        <f>_xll.qlCalendarAdvance(Calendar,Y2228,NDays&amp;"D")</f>
        <v>54555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1"/>
        <v>1w</v>
      </c>
      <c r="Y2229" s="181">
        <f>_xll.qlCalendarAdvance(Calendar,Y2228,X2229,"f",FALSE)</f>
        <v>54562</v>
      </c>
      <c r="Z2229" s="184">
        <f>_xll.qlCalendarAdvance(Calendar,Y2229,NDays&amp;"D")</f>
        <v>54562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1"/>
        <v>1w</v>
      </c>
      <c r="Y2230" s="181">
        <f>_xll.qlCalendarAdvance(Calendar,Y2229,X2230,"f",FALSE)</f>
        <v>54569</v>
      </c>
      <c r="Z2230" s="184">
        <f>_xll.qlCalendarAdvance(Calendar,Y2230,NDays&amp;"D")</f>
        <v>54569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1"/>
        <v>1w</v>
      </c>
      <c r="Y2231" s="181">
        <f>_xll.qlCalendarAdvance(Calendar,Y2230,X2231,"f",FALSE)</f>
        <v>54576</v>
      </c>
      <c r="Z2231" s="184">
        <f>_xll.qlCalendarAdvance(Calendar,Y2231,NDays&amp;"D")</f>
        <v>54576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1"/>
        <v>1w</v>
      </c>
      <c r="Y2232" s="181">
        <f>_xll.qlCalendarAdvance(Calendar,Y2231,X2232,"f",FALSE)</f>
        <v>54583</v>
      </c>
      <c r="Z2232" s="184">
        <f>_xll.qlCalendarAdvance(Calendar,Y2232,NDays&amp;"D")</f>
        <v>54583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1"/>
        <v>1w</v>
      </c>
      <c r="Y2233" s="181">
        <f>_xll.qlCalendarAdvance(Calendar,Y2232,X2233,"f",FALSE)</f>
        <v>54590</v>
      </c>
      <c r="Z2233" s="184">
        <f>_xll.qlCalendarAdvance(Calendar,Y2233,NDays&amp;"D")</f>
        <v>54590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1"/>
        <v>1w</v>
      </c>
      <c r="Y2234" s="181">
        <f>_xll.qlCalendarAdvance(Calendar,Y2233,X2234,"f",FALSE)</f>
        <v>54597</v>
      </c>
      <c r="Z2234" s="184">
        <f>_xll.qlCalendarAdvance(Calendar,Y2234,NDays&amp;"D")</f>
        <v>54597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1"/>
        <v>1w</v>
      </c>
      <c r="Y2235" s="181">
        <f>_xll.qlCalendarAdvance(Calendar,Y2234,X2235,"f",FALSE)</f>
        <v>54604</v>
      </c>
      <c r="Z2235" s="184">
        <f>_xll.qlCalendarAdvance(Calendar,Y2235,NDays&amp;"D")</f>
        <v>54604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1"/>
        <v>1w</v>
      </c>
      <c r="Y2236" s="181">
        <f>_xll.qlCalendarAdvance(Calendar,Y2235,X2236,"f",FALSE)</f>
        <v>54611</v>
      </c>
      <c r="Z2236" s="184">
        <f>_xll.qlCalendarAdvance(Calendar,Y2236,NDays&amp;"D")</f>
        <v>54611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1"/>
        <v>1w</v>
      </c>
      <c r="Y2237" s="181">
        <f>_xll.qlCalendarAdvance(Calendar,Y2236,X2237,"f",FALSE)</f>
        <v>54618</v>
      </c>
      <c r="Z2237" s="184">
        <f>_xll.qlCalendarAdvance(Calendar,Y2237,NDays&amp;"D")</f>
        <v>54618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1"/>
        <v>1w</v>
      </c>
      <c r="Y2238" s="181">
        <f>_xll.qlCalendarAdvance(Calendar,Y2237,X2238,"f",FALSE)</f>
        <v>54625</v>
      </c>
      <c r="Z2238" s="184">
        <f>_xll.qlCalendarAdvance(Calendar,Y2238,NDays&amp;"D")</f>
        <v>54625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1"/>
        <v>1w</v>
      </c>
      <c r="Y2239" s="181">
        <f>_xll.qlCalendarAdvance(Calendar,Y2238,X2239,"f",FALSE)</f>
        <v>54632</v>
      </c>
      <c r="Z2239" s="184">
        <f>_xll.qlCalendarAdvance(Calendar,Y2239,NDays&amp;"D")</f>
        <v>54632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1"/>
        <v>1w</v>
      </c>
      <c r="Y2240" s="181">
        <f>_xll.qlCalendarAdvance(Calendar,Y2239,X2240,"f",FALSE)</f>
        <v>54639</v>
      </c>
      <c r="Z2240" s="184">
        <f>_xll.qlCalendarAdvance(Calendar,Y2240,NDays&amp;"D")</f>
        <v>54639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1"/>
        <v>1w</v>
      </c>
      <c r="Y2241" s="181">
        <f>_xll.qlCalendarAdvance(Calendar,Y2240,X2241,"f",FALSE)</f>
        <v>54646</v>
      </c>
      <c r="Z2241" s="184">
        <f>_xll.qlCalendarAdvance(Calendar,Y2241,NDays&amp;"D")</f>
        <v>54646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1"/>
        <v>1w</v>
      </c>
      <c r="Y2242" s="181">
        <f>_xll.qlCalendarAdvance(Calendar,Y2241,X2242,"f",FALSE)</f>
        <v>54653</v>
      </c>
      <c r="Z2242" s="184">
        <f>_xll.qlCalendarAdvance(Calendar,Y2242,NDays&amp;"D")</f>
        <v>54653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1"/>
        <v>1w</v>
      </c>
      <c r="Y2243" s="181">
        <f>_xll.qlCalendarAdvance(Calendar,Y2242,X2243,"f",FALSE)</f>
        <v>54660</v>
      </c>
      <c r="Z2243" s="184">
        <f>_xll.qlCalendarAdvance(Calendar,Y2243,NDays&amp;"D")</f>
        <v>54660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1"/>
        <v>1w</v>
      </c>
      <c r="Y2244" s="181">
        <f>_xll.qlCalendarAdvance(Calendar,Y2243,X2244,"f",FALSE)</f>
        <v>54667</v>
      </c>
      <c r="Z2244" s="184">
        <f>_xll.qlCalendarAdvance(Calendar,Y2244,NDays&amp;"D")</f>
        <v>54667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1"/>
        <v>1w</v>
      </c>
      <c r="Y2245" s="181">
        <f>_xll.qlCalendarAdvance(Calendar,Y2244,X2245,"f",FALSE)</f>
        <v>54674</v>
      </c>
      <c r="Z2245" s="184">
        <f>_xll.qlCalendarAdvance(Calendar,Y2245,NDays&amp;"D")</f>
        <v>54674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1"/>
        <v>1w</v>
      </c>
      <c r="Y2246" s="181">
        <f>_xll.qlCalendarAdvance(Calendar,Y2245,X2246,"f",FALSE)</f>
        <v>54681</v>
      </c>
      <c r="Z2246" s="184">
        <f>_xll.qlCalendarAdvance(Calendar,Y2246,NDays&amp;"D")</f>
        <v>54681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1"/>
        <v>1w</v>
      </c>
      <c r="Y2247" s="181">
        <f>_xll.qlCalendarAdvance(Calendar,Y2246,X2247,"f",FALSE)</f>
        <v>54688</v>
      </c>
      <c r="Z2247" s="184">
        <f>_xll.qlCalendarAdvance(Calendar,Y2247,NDays&amp;"D")</f>
        <v>54688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1"/>
        <v>1w</v>
      </c>
      <c r="Y2248" s="181">
        <f>_xll.qlCalendarAdvance(Calendar,Y2247,X2248,"f",FALSE)</f>
        <v>54695</v>
      </c>
      <c r="Z2248" s="184">
        <f>_xll.qlCalendarAdvance(Calendar,Y2248,NDays&amp;"D")</f>
        <v>54695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1"/>
        <v>1w</v>
      </c>
      <c r="Y2249" s="181">
        <f>_xll.qlCalendarAdvance(Calendar,Y2248,X2249,"f",FALSE)</f>
        <v>54702</v>
      </c>
      <c r="Z2249" s="184">
        <f>_xll.qlCalendarAdvance(Calendar,Y2249,NDays&amp;"D")</f>
        <v>54702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1"/>
        <v>1w</v>
      </c>
      <c r="Y2250" s="181">
        <f>_xll.qlCalendarAdvance(Calendar,Y2249,X2250,"f",FALSE)</f>
        <v>54709</v>
      </c>
      <c r="Z2250" s="184">
        <f>_xll.qlCalendarAdvance(Calendar,Y2250,NDays&amp;"D")</f>
        <v>54709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1"/>
        <v>1w</v>
      </c>
      <c r="Y2251" s="181">
        <f>_xll.qlCalendarAdvance(Calendar,Y2250,X2251,"f",FALSE)</f>
        <v>54716</v>
      </c>
      <c r="Z2251" s="184">
        <f>_xll.qlCalendarAdvance(Calendar,Y2251,NDays&amp;"D")</f>
        <v>54716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1"/>
        <v>1w</v>
      </c>
      <c r="Y2252" s="181">
        <f>_xll.qlCalendarAdvance(Calendar,Y2251,X2252,"f",FALSE)</f>
        <v>54723</v>
      </c>
      <c r="Z2252" s="184">
        <f>_xll.qlCalendarAdvance(Calendar,Y2252,NDays&amp;"D")</f>
        <v>54723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1"/>
        <v>1w</v>
      </c>
      <c r="Y2253" s="181">
        <f>_xll.qlCalendarAdvance(Calendar,Y2252,X2253,"f",FALSE)</f>
        <v>54730</v>
      </c>
      <c r="Z2253" s="184">
        <f>_xll.qlCalendarAdvance(Calendar,Y2253,NDays&amp;"D")</f>
        <v>54730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1"/>
        <v>1w</v>
      </c>
      <c r="Y2254" s="181">
        <f>_xll.qlCalendarAdvance(Calendar,Y2253,X2254,"f",FALSE)</f>
        <v>54737</v>
      </c>
      <c r="Z2254" s="184">
        <f>_xll.qlCalendarAdvance(Calendar,Y2254,NDays&amp;"D")</f>
        <v>54737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1"/>
        <v>1w</v>
      </c>
      <c r="Y2255" s="181">
        <f>_xll.qlCalendarAdvance(Calendar,Y2254,X2255,"f",FALSE)</f>
        <v>54744</v>
      </c>
      <c r="Z2255" s="184">
        <f>_xll.qlCalendarAdvance(Calendar,Y2255,NDays&amp;"D")</f>
        <v>54744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1"/>
        <v>1w</v>
      </c>
      <c r="Y2256" s="181">
        <f>_xll.qlCalendarAdvance(Calendar,Y2255,X2256,"f",FALSE)</f>
        <v>54751</v>
      </c>
      <c r="Z2256" s="184">
        <f>_xll.qlCalendarAdvance(Calendar,Y2256,NDays&amp;"D")</f>
        <v>54751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1"/>
        <v>1w</v>
      </c>
      <c r="Y2257" s="181">
        <f>_xll.qlCalendarAdvance(Calendar,Y2256,X2257,"f",FALSE)</f>
        <v>54758</v>
      </c>
      <c r="Z2257" s="184">
        <f>_xll.qlCalendarAdvance(Calendar,Y2257,NDays&amp;"D")</f>
        <v>54758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1"/>
        <v>1w</v>
      </c>
      <c r="Y2258" s="181">
        <f>_xll.qlCalendarAdvance(Calendar,Y2257,X2258,"f",FALSE)</f>
        <v>54765</v>
      </c>
      <c r="Z2258" s="184">
        <f>_xll.qlCalendarAdvance(Calendar,Y2258,NDays&amp;"D")</f>
        <v>54765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1"/>
        <v>1w</v>
      </c>
      <c r="Y2259" s="181">
        <f>_xll.qlCalendarAdvance(Calendar,Y2258,X2259,"f",FALSE)</f>
        <v>54772</v>
      </c>
      <c r="Z2259" s="184">
        <f>_xll.qlCalendarAdvance(Calendar,Y2259,NDays&amp;"D")</f>
        <v>54772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1"/>
        <v>1w</v>
      </c>
      <c r="Y2260" s="181">
        <f>_xll.qlCalendarAdvance(Calendar,Y2259,X2260,"f",FALSE)</f>
        <v>54779</v>
      </c>
      <c r="Z2260" s="184">
        <f>_xll.qlCalendarAdvance(Calendar,Y2260,NDays&amp;"D")</f>
        <v>54779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2">X2260</f>
        <v>1w</v>
      </c>
      <c r="Y2261" s="181">
        <f>_xll.qlCalendarAdvance(Calendar,Y2260,X2261,"f",FALSE)</f>
        <v>54786</v>
      </c>
      <c r="Z2261" s="184">
        <f>_xll.qlCalendarAdvance(Calendar,Y2261,NDays&amp;"D")</f>
        <v>54786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2"/>
        <v>1w</v>
      </c>
      <c r="Y2262" s="181">
        <f>_xll.qlCalendarAdvance(Calendar,Y2261,X2262,"f",FALSE)</f>
        <v>54793</v>
      </c>
      <c r="Z2262" s="184">
        <f>_xll.qlCalendarAdvance(Calendar,Y2262,NDays&amp;"D")</f>
        <v>54793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2"/>
        <v>1w</v>
      </c>
      <c r="Y2263" s="181">
        <f>_xll.qlCalendarAdvance(Calendar,Y2262,X2263,"f",FALSE)</f>
        <v>54800</v>
      </c>
      <c r="Z2263" s="184">
        <f>_xll.qlCalendarAdvance(Calendar,Y2263,NDays&amp;"D")</f>
        <v>54800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2"/>
        <v>1w</v>
      </c>
      <c r="Y2264" s="181">
        <f>_xll.qlCalendarAdvance(Calendar,Y2263,X2264,"f",FALSE)</f>
        <v>54807</v>
      </c>
      <c r="Z2264" s="184">
        <f>_xll.qlCalendarAdvance(Calendar,Y2264,NDays&amp;"D")</f>
        <v>54807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2"/>
        <v>1w</v>
      </c>
      <c r="Y2265" s="181">
        <f>_xll.qlCalendarAdvance(Calendar,Y2264,X2265,"f",FALSE)</f>
        <v>54815</v>
      </c>
      <c r="Z2265" s="184">
        <f>_xll.qlCalendarAdvance(Calendar,Y2265,NDays&amp;"D")</f>
        <v>54815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2"/>
        <v>1w</v>
      </c>
      <c r="Y2266" s="181">
        <f>_xll.qlCalendarAdvance(Calendar,Y2265,X2266,"f",FALSE)</f>
        <v>54822</v>
      </c>
      <c r="Z2266" s="184">
        <f>_xll.qlCalendarAdvance(Calendar,Y2266,NDays&amp;"D")</f>
        <v>54822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2"/>
        <v>1w</v>
      </c>
      <c r="Y2267" s="181">
        <f>_xll.qlCalendarAdvance(Calendar,Y2266,X2267,"f",FALSE)</f>
        <v>54829</v>
      </c>
      <c r="Z2267" s="184">
        <f>_xll.qlCalendarAdvance(Calendar,Y2267,NDays&amp;"D")</f>
        <v>54829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2"/>
        <v>1w</v>
      </c>
      <c r="Y2268" s="181">
        <f>_xll.qlCalendarAdvance(Calendar,Y2267,X2268,"f",FALSE)</f>
        <v>54836</v>
      </c>
      <c r="Z2268" s="184">
        <f>_xll.qlCalendarAdvance(Calendar,Y2268,NDays&amp;"D")</f>
        <v>54836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2"/>
        <v>1w</v>
      </c>
      <c r="Y2269" s="181">
        <f>_xll.qlCalendarAdvance(Calendar,Y2268,X2269,"f",FALSE)</f>
        <v>54843</v>
      </c>
      <c r="Z2269" s="184">
        <f>_xll.qlCalendarAdvance(Calendar,Y2269,NDays&amp;"D")</f>
        <v>54843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2"/>
        <v>1w</v>
      </c>
      <c r="Y2270" s="181">
        <f>_xll.qlCalendarAdvance(Calendar,Y2269,X2270,"f",FALSE)</f>
        <v>54850</v>
      </c>
      <c r="Z2270" s="184">
        <f>_xll.qlCalendarAdvance(Calendar,Y2270,NDays&amp;"D")</f>
        <v>54850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2"/>
        <v>1w</v>
      </c>
      <c r="Y2271" s="181">
        <f>_xll.qlCalendarAdvance(Calendar,Y2270,X2271,"f",FALSE)</f>
        <v>54857</v>
      </c>
      <c r="Z2271" s="184">
        <f>_xll.qlCalendarAdvance(Calendar,Y2271,NDays&amp;"D")</f>
        <v>54857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2"/>
        <v>1w</v>
      </c>
      <c r="Y2272" s="181">
        <f>_xll.qlCalendarAdvance(Calendar,Y2271,X2272,"f",FALSE)</f>
        <v>54864</v>
      </c>
      <c r="Z2272" s="184">
        <f>_xll.qlCalendarAdvance(Calendar,Y2272,NDays&amp;"D")</f>
        <v>54864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2"/>
        <v>1w</v>
      </c>
      <c r="Y2273" s="181">
        <f>_xll.qlCalendarAdvance(Calendar,Y2272,X2273,"f",FALSE)</f>
        <v>54871</v>
      </c>
      <c r="Z2273" s="184">
        <f>_xll.qlCalendarAdvance(Calendar,Y2273,NDays&amp;"D")</f>
        <v>54871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2"/>
        <v>1w</v>
      </c>
      <c r="Y2274" s="181">
        <f>_xll.qlCalendarAdvance(Calendar,Y2273,X2274,"f",FALSE)</f>
        <v>54878</v>
      </c>
      <c r="Z2274" s="184">
        <f>_xll.qlCalendarAdvance(Calendar,Y2274,NDays&amp;"D")</f>
        <v>54878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2"/>
        <v>1w</v>
      </c>
      <c r="Y2275" s="181">
        <f>_xll.qlCalendarAdvance(Calendar,Y2274,X2275,"f",FALSE)</f>
        <v>54885</v>
      </c>
      <c r="Z2275" s="184">
        <f>_xll.qlCalendarAdvance(Calendar,Y2275,NDays&amp;"D")</f>
        <v>54885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2"/>
        <v>1w</v>
      </c>
      <c r="Y2276" s="181">
        <f>_xll.qlCalendarAdvance(Calendar,Y2275,X2276,"f",FALSE)</f>
        <v>54892</v>
      </c>
      <c r="Z2276" s="184">
        <f>_xll.qlCalendarAdvance(Calendar,Y2276,NDays&amp;"D")</f>
        <v>54892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2"/>
        <v>1w</v>
      </c>
      <c r="Y2277" s="181">
        <f>_xll.qlCalendarAdvance(Calendar,Y2276,X2277,"f",FALSE)</f>
        <v>54899</v>
      </c>
      <c r="Z2277" s="184">
        <f>_xll.qlCalendarAdvance(Calendar,Y2277,NDays&amp;"D")</f>
        <v>54899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2"/>
        <v>1w</v>
      </c>
      <c r="Y2278" s="181">
        <f>_xll.qlCalendarAdvance(Calendar,Y2277,X2278,"f",FALSE)</f>
        <v>54906</v>
      </c>
      <c r="Z2278" s="184">
        <f>_xll.qlCalendarAdvance(Calendar,Y2278,NDays&amp;"D")</f>
        <v>54906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2"/>
        <v>1w</v>
      </c>
      <c r="Y2279" s="181">
        <f>_xll.qlCalendarAdvance(Calendar,Y2278,X2279,"f",FALSE)</f>
        <v>54913</v>
      </c>
      <c r="Z2279" s="184">
        <f>_xll.qlCalendarAdvance(Calendar,Y2279,NDays&amp;"D")</f>
        <v>54913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2"/>
        <v>1w</v>
      </c>
      <c r="Y2280" s="181">
        <f>_xll.qlCalendarAdvance(Calendar,Y2279,X2280,"f",FALSE)</f>
        <v>54920</v>
      </c>
      <c r="Z2280" s="184">
        <f>_xll.qlCalendarAdvance(Calendar,Y2280,NDays&amp;"D")</f>
        <v>54920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2"/>
        <v>1w</v>
      </c>
      <c r="Y2281" s="181">
        <f>_xll.qlCalendarAdvance(Calendar,Y2280,X2281,"f",FALSE)</f>
        <v>54927</v>
      </c>
      <c r="Z2281" s="184">
        <f>_xll.qlCalendarAdvance(Calendar,Y2281,NDays&amp;"D")</f>
        <v>54927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2"/>
        <v>1w</v>
      </c>
      <c r="Y2282" s="181">
        <f>_xll.qlCalendarAdvance(Calendar,Y2281,X2282,"f",FALSE)</f>
        <v>54934</v>
      </c>
      <c r="Z2282" s="184">
        <f>_xll.qlCalendarAdvance(Calendar,Y2282,NDays&amp;"D")</f>
        <v>54934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2"/>
        <v>1w</v>
      </c>
      <c r="Y2283" s="181">
        <f>_xll.qlCalendarAdvance(Calendar,Y2282,X2283,"f",FALSE)</f>
        <v>54941</v>
      </c>
      <c r="Z2283" s="184">
        <f>_xll.qlCalendarAdvance(Calendar,Y2283,NDays&amp;"D")</f>
        <v>54941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2"/>
        <v>1w</v>
      </c>
      <c r="Y2284" s="181">
        <f>_xll.qlCalendarAdvance(Calendar,Y2283,X2284,"f",FALSE)</f>
        <v>54948</v>
      </c>
      <c r="Z2284" s="184">
        <f>_xll.qlCalendarAdvance(Calendar,Y2284,NDays&amp;"D")</f>
        <v>54948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2"/>
        <v>1w</v>
      </c>
      <c r="Y2285" s="181">
        <f>_xll.qlCalendarAdvance(Calendar,Y2284,X2285,"f",FALSE)</f>
        <v>54955</v>
      </c>
      <c r="Z2285" s="184">
        <f>_xll.qlCalendarAdvance(Calendar,Y2285,NDays&amp;"D")</f>
        <v>54955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2"/>
        <v>1w</v>
      </c>
      <c r="Y2286" s="181">
        <f>_xll.qlCalendarAdvance(Calendar,Y2285,X2286,"f",FALSE)</f>
        <v>54962</v>
      </c>
      <c r="Z2286" s="184">
        <f>_xll.qlCalendarAdvance(Calendar,Y2286,NDays&amp;"D")</f>
        <v>54962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2"/>
        <v>1w</v>
      </c>
      <c r="Y2287" s="181">
        <f>_xll.qlCalendarAdvance(Calendar,Y2286,X2287,"f",FALSE)</f>
        <v>54969</v>
      </c>
      <c r="Z2287" s="184">
        <f>_xll.qlCalendarAdvance(Calendar,Y2287,NDays&amp;"D")</f>
        <v>54969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2"/>
        <v>1w</v>
      </c>
      <c r="Y2288" s="181">
        <f>_xll.qlCalendarAdvance(Calendar,Y2287,X2288,"f",FALSE)</f>
        <v>54976</v>
      </c>
      <c r="Z2288" s="184">
        <f>_xll.qlCalendarAdvance(Calendar,Y2288,NDays&amp;"D")</f>
        <v>54976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2"/>
        <v>1w</v>
      </c>
      <c r="Y2289" s="181">
        <f>_xll.qlCalendarAdvance(Calendar,Y2288,X2289,"f",FALSE)</f>
        <v>54983</v>
      </c>
      <c r="Z2289" s="184">
        <f>_xll.qlCalendarAdvance(Calendar,Y2289,NDays&amp;"D")</f>
        <v>54983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2"/>
        <v>1w</v>
      </c>
      <c r="Y2290" s="181">
        <f>_xll.qlCalendarAdvance(Calendar,Y2289,X2290,"f",FALSE)</f>
        <v>54990</v>
      </c>
      <c r="Z2290" s="184">
        <f>_xll.qlCalendarAdvance(Calendar,Y2290,NDays&amp;"D")</f>
        <v>54990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2"/>
        <v>1w</v>
      </c>
      <c r="Y2291" s="181">
        <f>_xll.qlCalendarAdvance(Calendar,Y2290,X2291,"f",FALSE)</f>
        <v>54997</v>
      </c>
      <c r="Z2291" s="184">
        <f>_xll.qlCalendarAdvance(Calendar,Y2291,NDays&amp;"D")</f>
        <v>54997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2"/>
        <v>1w</v>
      </c>
      <c r="Y2292" s="181">
        <f>_xll.qlCalendarAdvance(Calendar,Y2291,X2292,"f",FALSE)</f>
        <v>55004</v>
      </c>
      <c r="Z2292" s="184">
        <f>_xll.qlCalendarAdvance(Calendar,Y2292,NDays&amp;"D")</f>
        <v>55004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2"/>
        <v>1w</v>
      </c>
      <c r="Y2293" s="181">
        <f>_xll.qlCalendarAdvance(Calendar,Y2292,X2293,"f",FALSE)</f>
        <v>55011</v>
      </c>
      <c r="Z2293" s="184">
        <f>_xll.qlCalendarAdvance(Calendar,Y2293,NDays&amp;"D")</f>
        <v>55011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2"/>
        <v>1w</v>
      </c>
      <c r="Y2294" s="181">
        <f>_xll.qlCalendarAdvance(Calendar,Y2293,X2294,"f",FALSE)</f>
        <v>55018</v>
      </c>
      <c r="Z2294" s="184">
        <f>_xll.qlCalendarAdvance(Calendar,Y2294,NDays&amp;"D")</f>
        <v>55018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2"/>
        <v>1w</v>
      </c>
      <c r="Y2295" s="181">
        <f>_xll.qlCalendarAdvance(Calendar,Y2294,X2295,"f",FALSE)</f>
        <v>55025</v>
      </c>
      <c r="Z2295" s="184">
        <f>_xll.qlCalendarAdvance(Calendar,Y2295,NDays&amp;"D")</f>
        <v>55025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2"/>
        <v>1w</v>
      </c>
      <c r="Y2296" s="181">
        <f>_xll.qlCalendarAdvance(Calendar,Y2295,X2296,"f",FALSE)</f>
        <v>55032</v>
      </c>
      <c r="Z2296" s="184">
        <f>_xll.qlCalendarAdvance(Calendar,Y2296,NDays&amp;"D")</f>
        <v>55032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2"/>
        <v>1w</v>
      </c>
      <c r="Y2297" s="181">
        <f>_xll.qlCalendarAdvance(Calendar,Y2296,X2297,"f",FALSE)</f>
        <v>55039</v>
      </c>
      <c r="Z2297" s="184">
        <f>_xll.qlCalendarAdvance(Calendar,Y2297,NDays&amp;"D")</f>
        <v>55039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2"/>
        <v>1w</v>
      </c>
      <c r="Y2298" s="181">
        <f>_xll.qlCalendarAdvance(Calendar,Y2297,X2298,"f",FALSE)</f>
        <v>55046</v>
      </c>
      <c r="Z2298" s="184">
        <f>_xll.qlCalendarAdvance(Calendar,Y2298,NDays&amp;"D")</f>
        <v>55046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2"/>
        <v>1w</v>
      </c>
      <c r="Y2299" s="181">
        <f>_xll.qlCalendarAdvance(Calendar,Y2298,X2299,"f",FALSE)</f>
        <v>55053</v>
      </c>
      <c r="Z2299" s="184">
        <f>_xll.qlCalendarAdvance(Calendar,Y2299,NDays&amp;"D")</f>
        <v>55053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2"/>
        <v>1w</v>
      </c>
      <c r="Y2300" s="181">
        <f>_xll.qlCalendarAdvance(Calendar,Y2299,X2300,"f",FALSE)</f>
        <v>55060</v>
      </c>
      <c r="Z2300" s="184">
        <f>_xll.qlCalendarAdvance(Calendar,Y2300,NDays&amp;"D")</f>
        <v>55060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2"/>
        <v>1w</v>
      </c>
      <c r="Y2301" s="181">
        <f>_xll.qlCalendarAdvance(Calendar,Y2300,X2301,"f",FALSE)</f>
        <v>55067</v>
      </c>
      <c r="Z2301" s="184">
        <f>_xll.qlCalendarAdvance(Calendar,Y2301,NDays&amp;"D")</f>
        <v>55067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2"/>
        <v>1w</v>
      </c>
      <c r="Y2302" s="181">
        <f>_xll.qlCalendarAdvance(Calendar,Y2301,X2302,"f",FALSE)</f>
        <v>55074</v>
      </c>
      <c r="Z2302" s="184">
        <f>_xll.qlCalendarAdvance(Calendar,Y2302,NDays&amp;"D")</f>
        <v>55074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2"/>
        <v>1w</v>
      </c>
      <c r="Y2303" s="181">
        <f>_xll.qlCalendarAdvance(Calendar,Y2302,X2303,"f",FALSE)</f>
        <v>55081</v>
      </c>
      <c r="Z2303" s="184">
        <f>_xll.qlCalendarAdvance(Calendar,Y2303,NDays&amp;"D")</f>
        <v>55081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2"/>
        <v>1w</v>
      </c>
      <c r="Y2304" s="181">
        <f>_xll.qlCalendarAdvance(Calendar,Y2303,X2304,"f",FALSE)</f>
        <v>55088</v>
      </c>
      <c r="Z2304" s="184">
        <f>_xll.qlCalendarAdvance(Calendar,Y2304,NDays&amp;"D")</f>
        <v>55088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2"/>
        <v>1w</v>
      </c>
      <c r="Y2305" s="181">
        <f>_xll.qlCalendarAdvance(Calendar,Y2304,X2305,"f",FALSE)</f>
        <v>55095</v>
      </c>
      <c r="Z2305" s="184">
        <f>_xll.qlCalendarAdvance(Calendar,Y2305,NDays&amp;"D")</f>
        <v>55095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2"/>
        <v>1w</v>
      </c>
      <c r="Y2306" s="181">
        <f>_xll.qlCalendarAdvance(Calendar,Y2305,X2306,"f",FALSE)</f>
        <v>55102</v>
      </c>
      <c r="Z2306" s="184">
        <f>_xll.qlCalendarAdvance(Calendar,Y2306,NDays&amp;"D")</f>
        <v>55102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2"/>
        <v>1w</v>
      </c>
      <c r="Y2307" s="181">
        <f>_xll.qlCalendarAdvance(Calendar,Y2306,X2307,"f",FALSE)</f>
        <v>55109</v>
      </c>
      <c r="Z2307" s="184">
        <f>_xll.qlCalendarAdvance(Calendar,Y2307,NDays&amp;"D")</f>
        <v>55109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2"/>
        <v>1w</v>
      </c>
      <c r="Y2308" s="181">
        <f>_xll.qlCalendarAdvance(Calendar,Y2307,X2308,"f",FALSE)</f>
        <v>55116</v>
      </c>
      <c r="Z2308" s="184">
        <f>_xll.qlCalendarAdvance(Calendar,Y2308,NDays&amp;"D")</f>
        <v>55116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2"/>
        <v>1w</v>
      </c>
      <c r="Y2309" s="181">
        <f>_xll.qlCalendarAdvance(Calendar,Y2308,X2309,"f",FALSE)</f>
        <v>55123</v>
      </c>
      <c r="Z2309" s="184">
        <f>_xll.qlCalendarAdvance(Calendar,Y2309,NDays&amp;"D")</f>
        <v>55123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2"/>
        <v>1w</v>
      </c>
      <c r="Y2310" s="181">
        <f>_xll.qlCalendarAdvance(Calendar,Y2309,X2310,"f",FALSE)</f>
        <v>55130</v>
      </c>
      <c r="Z2310" s="184">
        <f>_xll.qlCalendarAdvance(Calendar,Y2310,NDays&amp;"D")</f>
        <v>55130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2"/>
        <v>1w</v>
      </c>
      <c r="Y2311" s="181">
        <f>_xll.qlCalendarAdvance(Calendar,Y2310,X2311,"f",FALSE)</f>
        <v>55137</v>
      </c>
      <c r="Z2311" s="184">
        <f>_xll.qlCalendarAdvance(Calendar,Y2311,NDays&amp;"D")</f>
        <v>55137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2"/>
        <v>1w</v>
      </c>
      <c r="Y2312" s="181">
        <f>_xll.qlCalendarAdvance(Calendar,Y2311,X2312,"f",FALSE)</f>
        <v>55144</v>
      </c>
      <c r="Z2312" s="184">
        <f>_xll.qlCalendarAdvance(Calendar,Y2312,NDays&amp;"D")</f>
        <v>55144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2"/>
        <v>1w</v>
      </c>
      <c r="Y2313" s="181">
        <f>_xll.qlCalendarAdvance(Calendar,Y2312,X2313,"f",FALSE)</f>
        <v>55151</v>
      </c>
      <c r="Z2313" s="184">
        <f>_xll.qlCalendarAdvance(Calendar,Y2313,NDays&amp;"D")</f>
        <v>55151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2"/>
        <v>1w</v>
      </c>
      <c r="Y2314" s="181">
        <f>_xll.qlCalendarAdvance(Calendar,Y2313,X2314,"f",FALSE)</f>
        <v>55158</v>
      </c>
      <c r="Z2314" s="184">
        <f>_xll.qlCalendarAdvance(Calendar,Y2314,NDays&amp;"D")</f>
        <v>55158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2"/>
        <v>1w</v>
      </c>
      <c r="Y2315" s="181">
        <f>_xll.qlCalendarAdvance(Calendar,Y2314,X2315,"f",FALSE)</f>
        <v>55165</v>
      </c>
      <c r="Z2315" s="184">
        <f>_xll.qlCalendarAdvance(Calendar,Y2315,NDays&amp;"D")</f>
        <v>55165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2"/>
        <v>1w</v>
      </c>
      <c r="Y2316" s="181">
        <f>_xll.qlCalendarAdvance(Calendar,Y2315,X2316,"f",FALSE)</f>
        <v>55172</v>
      </c>
      <c r="Z2316" s="184">
        <f>_xll.qlCalendarAdvance(Calendar,Y2316,NDays&amp;"D")</f>
        <v>55172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2"/>
        <v>1w</v>
      </c>
      <c r="Y2317" s="181">
        <f>_xll.qlCalendarAdvance(Calendar,Y2316,X2317,"f",FALSE)</f>
        <v>55180</v>
      </c>
      <c r="Z2317" s="184">
        <f>_xll.qlCalendarAdvance(Calendar,Y2317,NDays&amp;"D")</f>
        <v>55180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2"/>
        <v>1w</v>
      </c>
      <c r="Y2318" s="181">
        <f>_xll.qlCalendarAdvance(Calendar,Y2317,X2318,"f",FALSE)</f>
        <v>55187</v>
      </c>
      <c r="Z2318" s="184">
        <f>_xll.qlCalendarAdvance(Calendar,Y2318,NDays&amp;"D")</f>
        <v>55187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2"/>
        <v>1w</v>
      </c>
      <c r="Y2319" s="181">
        <f>_xll.qlCalendarAdvance(Calendar,Y2318,X2319,"f",FALSE)</f>
        <v>55194</v>
      </c>
      <c r="Z2319" s="184">
        <f>_xll.qlCalendarAdvance(Calendar,Y2319,NDays&amp;"D")</f>
        <v>55194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2"/>
        <v>1w</v>
      </c>
      <c r="Y2320" s="181">
        <f>_xll.qlCalendarAdvance(Calendar,Y2319,X2320,"f",FALSE)</f>
        <v>55201</v>
      </c>
      <c r="Z2320" s="184">
        <f>_xll.qlCalendarAdvance(Calendar,Y2320,NDays&amp;"D")</f>
        <v>55201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2"/>
        <v>1w</v>
      </c>
      <c r="Y2321" s="181">
        <f>_xll.qlCalendarAdvance(Calendar,Y2320,X2321,"f",FALSE)</f>
        <v>55208</v>
      </c>
      <c r="Z2321" s="184">
        <f>_xll.qlCalendarAdvance(Calendar,Y2321,NDays&amp;"D")</f>
        <v>55208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2"/>
        <v>1w</v>
      </c>
      <c r="Y2322" s="181">
        <f>_xll.qlCalendarAdvance(Calendar,Y2321,X2322,"f",FALSE)</f>
        <v>55215</v>
      </c>
      <c r="Z2322" s="184">
        <f>_xll.qlCalendarAdvance(Calendar,Y2322,NDays&amp;"D")</f>
        <v>55215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2"/>
        <v>1w</v>
      </c>
      <c r="Y2323" s="181">
        <f>_xll.qlCalendarAdvance(Calendar,Y2322,X2323,"f",FALSE)</f>
        <v>55222</v>
      </c>
      <c r="Z2323" s="184">
        <f>_xll.qlCalendarAdvance(Calendar,Y2323,NDays&amp;"D")</f>
        <v>55222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2"/>
        <v>1w</v>
      </c>
      <c r="Y2324" s="181">
        <f>_xll.qlCalendarAdvance(Calendar,Y2323,X2324,"f",FALSE)</f>
        <v>55229</v>
      </c>
      <c r="Z2324" s="184">
        <f>_xll.qlCalendarAdvance(Calendar,Y2324,NDays&amp;"D")</f>
        <v>55229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3">X2324</f>
        <v>1w</v>
      </c>
      <c r="Y2325" s="181">
        <f>_xll.qlCalendarAdvance(Calendar,Y2324,X2325,"f",FALSE)</f>
        <v>55236</v>
      </c>
      <c r="Z2325" s="184">
        <f>_xll.qlCalendarAdvance(Calendar,Y2325,NDays&amp;"D")</f>
        <v>55236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3"/>
        <v>1w</v>
      </c>
      <c r="Y2326" s="181">
        <f>_xll.qlCalendarAdvance(Calendar,Y2325,X2326,"f",FALSE)</f>
        <v>55247</v>
      </c>
      <c r="Z2326" s="184">
        <f>_xll.qlCalendarAdvance(Calendar,Y2326,NDays&amp;"D")</f>
        <v>55247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3"/>
        <v>1w</v>
      </c>
      <c r="Y2327" s="181">
        <f>_xll.qlCalendarAdvance(Calendar,Y2326,X2327,"f",FALSE)</f>
        <v>55254</v>
      </c>
      <c r="Z2327" s="184">
        <f>_xll.qlCalendarAdvance(Calendar,Y2327,NDays&amp;"D")</f>
        <v>55254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3"/>
        <v>1w</v>
      </c>
      <c r="Y2328" s="181">
        <f>_xll.qlCalendarAdvance(Calendar,Y2327,X2328,"f",FALSE)</f>
        <v>55261</v>
      </c>
      <c r="Z2328" s="184">
        <f>_xll.qlCalendarAdvance(Calendar,Y2328,NDays&amp;"D")</f>
        <v>55261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3"/>
        <v>1w</v>
      </c>
      <c r="Y2329" s="181">
        <f>_xll.qlCalendarAdvance(Calendar,Y2328,X2329,"f",FALSE)</f>
        <v>55269</v>
      </c>
      <c r="Z2329" s="184">
        <f>_xll.qlCalendarAdvance(Calendar,Y2329,NDays&amp;"D")</f>
        <v>55269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3"/>
        <v>1w</v>
      </c>
      <c r="Y2330" s="181">
        <f>_xll.qlCalendarAdvance(Calendar,Y2329,X2330,"f",FALSE)</f>
        <v>55276</v>
      </c>
      <c r="Z2330" s="184">
        <f>_xll.qlCalendarAdvance(Calendar,Y2330,NDays&amp;"D")</f>
        <v>55276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3"/>
        <v>1w</v>
      </c>
      <c r="Y2331" s="181">
        <f>_xll.qlCalendarAdvance(Calendar,Y2330,X2331,"f",FALSE)</f>
        <v>55283</v>
      </c>
      <c r="Z2331" s="184">
        <f>_xll.qlCalendarAdvance(Calendar,Y2331,NDays&amp;"D")</f>
        <v>55283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3"/>
        <v>1w</v>
      </c>
      <c r="Y2332" s="181">
        <f>_xll.qlCalendarAdvance(Calendar,Y2331,X2332,"f",FALSE)</f>
        <v>55290</v>
      </c>
      <c r="Z2332" s="184">
        <f>_xll.qlCalendarAdvance(Calendar,Y2332,NDays&amp;"D")</f>
        <v>55290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3"/>
        <v>1w</v>
      </c>
      <c r="Y2333" s="181">
        <f>_xll.qlCalendarAdvance(Calendar,Y2332,X2333,"f",FALSE)</f>
        <v>55297</v>
      </c>
      <c r="Z2333" s="184">
        <f>_xll.qlCalendarAdvance(Calendar,Y2333,NDays&amp;"D")</f>
        <v>55297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3"/>
        <v>1w</v>
      </c>
      <c r="Y2334" s="181">
        <f>_xll.qlCalendarAdvance(Calendar,Y2333,X2334,"f",FALSE)</f>
        <v>55304</v>
      </c>
      <c r="Z2334" s="184">
        <f>_xll.qlCalendarAdvance(Calendar,Y2334,NDays&amp;"D")</f>
        <v>55304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3"/>
        <v>1w</v>
      </c>
      <c r="Y2335" s="181">
        <f>_xll.qlCalendarAdvance(Calendar,Y2334,X2335,"f",FALSE)</f>
        <v>55311</v>
      </c>
      <c r="Z2335" s="184">
        <f>_xll.qlCalendarAdvance(Calendar,Y2335,NDays&amp;"D")</f>
        <v>55311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3"/>
        <v>1w</v>
      </c>
      <c r="Y2336" s="181">
        <f>_xll.qlCalendarAdvance(Calendar,Y2335,X2336,"f",FALSE)</f>
        <v>55318</v>
      </c>
      <c r="Z2336" s="184">
        <f>_xll.qlCalendarAdvance(Calendar,Y2336,NDays&amp;"D")</f>
        <v>55318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3"/>
        <v>1w</v>
      </c>
      <c r="Y2337" s="181">
        <f>_xll.qlCalendarAdvance(Calendar,Y2336,X2337,"f",FALSE)</f>
        <v>55325</v>
      </c>
      <c r="Z2337" s="184">
        <f>_xll.qlCalendarAdvance(Calendar,Y2337,NDays&amp;"D")</f>
        <v>55325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3"/>
        <v>1w</v>
      </c>
      <c r="Y2338" s="181">
        <f>_xll.qlCalendarAdvance(Calendar,Y2337,X2338,"f",FALSE)</f>
        <v>55332</v>
      </c>
      <c r="Z2338" s="184">
        <f>_xll.qlCalendarAdvance(Calendar,Y2338,NDays&amp;"D")</f>
        <v>55332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3"/>
        <v>1w</v>
      </c>
      <c r="Y2339" s="181">
        <f>_xll.qlCalendarAdvance(Calendar,Y2338,X2339,"f",FALSE)</f>
        <v>55339</v>
      </c>
      <c r="Z2339" s="184">
        <f>_xll.qlCalendarAdvance(Calendar,Y2339,NDays&amp;"D")</f>
        <v>55339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3"/>
        <v>1w</v>
      </c>
      <c r="Y2340" s="181">
        <f>_xll.qlCalendarAdvance(Calendar,Y2339,X2340,"f",FALSE)</f>
        <v>55346</v>
      </c>
      <c r="Z2340" s="184">
        <f>_xll.qlCalendarAdvance(Calendar,Y2340,NDays&amp;"D")</f>
        <v>55346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3"/>
        <v>1w</v>
      </c>
      <c r="Y2341" s="181">
        <f>_xll.qlCalendarAdvance(Calendar,Y2340,X2341,"f",FALSE)</f>
        <v>55353</v>
      </c>
      <c r="Z2341" s="184">
        <f>_xll.qlCalendarAdvance(Calendar,Y2341,NDays&amp;"D")</f>
        <v>55353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3"/>
        <v>1w</v>
      </c>
      <c r="Y2342" s="181">
        <f>_xll.qlCalendarAdvance(Calendar,Y2341,X2342,"f",FALSE)</f>
        <v>55360</v>
      </c>
      <c r="Z2342" s="184">
        <f>_xll.qlCalendarAdvance(Calendar,Y2342,NDays&amp;"D")</f>
        <v>55360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3"/>
        <v>1w</v>
      </c>
      <c r="Y2343" s="181">
        <f>_xll.qlCalendarAdvance(Calendar,Y2342,X2343,"f",FALSE)</f>
        <v>55367</v>
      </c>
      <c r="Z2343" s="184">
        <f>_xll.qlCalendarAdvance(Calendar,Y2343,NDays&amp;"D")</f>
        <v>55367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3"/>
        <v>1w</v>
      </c>
      <c r="Y2344" s="181">
        <f>_xll.qlCalendarAdvance(Calendar,Y2343,X2344,"f",FALSE)</f>
        <v>55374</v>
      </c>
      <c r="Z2344" s="184">
        <f>_xll.qlCalendarAdvance(Calendar,Y2344,NDays&amp;"D")</f>
        <v>55374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3"/>
        <v>1w</v>
      </c>
      <c r="Y2345" s="181">
        <f>_xll.qlCalendarAdvance(Calendar,Y2344,X2345,"f",FALSE)</f>
        <v>55381</v>
      </c>
      <c r="Z2345" s="184">
        <f>_xll.qlCalendarAdvance(Calendar,Y2345,NDays&amp;"D")</f>
        <v>55381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3"/>
        <v>1w</v>
      </c>
      <c r="Y2346" s="181">
        <f>_xll.qlCalendarAdvance(Calendar,Y2345,X2346,"f",FALSE)</f>
        <v>55388</v>
      </c>
      <c r="Z2346" s="184">
        <f>_xll.qlCalendarAdvance(Calendar,Y2346,NDays&amp;"D")</f>
        <v>55388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3"/>
        <v>1w</v>
      </c>
      <c r="Y2347" s="181">
        <f>_xll.qlCalendarAdvance(Calendar,Y2346,X2347,"f",FALSE)</f>
        <v>55395</v>
      </c>
      <c r="Z2347" s="184">
        <f>_xll.qlCalendarAdvance(Calendar,Y2347,NDays&amp;"D")</f>
        <v>55395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3"/>
        <v>1w</v>
      </c>
      <c r="Y2348" s="181">
        <f>_xll.qlCalendarAdvance(Calendar,Y2347,X2348,"f",FALSE)</f>
        <v>55402</v>
      </c>
      <c r="Z2348" s="184">
        <f>_xll.qlCalendarAdvance(Calendar,Y2348,NDays&amp;"D")</f>
        <v>55402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3"/>
        <v>1w</v>
      </c>
      <c r="Y2349" s="181">
        <f>_xll.qlCalendarAdvance(Calendar,Y2348,X2349,"f",FALSE)</f>
        <v>55409</v>
      </c>
      <c r="Z2349" s="184">
        <f>_xll.qlCalendarAdvance(Calendar,Y2349,NDays&amp;"D")</f>
        <v>55409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3"/>
        <v>1w</v>
      </c>
      <c r="Y2350" s="181">
        <f>_xll.qlCalendarAdvance(Calendar,Y2349,X2350,"f",FALSE)</f>
        <v>55416</v>
      </c>
      <c r="Z2350" s="184">
        <f>_xll.qlCalendarAdvance(Calendar,Y2350,NDays&amp;"D")</f>
        <v>55416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3"/>
        <v>1w</v>
      </c>
      <c r="Y2351" s="181">
        <f>_xll.qlCalendarAdvance(Calendar,Y2350,X2351,"f",FALSE)</f>
        <v>55423</v>
      </c>
      <c r="Z2351" s="184">
        <f>_xll.qlCalendarAdvance(Calendar,Y2351,NDays&amp;"D")</f>
        <v>55423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3"/>
        <v>1w</v>
      </c>
      <c r="Y2352" s="181">
        <f>_xll.qlCalendarAdvance(Calendar,Y2351,X2352,"f",FALSE)</f>
        <v>55430</v>
      </c>
      <c r="Z2352" s="184">
        <f>_xll.qlCalendarAdvance(Calendar,Y2352,NDays&amp;"D")</f>
        <v>55430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3"/>
        <v>1w</v>
      </c>
      <c r="Y2353" s="181">
        <f>_xll.qlCalendarAdvance(Calendar,Y2352,X2353,"f",FALSE)</f>
        <v>55437</v>
      </c>
      <c r="Z2353" s="184">
        <f>_xll.qlCalendarAdvance(Calendar,Y2353,NDays&amp;"D")</f>
        <v>55437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3"/>
        <v>1w</v>
      </c>
      <c r="Y2354" s="181">
        <f>_xll.qlCalendarAdvance(Calendar,Y2353,X2354,"f",FALSE)</f>
        <v>55444</v>
      </c>
      <c r="Z2354" s="184">
        <f>_xll.qlCalendarAdvance(Calendar,Y2354,NDays&amp;"D")</f>
        <v>55444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3"/>
        <v>1w</v>
      </c>
      <c r="Y2355" s="181">
        <f>_xll.qlCalendarAdvance(Calendar,Y2354,X2355,"f",FALSE)</f>
        <v>55451</v>
      </c>
      <c r="Z2355" s="184">
        <f>_xll.qlCalendarAdvance(Calendar,Y2355,NDays&amp;"D")</f>
        <v>55451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3"/>
        <v>1w</v>
      </c>
      <c r="Y2356" s="181">
        <f>_xll.qlCalendarAdvance(Calendar,Y2355,X2356,"f",FALSE)</f>
        <v>55458</v>
      </c>
      <c r="Z2356" s="184">
        <f>_xll.qlCalendarAdvance(Calendar,Y2356,NDays&amp;"D")</f>
        <v>55458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3"/>
        <v>1w</v>
      </c>
      <c r="Y2357" s="181">
        <f>_xll.qlCalendarAdvance(Calendar,Y2356,X2357,"f",FALSE)</f>
        <v>55465</v>
      </c>
      <c r="Z2357" s="184">
        <f>_xll.qlCalendarAdvance(Calendar,Y2357,NDays&amp;"D")</f>
        <v>55465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3"/>
        <v>1w</v>
      </c>
      <c r="Y2358" s="181">
        <f>_xll.qlCalendarAdvance(Calendar,Y2357,X2358,"f",FALSE)</f>
        <v>55472</v>
      </c>
      <c r="Z2358" s="184">
        <f>_xll.qlCalendarAdvance(Calendar,Y2358,NDays&amp;"D")</f>
        <v>55472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3"/>
        <v>1w</v>
      </c>
      <c r="Y2359" s="181">
        <f>_xll.qlCalendarAdvance(Calendar,Y2358,X2359,"f",FALSE)</f>
        <v>55479</v>
      </c>
      <c r="Z2359" s="184">
        <f>_xll.qlCalendarAdvance(Calendar,Y2359,NDays&amp;"D")</f>
        <v>55479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3"/>
        <v>1w</v>
      </c>
      <c r="Y2360" s="181">
        <f>_xll.qlCalendarAdvance(Calendar,Y2359,X2360,"f",FALSE)</f>
        <v>55486</v>
      </c>
      <c r="Z2360" s="184">
        <f>_xll.qlCalendarAdvance(Calendar,Y2360,NDays&amp;"D")</f>
        <v>55486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3"/>
        <v>1w</v>
      </c>
      <c r="Y2361" s="181">
        <f>_xll.qlCalendarAdvance(Calendar,Y2360,X2361,"f",FALSE)</f>
        <v>55493</v>
      </c>
      <c r="Z2361" s="184">
        <f>_xll.qlCalendarAdvance(Calendar,Y2361,NDays&amp;"D")</f>
        <v>55493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3"/>
        <v>1w</v>
      </c>
      <c r="Y2362" s="181">
        <f>_xll.qlCalendarAdvance(Calendar,Y2361,X2362,"f",FALSE)</f>
        <v>55500</v>
      </c>
      <c r="Z2362" s="184">
        <f>_xll.qlCalendarAdvance(Calendar,Y2362,NDays&amp;"D")</f>
        <v>55500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3"/>
        <v>1w</v>
      </c>
      <c r="Y2363" s="181">
        <f>_xll.qlCalendarAdvance(Calendar,Y2362,X2363,"f",FALSE)</f>
        <v>55507</v>
      </c>
      <c r="Z2363" s="184">
        <f>_xll.qlCalendarAdvance(Calendar,Y2363,NDays&amp;"D")</f>
        <v>55507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3"/>
        <v>1w</v>
      </c>
      <c r="Y2364" s="181">
        <f>_xll.qlCalendarAdvance(Calendar,Y2363,X2364,"f",FALSE)</f>
        <v>55514</v>
      </c>
      <c r="Z2364" s="184">
        <f>_xll.qlCalendarAdvance(Calendar,Y2364,NDays&amp;"D")</f>
        <v>55514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3"/>
        <v>1w</v>
      </c>
      <c r="Y2365" s="181">
        <f>_xll.qlCalendarAdvance(Calendar,Y2364,X2365,"f",FALSE)</f>
        <v>55521</v>
      </c>
      <c r="Z2365" s="184">
        <f>_xll.qlCalendarAdvance(Calendar,Y2365,NDays&amp;"D")</f>
        <v>55521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3"/>
        <v>1w</v>
      </c>
      <c r="Y2366" s="181">
        <f>_xll.qlCalendarAdvance(Calendar,Y2365,X2366,"f",FALSE)</f>
        <v>55528</v>
      </c>
      <c r="Z2366" s="184">
        <f>_xll.qlCalendarAdvance(Calendar,Y2366,NDays&amp;"D")</f>
        <v>55528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3"/>
        <v>1w</v>
      </c>
      <c r="Y2367" s="181">
        <f>_xll.qlCalendarAdvance(Calendar,Y2366,X2367,"f",FALSE)</f>
        <v>55535</v>
      </c>
      <c r="Z2367" s="184">
        <f>_xll.qlCalendarAdvance(Calendar,Y2367,NDays&amp;"D")</f>
        <v>55535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3"/>
        <v>1w</v>
      </c>
      <c r="Y2368" s="181">
        <f>_xll.qlCalendarAdvance(Calendar,Y2367,X2368,"f",FALSE)</f>
        <v>55542</v>
      </c>
      <c r="Z2368" s="184">
        <f>_xll.qlCalendarAdvance(Calendar,Y2368,NDays&amp;"D")</f>
        <v>55542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3"/>
        <v>1w</v>
      </c>
      <c r="Y2369" s="181">
        <f>_xll.qlCalendarAdvance(Calendar,Y2368,X2369,"f",FALSE)</f>
        <v>55549</v>
      </c>
      <c r="Z2369" s="184">
        <f>_xll.qlCalendarAdvance(Calendar,Y2369,NDays&amp;"D")</f>
        <v>55549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3"/>
        <v>1w</v>
      </c>
      <c r="Y2370" s="181">
        <f>_xll.qlCalendarAdvance(Calendar,Y2369,X2370,"f",FALSE)</f>
        <v>55556</v>
      </c>
      <c r="Z2370" s="184">
        <f>_xll.qlCalendarAdvance(Calendar,Y2370,NDays&amp;"D")</f>
        <v>55556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3"/>
        <v>1w</v>
      </c>
      <c r="Y2371" s="181">
        <f>_xll.qlCalendarAdvance(Calendar,Y2370,X2371,"f",FALSE)</f>
        <v>55563</v>
      </c>
      <c r="Z2371" s="184">
        <f>_xll.qlCalendarAdvance(Calendar,Y2371,NDays&amp;"D")</f>
        <v>55563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3"/>
        <v>1w</v>
      </c>
      <c r="Y2372" s="181">
        <f>_xll.qlCalendarAdvance(Calendar,Y2371,X2372,"f",FALSE)</f>
        <v>55570</v>
      </c>
      <c r="Z2372" s="184">
        <f>_xll.qlCalendarAdvance(Calendar,Y2372,NDays&amp;"D")</f>
        <v>55570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3"/>
        <v>1w</v>
      </c>
      <c r="Y2373" s="181">
        <f>_xll.qlCalendarAdvance(Calendar,Y2372,X2373,"f",FALSE)</f>
        <v>55577</v>
      </c>
      <c r="Z2373" s="184">
        <f>_xll.qlCalendarAdvance(Calendar,Y2373,NDays&amp;"D")</f>
        <v>55577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3"/>
        <v>1w</v>
      </c>
      <c r="Y2374" s="181">
        <f>_xll.qlCalendarAdvance(Calendar,Y2373,X2374,"f",FALSE)</f>
        <v>55584</v>
      </c>
      <c r="Z2374" s="184">
        <f>_xll.qlCalendarAdvance(Calendar,Y2374,NDays&amp;"D")</f>
        <v>55584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3"/>
        <v>1w</v>
      </c>
      <c r="Y2375" s="181">
        <f>_xll.qlCalendarAdvance(Calendar,Y2374,X2375,"f",FALSE)</f>
        <v>55591</v>
      </c>
      <c r="Z2375" s="184">
        <f>_xll.qlCalendarAdvance(Calendar,Y2375,NDays&amp;"D")</f>
        <v>55591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3"/>
        <v>1w</v>
      </c>
      <c r="Y2376" s="181">
        <f>_xll.qlCalendarAdvance(Calendar,Y2375,X2376,"f",FALSE)</f>
        <v>55598</v>
      </c>
      <c r="Z2376" s="184">
        <f>_xll.qlCalendarAdvance(Calendar,Y2376,NDays&amp;"D")</f>
        <v>55598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3"/>
        <v>1w</v>
      </c>
      <c r="Y2377" s="181">
        <f>_xll.qlCalendarAdvance(Calendar,Y2376,X2377,"f",FALSE)</f>
        <v>55605</v>
      </c>
      <c r="Z2377" s="184">
        <f>_xll.qlCalendarAdvance(Calendar,Y2377,NDays&amp;"D")</f>
        <v>55605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3"/>
        <v>1w</v>
      </c>
      <c r="Y2378" s="181">
        <f>_xll.qlCalendarAdvance(Calendar,Y2377,X2378,"f",FALSE)</f>
        <v>55612</v>
      </c>
      <c r="Z2378" s="184">
        <f>_xll.qlCalendarAdvance(Calendar,Y2378,NDays&amp;"D")</f>
        <v>55612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3"/>
        <v>1w</v>
      </c>
      <c r="Y2379" s="181">
        <f>_xll.qlCalendarAdvance(Calendar,Y2378,X2379,"f",FALSE)</f>
        <v>55619</v>
      </c>
      <c r="Z2379" s="184">
        <f>_xll.qlCalendarAdvance(Calendar,Y2379,NDays&amp;"D")</f>
        <v>55619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3"/>
        <v>1w</v>
      </c>
      <c r="Y2380" s="181">
        <f>_xll.qlCalendarAdvance(Calendar,Y2379,X2380,"f",FALSE)</f>
        <v>55626</v>
      </c>
      <c r="Z2380" s="184">
        <f>_xll.qlCalendarAdvance(Calendar,Y2380,NDays&amp;"D")</f>
        <v>55626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3"/>
        <v>1w</v>
      </c>
      <c r="Y2381" s="181">
        <f>_xll.qlCalendarAdvance(Calendar,Y2380,X2381,"f",FALSE)</f>
        <v>55633</v>
      </c>
      <c r="Z2381" s="184">
        <f>_xll.qlCalendarAdvance(Calendar,Y2381,NDays&amp;"D")</f>
        <v>55633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3"/>
        <v>1w</v>
      </c>
      <c r="Y2382" s="181">
        <f>_xll.qlCalendarAdvance(Calendar,Y2381,X2382,"f",FALSE)</f>
        <v>55640</v>
      </c>
      <c r="Z2382" s="184">
        <f>_xll.qlCalendarAdvance(Calendar,Y2382,NDays&amp;"D")</f>
        <v>55640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3"/>
        <v>1w</v>
      </c>
      <c r="Y2383" s="181">
        <f>_xll.qlCalendarAdvance(Calendar,Y2382,X2383,"f",FALSE)</f>
        <v>55647</v>
      </c>
      <c r="Z2383" s="184">
        <f>_xll.qlCalendarAdvance(Calendar,Y2383,NDays&amp;"D")</f>
        <v>55647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3"/>
        <v>1w</v>
      </c>
      <c r="Y2384" s="181">
        <f>_xll.qlCalendarAdvance(Calendar,Y2383,X2384,"f",FALSE)</f>
        <v>55654</v>
      </c>
      <c r="Z2384" s="184">
        <f>_xll.qlCalendarAdvance(Calendar,Y2384,NDays&amp;"D")</f>
        <v>55654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3"/>
        <v>1w</v>
      </c>
      <c r="Y2385" s="181">
        <f>_xll.qlCalendarAdvance(Calendar,Y2384,X2385,"f",FALSE)</f>
        <v>55661</v>
      </c>
      <c r="Z2385" s="184">
        <f>_xll.qlCalendarAdvance(Calendar,Y2385,NDays&amp;"D")</f>
        <v>55661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3"/>
        <v>1w</v>
      </c>
      <c r="Y2386" s="181">
        <f>_xll.qlCalendarAdvance(Calendar,Y2385,X2386,"f",FALSE)</f>
        <v>55668</v>
      </c>
      <c r="Z2386" s="184">
        <f>_xll.qlCalendarAdvance(Calendar,Y2386,NDays&amp;"D")</f>
        <v>55668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3"/>
        <v>1w</v>
      </c>
      <c r="Y2387" s="181">
        <f>_xll.qlCalendarAdvance(Calendar,Y2386,X2387,"f",FALSE)</f>
        <v>55675</v>
      </c>
      <c r="Z2387" s="184">
        <f>_xll.qlCalendarAdvance(Calendar,Y2387,NDays&amp;"D")</f>
        <v>55675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3"/>
        <v>1w</v>
      </c>
      <c r="Y2388" s="181">
        <f>_xll.qlCalendarAdvance(Calendar,Y2387,X2388,"f",FALSE)</f>
        <v>55682</v>
      </c>
      <c r="Z2388" s="184">
        <f>_xll.qlCalendarAdvance(Calendar,Y2388,NDays&amp;"D")</f>
        <v>55682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44">X2388</f>
        <v>1w</v>
      </c>
      <c r="Y2389" s="181">
        <f>_xll.qlCalendarAdvance(Calendar,Y2388,X2389,"f",FALSE)</f>
        <v>55689</v>
      </c>
      <c r="Z2389" s="184">
        <f>_xll.qlCalendarAdvance(Calendar,Y2389,NDays&amp;"D")</f>
        <v>55689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44"/>
        <v>1w</v>
      </c>
      <c r="Y2390" s="181">
        <f>_xll.qlCalendarAdvance(Calendar,Y2389,X2390,"f",FALSE)</f>
        <v>55696</v>
      </c>
      <c r="Z2390" s="184">
        <f>_xll.qlCalendarAdvance(Calendar,Y2390,NDays&amp;"D")</f>
        <v>55696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44"/>
        <v>1w</v>
      </c>
      <c r="Y2391" s="181">
        <f>_xll.qlCalendarAdvance(Calendar,Y2390,X2391,"f",FALSE)</f>
        <v>55703</v>
      </c>
      <c r="Z2391" s="184">
        <f>_xll.qlCalendarAdvance(Calendar,Y2391,NDays&amp;"D")</f>
        <v>55703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44"/>
        <v>1w</v>
      </c>
      <c r="Y2392" s="181">
        <f>_xll.qlCalendarAdvance(Calendar,Y2391,X2392,"f",FALSE)</f>
        <v>55710</v>
      </c>
      <c r="Z2392" s="184">
        <f>_xll.qlCalendarAdvance(Calendar,Y2392,NDays&amp;"D")</f>
        <v>55710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44"/>
        <v>1w</v>
      </c>
      <c r="Y2393" s="181">
        <f>_xll.qlCalendarAdvance(Calendar,Y2392,X2393,"f",FALSE)</f>
        <v>55717</v>
      </c>
      <c r="Z2393" s="184">
        <f>_xll.qlCalendarAdvance(Calendar,Y2393,NDays&amp;"D")</f>
        <v>55717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44"/>
        <v>1w</v>
      </c>
      <c r="Y2394" s="181">
        <f>_xll.qlCalendarAdvance(Calendar,Y2393,X2394,"f",FALSE)</f>
        <v>55724</v>
      </c>
      <c r="Z2394" s="184">
        <f>_xll.qlCalendarAdvance(Calendar,Y2394,NDays&amp;"D")</f>
        <v>55724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44"/>
        <v>1w</v>
      </c>
      <c r="Y2395" s="181">
        <f>_xll.qlCalendarAdvance(Calendar,Y2394,X2395,"f",FALSE)</f>
        <v>55731</v>
      </c>
      <c r="Z2395" s="184">
        <f>_xll.qlCalendarAdvance(Calendar,Y2395,NDays&amp;"D")</f>
        <v>55731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44"/>
        <v>1w</v>
      </c>
      <c r="Y2396" s="181">
        <f>_xll.qlCalendarAdvance(Calendar,Y2395,X2396,"f",FALSE)</f>
        <v>55738</v>
      </c>
      <c r="Z2396" s="184">
        <f>_xll.qlCalendarAdvance(Calendar,Y2396,NDays&amp;"D")</f>
        <v>55738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44"/>
        <v>1w</v>
      </c>
      <c r="Y2397" s="181">
        <f>_xll.qlCalendarAdvance(Calendar,Y2396,X2397,"f",FALSE)</f>
        <v>55745</v>
      </c>
      <c r="Z2397" s="184">
        <f>_xll.qlCalendarAdvance(Calendar,Y2397,NDays&amp;"D")</f>
        <v>55745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44"/>
        <v>1w</v>
      </c>
      <c r="Y2398" s="181">
        <f>_xll.qlCalendarAdvance(Calendar,Y2397,X2398,"f",FALSE)</f>
        <v>55752</v>
      </c>
      <c r="Z2398" s="184">
        <f>_xll.qlCalendarAdvance(Calendar,Y2398,NDays&amp;"D")</f>
        <v>55752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44"/>
        <v>1w</v>
      </c>
      <c r="Y2399" s="181">
        <f>_xll.qlCalendarAdvance(Calendar,Y2398,X2399,"f",FALSE)</f>
        <v>55759</v>
      </c>
      <c r="Z2399" s="184">
        <f>_xll.qlCalendarAdvance(Calendar,Y2399,NDays&amp;"D")</f>
        <v>55759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44"/>
        <v>1w</v>
      </c>
      <c r="Y2400" s="181">
        <f>_xll.qlCalendarAdvance(Calendar,Y2399,X2400,"f",FALSE)</f>
        <v>55766</v>
      </c>
      <c r="Z2400" s="184">
        <f>_xll.qlCalendarAdvance(Calendar,Y2400,NDays&amp;"D")</f>
        <v>55766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44"/>
        <v>1w</v>
      </c>
      <c r="Y2401" s="181">
        <f>_xll.qlCalendarAdvance(Calendar,Y2400,X2401,"f",FALSE)</f>
        <v>55773</v>
      </c>
      <c r="Z2401" s="184">
        <f>_xll.qlCalendarAdvance(Calendar,Y2401,NDays&amp;"D")</f>
        <v>55773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44"/>
        <v>1w</v>
      </c>
      <c r="Y2402" s="181">
        <f>_xll.qlCalendarAdvance(Calendar,Y2401,X2402,"f",FALSE)</f>
        <v>55780</v>
      </c>
      <c r="Z2402" s="184">
        <f>_xll.qlCalendarAdvance(Calendar,Y2402,NDays&amp;"D")</f>
        <v>55780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44"/>
        <v>1w</v>
      </c>
      <c r="Y2403" s="181">
        <f>_xll.qlCalendarAdvance(Calendar,Y2402,X2403,"f",FALSE)</f>
        <v>55787</v>
      </c>
      <c r="Z2403" s="184">
        <f>_xll.qlCalendarAdvance(Calendar,Y2403,NDays&amp;"D")</f>
        <v>55787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44"/>
        <v>1w</v>
      </c>
      <c r="Y2404" s="181">
        <f>_xll.qlCalendarAdvance(Calendar,Y2403,X2404,"f",FALSE)</f>
        <v>55794</v>
      </c>
      <c r="Z2404" s="184">
        <f>_xll.qlCalendarAdvance(Calendar,Y2404,NDays&amp;"D")</f>
        <v>55794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44"/>
        <v>1w</v>
      </c>
      <c r="Y2405" s="181">
        <f>_xll.qlCalendarAdvance(Calendar,Y2404,X2405,"f",FALSE)</f>
        <v>55801</v>
      </c>
      <c r="Z2405" s="184">
        <f>_xll.qlCalendarAdvance(Calendar,Y2405,NDays&amp;"D")</f>
        <v>55801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44"/>
        <v>1w</v>
      </c>
      <c r="Y2406" s="181">
        <f>_xll.qlCalendarAdvance(Calendar,Y2405,X2406,"f",FALSE)</f>
        <v>55808</v>
      </c>
      <c r="Z2406" s="184">
        <f>_xll.qlCalendarAdvance(Calendar,Y2406,NDays&amp;"D")</f>
        <v>55808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44"/>
        <v>1w</v>
      </c>
      <c r="Y2407" s="181">
        <f>_xll.qlCalendarAdvance(Calendar,Y2406,X2407,"f",FALSE)</f>
        <v>55815</v>
      </c>
      <c r="Z2407" s="184">
        <f>_xll.qlCalendarAdvance(Calendar,Y2407,NDays&amp;"D")</f>
        <v>55815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44"/>
        <v>1w</v>
      </c>
      <c r="Y2408" s="181">
        <f>_xll.qlCalendarAdvance(Calendar,Y2407,X2408,"f",FALSE)</f>
        <v>55822</v>
      </c>
      <c r="Z2408" s="184">
        <f>_xll.qlCalendarAdvance(Calendar,Y2408,NDays&amp;"D")</f>
        <v>55822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44"/>
        <v>1w</v>
      </c>
      <c r="Y2409" s="181">
        <f>_xll.qlCalendarAdvance(Calendar,Y2408,X2409,"f",FALSE)</f>
        <v>55829</v>
      </c>
      <c r="Z2409" s="184">
        <f>_xll.qlCalendarAdvance(Calendar,Y2409,NDays&amp;"D")</f>
        <v>55829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44"/>
        <v>1w</v>
      </c>
      <c r="Y2410" s="181">
        <f>_xll.qlCalendarAdvance(Calendar,Y2409,X2410,"f",FALSE)</f>
        <v>55836</v>
      </c>
      <c r="Z2410" s="184">
        <f>_xll.qlCalendarAdvance(Calendar,Y2410,NDays&amp;"D")</f>
        <v>55836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44"/>
        <v>1w</v>
      </c>
      <c r="Y2411" s="181">
        <f>_xll.qlCalendarAdvance(Calendar,Y2410,X2411,"f",FALSE)</f>
        <v>55843</v>
      </c>
      <c r="Z2411" s="184">
        <f>_xll.qlCalendarAdvance(Calendar,Y2411,NDays&amp;"D")</f>
        <v>55843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44"/>
        <v>1w</v>
      </c>
      <c r="Y2412" s="181">
        <f>_xll.qlCalendarAdvance(Calendar,Y2411,X2412,"f",FALSE)</f>
        <v>55850</v>
      </c>
      <c r="Z2412" s="184">
        <f>_xll.qlCalendarAdvance(Calendar,Y2412,NDays&amp;"D")</f>
        <v>55850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44"/>
        <v>1w</v>
      </c>
      <c r="Y2413" s="181">
        <f>_xll.qlCalendarAdvance(Calendar,Y2412,X2413,"f",FALSE)</f>
        <v>55857</v>
      </c>
      <c r="Z2413" s="184">
        <f>_xll.qlCalendarAdvance(Calendar,Y2413,NDays&amp;"D")</f>
        <v>55857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44"/>
        <v>1w</v>
      </c>
      <c r="Y2414" s="181">
        <f>_xll.qlCalendarAdvance(Calendar,Y2413,X2414,"f",FALSE)</f>
        <v>55864</v>
      </c>
      <c r="Z2414" s="184">
        <f>_xll.qlCalendarAdvance(Calendar,Y2414,NDays&amp;"D")</f>
        <v>55864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44"/>
        <v>1w</v>
      </c>
      <c r="Y2415" s="181">
        <f>_xll.qlCalendarAdvance(Calendar,Y2414,X2415,"f",FALSE)</f>
        <v>55871</v>
      </c>
      <c r="Z2415" s="184">
        <f>_xll.qlCalendarAdvance(Calendar,Y2415,NDays&amp;"D")</f>
        <v>55871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44"/>
        <v>1w</v>
      </c>
      <c r="Y2416" s="181">
        <f>_xll.qlCalendarAdvance(Calendar,Y2415,X2416,"f",FALSE)</f>
        <v>55880</v>
      </c>
      <c r="Z2416" s="184">
        <f>_xll.qlCalendarAdvance(Calendar,Y2416,NDays&amp;"D")</f>
        <v>55880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44"/>
        <v>1w</v>
      </c>
      <c r="Y2417" s="181">
        <f>_xll.qlCalendarAdvance(Calendar,Y2416,X2417,"f",FALSE)</f>
        <v>55887</v>
      </c>
      <c r="Z2417" s="184">
        <f>_xll.qlCalendarAdvance(Calendar,Y2417,NDays&amp;"D")</f>
        <v>55887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44"/>
        <v>1w</v>
      </c>
      <c r="Y2418" s="181">
        <f>_xll.qlCalendarAdvance(Calendar,Y2417,X2418,"f",FALSE)</f>
        <v>55894</v>
      </c>
      <c r="Z2418" s="184">
        <f>_xll.qlCalendarAdvance(Calendar,Y2418,NDays&amp;"D")</f>
        <v>55894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44"/>
        <v>1w</v>
      </c>
      <c r="Y2419" s="181">
        <f>_xll.qlCalendarAdvance(Calendar,Y2418,X2419,"f",FALSE)</f>
        <v>55901</v>
      </c>
      <c r="Z2419" s="184">
        <f>_xll.qlCalendarAdvance(Calendar,Y2419,NDays&amp;"D")</f>
        <v>55901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44"/>
        <v>1w</v>
      </c>
      <c r="Y2420" s="181">
        <f>_xll.qlCalendarAdvance(Calendar,Y2419,X2420,"f",FALSE)</f>
        <v>55908</v>
      </c>
      <c r="Z2420" s="184">
        <f>_xll.qlCalendarAdvance(Calendar,Y2420,NDays&amp;"D")</f>
        <v>55908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44"/>
        <v>1w</v>
      </c>
      <c r="Y2421" s="181">
        <f>_xll.qlCalendarAdvance(Calendar,Y2420,X2421,"f",FALSE)</f>
        <v>55915</v>
      </c>
      <c r="Z2421" s="184">
        <f>_xll.qlCalendarAdvance(Calendar,Y2421,NDays&amp;"D")</f>
        <v>55915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44"/>
        <v>1w</v>
      </c>
      <c r="Y2422" s="181">
        <f>_xll.qlCalendarAdvance(Calendar,Y2421,X2422,"f",FALSE)</f>
        <v>55922</v>
      </c>
      <c r="Z2422" s="184">
        <f>_xll.qlCalendarAdvance(Calendar,Y2422,NDays&amp;"D")</f>
        <v>55922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44"/>
        <v>1w</v>
      </c>
      <c r="Y2423" s="181">
        <f>_xll.qlCalendarAdvance(Calendar,Y2422,X2423,"f",FALSE)</f>
        <v>55929</v>
      </c>
      <c r="Z2423" s="184">
        <f>_xll.qlCalendarAdvance(Calendar,Y2423,NDays&amp;"D")</f>
        <v>55929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44"/>
        <v>1w</v>
      </c>
      <c r="Y2424" s="181">
        <f>_xll.qlCalendarAdvance(Calendar,Y2423,X2424,"f",FALSE)</f>
        <v>55936</v>
      </c>
      <c r="Z2424" s="184">
        <f>_xll.qlCalendarAdvance(Calendar,Y2424,NDays&amp;"D")</f>
        <v>55936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44"/>
        <v>1w</v>
      </c>
      <c r="Y2425" s="181">
        <f>_xll.qlCalendarAdvance(Calendar,Y2424,X2425,"f",FALSE)</f>
        <v>55943</v>
      </c>
      <c r="Z2425" s="184">
        <f>_xll.qlCalendarAdvance(Calendar,Y2425,NDays&amp;"D")</f>
        <v>55943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44"/>
        <v>1w</v>
      </c>
      <c r="Y2426" s="181">
        <f>_xll.qlCalendarAdvance(Calendar,Y2425,X2426,"f",FALSE)</f>
        <v>55950</v>
      </c>
      <c r="Z2426" s="184">
        <f>_xll.qlCalendarAdvance(Calendar,Y2426,NDays&amp;"D")</f>
        <v>55950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44"/>
        <v>1w</v>
      </c>
      <c r="Y2427" s="181">
        <f>_xll.qlCalendarAdvance(Calendar,Y2426,X2427,"f",FALSE)</f>
        <v>55957</v>
      </c>
      <c r="Z2427" s="184">
        <f>_xll.qlCalendarAdvance(Calendar,Y2427,NDays&amp;"D")</f>
        <v>55957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44"/>
        <v>1w</v>
      </c>
      <c r="Y2428" s="181">
        <f>_xll.qlCalendarAdvance(Calendar,Y2427,X2428,"f",FALSE)</f>
        <v>55964</v>
      </c>
      <c r="Z2428" s="184">
        <f>_xll.qlCalendarAdvance(Calendar,Y2428,NDays&amp;"D")</f>
        <v>55964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44"/>
        <v>1w</v>
      </c>
      <c r="Y2429" s="181">
        <f>_xll.qlCalendarAdvance(Calendar,Y2428,X2429,"f",FALSE)</f>
        <v>55971</v>
      </c>
      <c r="Z2429" s="184">
        <f>_xll.qlCalendarAdvance(Calendar,Y2429,NDays&amp;"D")</f>
        <v>55971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44"/>
        <v>1w</v>
      </c>
      <c r="Y2430" s="181">
        <f>_xll.qlCalendarAdvance(Calendar,Y2429,X2430,"f",FALSE)</f>
        <v>55982</v>
      </c>
      <c r="Z2430" s="184">
        <f>_xll.qlCalendarAdvance(Calendar,Y2430,NDays&amp;"D")</f>
        <v>55982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44"/>
        <v>1w</v>
      </c>
      <c r="Y2431" s="181">
        <f>_xll.qlCalendarAdvance(Calendar,Y2430,X2431,"f",FALSE)</f>
        <v>55989</v>
      </c>
      <c r="Z2431" s="184">
        <f>_xll.qlCalendarAdvance(Calendar,Y2431,NDays&amp;"D")</f>
        <v>55989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44"/>
        <v>1w</v>
      </c>
      <c r="Y2432" s="181">
        <f>_xll.qlCalendarAdvance(Calendar,Y2431,X2432,"f",FALSE)</f>
        <v>55996</v>
      </c>
      <c r="Z2432" s="184">
        <f>_xll.qlCalendarAdvance(Calendar,Y2432,NDays&amp;"D")</f>
        <v>55996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44"/>
        <v>1w</v>
      </c>
      <c r="Y2433" s="181">
        <f>_xll.qlCalendarAdvance(Calendar,Y2432,X2433,"f",FALSE)</f>
        <v>56003</v>
      </c>
      <c r="Z2433" s="184">
        <f>_xll.qlCalendarAdvance(Calendar,Y2433,NDays&amp;"D")</f>
        <v>56003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44"/>
        <v>1w</v>
      </c>
      <c r="Y2434" s="181">
        <f>_xll.qlCalendarAdvance(Calendar,Y2433,X2434,"f",FALSE)</f>
        <v>56010</v>
      </c>
      <c r="Z2434" s="184">
        <f>_xll.qlCalendarAdvance(Calendar,Y2434,NDays&amp;"D")</f>
        <v>56010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44"/>
        <v>1w</v>
      </c>
      <c r="Y2435" s="181">
        <f>_xll.qlCalendarAdvance(Calendar,Y2434,X2435,"f",FALSE)</f>
        <v>56017</v>
      </c>
      <c r="Z2435" s="184">
        <f>_xll.qlCalendarAdvance(Calendar,Y2435,NDays&amp;"D")</f>
        <v>56017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44"/>
        <v>1w</v>
      </c>
      <c r="Y2436" s="181">
        <f>_xll.qlCalendarAdvance(Calendar,Y2435,X2436,"f",FALSE)</f>
        <v>56024</v>
      </c>
      <c r="Z2436" s="184">
        <f>_xll.qlCalendarAdvance(Calendar,Y2436,NDays&amp;"D")</f>
        <v>56024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44"/>
        <v>1w</v>
      </c>
      <c r="Y2437" s="181">
        <f>_xll.qlCalendarAdvance(Calendar,Y2436,X2437,"f",FALSE)</f>
        <v>56031</v>
      </c>
      <c r="Z2437" s="184">
        <f>_xll.qlCalendarAdvance(Calendar,Y2437,NDays&amp;"D")</f>
        <v>56031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44"/>
        <v>1w</v>
      </c>
      <c r="Y2438" s="181">
        <f>_xll.qlCalendarAdvance(Calendar,Y2437,X2438,"f",FALSE)</f>
        <v>56038</v>
      </c>
      <c r="Z2438" s="184">
        <f>_xll.qlCalendarAdvance(Calendar,Y2438,NDays&amp;"D")</f>
        <v>56038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44"/>
        <v>1w</v>
      </c>
      <c r="Y2439" s="181">
        <f>_xll.qlCalendarAdvance(Calendar,Y2438,X2439,"f",FALSE)</f>
        <v>56045</v>
      </c>
      <c r="Z2439" s="184">
        <f>_xll.qlCalendarAdvance(Calendar,Y2439,NDays&amp;"D")</f>
        <v>56045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44"/>
        <v>1w</v>
      </c>
      <c r="Y2440" s="181">
        <f>_xll.qlCalendarAdvance(Calendar,Y2439,X2440,"f",FALSE)</f>
        <v>56052</v>
      </c>
      <c r="Z2440" s="184">
        <f>_xll.qlCalendarAdvance(Calendar,Y2440,NDays&amp;"D")</f>
        <v>56052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44"/>
        <v>1w</v>
      </c>
      <c r="Y2441" s="181">
        <f>_xll.qlCalendarAdvance(Calendar,Y2440,X2441,"f",FALSE)</f>
        <v>56059</v>
      </c>
      <c r="Z2441" s="184">
        <f>_xll.qlCalendarAdvance(Calendar,Y2441,NDays&amp;"D")</f>
        <v>56059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44"/>
        <v>1w</v>
      </c>
      <c r="Y2442" s="181">
        <f>_xll.qlCalendarAdvance(Calendar,Y2441,X2442,"f",FALSE)</f>
        <v>56066</v>
      </c>
      <c r="Z2442" s="184">
        <f>_xll.qlCalendarAdvance(Calendar,Y2442,NDays&amp;"D")</f>
        <v>56066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44"/>
        <v>1w</v>
      </c>
      <c r="Y2443" s="181">
        <f>_xll.qlCalendarAdvance(Calendar,Y2442,X2443,"f",FALSE)</f>
        <v>56073</v>
      </c>
      <c r="Z2443" s="184">
        <f>_xll.qlCalendarAdvance(Calendar,Y2443,NDays&amp;"D")</f>
        <v>56073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44"/>
        <v>1w</v>
      </c>
      <c r="Y2444" s="181">
        <f>_xll.qlCalendarAdvance(Calendar,Y2443,X2444,"f",FALSE)</f>
        <v>56080</v>
      </c>
      <c r="Z2444" s="184">
        <f>_xll.qlCalendarAdvance(Calendar,Y2444,NDays&amp;"D")</f>
        <v>56080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44"/>
        <v>1w</v>
      </c>
      <c r="Y2445" s="181">
        <f>_xll.qlCalendarAdvance(Calendar,Y2444,X2445,"f",FALSE)</f>
        <v>56087</v>
      </c>
      <c r="Z2445" s="184">
        <f>_xll.qlCalendarAdvance(Calendar,Y2445,NDays&amp;"D")</f>
        <v>56087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44"/>
        <v>1w</v>
      </c>
      <c r="Y2446" s="181">
        <f>_xll.qlCalendarAdvance(Calendar,Y2445,X2446,"f",FALSE)</f>
        <v>56094</v>
      </c>
      <c r="Z2446" s="184">
        <f>_xll.qlCalendarAdvance(Calendar,Y2446,NDays&amp;"D")</f>
        <v>56094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44"/>
        <v>1w</v>
      </c>
      <c r="Y2447" s="181">
        <f>_xll.qlCalendarAdvance(Calendar,Y2446,X2447,"f",FALSE)</f>
        <v>56101</v>
      </c>
      <c r="Z2447" s="184">
        <f>_xll.qlCalendarAdvance(Calendar,Y2447,NDays&amp;"D")</f>
        <v>56101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44"/>
        <v>1w</v>
      </c>
      <c r="Y2448" s="181">
        <f>_xll.qlCalendarAdvance(Calendar,Y2447,X2448,"f",FALSE)</f>
        <v>56108</v>
      </c>
      <c r="Z2448" s="184">
        <f>_xll.qlCalendarAdvance(Calendar,Y2448,NDays&amp;"D")</f>
        <v>56108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44"/>
        <v>1w</v>
      </c>
      <c r="Y2449" s="181">
        <f>_xll.qlCalendarAdvance(Calendar,Y2448,X2449,"f",FALSE)</f>
        <v>56115</v>
      </c>
      <c r="Z2449" s="184">
        <f>_xll.qlCalendarAdvance(Calendar,Y2449,NDays&amp;"D")</f>
        <v>56115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44"/>
        <v>1w</v>
      </c>
      <c r="Y2450" s="181">
        <f>_xll.qlCalendarAdvance(Calendar,Y2449,X2450,"f",FALSE)</f>
        <v>56122</v>
      </c>
      <c r="Z2450" s="184">
        <f>_xll.qlCalendarAdvance(Calendar,Y2450,NDays&amp;"D")</f>
        <v>56122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44"/>
        <v>1w</v>
      </c>
      <c r="Y2451" s="181">
        <f>_xll.qlCalendarAdvance(Calendar,Y2450,X2451,"f",FALSE)</f>
        <v>56129</v>
      </c>
      <c r="Z2451" s="184">
        <f>_xll.qlCalendarAdvance(Calendar,Y2451,NDays&amp;"D")</f>
        <v>56129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44"/>
        <v>1w</v>
      </c>
      <c r="Y2452" s="181">
        <f>_xll.qlCalendarAdvance(Calendar,Y2451,X2452,"f",FALSE)</f>
        <v>56136</v>
      </c>
      <c r="Z2452" s="184">
        <f>_xll.qlCalendarAdvance(Calendar,Y2452,NDays&amp;"D")</f>
        <v>56136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45">X2452</f>
        <v>1w</v>
      </c>
      <c r="Y2453" s="181">
        <f>_xll.qlCalendarAdvance(Calendar,Y2452,X2453,"f",FALSE)</f>
        <v>56143</v>
      </c>
      <c r="Z2453" s="184">
        <f>_xll.qlCalendarAdvance(Calendar,Y2453,NDays&amp;"D")</f>
        <v>56143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45"/>
        <v>1w</v>
      </c>
      <c r="Y2454" s="181">
        <f>_xll.qlCalendarAdvance(Calendar,Y2453,X2454,"f",FALSE)</f>
        <v>56150</v>
      </c>
      <c r="Z2454" s="184">
        <f>_xll.qlCalendarAdvance(Calendar,Y2454,NDays&amp;"D")</f>
        <v>56150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45"/>
        <v>1w</v>
      </c>
      <c r="Y2455" s="181">
        <f>_xll.qlCalendarAdvance(Calendar,Y2454,X2455,"f",FALSE)</f>
        <v>56157</v>
      </c>
      <c r="Z2455" s="184">
        <f>_xll.qlCalendarAdvance(Calendar,Y2455,NDays&amp;"D")</f>
        <v>56157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45"/>
        <v>1w</v>
      </c>
      <c r="Y2456" s="181">
        <f>_xll.qlCalendarAdvance(Calendar,Y2455,X2456,"f",FALSE)</f>
        <v>56164</v>
      </c>
      <c r="Z2456" s="184">
        <f>_xll.qlCalendarAdvance(Calendar,Y2456,NDays&amp;"D")</f>
        <v>56164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45"/>
        <v>1w</v>
      </c>
      <c r="Y2457" s="181">
        <f>_xll.qlCalendarAdvance(Calendar,Y2456,X2457,"f",FALSE)</f>
        <v>56171</v>
      </c>
      <c r="Z2457" s="184">
        <f>_xll.qlCalendarAdvance(Calendar,Y2457,NDays&amp;"D")</f>
        <v>56171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45"/>
        <v>1w</v>
      </c>
      <c r="Y2458" s="181">
        <f>_xll.qlCalendarAdvance(Calendar,Y2457,X2458,"f",FALSE)</f>
        <v>56178</v>
      </c>
      <c r="Z2458" s="184">
        <f>_xll.qlCalendarAdvance(Calendar,Y2458,NDays&amp;"D")</f>
        <v>56178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45"/>
        <v>1w</v>
      </c>
      <c r="Y2459" s="181">
        <f>_xll.qlCalendarAdvance(Calendar,Y2458,X2459,"f",FALSE)</f>
        <v>56185</v>
      </c>
      <c r="Z2459" s="184">
        <f>_xll.qlCalendarAdvance(Calendar,Y2459,NDays&amp;"D")</f>
        <v>56185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45"/>
        <v>1w</v>
      </c>
      <c r="Y2460" s="181">
        <f>_xll.qlCalendarAdvance(Calendar,Y2459,X2460,"f",FALSE)</f>
        <v>56192</v>
      </c>
      <c r="Z2460" s="184">
        <f>_xll.qlCalendarAdvance(Calendar,Y2460,NDays&amp;"D")</f>
        <v>56192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45"/>
        <v>1w</v>
      </c>
      <c r="Y2461" s="181">
        <f>_xll.qlCalendarAdvance(Calendar,Y2460,X2461,"f",FALSE)</f>
        <v>56199</v>
      </c>
      <c r="Z2461" s="184">
        <f>_xll.qlCalendarAdvance(Calendar,Y2461,NDays&amp;"D")</f>
        <v>56199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45"/>
        <v>1w</v>
      </c>
      <c r="Y2462" s="181">
        <f>_xll.qlCalendarAdvance(Calendar,Y2461,X2462,"f",FALSE)</f>
        <v>56206</v>
      </c>
      <c r="Z2462" s="184">
        <f>_xll.qlCalendarAdvance(Calendar,Y2462,NDays&amp;"D")</f>
        <v>56206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45"/>
        <v>1w</v>
      </c>
      <c r="Y2463" s="181">
        <f>_xll.qlCalendarAdvance(Calendar,Y2462,X2463,"f",FALSE)</f>
        <v>56213</v>
      </c>
      <c r="Z2463" s="184">
        <f>_xll.qlCalendarAdvance(Calendar,Y2463,NDays&amp;"D")</f>
        <v>56213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45"/>
        <v>1w</v>
      </c>
      <c r="Y2464" s="181">
        <f>_xll.qlCalendarAdvance(Calendar,Y2463,X2464,"f",FALSE)</f>
        <v>56220</v>
      </c>
      <c r="Z2464" s="184">
        <f>_xll.qlCalendarAdvance(Calendar,Y2464,NDays&amp;"D")</f>
        <v>56220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45"/>
        <v>1w</v>
      </c>
      <c r="Y2465" s="181">
        <f>_xll.qlCalendarAdvance(Calendar,Y2464,X2465,"f",FALSE)</f>
        <v>56227</v>
      </c>
      <c r="Z2465" s="184">
        <f>_xll.qlCalendarAdvance(Calendar,Y2465,NDays&amp;"D")</f>
        <v>56227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45"/>
        <v>1w</v>
      </c>
      <c r="Y2466" s="181">
        <f>_xll.qlCalendarAdvance(Calendar,Y2465,X2466,"f",FALSE)</f>
        <v>56234</v>
      </c>
      <c r="Z2466" s="184">
        <f>_xll.qlCalendarAdvance(Calendar,Y2466,NDays&amp;"D")</f>
        <v>56234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45"/>
        <v>1w</v>
      </c>
      <c r="Y2467" s="181">
        <f>_xll.qlCalendarAdvance(Calendar,Y2466,X2467,"f",FALSE)</f>
        <v>56241</v>
      </c>
      <c r="Z2467" s="184">
        <f>_xll.qlCalendarAdvance(Calendar,Y2467,NDays&amp;"D")</f>
        <v>56241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45"/>
        <v>1w</v>
      </c>
      <c r="Y2468" s="181">
        <f>_xll.qlCalendarAdvance(Calendar,Y2467,X2468,"f",FALSE)</f>
        <v>56248</v>
      </c>
      <c r="Z2468" s="184">
        <f>_xll.qlCalendarAdvance(Calendar,Y2468,NDays&amp;"D")</f>
        <v>56248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45"/>
        <v>1w</v>
      </c>
      <c r="Y2469" s="181">
        <f>_xll.qlCalendarAdvance(Calendar,Y2468,X2469,"f",FALSE)</f>
        <v>56255</v>
      </c>
      <c r="Z2469" s="184">
        <f>_xll.qlCalendarAdvance(Calendar,Y2469,NDays&amp;"D")</f>
        <v>56255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45"/>
        <v>1w</v>
      </c>
      <c r="Y2470" s="181">
        <f>_xll.qlCalendarAdvance(Calendar,Y2469,X2470,"f",FALSE)</f>
        <v>56262</v>
      </c>
      <c r="Z2470" s="184">
        <f>_xll.qlCalendarAdvance(Calendar,Y2470,NDays&amp;"D")</f>
        <v>56262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45"/>
        <v>1w</v>
      </c>
      <c r="Y2471" s="181">
        <f>_xll.qlCalendarAdvance(Calendar,Y2470,X2471,"f",FALSE)</f>
        <v>56269</v>
      </c>
      <c r="Z2471" s="184">
        <f>_xll.qlCalendarAdvance(Calendar,Y2471,NDays&amp;"D")</f>
        <v>56269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45"/>
        <v>1w</v>
      </c>
      <c r="Y2472" s="181">
        <f>_xll.qlCalendarAdvance(Calendar,Y2471,X2472,"f",FALSE)</f>
        <v>56276</v>
      </c>
      <c r="Z2472" s="184">
        <f>_xll.qlCalendarAdvance(Calendar,Y2472,NDays&amp;"D")</f>
        <v>56276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45"/>
        <v>1w</v>
      </c>
      <c r="Y2473" s="181">
        <f>_xll.qlCalendarAdvance(Calendar,Y2472,X2473,"f",FALSE)</f>
        <v>56283</v>
      </c>
      <c r="Z2473" s="184">
        <f>_xll.qlCalendarAdvance(Calendar,Y2473,NDays&amp;"D")</f>
        <v>56283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45"/>
        <v>1w</v>
      </c>
      <c r="Y2474" s="181">
        <f>_xll.qlCalendarAdvance(Calendar,Y2473,X2474,"f",FALSE)</f>
        <v>56290</v>
      </c>
      <c r="Z2474" s="184">
        <f>_xll.qlCalendarAdvance(Calendar,Y2474,NDays&amp;"D")</f>
        <v>56290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45"/>
        <v>1w</v>
      </c>
      <c r="Y2475" s="181">
        <f>_xll.qlCalendarAdvance(Calendar,Y2474,X2475,"f",FALSE)</f>
        <v>56297</v>
      </c>
      <c r="Z2475" s="184">
        <f>_xll.qlCalendarAdvance(Calendar,Y2475,NDays&amp;"D")</f>
        <v>56297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45"/>
        <v>1w</v>
      </c>
      <c r="Y2476" s="181">
        <f>_xll.qlCalendarAdvance(Calendar,Y2475,X2476,"f",FALSE)</f>
        <v>56304</v>
      </c>
      <c r="Z2476" s="184">
        <f>_xll.qlCalendarAdvance(Calendar,Y2476,NDays&amp;"D")</f>
        <v>56304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45"/>
        <v>1w</v>
      </c>
      <c r="Y2477" s="181">
        <f>_xll.qlCalendarAdvance(Calendar,Y2476,X2477,"f",FALSE)</f>
        <v>56311</v>
      </c>
      <c r="Z2477" s="184">
        <f>_xll.qlCalendarAdvance(Calendar,Y2477,NDays&amp;"D")</f>
        <v>56311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45"/>
        <v>1w</v>
      </c>
      <c r="Y2478" s="181">
        <f>_xll.qlCalendarAdvance(Calendar,Y2477,X2478,"f",FALSE)</f>
        <v>56318</v>
      </c>
      <c r="Z2478" s="184">
        <f>_xll.qlCalendarAdvance(Calendar,Y2478,NDays&amp;"D")</f>
        <v>56318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45"/>
        <v>1w</v>
      </c>
      <c r="Y2479" s="181">
        <f>_xll.qlCalendarAdvance(Calendar,Y2478,X2479,"f",FALSE)</f>
        <v>56325</v>
      </c>
      <c r="Z2479" s="184">
        <f>_xll.qlCalendarAdvance(Calendar,Y2479,NDays&amp;"D")</f>
        <v>56325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45"/>
        <v>1w</v>
      </c>
      <c r="Y2480" s="181">
        <f>_xll.qlCalendarAdvance(Calendar,Y2479,X2480,"f",FALSE)</f>
        <v>56332</v>
      </c>
      <c r="Z2480" s="184">
        <f>_xll.qlCalendarAdvance(Calendar,Y2480,NDays&amp;"D")</f>
        <v>56332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45"/>
        <v>1w</v>
      </c>
      <c r="Y2481" s="181">
        <f>_xll.qlCalendarAdvance(Calendar,Y2480,X2481,"f",FALSE)</f>
        <v>56339</v>
      </c>
      <c r="Z2481" s="184">
        <f>_xll.qlCalendarAdvance(Calendar,Y2481,NDays&amp;"D")</f>
        <v>56339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45"/>
        <v>1w</v>
      </c>
      <c r="Y2482" s="181">
        <f>_xll.qlCalendarAdvance(Calendar,Y2481,X2482,"f",FALSE)</f>
        <v>56346</v>
      </c>
      <c r="Z2482" s="184">
        <f>_xll.qlCalendarAdvance(Calendar,Y2482,NDays&amp;"D")</f>
        <v>56346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45"/>
        <v>1w</v>
      </c>
      <c r="Y2483" s="181">
        <f>_xll.qlCalendarAdvance(Calendar,Y2482,X2483,"f",FALSE)</f>
        <v>56353</v>
      </c>
      <c r="Z2483" s="184">
        <f>_xll.qlCalendarAdvance(Calendar,Y2483,NDays&amp;"D")</f>
        <v>56353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45"/>
        <v>1w</v>
      </c>
      <c r="Y2484" s="181">
        <f>_xll.qlCalendarAdvance(Calendar,Y2483,X2484,"f",FALSE)</f>
        <v>56360</v>
      </c>
      <c r="Z2484" s="184">
        <f>_xll.qlCalendarAdvance(Calendar,Y2484,NDays&amp;"D")</f>
        <v>56360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45"/>
        <v>1w</v>
      </c>
      <c r="Y2485" s="181">
        <f>_xll.qlCalendarAdvance(Calendar,Y2484,X2485,"f",FALSE)</f>
        <v>56367</v>
      </c>
      <c r="Z2485" s="184">
        <f>_xll.qlCalendarAdvance(Calendar,Y2485,NDays&amp;"D")</f>
        <v>56367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45"/>
        <v>1w</v>
      </c>
      <c r="Y2486" s="181">
        <f>_xll.qlCalendarAdvance(Calendar,Y2485,X2486,"f",FALSE)</f>
        <v>56374</v>
      </c>
      <c r="Z2486" s="184">
        <f>_xll.qlCalendarAdvance(Calendar,Y2486,NDays&amp;"D")</f>
        <v>56374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45"/>
        <v>1w</v>
      </c>
      <c r="Y2487" s="181">
        <f>_xll.qlCalendarAdvance(Calendar,Y2486,X2487,"f",FALSE)</f>
        <v>56381</v>
      </c>
      <c r="Z2487" s="184">
        <f>_xll.qlCalendarAdvance(Calendar,Y2487,NDays&amp;"D")</f>
        <v>56381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45"/>
        <v>1w</v>
      </c>
      <c r="Y2488" s="181">
        <f>_xll.qlCalendarAdvance(Calendar,Y2487,X2488,"f",FALSE)</f>
        <v>56388</v>
      </c>
      <c r="Z2488" s="184">
        <f>_xll.qlCalendarAdvance(Calendar,Y2488,NDays&amp;"D")</f>
        <v>56388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45"/>
        <v>1w</v>
      </c>
      <c r="Y2489" s="181">
        <f>_xll.qlCalendarAdvance(Calendar,Y2488,X2489,"f",FALSE)</f>
        <v>56395</v>
      </c>
      <c r="Z2489" s="184">
        <f>_xll.qlCalendarAdvance(Calendar,Y2489,NDays&amp;"D")</f>
        <v>56395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45"/>
        <v>1w</v>
      </c>
      <c r="Y2490" s="181">
        <f>_xll.qlCalendarAdvance(Calendar,Y2489,X2490,"f",FALSE)</f>
        <v>56402</v>
      </c>
      <c r="Z2490" s="184">
        <f>_xll.qlCalendarAdvance(Calendar,Y2490,NDays&amp;"D")</f>
        <v>56402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45"/>
        <v>1w</v>
      </c>
      <c r="Y2491" s="181">
        <f>_xll.qlCalendarAdvance(Calendar,Y2490,X2491,"f",FALSE)</f>
        <v>56409</v>
      </c>
      <c r="Z2491" s="184">
        <f>_xll.qlCalendarAdvance(Calendar,Y2491,NDays&amp;"D")</f>
        <v>56409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45"/>
        <v>1w</v>
      </c>
      <c r="Y2492" s="181">
        <f>_xll.qlCalendarAdvance(Calendar,Y2491,X2492,"f",FALSE)</f>
        <v>56416</v>
      </c>
      <c r="Z2492" s="184">
        <f>_xll.qlCalendarAdvance(Calendar,Y2492,NDays&amp;"D")</f>
        <v>56416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45"/>
        <v>1w</v>
      </c>
      <c r="Y2493" s="181">
        <f>_xll.qlCalendarAdvance(Calendar,Y2492,X2493,"f",FALSE)</f>
        <v>56423</v>
      </c>
      <c r="Z2493" s="184">
        <f>_xll.qlCalendarAdvance(Calendar,Y2493,NDays&amp;"D")</f>
        <v>56423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45"/>
        <v>1w</v>
      </c>
      <c r="Y2494" s="181">
        <f>_xll.qlCalendarAdvance(Calendar,Y2493,X2494,"f",FALSE)</f>
        <v>56430</v>
      </c>
      <c r="Z2494" s="184">
        <f>_xll.qlCalendarAdvance(Calendar,Y2494,NDays&amp;"D")</f>
        <v>56430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45"/>
        <v>1w</v>
      </c>
      <c r="Y2495" s="181">
        <f>_xll.qlCalendarAdvance(Calendar,Y2494,X2495,"f",FALSE)</f>
        <v>56437</v>
      </c>
      <c r="Z2495" s="184">
        <f>_xll.qlCalendarAdvance(Calendar,Y2495,NDays&amp;"D")</f>
        <v>56437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45"/>
        <v>1w</v>
      </c>
      <c r="Y2496" s="181">
        <f>_xll.qlCalendarAdvance(Calendar,Y2495,X2496,"f",FALSE)</f>
        <v>56444</v>
      </c>
      <c r="Z2496" s="184">
        <f>_xll.qlCalendarAdvance(Calendar,Y2496,NDays&amp;"D")</f>
        <v>56444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45"/>
        <v>1w</v>
      </c>
      <c r="Y2497" s="181">
        <f>_xll.qlCalendarAdvance(Calendar,Y2496,X2497,"f",FALSE)</f>
        <v>56451</v>
      </c>
      <c r="Z2497" s="184">
        <f>_xll.qlCalendarAdvance(Calendar,Y2497,NDays&amp;"D")</f>
        <v>56451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45"/>
        <v>1w</v>
      </c>
      <c r="Y2498" s="181">
        <f>_xll.qlCalendarAdvance(Calendar,Y2497,X2498,"f",FALSE)</f>
        <v>56458</v>
      </c>
      <c r="Z2498" s="184">
        <f>_xll.qlCalendarAdvance(Calendar,Y2498,NDays&amp;"D")</f>
        <v>56458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45"/>
        <v>1w</v>
      </c>
      <c r="Y2499" s="181">
        <f>_xll.qlCalendarAdvance(Calendar,Y2498,X2499,"f",FALSE)</f>
        <v>56465</v>
      </c>
      <c r="Z2499" s="184">
        <f>_xll.qlCalendarAdvance(Calendar,Y2499,NDays&amp;"D")</f>
        <v>56465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45"/>
        <v>1w</v>
      </c>
      <c r="Y2500" s="181">
        <f>_xll.qlCalendarAdvance(Calendar,Y2499,X2500,"f",FALSE)</f>
        <v>56472</v>
      </c>
      <c r="Z2500" s="184">
        <f>_xll.qlCalendarAdvance(Calendar,Y2500,NDays&amp;"D")</f>
        <v>56472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45"/>
        <v>1w</v>
      </c>
      <c r="Y2501" s="181">
        <f>_xll.qlCalendarAdvance(Calendar,Y2500,X2501,"f",FALSE)</f>
        <v>56479</v>
      </c>
      <c r="Z2501" s="184">
        <f>_xll.qlCalendarAdvance(Calendar,Y2501,NDays&amp;"D")</f>
        <v>56479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45"/>
        <v>1w</v>
      </c>
      <c r="Y2502" s="181">
        <f>_xll.qlCalendarAdvance(Calendar,Y2501,X2502,"f",FALSE)</f>
        <v>56486</v>
      </c>
      <c r="Z2502" s="184">
        <f>_xll.qlCalendarAdvance(Calendar,Y2502,NDays&amp;"D")</f>
        <v>56486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45"/>
        <v>1w</v>
      </c>
      <c r="Y2503" s="181">
        <f>_xll.qlCalendarAdvance(Calendar,Y2502,X2503,"f",FALSE)</f>
        <v>56493</v>
      </c>
      <c r="Z2503" s="184">
        <f>_xll.qlCalendarAdvance(Calendar,Y2503,NDays&amp;"D")</f>
        <v>56493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45"/>
        <v>1w</v>
      </c>
      <c r="Y2504" s="181">
        <f>_xll.qlCalendarAdvance(Calendar,Y2503,X2504,"f",FALSE)</f>
        <v>56500</v>
      </c>
      <c r="Z2504" s="184">
        <f>_xll.qlCalendarAdvance(Calendar,Y2504,NDays&amp;"D")</f>
        <v>56500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45"/>
        <v>1w</v>
      </c>
      <c r="Y2505" s="181">
        <f>_xll.qlCalendarAdvance(Calendar,Y2504,X2505,"f",FALSE)</f>
        <v>56507</v>
      </c>
      <c r="Z2505" s="184">
        <f>_xll.qlCalendarAdvance(Calendar,Y2505,NDays&amp;"D")</f>
        <v>56507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45"/>
        <v>1w</v>
      </c>
      <c r="Y2506" s="181">
        <f>_xll.qlCalendarAdvance(Calendar,Y2505,X2506,"f",FALSE)</f>
        <v>56514</v>
      </c>
      <c r="Z2506" s="184">
        <f>_xll.qlCalendarAdvance(Calendar,Y2506,NDays&amp;"D")</f>
        <v>56514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45"/>
        <v>1w</v>
      </c>
      <c r="Y2507" s="181">
        <f>_xll.qlCalendarAdvance(Calendar,Y2506,X2507,"f",FALSE)</f>
        <v>56521</v>
      </c>
      <c r="Z2507" s="184">
        <f>_xll.qlCalendarAdvance(Calendar,Y2507,NDays&amp;"D")</f>
        <v>56521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45"/>
        <v>1w</v>
      </c>
      <c r="Y2508" s="181">
        <f>_xll.qlCalendarAdvance(Calendar,Y2507,X2508,"f",FALSE)</f>
        <v>56528</v>
      </c>
      <c r="Z2508" s="184">
        <f>_xll.qlCalendarAdvance(Calendar,Y2508,NDays&amp;"D")</f>
        <v>56528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45"/>
        <v>1w</v>
      </c>
      <c r="Y2509" s="181">
        <f>_xll.qlCalendarAdvance(Calendar,Y2508,X2509,"f",FALSE)</f>
        <v>56535</v>
      </c>
      <c r="Z2509" s="184">
        <f>_xll.qlCalendarAdvance(Calendar,Y2509,NDays&amp;"D")</f>
        <v>56535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45"/>
        <v>1w</v>
      </c>
      <c r="Y2510" s="181">
        <f>_xll.qlCalendarAdvance(Calendar,Y2509,X2510,"f",FALSE)</f>
        <v>56542</v>
      </c>
      <c r="Z2510" s="184">
        <f>_xll.qlCalendarAdvance(Calendar,Y2510,NDays&amp;"D")</f>
        <v>56542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45"/>
        <v>1w</v>
      </c>
      <c r="Y2511" s="181">
        <f>_xll.qlCalendarAdvance(Calendar,Y2510,X2511,"f",FALSE)</f>
        <v>56549</v>
      </c>
      <c r="Z2511" s="184">
        <f>_xll.qlCalendarAdvance(Calendar,Y2511,NDays&amp;"D")</f>
        <v>56549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45"/>
        <v>1w</v>
      </c>
      <c r="Y2512" s="181">
        <f>_xll.qlCalendarAdvance(Calendar,Y2511,X2512,"f",FALSE)</f>
        <v>56556</v>
      </c>
      <c r="Z2512" s="184">
        <f>_xll.qlCalendarAdvance(Calendar,Y2512,NDays&amp;"D")</f>
        <v>56556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45"/>
        <v>1w</v>
      </c>
      <c r="Y2513" s="181">
        <f>_xll.qlCalendarAdvance(Calendar,Y2512,X2513,"f",FALSE)</f>
        <v>56563</v>
      </c>
      <c r="Z2513" s="184">
        <f>_xll.qlCalendarAdvance(Calendar,Y2513,NDays&amp;"D")</f>
        <v>56563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45"/>
        <v>1w</v>
      </c>
      <c r="Y2514" s="181">
        <f>_xll.qlCalendarAdvance(Calendar,Y2513,X2514,"f",FALSE)</f>
        <v>56570</v>
      </c>
      <c r="Z2514" s="184">
        <f>_xll.qlCalendarAdvance(Calendar,Y2514,NDays&amp;"D")</f>
        <v>56570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45"/>
        <v>1w</v>
      </c>
      <c r="Y2515" s="181">
        <f>_xll.qlCalendarAdvance(Calendar,Y2514,X2515,"f",FALSE)</f>
        <v>56577</v>
      </c>
      <c r="Z2515" s="184">
        <f>_xll.qlCalendarAdvance(Calendar,Y2515,NDays&amp;"D")</f>
        <v>56577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45"/>
        <v>1w</v>
      </c>
      <c r="Y2516" s="181">
        <f>_xll.qlCalendarAdvance(Calendar,Y2515,X2516,"f",FALSE)</f>
        <v>56584</v>
      </c>
      <c r="Z2516" s="184">
        <f>_xll.qlCalendarAdvance(Calendar,Y2516,NDays&amp;"D")</f>
        <v>56584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46">X2516</f>
        <v>1w</v>
      </c>
      <c r="Y2517" s="181">
        <f>_xll.qlCalendarAdvance(Calendar,Y2516,X2517,"f",FALSE)</f>
        <v>56591</v>
      </c>
      <c r="Z2517" s="184">
        <f>_xll.qlCalendarAdvance(Calendar,Y2517,NDays&amp;"D")</f>
        <v>56591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46"/>
        <v>1w</v>
      </c>
      <c r="Y2518" s="181">
        <f>_xll.qlCalendarAdvance(Calendar,Y2517,X2518,"f",FALSE)</f>
        <v>56598</v>
      </c>
      <c r="Z2518" s="184">
        <f>_xll.qlCalendarAdvance(Calendar,Y2518,NDays&amp;"D")</f>
        <v>56598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46"/>
        <v>1w</v>
      </c>
      <c r="Y2519" s="181">
        <f>_xll.qlCalendarAdvance(Calendar,Y2518,X2519,"f",FALSE)</f>
        <v>56605</v>
      </c>
      <c r="Z2519" s="184">
        <f>_xll.qlCalendarAdvance(Calendar,Y2519,NDays&amp;"D")</f>
        <v>56605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46"/>
        <v>1w</v>
      </c>
      <c r="Y2520" s="181">
        <f>_xll.qlCalendarAdvance(Calendar,Y2519,X2520,"f",FALSE)</f>
        <v>56612</v>
      </c>
      <c r="Z2520" s="184">
        <f>_xll.qlCalendarAdvance(Calendar,Y2520,NDays&amp;"D")</f>
        <v>56612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46"/>
        <v>1w</v>
      </c>
      <c r="Y2521" s="181">
        <f>_xll.qlCalendarAdvance(Calendar,Y2520,X2521,"f",FALSE)</f>
        <v>56619</v>
      </c>
      <c r="Z2521" s="184">
        <f>_xll.qlCalendarAdvance(Calendar,Y2521,NDays&amp;"D")</f>
        <v>56619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46"/>
        <v>1w</v>
      </c>
      <c r="Y2522" s="181">
        <f>_xll.qlCalendarAdvance(Calendar,Y2521,X2522,"f",FALSE)</f>
        <v>56626</v>
      </c>
      <c r="Z2522" s="184">
        <f>_xll.qlCalendarAdvance(Calendar,Y2522,NDays&amp;"D")</f>
        <v>56626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46"/>
        <v>1w</v>
      </c>
      <c r="Y2523" s="181">
        <f>_xll.qlCalendarAdvance(Calendar,Y2522,X2523,"f",FALSE)</f>
        <v>56633</v>
      </c>
      <c r="Z2523" s="184">
        <f>_xll.qlCalendarAdvance(Calendar,Y2523,NDays&amp;"D")</f>
        <v>56633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46"/>
        <v>1w</v>
      </c>
      <c r="Y2524" s="181">
        <f>_xll.qlCalendarAdvance(Calendar,Y2523,X2524,"f",FALSE)</f>
        <v>56641</v>
      </c>
      <c r="Z2524" s="184">
        <f>_xll.qlCalendarAdvance(Calendar,Y2524,NDays&amp;"D")</f>
        <v>56641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46"/>
        <v>1w</v>
      </c>
      <c r="Y2525" s="181">
        <f>_xll.qlCalendarAdvance(Calendar,Y2524,X2525,"f",FALSE)</f>
        <v>56648</v>
      </c>
      <c r="Z2525" s="184">
        <f>_xll.qlCalendarAdvance(Calendar,Y2525,NDays&amp;"D")</f>
        <v>56648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46"/>
        <v>1w</v>
      </c>
      <c r="Y2526" s="181">
        <f>_xll.qlCalendarAdvance(Calendar,Y2525,X2526,"f",FALSE)</f>
        <v>56655</v>
      </c>
      <c r="Z2526" s="184">
        <f>_xll.qlCalendarAdvance(Calendar,Y2526,NDays&amp;"D")</f>
        <v>56655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46"/>
        <v>1w</v>
      </c>
      <c r="Y2527" s="181">
        <f>_xll.qlCalendarAdvance(Calendar,Y2526,X2527,"f",FALSE)</f>
        <v>56662</v>
      </c>
      <c r="Z2527" s="184">
        <f>_xll.qlCalendarAdvance(Calendar,Y2527,NDays&amp;"D")</f>
        <v>56662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46"/>
        <v>1w</v>
      </c>
      <c r="Y2528" s="181">
        <f>_xll.qlCalendarAdvance(Calendar,Y2527,X2528,"f",FALSE)</f>
        <v>56669</v>
      </c>
      <c r="Z2528" s="184">
        <f>_xll.qlCalendarAdvance(Calendar,Y2528,NDays&amp;"D")</f>
        <v>56669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46"/>
        <v>1w</v>
      </c>
      <c r="Y2529" s="181">
        <f>_xll.qlCalendarAdvance(Calendar,Y2528,X2529,"f",FALSE)</f>
        <v>56676</v>
      </c>
      <c r="Z2529" s="184">
        <f>_xll.qlCalendarAdvance(Calendar,Y2529,NDays&amp;"D")</f>
        <v>56676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46"/>
        <v>1w</v>
      </c>
      <c r="Y2530" s="181">
        <f>_xll.qlCalendarAdvance(Calendar,Y2529,X2530,"f",FALSE)</f>
        <v>56683</v>
      </c>
      <c r="Z2530" s="184">
        <f>_xll.qlCalendarAdvance(Calendar,Y2530,NDays&amp;"D")</f>
        <v>56683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46"/>
        <v>1w</v>
      </c>
      <c r="Y2531" s="181">
        <f>_xll.qlCalendarAdvance(Calendar,Y2530,X2531,"f",FALSE)</f>
        <v>56690</v>
      </c>
      <c r="Z2531" s="184">
        <f>_xll.qlCalendarAdvance(Calendar,Y2531,NDays&amp;"D")</f>
        <v>56690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46"/>
        <v>1w</v>
      </c>
      <c r="Y2532" s="181">
        <f>_xll.qlCalendarAdvance(Calendar,Y2531,X2532,"f",FALSE)</f>
        <v>56697</v>
      </c>
      <c r="Z2532" s="184">
        <f>_xll.qlCalendarAdvance(Calendar,Y2532,NDays&amp;"D")</f>
        <v>56697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46"/>
        <v>1w</v>
      </c>
      <c r="Y2533" s="181">
        <f>_xll.qlCalendarAdvance(Calendar,Y2532,X2533,"f",FALSE)</f>
        <v>56704</v>
      </c>
      <c r="Z2533" s="184">
        <f>_xll.qlCalendarAdvance(Calendar,Y2533,NDays&amp;"D")</f>
        <v>56704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46"/>
        <v>1w</v>
      </c>
      <c r="Y2534" s="181">
        <f>_xll.qlCalendarAdvance(Calendar,Y2533,X2534,"f",FALSE)</f>
        <v>56711</v>
      </c>
      <c r="Z2534" s="184">
        <f>_xll.qlCalendarAdvance(Calendar,Y2534,NDays&amp;"D")</f>
        <v>56711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46"/>
        <v>1w</v>
      </c>
      <c r="Y2535" s="181">
        <f>_xll.qlCalendarAdvance(Calendar,Y2534,X2535,"f",FALSE)</f>
        <v>56718</v>
      </c>
      <c r="Z2535" s="184">
        <f>_xll.qlCalendarAdvance(Calendar,Y2535,NDays&amp;"D")</f>
        <v>56718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46"/>
        <v>1w</v>
      </c>
      <c r="Y2536" s="181">
        <f>_xll.qlCalendarAdvance(Calendar,Y2535,X2536,"f",FALSE)</f>
        <v>56725</v>
      </c>
      <c r="Z2536" s="184">
        <f>_xll.qlCalendarAdvance(Calendar,Y2536,NDays&amp;"D")</f>
        <v>56725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46"/>
        <v>1w</v>
      </c>
      <c r="Y2537" s="181">
        <f>_xll.qlCalendarAdvance(Calendar,Y2536,X2537,"f",FALSE)</f>
        <v>56732</v>
      </c>
      <c r="Z2537" s="184">
        <f>_xll.qlCalendarAdvance(Calendar,Y2537,NDays&amp;"D")</f>
        <v>56732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46"/>
        <v>1w</v>
      </c>
      <c r="Y2538" s="181">
        <f>_xll.qlCalendarAdvance(Calendar,Y2537,X2538,"f",FALSE)</f>
        <v>56739</v>
      </c>
      <c r="Z2538" s="184">
        <f>_xll.qlCalendarAdvance(Calendar,Y2538,NDays&amp;"D")</f>
        <v>56739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46"/>
        <v>1w</v>
      </c>
      <c r="Y2539" s="181">
        <f>_xll.qlCalendarAdvance(Calendar,Y2538,X2539,"f",FALSE)</f>
        <v>56746</v>
      </c>
      <c r="Z2539" s="184">
        <f>_xll.qlCalendarAdvance(Calendar,Y2539,NDays&amp;"D")</f>
        <v>56746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46"/>
        <v>1w</v>
      </c>
      <c r="Y2540" s="181">
        <f>_xll.qlCalendarAdvance(Calendar,Y2539,X2540,"f",FALSE)</f>
        <v>56753</v>
      </c>
      <c r="Z2540" s="184">
        <f>_xll.qlCalendarAdvance(Calendar,Y2540,NDays&amp;"D")</f>
        <v>56753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46"/>
        <v>1w</v>
      </c>
      <c r="Y2541" s="181">
        <f>_xll.qlCalendarAdvance(Calendar,Y2540,X2541,"f",FALSE)</f>
        <v>56760</v>
      </c>
      <c r="Z2541" s="184">
        <f>_xll.qlCalendarAdvance(Calendar,Y2541,NDays&amp;"D")</f>
        <v>56760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46"/>
        <v>1w</v>
      </c>
      <c r="Y2542" s="181">
        <f>_xll.qlCalendarAdvance(Calendar,Y2541,X2542,"f",FALSE)</f>
        <v>56767</v>
      </c>
      <c r="Z2542" s="184">
        <f>_xll.qlCalendarAdvance(Calendar,Y2542,NDays&amp;"D")</f>
        <v>56767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46"/>
        <v>1w</v>
      </c>
      <c r="Y2543" s="181">
        <f>_xll.qlCalendarAdvance(Calendar,Y2542,X2543,"f",FALSE)</f>
        <v>56774</v>
      </c>
      <c r="Z2543" s="184">
        <f>_xll.qlCalendarAdvance(Calendar,Y2543,NDays&amp;"D")</f>
        <v>56774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46"/>
        <v>1w</v>
      </c>
      <c r="Y2544" s="181">
        <f>_xll.qlCalendarAdvance(Calendar,Y2543,X2544,"f",FALSE)</f>
        <v>56781</v>
      </c>
      <c r="Z2544" s="184">
        <f>_xll.qlCalendarAdvance(Calendar,Y2544,NDays&amp;"D")</f>
        <v>56781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46"/>
        <v>1w</v>
      </c>
      <c r="Y2545" s="181">
        <f>_xll.qlCalendarAdvance(Calendar,Y2544,X2545,"f",FALSE)</f>
        <v>56788</v>
      </c>
      <c r="Z2545" s="184">
        <f>_xll.qlCalendarAdvance(Calendar,Y2545,NDays&amp;"D")</f>
        <v>56788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46"/>
        <v>1w</v>
      </c>
      <c r="Y2546" s="181">
        <f>_xll.qlCalendarAdvance(Calendar,Y2545,X2546,"f",FALSE)</f>
        <v>56795</v>
      </c>
      <c r="Z2546" s="184">
        <f>_xll.qlCalendarAdvance(Calendar,Y2546,NDays&amp;"D")</f>
        <v>56795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46"/>
        <v>1w</v>
      </c>
      <c r="Y2547" s="181">
        <f>_xll.qlCalendarAdvance(Calendar,Y2546,X2547,"f",FALSE)</f>
        <v>56802</v>
      </c>
      <c r="Z2547" s="184">
        <f>_xll.qlCalendarAdvance(Calendar,Y2547,NDays&amp;"D")</f>
        <v>56802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46"/>
        <v>1w</v>
      </c>
      <c r="Y2548" s="181">
        <f>_xll.qlCalendarAdvance(Calendar,Y2547,X2548,"f",FALSE)</f>
        <v>56809</v>
      </c>
      <c r="Z2548" s="184">
        <f>_xll.qlCalendarAdvance(Calendar,Y2548,NDays&amp;"D")</f>
        <v>56809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46"/>
        <v>1w</v>
      </c>
      <c r="Y2549" s="181">
        <f>_xll.qlCalendarAdvance(Calendar,Y2548,X2549,"f",FALSE)</f>
        <v>56816</v>
      </c>
      <c r="Z2549" s="184">
        <f>_xll.qlCalendarAdvance(Calendar,Y2549,NDays&amp;"D")</f>
        <v>56816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46"/>
        <v>1w</v>
      </c>
      <c r="Y2550" s="181">
        <f>_xll.qlCalendarAdvance(Calendar,Y2549,X2550,"f",FALSE)</f>
        <v>56823</v>
      </c>
      <c r="Z2550" s="184">
        <f>_xll.qlCalendarAdvance(Calendar,Y2550,NDays&amp;"D")</f>
        <v>56823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46"/>
        <v>1w</v>
      </c>
      <c r="Y2551" s="181">
        <f>_xll.qlCalendarAdvance(Calendar,Y2550,X2551,"f",FALSE)</f>
        <v>56830</v>
      </c>
      <c r="Z2551" s="184">
        <f>_xll.qlCalendarAdvance(Calendar,Y2551,NDays&amp;"D")</f>
        <v>56830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46"/>
        <v>1w</v>
      </c>
      <c r="Y2552" s="181">
        <f>_xll.qlCalendarAdvance(Calendar,Y2551,X2552,"f",FALSE)</f>
        <v>56837</v>
      </c>
      <c r="Z2552" s="184">
        <f>_xll.qlCalendarAdvance(Calendar,Y2552,NDays&amp;"D")</f>
        <v>56837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46"/>
        <v>1w</v>
      </c>
      <c r="Y2553" s="181">
        <f>_xll.qlCalendarAdvance(Calendar,Y2552,X2553,"f",FALSE)</f>
        <v>56844</v>
      </c>
      <c r="Z2553" s="184">
        <f>_xll.qlCalendarAdvance(Calendar,Y2553,NDays&amp;"D")</f>
        <v>56844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46"/>
        <v>1w</v>
      </c>
      <c r="Y2554" s="181">
        <f>_xll.qlCalendarAdvance(Calendar,Y2553,X2554,"f",FALSE)</f>
        <v>56851</v>
      </c>
      <c r="Z2554" s="184">
        <f>_xll.qlCalendarAdvance(Calendar,Y2554,NDays&amp;"D")</f>
        <v>56851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46"/>
        <v>1w</v>
      </c>
      <c r="Y2555" s="181">
        <f>_xll.qlCalendarAdvance(Calendar,Y2554,X2555,"f",FALSE)</f>
        <v>56858</v>
      </c>
      <c r="Z2555" s="184">
        <f>_xll.qlCalendarAdvance(Calendar,Y2555,NDays&amp;"D")</f>
        <v>56858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46"/>
        <v>1w</v>
      </c>
      <c r="Y2556" s="181">
        <f>_xll.qlCalendarAdvance(Calendar,Y2555,X2556,"f",FALSE)</f>
        <v>56865</v>
      </c>
      <c r="Z2556" s="184">
        <f>_xll.qlCalendarAdvance(Calendar,Y2556,NDays&amp;"D")</f>
        <v>56865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46"/>
        <v>1w</v>
      </c>
      <c r="Y2557" s="181">
        <f>_xll.qlCalendarAdvance(Calendar,Y2556,X2557,"f",FALSE)</f>
        <v>56872</v>
      </c>
      <c r="Z2557" s="184">
        <f>_xll.qlCalendarAdvance(Calendar,Y2557,NDays&amp;"D")</f>
        <v>56872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46"/>
        <v>1w</v>
      </c>
      <c r="Y2558" s="181">
        <f>_xll.qlCalendarAdvance(Calendar,Y2557,X2558,"f",FALSE)</f>
        <v>56879</v>
      </c>
      <c r="Z2558" s="184">
        <f>_xll.qlCalendarAdvance(Calendar,Y2558,NDays&amp;"D")</f>
        <v>56879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46"/>
        <v>1w</v>
      </c>
      <c r="Y2559" s="181">
        <f>_xll.qlCalendarAdvance(Calendar,Y2558,X2559,"f",FALSE)</f>
        <v>56886</v>
      </c>
      <c r="Z2559" s="184">
        <f>_xll.qlCalendarAdvance(Calendar,Y2559,NDays&amp;"D")</f>
        <v>56886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46"/>
        <v>1w</v>
      </c>
      <c r="Y2560" s="181">
        <f>_xll.qlCalendarAdvance(Calendar,Y2559,X2560,"f",FALSE)</f>
        <v>56893</v>
      </c>
      <c r="Z2560" s="184">
        <f>_xll.qlCalendarAdvance(Calendar,Y2560,NDays&amp;"D")</f>
        <v>56893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46"/>
        <v>1w</v>
      </c>
      <c r="Y2561" s="181">
        <f>_xll.qlCalendarAdvance(Calendar,Y2560,X2561,"f",FALSE)</f>
        <v>56900</v>
      </c>
      <c r="Z2561" s="184">
        <f>_xll.qlCalendarAdvance(Calendar,Y2561,NDays&amp;"D")</f>
        <v>56900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46"/>
        <v>1w</v>
      </c>
      <c r="Y2562" s="181">
        <f>_xll.qlCalendarAdvance(Calendar,Y2561,X2562,"f",FALSE)</f>
        <v>56907</v>
      </c>
      <c r="Z2562" s="184">
        <f>_xll.qlCalendarAdvance(Calendar,Y2562,NDays&amp;"D")</f>
        <v>56907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46"/>
        <v>1w</v>
      </c>
      <c r="Y2563" s="181">
        <f>_xll.qlCalendarAdvance(Calendar,Y2562,X2563,"f",FALSE)</f>
        <v>56914</v>
      </c>
      <c r="Z2563" s="184">
        <f>_xll.qlCalendarAdvance(Calendar,Y2563,NDays&amp;"D")</f>
        <v>56914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46"/>
        <v>1w</v>
      </c>
      <c r="Y2564" s="181">
        <f>_xll.qlCalendarAdvance(Calendar,Y2563,X2564,"f",FALSE)</f>
        <v>56921</v>
      </c>
      <c r="Z2564" s="184">
        <f>_xll.qlCalendarAdvance(Calendar,Y2564,NDays&amp;"D")</f>
        <v>56921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46"/>
        <v>1w</v>
      </c>
      <c r="Y2565" s="181">
        <f>_xll.qlCalendarAdvance(Calendar,Y2564,X2565,"f",FALSE)</f>
        <v>56928</v>
      </c>
      <c r="Z2565" s="184">
        <f>_xll.qlCalendarAdvance(Calendar,Y2565,NDays&amp;"D")</f>
        <v>56928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46"/>
        <v>1w</v>
      </c>
      <c r="Y2566" s="181">
        <f>_xll.qlCalendarAdvance(Calendar,Y2565,X2566,"f",FALSE)</f>
        <v>56935</v>
      </c>
      <c r="Z2566" s="184">
        <f>_xll.qlCalendarAdvance(Calendar,Y2566,NDays&amp;"D")</f>
        <v>56935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46"/>
        <v>1w</v>
      </c>
      <c r="Y2567" s="181">
        <f>_xll.qlCalendarAdvance(Calendar,Y2566,X2567,"f",FALSE)</f>
        <v>56942</v>
      </c>
      <c r="Z2567" s="184">
        <f>_xll.qlCalendarAdvance(Calendar,Y2567,NDays&amp;"D")</f>
        <v>56942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46"/>
        <v>1w</v>
      </c>
      <c r="Y2568" s="181">
        <f>_xll.qlCalendarAdvance(Calendar,Y2567,X2568,"f",FALSE)</f>
        <v>56949</v>
      </c>
      <c r="Z2568" s="184">
        <f>_xll.qlCalendarAdvance(Calendar,Y2568,NDays&amp;"D")</f>
        <v>56949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46"/>
        <v>1w</v>
      </c>
      <c r="Y2569" s="181">
        <f>_xll.qlCalendarAdvance(Calendar,Y2568,X2569,"f",FALSE)</f>
        <v>56956</v>
      </c>
      <c r="Z2569" s="184">
        <f>_xll.qlCalendarAdvance(Calendar,Y2569,NDays&amp;"D")</f>
        <v>56956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46"/>
        <v>1w</v>
      </c>
      <c r="Y2570" s="181">
        <f>_xll.qlCalendarAdvance(Calendar,Y2569,X2570,"f",FALSE)</f>
        <v>56963</v>
      </c>
      <c r="Z2570" s="184">
        <f>_xll.qlCalendarAdvance(Calendar,Y2570,NDays&amp;"D")</f>
        <v>56963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46"/>
        <v>1w</v>
      </c>
      <c r="Y2571" s="181">
        <f>_xll.qlCalendarAdvance(Calendar,Y2570,X2571,"f",FALSE)</f>
        <v>56970</v>
      </c>
      <c r="Z2571" s="184">
        <f>_xll.qlCalendarAdvance(Calendar,Y2571,NDays&amp;"D")</f>
        <v>56970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46"/>
        <v>1w</v>
      </c>
      <c r="Y2572" s="181">
        <f>_xll.qlCalendarAdvance(Calendar,Y2571,X2572,"f",FALSE)</f>
        <v>56977</v>
      </c>
      <c r="Z2572" s="184">
        <f>_xll.qlCalendarAdvance(Calendar,Y2572,NDays&amp;"D")</f>
        <v>56977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46"/>
        <v>1w</v>
      </c>
      <c r="Y2573" s="181">
        <f>_xll.qlCalendarAdvance(Calendar,Y2572,X2573,"f",FALSE)</f>
        <v>56984</v>
      </c>
      <c r="Z2573" s="184">
        <f>_xll.qlCalendarAdvance(Calendar,Y2573,NDays&amp;"D")</f>
        <v>56984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46"/>
        <v>1w</v>
      </c>
      <c r="Y2574" s="181">
        <f>_xll.qlCalendarAdvance(Calendar,Y2573,X2574,"f",FALSE)</f>
        <v>56991</v>
      </c>
      <c r="Z2574" s="184">
        <f>_xll.qlCalendarAdvance(Calendar,Y2574,NDays&amp;"D")</f>
        <v>56991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46"/>
        <v>1w</v>
      </c>
      <c r="Y2575" s="181">
        <f>_xll.qlCalendarAdvance(Calendar,Y2574,X2575,"f",FALSE)</f>
        <v>56998</v>
      </c>
      <c r="Z2575" s="184">
        <f>_xll.qlCalendarAdvance(Calendar,Y2575,NDays&amp;"D")</f>
        <v>56998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46"/>
        <v>1w</v>
      </c>
      <c r="Y2576" s="181">
        <f>_xll.qlCalendarAdvance(Calendar,Y2575,X2576,"f",FALSE)</f>
        <v>57006</v>
      </c>
      <c r="Z2576" s="184">
        <f>_xll.qlCalendarAdvance(Calendar,Y2576,NDays&amp;"D")</f>
        <v>57006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46"/>
        <v>1w</v>
      </c>
      <c r="Y2577" s="181">
        <f>_xll.qlCalendarAdvance(Calendar,Y2576,X2577,"f",FALSE)</f>
        <v>57013</v>
      </c>
      <c r="Z2577" s="184">
        <f>_xll.qlCalendarAdvance(Calendar,Y2577,NDays&amp;"D")</f>
        <v>57013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46"/>
        <v>1w</v>
      </c>
      <c r="Y2578" s="181">
        <f>_xll.qlCalendarAdvance(Calendar,Y2577,X2578,"f",FALSE)</f>
        <v>57020</v>
      </c>
      <c r="Z2578" s="184">
        <f>_xll.qlCalendarAdvance(Calendar,Y2578,NDays&amp;"D")</f>
        <v>57020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46"/>
        <v>1w</v>
      </c>
      <c r="Y2579" s="181">
        <f>_xll.qlCalendarAdvance(Calendar,Y2578,X2579,"f",FALSE)</f>
        <v>57027</v>
      </c>
      <c r="Z2579" s="184">
        <f>_xll.qlCalendarAdvance(Calendar,Y2579,NDays&amp;"D")</f>
        <v>57027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46"/>
        <v>1w</v>
      </c>
      <c r="Y2580" s="181">
        <f>_xll.qlCalendarAdvance(Calendar,Y2579,X2580,"f",FALSE)</f>
        <v>57034</v>
      </c>
      <c r="Z2580" s="184">
        <f>_xll.qlCalendarAdvance(Calendar,Y2580,NDays&amp;"D")</f>
        <v>57034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47">X2580</f>
        <v>1w</v>
      </c>
      <c r="Y2581" s="181">
        <f>_xll.qlCalendarAdvance(Calendar,Y2580,X2581,"f",FALSE)</f>
        <v>57041</v>
      </c>
      <c r="Z2581" s="184">
        <f>_xll.qlCalendarAdvance(Calendar,Y2581,NDays&amp;"D")</f>
        <v>57041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47"/>
        <v>1w</v>
      </c>
      <c r="Y2582" s="181">
        <f>_xll.qlCalendarAdvance(Calendar,Y2581,X2582,"f",FALSE)</f>
        <v>57048</v>
      </c>
      <c r="Z2582" s="184">
        <f>_xll.qlCalendarAdvance(Calendar,Y2582,NDays&amp;"D")</f>
        <v>57048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47"/>
        <v>1w</v>
      </c>
      <c r="Y2583" s="181">
        <f>_xll.qlCalendarAdvance(Calendar,Y2582,X2583,"f",FALSE)</f>
        <v>57055</v>
      </c>
      <c r="Z2583" s="184">
        <f>_xll.qlCalendarAdvance(Calendar,Y2583,NDays&amp;"D")</f>
        <v>57055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47"/>
        <v>1w</v>
      </c>
      <c r="Y2584" s="181">
        <f>_xll.qlCalendarAdvance(Calendar,Y2583,X2584,"f",FALSE)</f>
        <v>57062</v>
      </c>
      <c r="Z2584" s="184">
        <f>_xll.qlCalendarAdvance(Calendar,Y2584,NDays&amp;"D")</f>
        <v>57062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47"/>
        <v>1w</v>
      </c>
      <c r="Y2585" s="181">
        <f>_xll.qlCalendarAdvance(Calendar,Y2584,X2585,"f",FALSE)</f>
        <v>57069</v>
      </c>
      <c r="Z2585" s="184">
        <f>_xll.qlCalendarAdvance(Calendar,Y2585,NDays&amp;"D")</f>
        <v>57069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47"/>
        <v>1w</v>
      </c>
      <c r="Y2586" s="181">
        <f>_xll.qlCalendarAdvance(Calendar,Y2585,X2586,"f",FALSE)</f>
        <v>57076</v>
      </c>
      <c r="Z2586" s="184">
        <f>_xll.qlCalendarAdvance(Calendar,Y2586,NDays&amp;"D")</f>
        <v>57076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47"/>
        <v>1w</v>
      </c>
      <c r="Y2587" s="181">
        <f>_xll.qlCalendarAdvance(Calendar,Y2586,X2587,"f",FALSE)</f>
        <v>57083</v>
      </c>
      <c r="Z2587" s="184">
        <f>_xll.qlCalendarAdvance(Calendar,Y2587,NDays&amp;"D")</f>
        <v>57083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47"/>
        <v>1w</v>
      </c>
      <c r="Y2588" s="181">
        <f>_xll.qlCalendarAdvance(Calendar,Y2587,X2588,"f",FALSE)</f>
        <v>57090</v>
      </c>
      <c r="Z2588" s="184">
        <f>_xll.qlCalendarAdvance(Calendar,Y2588,NDays&amp;"D")</f>
        <v>57090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47"/>
        <v>1w</v>
      </c>
      <c r="Y2589" s="181">
        <f>_xll.qlCalendarAdvance(Calendar,Y2588,X2589,"f",FALSE)</f>
        <v>57097</v>
      </c>
      <c r="Z2589" s="184">
        <f>_xll.qlCalendarAdvance(Calendar,Y2589,NDays&amp;"D")</f>
        <v>57097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47"/>
        <v>1w</v>
      </c>
      <c r="Y2590" s="181">
        <f>_xll.qlCalendarAdvance(Calendar,Y2589,X2590,"f",FALSE)</f>
        <v>57104</v>
      </c>
      <c r="Z2590" s="184">
        <f>_xll.qlCalendarAdvance(Calendar,Y2590,NDays&amp;"D")</f>
        <v>57104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47"/>
        <v>1w</v>
      </c>
      <c r="Y2591" s="181">
        <f>_xll.qlCalendarAdvance(Calendar,Y2590,X2591,"f",FALSE)</f>
        <v>57111</v>
      </c>
      <c r="Z2591" s="184">
        <f>_xll.qlCalendarAdvance(Calendar,Y2591,NDays&amp;"D")</f>
        <v>57111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47"/>
        <v>1w</v>
      </c>
      <c r="Y2592" s="181">
        <f>_xll.qlCalendarAdvance(Calendar,Y2591,X2592,"f",FALSE)</f>
        <v>57118</v>
      </c>
      <c r="Z2592" s="184">
        <f>_xll.qlCalendarAdvance(Calendar,Y2592,NDays&amp;"D")</f>
        <v>57118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47"/>
        <v>1w</v>
      </c>
      <c r="Y2593" s="181">
        <f>_xll.qlCalendarAdvance(Calendar,Y2592,X2593,"f",FALSE)</f>
        <v>57125</v>
      </c>
      <c r="Z2593" s="184">
        <f>_xll.qlCalendarAdvance(Calendar,Y2593,NDays&amp;"D")</f>
        <v>57125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47"/>
        <v>1w</v>
      </c>
      <c r="Y2594" s="181">
        <f>_xll.qlCalendarAdvance(Calendar,Y2593,X2594,"f",FALSE)</f>
        <v>57132</v>
      </c>
      <c r="Z2594" s="184">
        <f>_xll.qlCalendarAdvance(Calendar,Y2594,NDays&amp;"D")</f>
        <v>57132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47"/>
        <v>1w</v>
      </c>
      <c r="Y2595" s="181">
        <f>_xll.qlCalendarAdvance(Calendar,Y2594,X2595,"f",FALSE)</f>
        <v>57139</v>
      </c>
      <c r="Z2595" s="184">
        <f>_xll.qlCalendarAdvance(Calendar,Y2595,NDays&amp;"D")</f>
        <v>57139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47"/>
        <v>1w</v>
      </c>
      <c r="Y2596" s="181">
        <f>_xll.qlCalendarAdvance(Calendar,Y2595,X2596,"f",FALSE)</f>
        <v>57146</v>
      </c>
      <c r="Z2596" s="184">
        <f>_xll.qlCalendarAdvance(Calendar,Y2596,NDays&amp;"D")</f>
        <v>57146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47"/>
        <v>1w</v>
      </c>
      <c r="Y2597" s="181">
        <f>_xll.qlCalendarAdvance(Calendar,Y2596,X2597,"f",FALSE)</f>
        <v>57153</v>
      </c>
      <c r="Z2597" s="184">
        <f>_xll.qlCalendarAdvance(Calendar,Y2597,NDays&amp;"D")</f>
        <v>57153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47"/>
        <v>1w</v>
      </c>
      <c r="Y2598" s="181">
        <f>_xll.qlCalendarAdvance(Calendar,Y2597,X2598,"f",FALSE)</f>
        <v>57160</v>
      </c>
      <c r="Z2598" s="184">
        <f>_xll.qlCalendarAdvance(Calendar,Y2598,NDays&amp;"D")</f>
        <v>57160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47"/>
        <v>1w</v>
      </c>
      <c r="Y2599" s="181">
        <f>_xll.qlCalendarAdvance(Calendar,Y2598,X2599,"f",FALSE)</f>
        <v>57167</v>
      </c>
      <c r="Z2599" s="184">
        <f>_xll.qlCalendarAdvance(Calendar,Y2599,NDays&amp;"D")</f>
        <v>57167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47"/>
        <v>1w</v>
      </c>
      <c r="Y2600" s="181">
        <f>_xll.qlCalendarAdvance(Calendar,Y2599,X2600,"f",FALSE)</f>
        <v>57174</v>
      </c>
      <c r="Z2600" s="184">
        <f>_xll.qlCalendarAdvance(Calendar,Y2600,NDays&amp;"D")</f>
        <v>57174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47"/>
        <v>1w</v>
      </c>
      <c r="Y2601" s="181">
        <f>_xll.qlCalendarAdvance(Calendar,Y2600,X2601,"f",FALSE)</f>
        <v>57181</v>
      </c>
      <c r="Z2601" s="184">
        <f>_xll.qlCalendarAdvance(Calendar,Y2601,NDays&amp;"D")</f>
        <v>57181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47"/>
        <v>1w</v>
      </c>
      <c r="Y2602" s="181">
        <f>_xll.qlCalendarAdvance(Calendar,Y2601,X2602,"f",FALSE)</f>
        <v>57188</v>
      </c>
      <c r="Z2602" s="184">
        <f>_xll.qlCalendarAdvance(Calendar,Y2602,NDays&amp;"D")</f>
        <v>57188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47"/>
        <v>1w</v>
      </c>
      <c r="Y2603" s="181">
        <f>_xll.qlCalendarAdvance(Calendar,Y2602,X2603,"f",FALSE)</f>
        <v>57195</v>
      </c>
      <c r="Z2603" s="184">
        <f>_xll.qlCalendarAdvance(Calendar,Y2603,NDays&amp;"D")</f>
        <v>57195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47"/>
        <v>1w</v>
      </c>
      <c r="Y2604" s="181">
        <f>_xll.qlCalendarAdvance(Calendar,Y2603,X2604,"f",FALSE)</f>
        <v>57202</v>
      </c>
      <c r="Z2604" s="184">
        <f>_xll.qlCalendarAdvance(Calendar,Y2604,NDays&amp;"D")</f>
        <v>57202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47"/>
        <v>1w</v>
      </c>
      <c r="Y2605" s="181">
        <f>_xll.qlCalendarAdvance(Calendar,Y2604,X2605,"f",FALSE)</f>
        <v>57209</v>
      </c>
      <c r="Z2605" s="184">
        <f>_xll.qlCalendarAdvance(Calendar,Y2605,NDays&amp;"D")</f>
        <v>57209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47"/>
        <v>1w</v>
      </c>
      <c r="Y2606" s="181">
        <f>_xll.qlCalendarAdvance(Calendar,Y2605,X2606,"f",FALSE)</f>
        <v>57216</v>
      </c>
      <c r="Z2606" s="184">
        <f>_xll.qlCalendarAdvance(Calendar,Y2606,NDays&amp;"D")</f>
        <v>57216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47"/>
        <v>1w</v>
      </c>
      <c r="Y2607" s="181">
        <f>_xll.qlCalendarAdvance(Calendar,Y2606,X2607,"f",FALSE)</f>
        <v>57223</v>
      </c>
      <c r="Z2607" s="184">
        <f>_xll.qlCalendarAdvance(Calendar,Y2607,NDays&amp;"D")</f>
        <v>57223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47"/>
        <v>1w</v>
      </c>
      <c r="Y2608" s="181">
        <f>_xll.qlCalendarAdvance(Calendar,Y2607,X2608,"f",FALSE)</f>
        <v>57230</v>
      </c>
      <c r="Z2608" s="184">
        <f>_xll.qlCalendarAdvance(Calendar,Y2608,NDays&amp;"D")</f>
        <v>57230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47"/>
        <v>1w</v>
      </c>
      <c r="Y2609" s="181">
        <f>_xll.qlCalendarAdvance(Calendar,Y2608,X2609,"f",FALSE)</f>
        <v>57237</v>
      </c>
      <c r="Z2609" s="184">
        <f>_xll.qlCalendarAdvance(Calendar,Y2609,NDays&amp;"D")</f>
        <v>57237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47"/>
        <v>1w</v>
      </c>
      <c r="Y2610" s="181">
        <f>_xll.qlCalendarAdvance(Calendar,Y2609,X2610,"f",FALSE)</f>
        <v>57244</v>
      </c>
      <c r="Z2610" s="184">
        <f>_xll.qlCalendarAdvance(Calendar,Y2610,NDays&amp;"D")</f>
        <v>57244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47"/>
        <v>1w</v>
      </c>
      <c r="Y2611" s="181">
        <f>_xll.qlCalendarAdvance(Calendar,Y2610,X2611,"f",FALSE)</f>
        <v>57251</v>
      </c>
      <c r="Z2611" s="184">
        <f>_xll.qlCalendarAdvance(Calendar,Y2611,NDays&amp;"D")</f>
        <v>57251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47"/>
        <v>1w</v>
      </c>
      <c r="Y2612" s="181">
        <f>_xll.qlCalendarAdvance(Calendar,Y2611,X2612,"f",FALSE)</f>
        <v>57258</v>
      </c>
      <c r="Z2612" s="184">
        <f>_xll.qlCalendarAdvance(Calendar,Y2612,NDays&amp;"D")</f>
        <v>57258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47"/>
        <v>1w</v>
      </c>
      <c r="Y2613" s="181">
        <f>_xll.qlCalendarAdvance(Calendar,Y2612,X2613,"f",FALSE)</f>
        <v>57265</v>
      </c>
      <c r="Z2613" s="184">
        <f>_xll.qlCalendarAdvance(Calendar,Y2613,NDays&amp;"D")</f>
        <v>57265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47"/>
        <v>1w</v>
      </c>
      <c r="Y2614" s="181">
        <f>_xll.qlCalendarAdvance(Calendar,Y2613,X2614,"f",FALSE)</f>
        <v>57272</v>
      </c>
      <c r="Z2614" s="184">
        <f>_xll.qlCalendarAdvance(Calendar,Y2614,NDays&amp;"D")</f>
        <v>57272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47"/>
        <v>1w</v>
      </c>
      <c r="Y2615" s="181">
        <f>_xll.qlCalendarAdvance(Calendar,Y2614,X2615,"f",FALSE)</f>
        <v>57279</v>
      </c>
      <c r="Z2615" s="184">
        <f>_xll.qlCalendarAdvance(Calendar,Y2615,NDays&amp;"D")</f>
        <v>57279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47"/>
        <v>1w</v>
      </c>
      <c r="Y2616" s="181">
        <f>_xll.qlCalendarAdvance(Calendar,Y2615,X2616,"f",FALSE)</f>
        <v>57286</v>
      </c>
      <c r="Z2616" s="184">
        <f>_xll.qlCalendarAdvance(Calendar,Y2616,NDays&amp;"D")</f>
        <v>57286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47"/>
        <v>1w</v>
      </c>
      <c r="Y2617" s="181">
        <f>_xll.qlCalendarAdvance(Calendar,Y2616,X2617,"f",FALSE)</f>
        <v>57293</v>
      </c>
      <c r="Z2617" s="184">
        <f>_xll.qlCalendarAdvance(Calendar,Y2617,NDays&amp;"D")</f>
        <v>57293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47"/>
        <v>1w</v>
      </c>
      <c r="Y2618" s="181">
        <f>_xll.qlCalendarAdvance(Calendar,Y2617,X2618,"f",FALSE)</f>
        <v>57300</v>
      </c>
      <c r="Z2618" s="184">
        <f>_xll.qlCalendarAdvance(Calendar,Y2618,NDays&amp;"D")</f>
        <v>57300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47"/>
        <v>1w</v>
      </c>
      <c r="Y2619" s="181">
        <f>_xll.qlCalendarAdvance(Calendar,Y2618,X2619,"f",FALSE)</f>
        <v>57307</v>
      </c>
      <c r="Z2619" s="184">
        <f>_xll.qlCalendarAdvance(Calendar,Y2619,NDays&amp;"D")</f>
        <v>57307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47"/>
        <v>1w</v>
      </c>
      <c r="Y2620" s="181">
        <f>_xll.qlCalendarAdvance(Calendar,Y2619,X2620,"f",FALSE)</f>
        <v>57314</v>
      </c>
      <c r="Z2620" s="184">
        <f>_xll.qlCalendarAdvance(Calendar,Y2620,NDays&amp;"D")</f>
        <v>57314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47"/>
        <v>1w</v>
      </c>
      <c r="Y2621" s="181">
        <f>_xll.qlCalendarAdvance(Calendar,Y2620,X2621,"f",FALSE)</f>
        <v>57321</v>
      </c>
      <c r="Z2621" s="184">
        <f>_xll.qlCalendarAdvance(Calendar,Y2621,NDays&amp;"D")</f>
        <v>57321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47"/>
        <v>1w</v>
      </c>
      <c r="Y2622" s="181">
        <f>_xll.qlCalendarAdvance(Calendar,Y2621,X2622,"f",FALSE)</f>
        <v>57328</v>
      </c>
      <c r="Z2622" s="184">
        <f>_xll.qlCalendarAdvance(Calendar,Y2622,NDays&amp;"D")</f>
        <v>57328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47"/>
        <v>1w</v>
      </c>
      <c r="Y2623" s="181">
        <f>_xll.qlCalendarAdvance(Calendar,Y2622,X2623,"f",FALSE)</f>
        <v>57335</v>
      </c>
      <c r="Z2623" s="184">
        <f>_xll.qlCalendarAdvance(Calendar,Y2623,NDays&amp;"D")</f>
        <v>57335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47"/>
        <v>1w</v>
      </c>
      <c r="Y2624" s="181">
        <f>_xll.qlCalendarAdvance(Calendar,Y2623,X2624,"f",FALSE)</f>
        <v>57342</v>
      </c>
      <c r="Z2624" s="184">
        <f>_xll.qlCalendarAdvance(Calendar,Y2624,NDays&amp;"D")</f>
        <v>57342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47"/>
        <v>1w</v>
      </c>
      <c r="Y2625" s="181">
        <f>_xll.qlCalendarAdvance(Calendar,Y2624,X2625,"f",FALSE)</f>
        <v>57349</v>
      </c>
      <c r="Z2625" s="184">
        <f>_xll.qlCalendarAdvance(Calendar,Y2625,NDays&amp;"D")</f>
        <v>57349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47"/>
        <v>1w</v>
      </c>
      <c r="Y2626" s="181">
        <f>_xll.qlCalendarAdvance(Calendar,Y2625,X2626,"f",FALSE)</f>
        <v>57356</v>
      </c>
      <c r="Z2626" s="184">
        <f>_xll.qlCalendarAdvance(Calendar,Y2626,NDays&amp;"D")</f>
        <v>57356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47"/>
        <v>1w</v>
      </c>
      <c r="Y2627" s="181">
        <f>_xll.qlCalendarAdvance(Calendar,Y2626,X2627,"f",FALSE)</f>
        <v>57363</v>
      </c>
      <c r="Z2627" s="184">
        <f>_xll.qlCalendarAdvance(Calendar,Y2627,NDays&amp;"D")</f>
        <v>57363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47"/>
        <v>1w</v>
      </c>
      <c r="Y2628" s="181">
        <f>_xll.qlCalendarAdvance(Calendar,Y2627,X2628,"f",FALSE)</f>
        <v>57370</v>
      </c>
      <c r="Z2628" s="184">
        <f>_xll.qlCalendarAdvance(Calendar,Y2628,NDays&amp;"D")</f>
        <v>57370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47"/>
        <v>1w</v>
      </c>
      <c r="Y2629" s="181">
        <f>_xll.qlCalendarAdvance(Calendar,Y2628,X2629,"f",FALSE)</f>
        <v>57377</v>
      </c>
      <c r="Z2629" s="184">
        <f>_xll.qlCalendarAdvance(Calendar,Y2629,NDays&amp;"D")</f>
        <v>57377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47"/>
        <v>1w</v>
      </c>
      <c r="Y2630" s="181">
        <f>_xll.qlCalendarAdvance(Calendar,Y2629,X2630,"f",FALSE)</f>
        <v>57384</v>
      </c>
      <c r="Z2630" s="184">
        <f>_xll.qlCalendarAdvance(Calendar,Y2630,NDays&amp;"D")</f>
        <v>57384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47"/>
        <v>1w</v>
      </c>
      <c r="Y2631" s="181">
        <f>_xll.qlCalendarAdvance(Calendar,Y2630,X2631,"f",FALSE)</f>
        <v>57391</v>
      </c>
      <c r="Z2631" s="184">
        <f>_xll.qlCalendarAdvance(Calendar,Y2631,NDays&amp;"D")</f>
        <v>57391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47"/>
        <v>1w</v>
      </c>
      <c r="Y2632" s="181">
        <f>_xll.qlCalendarAdvance(Calendar,Y2631,X2632,"f",FALSE)</f>
        <v>57398</v>
      </c>
      <c r="Z2632" s="184">
        <f>_xll.qlCalendarAdvance(Calendar,Y2632,NDays&amp;"D")</f>
        <v>57398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47"/>
        <v>1w</v>
      </c>
      <c r="Y2633" s="181">
        <f>_xll.qlCalendarAdvance(Calendar,Y2632,X2633,"f",FALSE)</f>
        <v>57405</v>
      </c>
      <c r="Z2633" s="184">
        <f>_xll.qlCalendarAdvance(Calendar,Y2633,NDays&amp;"D")</f>
        <v>57405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47"/>
        <v>1w</v>
      </c>
      <c r="Y2634" s="181">
        <f>_xll.qlCalendarAdvance(Calendar,Y2633,X2634,"f",FALSE)</f>
        <v>57412</v>
      </c>
      <c r="Z2634" s="184">
        <f>_xll.qlCalendarAdvance(Calendar,Y2634,NDays&amp;"D")</f>
        <v>57412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47"/>
        <v>1w</v>
      </c>
      <c r="Y2635" s="181">
        <f>_xll.qlCalendarAdvance(Calendar,Y2634,X2635,"f",FALSE)</f>
        <v>57419</v>
      </c>
      <c r="Z2635" s="184">
        <f>_xll.qlCalendarAdvance(Calendar,Y2635,NDays&amp;"D")</f>
        <v>57419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47"/>
        <v>1w</v>
      </c>
      <c r="Y2636" s="181">
        <f>_xll.qlCalendarAdvance(Calendar,Y2635,X2636,"f",FALSE)</f>
        <v>57426</v>
      </c>
      <c r="Z2636" s="184">
        <f>_xll.qlCalendarAdvance(Calendar,Y2636,NDays&amp;"D")</f>
        <v>57426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47"/>
        <v>1w</v>
      </c>
      <c r="Y2637" s="181">
        <f>_xll.qlCalendarAdvance(Calendar,Y2636,X2637,"f",FALSE)</f>
        <v>57433</v>
      </c>
      <c r="Z2637" s="184">
        <f>_xll.qlCalendarAdvance(Calendar,Y2637,NDays&amp;"D")</f>
        <v>57433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47"/>
        <v>1w</v>
      </c>
      <c r="Y2638" s="181">
        <f>_xll.qlCalendarAdvance(Calendar,Y2637,X2638,"f",FALSE)</f>
        <v>57440</v>
      </c>
      <c r="Z2638" s="184">
        <f>_xll.qlCalendarAdvance(Calendar,Y2638,NDays&amp;"D")</f>
        <v>57440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47"/>
        <v>1w</v>
      </c>
      <c r="Y2639" s="181">
        <f>_xll.qlCalendarAdvance(Calendar,Y2638,X2639,"f",FALSE)</f>
        <v>57447</v>
      </c>
      <c r="Z2639" s="184">
        <f>_xll.qlCalendarAdvance(Calendar,Y2639,NDays&amp;"D")</f>
        <v>57447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47"/>
        <v>1w</v>
      </c>
      <c r="Y2640" s="181">
        <f>_xll.qlCalendarAdvance(Calendar,Y2639,X2640,"f",FALSE)</f>
        <v>57454</v>
      </c>
      <c r="Z2640" s="184">
        <f>_xll.qlCalendarAdvance(Calendar,Y2640,NDays&amp;"D")</f>
        <v>57454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47"/>
        <v>1w</v>
      </c>
      <c r="Y2641" s="181">
        <f>_xll.qlCalendarAdvance(Calendar,Y2640,X2641,"f",FALSE)</f>
        <v>57461</v>
      </c>
      <c r="Z2641" s="184">
        <f>_xll.qlCalendarAdvance(Calendar,Y2641,NDays&amp;"D")</f>
        <v>57461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47"/>
        <v>1w</v>
      </c>
      <c r="Y2642" s="181">
        <f>_xll.qlCalendarAdvance(Calendar,Y2641,X2642,"f",FALSE)</f>
        <v>57468</v>
      </c>
      <c r="Z2642" s="184">
        <f>_xll.qlCalendarAdvance(Calendar,Y2642,NDays&amp;"D")</f>
        <v>57468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47"/>
        <v>1w</v>
      </c>
      <c r="Y2643" s="181">
        <f>_xll.qlCalendarAdvance(Calendar,Y2642,X2643,"f",FALSE)</f>
        <v>57475</v>
      </c>
      <c r="Z2643" s="184">
        <f>_xll.qlCalendarAdvance(Calendar,Y2643,NDays&amp;"D")</f>
        <v>57475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47"/>
        <v>1w</v>
      </c>
      <c r="Y2644" s="181">
        <f>_xll.qlCalendarAdvance(Calendar,Y2643,X2644,"f",FALSE)</f>
        <v>57482</v>
      </c>
      <c r="Z2644" s="184">
        <f>_xll.qlCalendarAdvance(Calendar,Y2644,NDays&amp;"D")</f>
        <v>57482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48">X2644</f>
        <v>1w</v>
      </c>
      <c r="Y2645" s="181">
        <f>_xll.qlCalendarAdvance(Calendar,Y2644,X2645,"f",FALSE)</f>
        <v>57489</v>
      </c>
      <c r="Z2645" s="184">
        <f>_xll.qlCalendarAdvance(Calendar,Y2645,NDays&amp;"D")</f>
        <v>57489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48"/>
        <v>1w</v>
      </c>
      <c r="Y2646" s="181">
        <f>_xll.qlCalendarAdvance(Calendar,Y2645,X2646,"f",FALSE)</f>
        <v>57496</v>
      </c>
      <c r="Z2646" s="184">
        <f>_xll.qlCalendarAdvance(Calendar,Y2646,NDays&amp;"D")</f>
        <v>57496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48"/>
        <v>1w</v>
      </c>
      <c r="Y2647" s="181">
        <f>_xll.qlCalendarAdvance(Calendar,Y2646,X2647,"f",FALSE)</f>
        <v>57503</v>
      </c>
      <c r="Z2647" s="184">
        <f>_xll.qlCalendarAdvance(Calendar,Y2647,NDays&amp;"D")</f>
        <v>57503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48"/>
        <v>1w</v>
      </c>
      <c r="Y2648" s="181">
        <f>_xll.qlCalendarAdvance(Calendar,Y2647,X2648,"f",FALSE)</f>
        <v>57510</v>
      </c>
      <c r="Z2648" s="184">
        <f>_xll.qlCalendarAdvance(Calendar,Y2648,NDays&amp;"D")</f>
        <v>57510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48"/>
        <v>1w</v>
      </c>
      <c r="Y2649" s="181">
        <f>_xll.qlCalendarAdvance(Calendar,Y2648,X2649,"f",FALSE)</f>
        <v>57517</v>
      </c>
      <c r="Z2649" s="184">
        <f>_xll.qlCalendarAdvance(Calendar,Y2649,NDays&amp;"D")</f>
        <v>57517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48"/>
        <v>1w</v>
      </c>
      <c r="Y2650" s="181">
        <f>_xll.qlCalendarAdvance(Calendar,Y2649,X2650,"f",FALSE)</f>
        <v>57524</v>
      </c>
      <c r="Z2650" s="184">
        <f>_xll.qlCalendarAdvance(Calendar,Y2650,NDays&amp;"D")</f>
        <v>57524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48"/>
        <v>1w</v>
      </c>
      <c r="Y2651" s="181">
        <f>_xll.qlCalendarAdvance(Calendar,Y2650,X2651,"f",FALSE)</f>
        <v>57531</v>
      </c>
      <c r="Z2651" s="184">
        <f>_xll.qlCalendarAdvance(Calendar,Y2651,NDays&amp;"D")</f>
        <v>57531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48"/>
        <v>1w</v>
      </c>
      <c r="Y2652" s="181">
        <f>_xll.qlCalendarAdvance(Calendar,Y2651,X2652,"f",FALSE)</f>
        <v>57538</v>
      </c>
      <c r="Z2652" s="184">
        <f>_xll.qlCalendarAdvance(Calendar,Y2652,NDays&amp;"D")</f>
        <v>57538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48"/>
        <v>1w</v>
      </c>
      <c r="Y2653" s="181">
        <f>_xll.qlCalendarAdvance(Calendar,Y2652,X2653,"f",FALSE)</f>
        <v>57545</v>
      </c>
      <c r="Z2653" s="184">
        <f>_xll.qlCalendarAdvance(Calendar,Y2653,NDays&amp;"D")</f>
        <v>57545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48"/>
        <v>1w</v>
      </c>
      <c r="Y2654" s="181">
        <f>_xll.qlCalendarAdvance(Calendar,Y2653,X2654,"f",FALSE)</f>
        <v>57552</v>
      </c>
      <c r="Z2654" s="184">
        <f>_xll.qlCalendarAdvance(Calendar,Y2654,NDays&amp;"D")</f>
        <v>57552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48"/>
        <v>1w</v>
      </c>
      <c r="Y2655" s="181">
        <f>_xll.qlCalendarAdvance(Calendar,Y2654,X2655,"f",FALSE)</f>
        <v>57559</v>
      </c>
      <c r="Z2655" s="184">
        <f>_xll.qlCalendarAdvance(Calendar,Y2655,NDays&amp;"D")</f>
        <v>57559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48"/>
        <v>1w</v>
      </c>
      <c r="Y2656" s="181">
        <f>_xll.qlCalendarAdvance(Calendar,Y2655,X2656,"f",FALSE)</f>
        <v>57566</v>
      </c>
      <c r="Z2656" s="184">
        <f>_xll.qlCalendarAdvance(Calendar,Y2656,NDays&amp;"D")</f>
        <v>57566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48"/>
        <v>1w</v>
      </c>
      <c r="Y2657" s="181">
        <f>_xll.qlCalendarAdvance(Calendar,Y2656,X2657,"f",FALSE)</f>
        <v>57573</v>
      </c>
      <c r="Z2657" s="184">
        <f>_xll.qlCalendarAdvance(Calendar,Y2657,NDays&amp;"D")</f>
        <v>57573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48"/>
        <v>1w</v>
      </c>
      <c r="Y2658" s="181">
        <f>_xll.qlCalendarAdvance(Calendar,Y2657,X2658,"f",FALSE)</f>
        <v>57580</v>
      </c>
      <c r="Z2658" s="184">
        <f>_xll.qlCalendarAdvance(Calendar,Y2658,NDays&amp;"D")</f>
        <v>57580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48"/>
        <v>1w</v>
      </c>
      <c r="Y2659" s="181">
        <f>_xll.qlCalendarAdvance(Calendar,Y2658,X2659,"f",FALSE)</f>
        <v>57587</v>
      </c>
      <c r="Z2659" s="184">
        <f>_xll.qlCalendarAdvance(Calendar,Y2659,NDays&amp;"D")</f>
        <v>57587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48"/>
        <v>1w</v>
      </c>
      <c r="Y2660" s="181">
        <f>_xll.qlCalendarAdvance(Calendar,Y2659,X2660,"f",FALSE)</f>
        <v>57594</v>
      </c>
      <c r="Z2660" s="184">
        <f>_xll.qlCalendarAdvance(Calendar,Y2660,NDays&amp;"D")</f>
        <v>57594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48"/>
        <v>1w</v>
      </c>
      <c r="Y2661" s="181">
        <f>_xll.qlCalendarAdvance(Calendar,Y2660,X2661,"f",FALSE)</f>
        <v>57601</v>
      </c>
      <c r="Z2661" s="184">
        <f>_xll.qlCalendarAdvance(Calendar,Y2661,NDays&amp;"D")</f>
        <v>57601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48"/>
        <v>1w</v>
      </c>
      <c r="Y2662" s="181">
        <f>_xll.qlCalendarAdvance(Calendar,Y2661,X2662,"f",FALSE)</f>
        <v>57608</v>
      </c>
      <c r="Z2662" s="184">
        <f>_xll.qlCalendarAdvance(Calendar,Y2662,NDays&amp;"D")</f>
        <v>57608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48"/>
        <v>1w</v>
      </c>
      <c r="Y2663" s="181">
        <f>_xll.qlCalendarAdvance(Calendar,Y2662,X2663,"f",FALSE)</f>
        <v>57615</v>
      </c>
      <c r="Z2663" s="184">
        <f>_xll.qlCalendarAdvance(Calendar,Y2663,NDays&amp;"D")</f>
        <v>57615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48"/>
        <v>1w</v>
      </c>
      <c r="Y2664" s="181">
        <f>_xll.qlCalendarAdvance(Calendar,Y2663,X2664,"f",FALSE)</f>
        <v>57622</v>
      </c>
      <c r="Z2664" s="184">
        <f>_xll.qlCalendarAdvance(Calendar,Y2664,NDays&amp;"D")</f>
        <v>57622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48"/>
        <v>1w</v>
      </c>
      <c r="Y2665" s="181">
        <f>_xll.qlCalendarAdvance(Calendar,Y2664,X2665,"f",FALSE)</f>
        <v>57629</v>
      </c>
      <c r="Z2665" s="184">
        <f>_xll.qlCalendarAdvance(Calendar,Y2665,NDays&amp;"D")</f>
        <v>57629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48"/>
        <v>1w</v>
      </c>
      <c r="Y2666" s="181">
        <f>_xll.qlCalendarAdvance(Calendar,Y2665,X2666,"f",FALSE)</f>
        <v>57636</v>
      </c>
      <c r="Z2666" s="184">
        <f>_xll.qlCalendarAdvance(Calendar,Y2666,NDays&amp;"D")</f>
        <v>57636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48"/>
        <v>1w</v>
      </c>
      <c r="Y2667" s="181">
        <f>_xll.qlCalendarAdvance(Calendar,Y2666,X2667,"f",FALSE)</f>
        <v>57643</v>
      </c>
      <c r="Z2667" s="184">
        <f>_xll.qlCalendarAdvance(Calendar,Y2667,NDays&amp;"D")</f>
        <v>57643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48"/>
        <v>1w</v>
      </c>
      <c r="Y2668" s="181">
        <f>_xll.qlCalendarAdvance(Calendar,Y2667,X2668,"f",FALSE)</f>
        <v>57650</v>
      </c>
      <c r="Z2668" s="184">
        <f>_xll.qlCalendarAdvance(Calendar,Y2668,NDays&amp;"D")</f>
        <v>57650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48"/>
        <v>1w</v>
      </c>
      <c r="Y2669" s="181">
        <f>_xll.qlCalendarAdvance(Calendar,Y2668,X2669,"f",FALSE)</f>
        <v>57657</v>
      </c>
      <c r="Z2669" s="184">
        <f>_xll.qlCalendarAdvance(Calendar,Y2669,NDays&amp;"D")</f>
        <v>57657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48"/>
        <v>1w</v>
      </c>
      <c r="Y2670" s="181">
        <f>_xll.qlCalendarAdvance(Calendar,Y2669,X2670,"f",FALSE)</f>
        <v>57664</v>
      </c>
      <c r="Z2670" s="184">
        <f>_xll.qlCalendarAdvance(Calendar,Y2670,NDays&amp;"D")</f>
        <v>57664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48"/>
        <v>1w</v>
      </c>
      <c r="Y2671" s="181">
        <f>_xll.qlCalendarAdvance(Calendar,Y2670,X2671,"f",FALSE)</f>
        <v>57671</v>
      </c>
      <c r="Z2671" s="184">
        <f>_xll.qlCalendarAdvance(Calendar,Y2671,NDays&amp;"D")</f>
        <v>57671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48"/>
        <v>1w</v>
      </c>
      <c r="Y2672" s="181">
        <f>_xll.qlCalendarAdvance(Calendar,Y2671,X2672,"f",FALSE)</f>
        <v>57678</v>
      </c>
      <c r="Z2672" s="184">
        <f>_xll.qlCalendarAdvance(Calendar,Y2672,NDays&amp;"D")</f>
        <v>57678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48"/>
        <v>1w</v>
      </c>
      <c r="Y2673" s="181">
        <f>_xll.qlCalendarAdvance(Calendar,Y2672,X2673,"f",FALSE)</f>
        <v>57685</v>
      </c>
      <c r="Z2673" s="184">
        <f>_xll.qlCalendarAdvance(Calendar,Y2673,NDays&amp;"D")</f>
        <v>57685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48"/>
        <v>1w</v>
      </c>
      <c r="Y2674" s="181">
        <f>_xll.qlCalendarAdvance(Calendar,Y2673,X2674,"f",FALSE)</f>
        <v>57692</v>
      </c>
      <c r="Z2674" s="184">
        <f>_xll.qlCalendarAdvance(Calendar,Y2674,NDays&amp;"D")</f>
        <v>57692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48"/>
        <v>1w</v>
      </c>
      <c r="Y2675" s="181">
        <f>_xll.qlCalendarAdvance(Calendar,Y2674,X2675,"f",FALSE)</f>
        <v>57699</v>
      </c>
      <c r="Z2675" s="184">
        <f>_xll.qlCalendarAdvance(Calendar,Y2675,NDays&amp;"D")</f>
        <v>57699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48"/>
        <v>1w</v>
      </c>
      <c r="Y2676" s="181">
        <f>_xll.qlCalendarAdvance(Calendar,Y2675,X2676,"f",FALSE)</f>
        <v>57706</v>
      </c>
      <c r="Z2676" s="184">
        <f>_xll.qlCalendarAdvance(Calendar,Y2676,NDays&amp;"D")</f>
        <v>57706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48"/>
        <v>1w</v>
      </c>
      <c r="Y2677" s="181">
        <f>_xll.qlCalendarAdvance(Calendar,Y2676,X2677,"f",FALSE)</f>
        <v>57713</v>
      </c>
      <c r="Z2677" s="184">
        <f>_xll.qlCalendarAdvance(Calendar,Y2677,NDays&amp;"D")</f>
        <v>57713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48"/>
        <v>1w</v>
      </c>
      <c r="Y2678" s="181">
        <f>_xll.qlCalendarAdvance(Calendar,Y2677,X2678,"f",FALSE)</f>
        <v>57720</v>
      </c>
      <c r="Z2678" s="184">
        <f>_xll.qlCalendarAdvance(Calendar,Y2678,NDays&amp;"D")</f>
        <v>57720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48"/>
        <v>1w</v>
      </c>
      <c r="Y2679" s="181">
        <f>_xll.qlCalendarAdvance(Calendar,Y2678,X2679,"f",FALSE)</f>
        <v>57727</v>
      </c>
      <c r="Z2679" s="184">
        <f>_xll.qlCalendarAdvance(Calendar,Y2679,NDays&amp;"D")</f>
        <v>57727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48"/>
        <v>1w</v>
      </c>
      <c r="Y2680" s="181">
        <f>_xll.qlCalendarAdvance(Calendar,Y2679,X2680,"f",FALSE)</f>
        <v>57734</v>
      </c>
      <c r="Z2680" s="184">
        <f>_xll.qlCalendarAdvance(Calendar,Y2680,NDays&amp;"D")</f>
        <v>57734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48"/>
        <v>1w</v>
      </c>
      <c r="Y2681" s="181">
        <f>_xll.qlCalendarAdvance(Calendar,Y2680,X2681,"f",FALSE)</f>
        <v>57741</v>
      </c>
      <c r="Z2681" s="184">
        <f>_xll.qlCalendarAdvance(Calendar,Y2681,NDays&amp;"D")</f>
        <v>57741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48"/>
        <v>1w</v>
      </c>
      <c r="Y2682" s="181">
        <f>_xll.qlCalendarAdvance(Calendar,Y2681,X2682,"f",FALSE)</f>
        <v>57748</v>
      </c>
      <c r="Z2682" s="184">
        <f>_xll.qlCalendarAdvance(Calendar,Y2682,NDays&amp;"D")</f>
        <v>57748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48"/>
        <v>1w</v>
      </c>
      <c r="Y2683" s="181">
        <f>_xll.qlCalendarAdvance(Calendar,Y2682,X2683,"f",FALSE)</f>
        <v>57755</v>
      </c>
      <c r="Z2683" s="184">
        <f>_xll.qlCalendarAdvance(Calendar,Y2683,NDays&amp;"D")</f>
        <v>57755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48"/>
        <v>1w</v>
      </c>
      <c r="Y2684" s="181">
        <f>_xll.qlCalendarAdvance(Calendar,Y2683,X2684,"f",FALSE)</f>
        <v>57762</v>
      </c>
      <c r="Z2684" s="184">
        <f>_xll.qlCalendarAdvance(Calendar,Y2684,NDays&amp;"D")</f>
        <v>57762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48"/>
        <v>1w</v>
      </c>
      <c r="Y2685" s="181">
        <f>_xll.qlCalendarAdvance(Calendar,Y2684,X2685,"f",FALSE)</f>
        <v>57769</v>
      </c>
      <c r="Z2685" s="184">
        <f>_xll.qlCalendarAdvance(Calendar,Y2685,NDays&amp;"D")</f>
        <v>57769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48"/>
        <v>1w</v>
      </c>
      <c r="Y2686" s="181">
        <f>_xll.qlCalendarAdvance(Calendar,Y2685,X2686,"f",FALSE)</f>
        <v>57776</v>
      </c>
      <c r="Z2686" s="184">
        <f>_xll.qlCalendarAdvance(Calendar,Y2686,NDays&amp;"D")</f>
        <v>57776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48"/>
        <v>1w</v>
      </c>
      <c r="Y2687" s="181">
        <f>_xll.qlCalendarAdvance(Calendar,Y2686,X2687,"f",FALSE)</f>
        <v>57783</v>
      </c>
      <c r="Z2687" s="184">
        <f>_xll.qlCalendarAdvance(Calendar,Y2687,NDays&amp;"D")</f>
        <v>57783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48"/>
        <v>1w</v>
      </c>
      <c r="Y2688" s="181">
        <f>_xll.qlCalendarAdvance(Calendar,Y2687,X2688,"f",FALSE)</f>
        <v>57790</v>
      </c>
      <c r="Z2688" s="184">
        <f>_xll.qlCalendarAdvance(Calendar,Y2688,NDays&amp;"D")</f>
        <v>57790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48"/>
        <v>1w</v>
      </c>
      <c r="Y2689" s="181">
        <f>_xll.qlCalendarAdvance(Calendar,Y2688,X2689,"f",FALSE)</f>
        <v>57797</v>
      </c>
      <c r="Z2689" s="184">
        <f>_xll.qlCalendarAdvance(Calendar,Y2689,NDays&amp;"D")</f>
        <v>57797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48"/>
        <v>1w</v>
      </c>
      <c r="Y2690" s="181">
        <f>_xll.qlCalendarAdvance(Calendar,Y2689,X2690,"f",FALSE)</f>
        <v>57804</v>
      </c>
      <c r="Z2690" s="184">
        <f>_xll.qlCalendarAdvance(Calendar,Y2690,NDays&amp;"D")</f>
        <v>57804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48"/>
        <v>1w</v>
      </c>
      <c r="Y2691" s="181">
        <f>_xll.qlCalendarAdvance(Calendar,Y2690,X2691,"f",FALSE)</f>
        <v>57811</v>
      </c>
      <c r="Z2691" s="184">
        <f>_xll.qlCalendarAdvance(Calendar,Y2691,NDays&amp;"D")</f>
        <v>57811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48"/>
        <v>1w</v>
      </c>
      <c r="Y2692" s="181">
        <f>_xll.qlCalendarAdvance(Calendar,Y2691,X2692,"f",FALSE)</f>
        <v>57818</v>
      </c>
      <c r="Z2692" s="184">
        <f>_xll.qlCalendarAdvance(Calendar,Y2692,NDays&amp;"D")</f>
        <v>57818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48"/>
        <v>1w</v>
      </c>
      <c r="Y2693" s="181">
        <f>_xll.qlCalendarAdvance(Calendar,Y2692,X2693,"f",FALSE)</f>
        <v>57826</v>
      </c>
      <c r="Z2693" s="184">
        <f>_xll.qlCalendarAdvance(Calendar,Y2693,NDays&amp;"D")</f>
        <v>57826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48"/>
        <v>1w</v>
      </c>
      <c r="Y2694" s="181">
        <f>_xll.qlCalendarAdvance(Calendar,Y2693,X2694,"f",FALSE)</f>
        <v>57833</v>
      </c>
      <c r="Z2694" s="184">
        <f>_xll.qlCalendarAdvance(Calendar,Y2694,NDays&amp;"D")</f>
        <v>57833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48"/>
        <v>1w</v>
      </c>
      <c r="Y2695" s="181">
        <f>_xll.qlCalendarAdvance(Calendar,Y2694,X2695,"f",FALSE)</f>
        <v>57840</v>
      </c>
      <c r="Z2695" s="184">
        <f>_xll.qlCalendarAdvance(Calendar,Y2695,NDays&amp;"D")</f>
        <v>57840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48"/>
        <v>1w</v>
      </c>
      <c r="Y2696" s="181">
        <f>_xll.qlCalendarAdvance(Calendar,Y2695,X2696,"f",FALSE)</f>
        <v>57847</v>
      </c>
      <c r="Z2696" s="184">
        <f>_xll.qlCalendarAdvance(Calendar,Y2696,NDays&amp;"D")</f>
        <v>57847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48"/>
        <v>1w</v>
      </c>
      <c r="Y2697" s="181">
        <f>_xll.qlCalendarAdvance(Calendar,Y2696,X2697,"f",FALSE)</f>
        <v>57854</v>
      </c>
      <c r="Z2697" s="184">
        <f>_xll.qlCalendarAdvance(Calendar,Y2697,NDays&amp;"D")</f>
        <v>57854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48"/>
        <v>1w</v>
      </c>
      <c r="Y2698" s="181">
        <f>_xll.qlCalendarAdvance(Calendar,Y2697,X2698,"f",FALSE)</f>
        <v>57861</v>
      </c>
      <c r="Z2698" s="184">
        <f>_xll.qlCalendarAdvance(Calendar,Y2698,NDays&amp;"D")</f>
        <v>57861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48"/>
        <v>1w</v>
      </c>
      <c r="Y2699" s="181">
        <f>_xll.qlCalendarAdvance(Calendar,Y2698,X2699,"f",FALSE)</f>
        <v>57868</v>
      </c>
      <c r="Z2699" s="184">
        <f>_xll.qlCalendarAdvance(Calendar,Y2699,NDays&amp;"D")</f>
        <v>57868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48"/>
        <v>1w</v>
      </c>
      <c r="Y2700" s="181">
        <f>_xll.qlCalendarAdvance(Calendar,Y2699,X2700,"f",FALSE)</f>
        <v>57875</v>
      </c>
      <c r="Z2700" s="184">
        <f>_xll.qlCalendarAdvance(Calendar,Y2700,NDays&amp;"D")</f>
        <v>57875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48"/>
        <v>1w</v>
      </c>
      <c r="Y2701" s="181">
        <f>_xll.qlCalendarAdvance(Calendar,Y2700,X2701,"f",FALSE)</f>
        <v>57882</v>
      </c>
      <c r="Z2701" s="184">
        <f>_xll.qlCalendarAdvance(Calendar,Y2701,NDays&amp;"D")</f>
        <v>57882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48"/>
        <v>1w</v>
      </c>
      <c r="Y2702" s="181">
        <f>_xll.qlCalendarAdvance(Calendar,Y2701,X2702,"f",FALSE)</f>
        <v>57889</v>
      </c>
      <c r="Z2702" s="184">
        <f>_xll.qlCalendarAdvance(Calendar,Y2702,NDays&amp;"D")</f>
        <v>57889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48"/>
        <v>1w</v>
      </c>
      <c r="Y2703" s="181">
        <f>_xll.qlCalendarAdvance(Calendar,Y2702,X2703,"f",FALSE)</f>
        <v>57896</v>
      </c>
      <c r="Z2703" s="184">
        <f>_xll.qlCalendarAdvance(Calendar,Y2703,NDays&amp;"D")</f>
        <v>57896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48"/>
        <v>1w</v>
      </c>
      <c r="Y2704" s="181">
        <f>_xll.qlCalendarAdvance(Calendar,Y2703,X2704,"f",FALSE)</f>
        <v>57903</v>
      </c>
      <c r="Z2704" s="184">
        <f>_xll.qlCalendarAdvance(Calendar,Y2704,NDays&amp;"D")</f>
        <v>57903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48"/>
        <v>1w</v>
      </c>
      <c r="Y2705" s="181">
        <f>_xll.qlCalendarAdvance(Calendar,Y2704,X2705,"f",FALSE)</f>
        <v>57910</v>
      </c>
      <c r="Z2705" s="184">
        <f>_xll.qlCalendarAdvance(Calendar,Y2705,NDays&amp;"D")</f>
        <v>57910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48"/>
        <v>1w</v>
      </c>
      <c r="Y2706" s="181">
        <f>_xll.qlCalendarAdvance(Calendar,Y2705,X2706,"f",FALSE)</f>
        <v>57917</v>
      </c>
      <c r="Z2706" s="184">
        <f>_xll.qlCalendarAdvance(Calendar,Y2706,NDays&amp;"D")</f>
        <v>57917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48"/>
        <v>1w</v>
      </c>
      <c r="Y2707" s="181">
        <f>_xll.qlCalendarAdvance(Calendar,Y2706,X2707,"f",FALSE)</f>
        <v>57924</v>
      </c>
      <c r="Z2707" s="184">
        <f>_xll.qlCalendarAdvance(Calendar,Y2707,NDays&amp;"D")</f>
        <v>57924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48"/>
        <v>1w</v>
      </c>
      <c r="Y2708" s="181">
        <f>_xll.qlCalendarAdvance(Calendar,Y2707,X2708,"f",FALSE)</f>
        <v>57931</v>
      </c>
      <c r="Z2708" s="184">
        <f>_xll.qlCalendarAdvance(Calendar,Y2708,NDays&amp;"D")</f>
        <v>57931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49">X2708</f>
        <v>1w</v>
      </c>
      <c r="Y2709" s="181">
        <f>_xll.qlCalendarAdvance(Calendar,Y2708,X2709,"f",FALSE)</f>
        <v>57938</v>
      </c>
      <c r="Z2709" s="184">
        <f>_xll.qlCalendarAdvance(Calendar,Y2709,NDays&amp;"D")</f>
        <v>57938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49"/>
        <v>1w</v>
      </c>
      <c r="Y2710" s="181">
        <f>_xll.qlCalendarAdvance(Calendar,Y2709,X2710,"f",FALSE)</f>
        <v>57945</v>
      </c>
      <c r="Z2710" s="184">
        <f>_xll.qlCalendarAdvance(Calendar,Y2710,NDays&amp;"D")</f>
        <v>57945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49"/>
        <v>1w</v>
      </c>
      <c r="Y2711" s="181">
        <f>_xll.qlCalendarAdvance(Calendar,Y2710,X2711,"f",FALSE)</f>
        <v>57952</v>
      </c>
      <c r="Z2711" s="184">
        <f>_xll.qlCalendarAdvance(Calendar,Y2711,NDays&amp;"D")</f>
        <v>57952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49"/>
        <v>1w</v>
      </c>
      <c r="Y2712" s="181">
        <f>_xll.qlCalendarAdvance(Calendar,Y2711,X2712,"f",FALSE)</f>
        <v>57959</v>
      </c>
      <c r="Z2712" s="184">
        <f>_xll.qlCalendarAdvance(Calendar,Y2712,NDays&amp;"D")</f>
        <v>57959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49"/>
        <v>1w</v>
      </c>
      <c r="Y2713" s="181">
        <f>_xll.qlCalendarAdvance(Calendar,Y2712,X2713,"f",FALSE)</f>
        <v>57966</v>
      </c>
      <c r="Z2713" s="184">
        <f>_xll.qlCalendarAdvance(Calendar,Y2713,NDays&amp;"D")</f>
        <v>57966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49"/>
        <v>1w</v>
      </c>
      <c r="Y2714" s="181">
        <f>_xll.qlCalendarAdvance(Calendar,Y2713,X2714,"f",FALSE)</f>
        <v>57973</v>
      </c>
      <c r="Z2714" s="184">
        <f>_xll.qlCalendarAdvance(Calendar,Y2714,NDays&amp;"D")</f>
        <v>57973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49"/>
        <v>1w</v>
      </c>
      <c r="Y2715" s="181">
        <f>_xll.qlCalendarAdvance(Calendar,Y2714,X2715,"f",FALSE)</f>
        <v>57980</v>
      </c>
      <c r="Z2715" s="184">
        <f>_xll.qlCalendarAdvance(Calendar,Y2715,NDays&amp;"D")</f>
        <v>57980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49"/>
        <v>1w</v>
      </c>
      <c r="Y2716" s="181">
        <f>_xll.qlCalendarAdvance(Calendar,Y2715,X2716,"f",FALSE)</f>
        <v>57987</v>
      </c>
      <c r="Z2716" s="184">
        <f>_xll.qlCalendarAdvance(Calendar,Y2716,NDays&amp;"D")</f>
        <v>57987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49"/>
        <v>1w</v>
      </c>
      <c r="Y2717" s="181">
        <f>_xll.qlCalendarAdvance(Calendar,Y2716,X2717,"f",FALSE)</f>
        <v>57994</v>
      </c>
      <c r="Z2717" s="184">
        <f>_xll.qlCalendarAdvance(Calendar,Y2717,NDays&amp;"D")</f>
        <v>57994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49"/>
        <v>1w</v>
      </c>
      <c r="Y2718" s="181">
        <f>_xll.qlCalendarAdvance(Calendar,Y2717,X2718,"f",FALSE)</f>
        <v>58001</v>
      </c>
      <c r="Z2718" s="184">
        <f>_xll.qlCalendarAdvance(Calendar,Y2718,NDays&amp;"D")</f>
        <v>58001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49"/>
        <v>1w</v>
      </c>
      <c r="Y2719" s="181">
        <f>_xll.qlCalendarAdvance(Calendar,Y2718,X2719,"f",FALSE)</f>
        <v>58008</v>
      </c>
      <c r="Z2719" s="184">
        <f>_xll.qlCalendarAdvance(Calendar,Y2719,NDays&amp;"D")</f>
        <v>58008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49"/>
        <v>1w</v>
      </c>
      <c r="Y2720" s="181">
        <f>_xll.qlCalendarAdvance(Calendar,Y2719,X2720,"f",FALSE)</f>
        <v>58015</v>
      </c>
      <c r="Z2720" s="184">
        <f>_xll.qlCalendarAdvance(Calendar,Y2720,NDays&amp;"D")</f>
        <v>58015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49"/>
        <v>1w</v>
      </c>
      <c r="Y2721" s="181">
        <f>_xll.qlCalendarAdvance(Calendar,Y2720,X2721,"f",FALSE)</f>
        <v>58022</v>
      </c>
      <c r="Z2721" s="184">
        <f>_xll.qlCalendarAdvance(Calendar,Y2721,NDays&amp;"D")</f>
        <v>58022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49"/>
        <v>1w</v>
      </c>
      <c r="Y2722" s="181">
        <f>_xll.qlCalendarAdvance(Calendar,Y2721,X2722,"f",FALSE)</f>
        <v>58029</v>
      </c>
      <c r="Z2722" s="184">
        <f>_xll.qlCalendarAdvance(Calendar,Y2722,NDays&amp;"D")</f>
        <v>58029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49"/>
        <v>1w</v>
      </c>
      <c r="Y2723" s="181">
        <f>_xll.qlCalendarAdvance(Calendar,Y2722,X2723,"f",FALSE)</f>
        <v>58036</v>
      </c>
      <c r="Z2723" s="184">
        <f>_xll.qlCalendarAdvance(Calendar,Y2723,NDays&amp;"D")</f>
        <v>58036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49"/>
        <v>1w</v>
      </c>
      <c r="Y2724" s="181">
        <f>_xll.qlCalendarAdvance(Calendar,Y2723,X2724,"f",FALSE)</f>
        <v>58043</v>
      </c>
      <c r="Z2724" s="184">
        <f>_xll.qlCalendarAdvance(Calendar,Y2724,NDays&amp;"D")</f>
        <v>58043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49"/>
        <v>1w</v>
      </c>
      <c r="Y2725" s="181">
        <f>_xll.qlCalendarAdvance(Calendar,Y2724,X2725,"f",FALSE)</f>
        <v>58050</v>
      </c>
      <c r="Z2725" s="184">
        <f>_xll.qlCalendarAdvance(Calendar,Y2725,NDays&amp;"D")</f>
        <v>58050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49"/>
        <v>1w</v>
      </c>
      <c r="Y2726" s="181">
        <f>_xll.qlCalendarAdvance(Calendar,Y2725,X2726,"f",FALSE)</f>
        <v>58057</v>
      </c>
      <c r="Z2726" s="184">
        <f>_xll.qlCalendarAdvance(Calendar,Y2726,NDays&amp;"D")</f>
        <v>58057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49"/>
        <v>1w</v>
      </c>
      <c r="Y2727" s="181">
        <f>_xll.qlCalendarAdvance(Calendar,Y2726,X2727,"f",FALSE)</f>
        <v>58064</v>
      </c>
      <c r="Z2727" s="184">
        <f>_xll.qlCalendarAdvance(Calendar,Y2727,NDays&amp;"D")</f>
        <v>58064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49"/>
        <v>1w</v>
      </c>
      <c r="Y2728" s="181">
        <f>_xll.qlCalendarAdvance(Calendar,Y2727,X2728,"f",FALSE)</f>
        <v>58071</v>
      </c>
      <c r="Z2728" s="184">
        <f>_xll.qlCalendarAdvance(Calendar,Y2728,NDays&amp;"D")</f>
        <v>58071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49"/>
        <v>1w</v>
      </c>
      <c r="Y2729" s="181">
        <f>_xll.qlCalendarAdvance(Calendar,Y2728,X2729,"f",FALSE)</f>
        <v>58078</v>
      </c>
      <c r="Z2729" s="184">
        <f>_xll.qlCalendarAdvance(Calendar,Y2729,NDays&amp;"D")</f>
        <v>58078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49"/>
        <v>1w</v>
      </c>
      <c r="Y2730" s="181">
        <f>_xll.qlCalendarAdvance(Calendar,Y2729,X2730,"f",FALSE)</f>
        <v>58085</v>
      </c>
      <c r="Z2730" s="184">
        <f>_xll.qlCalendarAdvance(Calendar,Y2730,NDays&amp;"D")</f>
        <v>58085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49"/>
        <v>1w</v>
      </c>
      <c r="Y2731" s="181">
        <f>_xll.qlCalendarAdvance(Calendar,Y2730,X2731,"f",FALSE)</f>
        <v>58092</v>
      </c>
      <c r="Z2731" s="184">
        <f>_xll.qlCalendarAdvance(Calendar,Y2731,NDays&amp;"D")</f>
        <v>58092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49"/>
        <v>1w</v>
      </c>
      <c r="Y2732" s="181">
        <f>_xll.qlCalendarAdvance(Calendar,Y2731,X2732,"f",FALSE)</f>
        <v>58099</v>
      </c>
      <c r="Z2732" s="184">
        <f>_xll.qlCalendarAdvance(Calendar,Y2732,NDays&amp;"D")</f>
        <v>58099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49"/>
        <v>1w</v>
      </c>
      <c r="Y2733" s="181">
        <f>_xll.qlCalendarAdvance(Calendar,Y2732,X2733,"f",FALSE)</f>
        <v>58106</v>
      </c>
      <c r="Z2733" s="184">
        <f>_xll.qlCalendarAdvance(Calendar,Y2733,NDays&amp;"D")</f>
        <v>58106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49"/>
        <v>1w</v>
      </c>
      <c r="Y2734" s="181">
        <f>_xll.qlCalendarAdvance(Calendar,Y2733,X2734,"f",FALSE)</f>
        <v>58113</v>
      </c>
      <c r="Z2734" s="184">
        <f>_xll.qlCalendarAdvance(Calendar,Y2734,NDays&amp;"D")</f>
        <v>58113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49"/>
        <v>1w</v>
      </c>
      <c r="Y2735" s="181">
        <f>_xll.qlCalendarAdvance(Calendar,Y2734,X2735,"f",FALSE)</f>
        <v>58120</v>
      </c>
      <c r="Z2735" s="184">
        <f>_xll.qlCalendarAdvance(Calendar,Y2735,NDays&amp;"D")</f>
        <v>58120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49"/>
        <v>1w</v>
      </c>
      <c r="Y2736" s="181">
        <f>_xll.qlCalendarAdvance(Calendar,Y2735,X2736,"f",FALSE)</f>
        <v>58127</v>
      </c>
      <c r="Z2736" s="184">
        <f>_xll.qlCalendarAdvance(Calendar,Y2736,NDays&amp;"D")</f>
        <v>58127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49"/>
        <v>1w</v>
      </c>
      <c r="Y2737" s="181">
        <f>_xll.qlCalendarAdvance(Calendar,Y2736,X2737,"f",FALSE)</f>
        <v>58134</v>
      </c>
      <c r="Z2737" s="184">
        <f>_xll.qlCalendarAdvance(Calendar,Y2737,NDays&amp;"D")</f>
        <v>58134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49"/>
        <v>1w</v>
      </c>
      <c r="Y2738" s="181">
        <f>_xll.qlCalendarAdvance(Calendar,Y2737,X2738,"f",FALSE)</f>
        <v>58141</v>
      </c>
      <c r="Z2738" s="184">
        <f>_xll.qlCalendarAdvance(Calendar,Y2738,NDays&amp;"D")</f>
        <v>58141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49"/>
        <v>1w</v>
      </c>
      <c r="Y2739" s="181">
        <f>_xll.qlCalendarAdvance(Calendar,Y2738,X2739,"f",FALSE)</f>
        <v>58148</v>
      </c>
      <c r="Z2739" s="184">
        <f>_xll.qlCalendarAdvance(Calendar,Y2739,NDays&amp;"D")</f>
        <v>58148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49"/>
        <v>1w</v>
      </c>
      <c r="Y2740" s="181">
        <f>_xll.qlCalendarAdvance(Calendar,Y2739,X2740,"f",FALSE)</f>
        <v>58155</v>
      </c>
      <c r="Z2740" s="184">
        <f>_xll.qlCalendarAdvance(Calendar,Y2740,NDays&amp;"D")</f>
        <v>58155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49"/>
        <v>1w</v>
      </c>
      <c r="Y2741" s="181">
        <f>_xll.qlCalendarAdvance(Calendar,Y2740,X2741,"f",FALSE)</f>
        <v>58166</v>
      </c>
      <c r="Z2741" s="184">
        <f>_xll.qlCalendarAdvance(Calendar,Y2741,NDays&amp;"D")</f>
        <v>58166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49"/>
        <v>1w</v>
      </c>
      <c r="Y2742" s="181">
        <f>_xll.qlCalendarAdvance(Calendar,Y2741,X2742,"f",FALSE)</f>
        <v>58173</v>
      </c>
      <c r="Z2742" s="184">
        <f>_xll.qlCalendarAdvance(Calendar,Y2742,NDays&amp;"D")</f>
        <v>58173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49"/>
        <v>1w</v>
      </c>
      <c r="Y2743" s="181">
        <f>_xll.qlCalendarAdvance(Calendar,Y2742,X2743,"f",FALSE)</f>
        <v>58180</v>
      </c>
      <c r="Z2743" s="184">
        <f>_xll.qlCalendarAdvance(Calendar,Y2743,NDays&amp;"D")</f>
        <v>58180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49"/>
        <v>1w</v>
      </c>
      <c r="Y2744" s="181">
        <f>_xll.qlCalendarAdvance(Calendar,Y2743,X2744,"f",FALSE)</f>
        <v>58187</v>
      </c>
      <c r="Z2744" s="184">
        <f>_xll.qlCalendarAdvance(Calendar,Y2744,NDays&amp;"D")</f>
        <v>58187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49"/>
        <v>1w</v>
      </c>
      <c r="Y2745" s="181">
        <f>_xll.qlCalendarAdvance(Calendar,Y2744,X2745,"f",FALSE)</f>
        <v>58194</v>
      </c>
      <c r="Z2745" s="184">
        <f>_xll.qlCalendarAdvance(Calendar,Y2745,NDays&amp;"D")</f>
        <v>58194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49"/>
        <v>1w</v>
      </c>
      <c r="Y2746" s="181">
        <f>_xll.qlCalendarAdvance(Calendar,Y2745,X2746,"f",FALSE)</f>
        <v>58201</v>
      </c>
      <c r="Z2746" s="184">
        <f>_xll.qlCalendarAdvance(Calendar,Y2746,NDays&amp;"D")</f>
        <v>58201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49"/>
        <v>1w</v>
      </c>
      <c r="Y2747" s="181">
        <f>_xll.qlCalendarAdvance(Calendar,Y2746,X2747,"f",FALSE)</f>
        <v>58208</v>
      </c>
      <c r="Z2747" s="184">
        <f>_xll.qlCalendarAdvance(Calendar,Y2747,NDays&amp;"D")</f>
        <v>58208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49"/>
        <v>1w</v>
      </c>
      <c r="Y2748" s="181">
        <f>_xll.qlCalendarAdvance(Calendar,Y2747,X2748,"f",FALSE)</f>
        <v>58215</v>
      </c>
      <c r="Z2748" s="184">
        <f>_xll.qlCalendarAdvance(Calendar,Y2748,NDays&amp;"D")</f>
        <v>58215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49"/>
        <v>1w</v>
      </c>
      <c r="Y2749" s="181">
        <f>_xll.qlCalendarAdvance(Calendar,Y2748,X2749,"f",FALSE)</f>
        <v>58222</v>
      </c>
      <c r="Z2749" s="184">
        <f>_xll.qlCalendarAdvance(Calendar,Y2749,NDays&amp;"D")</f>
        <v>58222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49"/>
        <v>1w</v>
      </c>
      <c r="Y2750" s="181">
        <f>_xll.qlCalendarAdvance(Calendar,Y2749,X2750,"f",FALSE)</f>
        <v>58229</v>
      </c>
      <c r="Z2750" s="184">
        <f>_xll.qlCalendarAdvance(Calendar,Y2750,NDays&amp;"D")</f>
        <v>58229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49"/>
        <v>1w</v>
      </c>
      <c r="Y2751" s="181">
        <f>_xll.qlCalendarAdvance(Calendar,Y2750,X2751,"f",FALSE)</f>
        <v>58236</v>
      </c>
      <c r="Z2751" s="184">
        <f>_xll.qlCalendarAdvance(Calendar,Y2751,NDays&amp;"D")</f>
        <v>58236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49"/>
        <v>1w</v>
      </c>
      <c r="Y2752" s="181">
        <f>_xll.qlCalendarAdvance(Calendar,Y2751,X2752,"f",FALSE)</f>
        <v>58243</v>
      </c>
      <c r="Z2752" s="184">
        <f>_xll.qlCalendarAdvance(Calendar,Y2752,NDays&amp;"D")</f>
        <v>58243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49"/>
        <v>1w</v>
      </c>
      <c r="Y2753" s="181">
        <f>_xll.qlCalendarAdvance(Calendar,Y2752,X2753,"f",FALSE)</f>
        <v>58250</v>
      </c>
      <c r="Z2753" s="184">
        <f>_xll.qlCalendarAdvance(Calendar,Y2753,NDays&amp;"D")</f>
        <v>58250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49"/>
        <v>1w</v>
      </c>
      <c r="Y2754" s="181">
        <f>_xll.qlCalendarAdvance(Calendar,Y2753,X2754,"f",FALSE)</f>
        <v>58257</v>
      </c>
      <c r="Z2754" s="184">
        <f>_xll.qlCalendarAdvance(Calendar,Y2754,NDays&amp;"D")</f>
        <v>58257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49"/>
        <v>1w</v>
      </c>
      <c r="Y2755" s="181">
        <f>_xll.qlCalendarAdvance(Calendar,Y2754,X2755,"f",FALSE)</f>
        <v>58264</v>
      </c>
      <c r="Z2755" s="184">
        <f>_xll.qlCalendarAdvance(Calendar,Y2755,NDays&amp;"D")</f>
        <v>58264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49"/>
        <v>1w</v>
      </c>
      <c r="Y2756" s="181">
        <f>_xll.qlCalendarAdvance(Calendar,Y2755,X2756,"f",FALSE)</f>
        <v>58271</v>
      </c>
      <c r="Z2756" s="184">
        <f>_xll.qlCalendarAdvance(Calendar,Y2756,NDays&amp;"D")</f>
        <v>58271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49"/>
        <v>1w</v>
      </c>
      <c r="Y2757" s="181">
        <f>_xll.qlCalendarAdvance(Calendar,Y2756,X2757,"f",FALSE)</f>
        <v>58278</v>
      </c>
      <c r="Z2757" s="184">
        <f>_xll.qlCalendarAdvance(Calendar,Y2757,NDays&amp;"D")</f>
        <v>58278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49"/>
        <v>1w</v>
      </c>
      <c r="Y2758" s="181">
        <f>_xll.qlCalendarAdvance(Calendar,Y2757,X2758,"f",FALSE)</f>
        <v>58285</v>
      </c>
      <c r="Z2758" s="184">
        <f>_xll.qlCalendarAdvance(Calendar,Y2758,NDays&amp;"D")</f>
        <v>58285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49"/>
        <v>1w</v>
      </c>
      <c r="Y2759" s="181">
        <f>_xll.qlCalendarAdvance(Calendar,Y2758,X2759,"f",FALSE)</f>
        <v>58292</v>
      </c>
      <c r="Z2759" s="184">
        <f>_xll.qlCalendarAdvance(Calendar,Y2759,NDays&amp;"D")</f>
        <v>58292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49"/>
        <v>1w</v>
      </c>
      <c r="Y2760" s="181">
        <f>_xll.qlCalendarAdvance(Calendar,Y2759,X2760,"f",FALSE)</f>
        <v>58299</v>
      </c>
      <c r="Z2760" s="184">
        <f>_xll.qlCalendarAdvance(Calendar,Y2760,NDays&amp;"D")</f>
        <v>58299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49"/>
        <v>1w</v>
      </c>
      <c r="Y2761" s="181">
        <f>_xll.qlCalendarAdvance(Calendar,Y2760,X2761,"f",FALSE)</f>
        <v>58306</v>
      </c>
      <c r="Z2761" s="184">
        <f>_xll.qlCalendarAdvance(Calendar,Y2761,NDays&amp;"D")</f>
        <v>58306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49"/>
        <v>1w</v>
      </c>
      <c r="Y2762" s="181">
        <f>_xll.qlCalendarAdvance(Calendar,Y2761,X2762,"f",FALSE)</f>
        <v>58313</v>
      </c>
      <c r="Z2762" s="184">
        <f>_xll.qlCalendarAdvance(Calendar,Y2762,NDays&amp;"D")</f>
        <v>58313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49"/>
        <v>1w</v>
      </c>
      <c r="Y2763" s="181">
        <f>_xll.qlCalendarAdvance(Calendar,Y2762,X2763,"f",FALSE)</f>
        <v>58320</v>
      </c>
      <c r="Z2763" s="184">
        <f>_xll.qlCalendarAdvance(Calendar,Y2763,NDays&amp;"D")</f>
        <v>58320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49"/>
        <v>1w</v>
      </c>
      <c r="Y2764" s="181">
        <f>_xll.qlCalendarAdvance(Calendar,Y2763,X2764,"f",FALSE)</f>
        <v>58327</v>
      </c>
      <c r="Z2764" s="184">
        <f>_xll.qlCalendarAdvance(Calendar,Y2764,NDays&amp;"D")</f>
        <v>58327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49"/>
        <v>1w</v>
      </c>
      <c r="Y2765" s="181">
        <f>_xll.qlCalendarAdvance(Calendar,Y2764,X2765,"f",FALSE)</f>
        <v>58334</v>
      </c>
      <c r="Z2765" s="184">
        <f>_xll.qlCalendarAdvance(Calendar,Y2765,NDays&amp;"D")</f>
        <v>58334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49"/>
        <v>1w</v>
      </c>
      <c r="Y2766" s="181">
        <f>_xll.qlCalendarAdvance(Calendar,Y2765,X2766,"f",FALSE)</f>
        <v>58341</v>
      </c>
      <c r="Z2766" s="184">
        <f>_xll.qlCalendarAdvance(Calendar,Y2766,NDays&amp;"D")</f>
        <v>58341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49"/>
        <v>1w</v>
      </c>
      <c r="Y2767" s="181">
        <f>_xll.qlCalendarAdvance(Calendar,Y2766,X2767,"f",FALSE)</f>
        <v>58348</v>
      </c>
      <c r="Z2767" s="184">
        <f>_xll.qlCalendarAdvance(Calendar,Y2767,NDays&amp;"D")</f>
        <v>58348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49"/>
        <v>1w</v>
      </c>
      <c r="Y2768" s="181">
        <f>_xll.qlCalendarAdvance(Calendar,Y2767,X2768,"f",FALSE)</f>
        <v>58355</v>
      </c>
      <c r="Z2768" s="184">
        <f>_xll.qlCalendarAdvance(Calendar,Y2768,NDays&amp;"D")</f>
        <v>58355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49"/>
        <v>1w</v>
      </c>
      <c r="Y2769" s="181">
        <f>_xll.qlCalendarAdvance(Calendar,Y2768,X2769,"f",FALSE)</f>
        <v>58362</v>
      </c>
      <c r="Z2769" s="184">
        <f>_xll.qlCalendarAdvance(Calendar,Y2769,NDays&amp;"D")</f>
        <v>58362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49"/>
        <v>1w</v>
      </c>
      <c r="Y2770" s="181">
        <f>_xll.qlCalendarAdvance(Calendar,Y2769,X2770,"f",FALSE)</f>
        <v>58369</v>
      </c>
      <c r="Z2770" s="184">
        <f>_xll.qlCalendarAdvance(Calendar,Y2770,NDays&amp;"D")</f>
        <v>58369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49"/>
        <v>1w</v>
      </c>
      <c r="Y2771" s="181">
        <f>_xll.qlCalendarAdvance(Calendar,Y2770,X2771,"f",FALSE)</f>
        <v>58376</v>
      </c>
      <c r="Z2771" s="184">
        <f>_xll.qlCalendarAdvance(Calendar,Y2771,NDays&amp;"D")</f>
        <v>58376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49"/>
        <v>1w</v>
      </c>
      <c r="Y2772" s="181">
        <f>_xll.qlCalendarAdvance(Calendar,Y2771,X2772,"f",FALSE)</f>
        <v>58383</v>
      </c>
      <c r="Z2772" s="184">
        <f>_xll.qlCalendarAdvance(Calendar,Y2772,NDays&amp;"D")</f>
        <v>58383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0">X2772</f>
        <v>1w</v>
      </c>
      <c r="Y2773" s="181">
        <f>_xll.qlCalendarAdvance(Calendar,Y2772,X2773,"f",FALSE)</f>
        <v>58390</v>
      </c>
      <c r="Z2773" s="184">
        <f>_xll.qlCalendarAdvance(Calendar,Y2773,NDays&amp;"D")</f>
        <v>58390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0"/>
        <v>1w</v>
      </c>
      <c r="Y2774" s="181">
        <f>_xll.qlCalendarAdvance(Calendar,Y2773,X2774,"f",FALSE)</f>
        <v>58397</v>
      </c>
      <c r="Z2774" s="184">
        <f>_xll.qlCalendarAdvance(Calendar,Y2774,NDays&amp;"D")</f>
        <v>58397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0"/>
        <v>1w</v>
      </c>
      <c r="Y2775" s="181">
        <f>_xll.qlCalendarAdvance(Calendar,Y2774,X2775,"f",FALSE)</f>
        <v>58404</v>
      </c>
      <c r="Z2775" s="184">
        <f>_xll.qlCalendarAdvance(Calendar,Y2775,NDays&amp;"D")</f>
        <v>58404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0"/>
        <v>1w</v>
      </c>
      <c r="Y2776" s="181">
        <f>_xll.qlCalendarAdvance(Calendar,Y2775,X2776,"f",FALSE)</f>
        <v>58411</v>
      </c>
      <c r="Z2776" s="184">
        <f>_xll.qlCalendarAdvance(Calendar,Y2776,NDays&amp;"D")</f>
        <v>58411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0"/>
        <v>1w</v>
      </c>
      <c r="Y2777" s="181">
        <f>_xll.qlCalendarAdvance(Calendar,Y2776,X2777,"f",FALSE)</f>
        <v>58418</v>
      </c>
      <c r="Z2777" s="184">
        <f>_xll.qlCalendarAdvance(Calendar,Y2777,NDays&amp;"D")</f>
        <v>58418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0"/>
        <v>1w</v>
      </c>
      <c r="Y2778" s="181">
        <f>_xll.qlCalendarAdvance(Calendar,Y2777,X2778,"f",FALSE)</f>
        <v>58425</v>
      </c>
      <c r="Z2778" s="184">
        <f>_xll.qlCalendarAdvance(Calendar,Y2778,NDays&amp;"D")</f>
        <v>58425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0"/>
        <v>1w</v>
      </c>
      <c r="Y2779" s="181">
        <f>_xll.qlCalendarAdvance(Calendar,Y2778,X2779,"f",FALSE)</f>
        <v>58432</v>
      </c>
      <c r="Z2779" s="184">
        <f>_xll.qlCalendarAdvance(Calendar,Y2779,NDays&amp;"D")</f>
        <v>58432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0"/>
        <v>1w</v>
      </c>
      <c r="Y2780" s="181">
        <f>_xll.qlCalendarAdvance(Calendar,Y2779,X2780,"f",FALSE)</f>
        <v>58439</v>
      </c>
      <c r="Z2780" s="184">
        <f>_xll.qlCalendarAdvance(Calendar,Y2780,NDays&amp;"D")</f>
        <v>58439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0"/>
        <v>1w</v>
      </c>
      <c r="Y2781" s="181">
        <f>_xll.qlCalendarAdvance(Calendar,Y2780,X2781,"f",FALSE)</f>
        <v>58446</v>
      </c>
      <c r="Z2781" s="184">
        <f>_xll.qlCalendarAdvance(Calendar,Y2781,NDays&amp;"D")</f>
        <v>58446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0"/>
        <v>1w</v>
      </c>
      <c r="Y2782" s="181">
        <f>_xll.qlCalendarAdvance(Calendar,Y2781,X2782,"f",FALSE)</f>
        <v>58453</v>
      </c>
      <c r="Z2782" s="184">
        <f>_xll.qlCalendarAdvance(Calendar,Y2782,NDays&amp;"D")</f>
        <v>58453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0"/>
        <v>1w</v>
      </c>
      <c r="Y2783" s="181">
        <f>_xll.qlCalendarAdvance(Calendar,Y2782,X2783,"f",FALSE)</f>
        <v>58460</v>
      </c>
      <c r="Z2783" s="184">
        <f>_xll.qlCalendarAdvance(Calendar,Y2783,NDays&amp;"D")</f>
        <v>58460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0"/>
        <v>1w</v>
      </c>
      <c r="Y2784" s="181">
        <f>_xll.qlCalendarAdvance(Calendar,Y2783,X2784,"f",FALSE)</f>
        <v>58467</v>
      </c>
      <c r="Z2784" s="184">
        <f>_xll.qlCalendarAdvance(Calendar,Y2784,NDays&amp;"D")</f>
        <v>58467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0"/>
        <v>1w</v>
      </c>
      <c r="Y2785" s="181">
        <f>_xll.qlCalendarAdvance(Calendar,Y2784,X2785,"f",FALSE)</f>
        <v>58474</v>
      </c>
      <c r="Z2785" s="184">
        <f>_xll.qlCalendarAdvance(Calendar,Y2785,NDays&amp;"D")</f>
        <v>58474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0"/>
        <v>1w</v>
      </c>
      <c r="Y2786" s="181">
        <f>_xll.qlCalendarAdvance(Calendar,Y2785,X2786,"f",FALSE)</f>
        <v>58481</v>
      </c>
      <c r="Z2786" s="184">
        <f>_xll.qlCalendarAdvance(Calendar,Y2786,NDays&amp;"D")</f>
        <v>58481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0"/>
        <v>1w</v>
      </c>
      <c r="Y2787" s="181">
        <f>_xll.qlCalendarAdvance(Calendar,Y2786,X2787,"f",FALSE)</f>
        <v>58488</v>
      </c>
      <c r="Z2787" s="184">
        <f>_xll.qlCalendarAdvance(Calendar,Y2787,NDays&amp;"D")</f>
        <v>58488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0"/>
        <v>1w</v>
      </c>
      <c r="Y2788" s="181">
        <f>_xll.qlCalendarAdvance(Calendar,Y2787,X2788,"f",FALSE)</f>
        <v>58495</v>
      </c>
      <c r="Z2788" s="184">
        <f>_xll.qlCalendarAdvance(Calendar,Y2788,NDays&amp;"D")</f>
        <v>58495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0"/>
        <v>1w</v>
      </c>
      <c r="Y2789" s="181">
        <f>_xll.qlCalendarAdvance(Calendar,Y2788,X2789,"f",FALSE)</f>
        <v>58502</v>
      </c>
      <c r="Z2789" s="184">
        <f>_xll.qlCalendarAdvance(Calendar,Y2789,NDays&amp;"D")</f>
        <v>58502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0"/>
        <v>1w</v>
      </c>
      <c r="Y2790" s="181">
        <f>_xll.qlCalendarAdvance(Calendar,Y2789,X2790,"f",FALSE)</f>
        <v>58509</v>
      </c>
      <c r="Z2790" s="184">
        <f>_xll.qlCalendarAdvance(Calendar,Y2790,NDays&amp;"D")</f>
        <v>58509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0"/>
        <v>1w</v>
      </c>
      <c r="Y2791" s="181">
        <f>_xll.qlCalendarAdvance(Calendar,Y2790,X2791,"f",FALSE)</f>
        <v>58516</v>
      </c>
      <c r="Z2791" s="184">
        <f>_xll.qlCalendarAdvance(Calendar,Y2791,NDays&amp;"D")</f>
        <v>58516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0"/>
        <v>1w</v>
      </c>
      <c r="Y2792" s="181">
        <f>_xll.qlCalendarAdvance(Calendar,Y2791,X2792,"f",FALSE)</f>
        <v>58523</v>
      </c>
      <c r="Z2792" s="184">
        <f>_xll.qlCalendarAdvance(Calendar,Y2792,NDays&amp;"D")</f>
        <v>58523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0"/>
        <v>1w</v>
      </c>
      <c r="Y2793" s="181">
        <f>_xll.qlCalendarAdvance(Calendar,Y2792,X2793,"f",FALSE)</f>
        <v>58530</v>
      </c>
      <c r="Z2793" s="184">
        <f>_xll.qlCalendarAdvance(Calendar,Y2793,NDays&amp;"D")</f>
        <v>58530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0"/>
        <v>1w</v>
      </c>
      <c r="Y2794" s="181">
        <f>_xll.qlCalendarAdvance(Calendar,Y2793,X2794,"f",FALSE)</f>
        <v>58537</v>
      </c>
      <c r="Z2794" s="184">
        <f>_xll.qlCalendarAdvance(Calendar,Y2794,NDays&amp;"D")</f>
        <v>58537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0"/>
        <v>1w</v>
      </c>
      <c r="Y2795" s="181">
        <f>_xll.qlCalendarAdvance(Calendar,Y2794,X2795,"f",FALSE)</f>
        <v>58544</v>
      </c>
      <c r="Z2795" s="184">
        <f>_xll.qlCalendarAdvance(Calendar,Y2795,NDays&amp;"D")</f>
        <v>58544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0"/>
        <v>1w</v>
      </c>
      <c r="Y2796" s="181">
        <f>_xll.qlCalendarAdvance(Calendar,Y2795,X2796,"f",FALSE)</f>
        <v>58551</v>
      </c>
      <c r="Z2796" s="184">
        <f>_xll.qlCalendarAdvance(Calendar,Y2796,NDays&amp;"D")</f>
        <v>58551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0"/>
        <v>1w</v>
      </c>
      <c r="Y2797" s="181">
        <f>_xll.qlCalendarAdvance(Calendar,Y2796,X2797,"f",FALSE)</f>
        <v>58558</v>
      </c>
      <c r="Z2797" s="184">
        <f>_xll.qlCalendarAdvance(Calendar,Y2797,NDays&amp;"D")</f>
        <v>58558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0"/>
        <v>1w</v>
      </c>
      <c r="Y2798" s="181">
        <f>_xll.qlCalendarAdvance(Calendar,Y2797,X2798,"f",FALSE)</f>
        <v>58565</v>
      </c>
      <c r="Z2798" s="184">
        <f>_xll.qlCalendarAdvance(Calendar,Y2798,NDays&amp;"D")</f>
        <v>58565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0"/>
        <v>1w</v>
      </c>
      <c r="Y2799" s="181">
        <f>_xll.qlCalendarAdvance(Calendar,Y2798,X2799,"f",FALSE)</f>
        <v>58572</v>
      </c>
      <c r="Z2799" s="184">
        <f>_xll.qlCalendarAdvance(Calendar,Y2799,NDays&amp;"D")</f>
        <v>58572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0"/>
        <v>1w</v>
      </c>
      <c r="Y2800" s="181">
        <f>_xll.qlCalendarAdvance(Calendar,Y2799,X2800,"f",FALSE)</f>
        <v>58579</v>
      </c>
      <c r="Z2800" s="184">
        <f>_xll.qlCalendarAdvance(Calendar,Y2800,NDays&amp;"D")</f>
        <v>58579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0"/>
        <v>1w</v>
      </c>
      <c r="Y2801" s="181">
        <f>_xll.qlCalendarAdvance(Calendar,Y2800,X2801,"f",FALSE)</f>
        <v>58586</v>
      </c>
      <c r="Z2801" s="184">
        <f>_xll.qlCalendarAdvance(Calendar,Y2801,NDays&amp;"D")</f>
        <v>58586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0"/>
        <v>1w</v>
      </c>
      <c r="Y2802" s="181">
        <f>_xll.qlCalendarAdvance(Calendar,Y2801,X2802,"f",FALSE)</f>
        <v>58593</v>
      </c>
      <c r="Z2802" s="184">
        <f>_xll.qlCalendarAdvance(Calendar,Y2802,NDays&amp;"D")</f>
        <v>58593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0"/>
        <v>1w</v>
      </c>
      <c r="Y2803" s="181">
        <f>_xll.qlCalendarAdvance(Calendar,Y2802,X2803,"f",FALSE)</f>
        <v>58600</v>
      </c>
      <c r="Z2803" s="184">
        <f>_xll.qlCalendarAdvance(Calendar,Y2803,NDays&amp;"D")</f>
        <v>58600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0"/>
        <v>1w</v>
      </c>
      <c r="Y2804" s="181">
        <f>_xll.qlCalendarAdvance(Calendar,Y2803,X2804,"f",FALSE)</f>
        <v>58607</v>
      </c>
      <c r="Z2804" s="184">
        <f>_xll.qlCalendarAdvance(Calendar,Y2804,NDays&amp;"D")</f>
        <v>58607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0"/>
        <v>1w</v>
      </c>
      <c r="Y2805" s="181">
        <f>_xll.qlCalendarAdvance(Calendar,Y2804,X2805,"f",FALSE)</f>
        <v>58614</v>
      </c>
      <c r="Z2805" s="184">
        <f>_xll.qlCalendarAdvance(Calendar,Y2805,NDays&amp;"D")</f>
        <v>58614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0"/>
        <v>1w</v>
      </c>
      <c r="Y2806" s="181">
        <f>_xll.qlCalendarAdvance(Calendar,Y2805,X2806,"f",FALSE)</f>
        <v>58621</v>
      </c>
      <c r="Z2806" s="184">
        <f>_xll.qlCalendarAdvance(Calendar,Y2806,NDays&amp;"D")</f>
        <v>58621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0"/>
        <v>1w</v>
      </c>
      <c r="Y2807" s="181">
        <f>_xll.qlCalendarAdvance(Calendar,Y2806,X2807,"f",FALSE)</f>
        <v>58628</v>
      </c>
      <c r="Z2807" s="184">
        <f>_xll.qlCalendarAdvance(Calendar,Y2807,NDays&amp;"D")</f>
        <v>58628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0"/>
        <v>1w</v>
      </c>
      <c r="Y2808" s="181">
        <f>_xll.qlCalendarAdvance(Calendar,Y2807,X2808,"f",FALSE)</f>
        <v>58635</v>
      </c>
      <c r="Z2808" s="184">
        <f>_xll.qlCalendarAdvance(Calendar,Y2808,NDays&amp;"D")</f>
        <v>58635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0"/>
        <v>1w</v>
      </c>
      <c r="Y2809" s="181">
        <f>_xll.qlCalendarAdvance(Calendar,Y2808,X2809,"f",FALSE)</f>
        <v>58642</v>
      </c>
      <c r="Z2809" s="184">
        <f>_xll.qlCalendarAdvance(Calendar,Y2809,NDays&amp;"D")</f>
        <v>58642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0"/>
        <v>1w</v>
      </c>
      <c r="Y2810" s="181">
        <f>_xll.qlCalendarAdvance(Calendar,Y2809,X2810,"f",FALSE)</f>
        <v>58649</v>
      </c>
      <c r="Z2810" s="184">
        <f>_xll.qlCalendarAdvance(Calendar,Y2810,NDays&amp;"D")</f>
        <v>58649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0"/>
        <v>1w</v>
      </c>
      <c r="Y2811" s="181">
        <f>_xll.qlCalendarAdvance(Calendar,Y2810,X2811,"f",FALSE)</f>
        <v>58656</v>
      </c>
      <c r="Z2811" s="184">
        <f>_xll.qlCalendarAdvance(Calendar,Y2811,NDays&amp;"D")</f>
        <v>58656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0"/>
        <v>1w</v>
      </c>
      <c r="Y2812" s="181">
        <f>_xll.qlCalendarAdvance(Calendar,Y2811,X2812,"f",FALSE)</f>
        <v>58663</v>
      </c>
      <c r="Z2812" s="184">
        <f>_xll.qlCalendarAdvance(Calendar,Y2812,NDays&amp;"D")</f>
        <v>58663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0"/>
        <v>1w</v>
      </c>
      <c r="Y2813" s="181">
        <f>_xll.qlCalendarAdvance(Calendar,Y2812,X2813,"f",FALSE)</f>
        <v>58670</v>
      </c>
      <c r="Z2813" s="184">
        <f>_xll.qlCalendarAdvance(Calendar,Y2813,NDays&amp;"D")</f>
        <v>58670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0"/>
        <v>1w</v>
      </c>
      <c r="Y2814" s="181">
        <f>_xll.qlCalendarAdvance(Calendar,Y2813,X2814,"f",FALSE)</f>
        <v>58677</v>
      </c>
      <c r="Z2814" s="184">
        <f>_xll.qlCalendarAdvance(Calendar,Y2814,NDays&amp;"D")</f>
        <v>58677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0"/>
        <v>1w</v>
      </c>
      <c r="Y2815" s="181">
        <f>_xll.qlCalendarAdvance(Calendar,Y2814,X2815,"f",FALSE)</f>
        <v>58684</v>
      </c>
      <c r="Z2815" s="184">
        <f>_xll.qlCalendarAdvance(Calendar,Y2815,NDays&amp;"D")</f>
        <v>58684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0"/>
        <v>1w</v>
      </c>
      <c r="Y2816" s="181">
        <f>_xll.qlCalendarAdvance(Calendar,Y2815,X2816,"f",FALSE)</f>
        <v>58691</v>
      </c>
      <c r="Z2816" s="184">
        <f>_xll.qlCalendarAdvance(Calendar,Y2816,NDays&amp;"D")</f>
        <v>58691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0"/>
        <v>1w</v>
      </c>
      <c r="Y2817" s="181">
        <f>_xll.qlCalendarAdvance(Calendar,Y2816,X2817,"f",FALSE)</f>
        <v>58698</v>
      </c>
      <c r="Z2817" s="184">
        <f>_xll.qlCalendarAdvance(Calendar,Y2817,NDays&amp;"D")</f>
        <v>58698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0"/>
        <v>1w</v>
      </c>
      <c r="Y2818" s="181">
        <f>_xll.qlCalendarAdvance(Calendar,Y2817,X2818,"f",FALSE)</f>
        <v>58705</v>
      </c>
      <c r="Z2818" s="184">
        <f>_xll.qlCalendarAdvance(Calendar,Y2818,NDays&amp;"D")</f>
        <v>58705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0"/>
        <v>1w</v>
      </c>
      <c r="Y2819" s="181">
        <f>_xll.qlCalendarAdvance(Calendar,Y2818,X2819,"f",FALSE)</f>
        <v>58712</v>
      </c>
      <c r="Z2819" s="184">
        <f>_xll.qlCalendarAdvance(Calendar,Y2819,NDays&amp;"D")</f>
        <v>58712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0"/>
        <v>1w</v>
      </c>
      <c r="Y2820" s="181">
        <f>_xll.qlCalendarAdvance(Calendar,Y2819,X2820,"f",FALSE)</f>
        <v>58719</v>
      </c>
      <c r="Z2820" s="184">
        <f>_xll.qlCalendarAdvance(Calendar,Y2820,NDays&amp;"D")</f>
        <v>58719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0"/>
        <v>1w</v>
      </c>
      <c r="Y2821" s="181">
        <f>_xll.qlCalendarAdvance(Calendar,Y2820,X2821,"f",FALSE)</f>
        <v>58726</v>
      </c>
      <c r="Z2821" s="184">
        <f>_xll.qlCalendarAdvance(Calendar,Y2821,NDays&amp;"D")</f>
        <v>58726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0"/>
        <v>1w</v>
      </c>
      <c r="Y2822" s="181">
        <f>_xll.qlCalendarAdvance(Calendar,Y2821,X2822,"f",FALSE)</f>
        <v>58733</v>
      </c>
      <c r="Z2822" s="184">
        <f>_xll.qlCalendarAdvance(Calendar,Y2822,NDays&amp;"D")</f>
        <v>58733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0"/>
        <v>1w</v>
      </c>
      <c r="Y2823" s="181">
        <f>_xll.qlCalendarAdvance(Calendar,Y2822,X2823,"f",FALSE)</f>
        <v>58740</v>
      </c>
      <c r="Z2823" s="184">
        <f>_xll.qlCalendarAdvance(Calendar,Y2823,NDays&amp;"D")</f>
        <v>58740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0"/>
        <v>1w</v>
      </c>
      <c r="Y2824" s="181">
        <f>_xll.qlCalendarAdvance(Calendar,Y2823,X2824,"f",FALSE)</f>
        <v>58747</v>
      </c>
      <c r="Z2824" s="184">
        <f>_xll.qlCalendarAdvance(Calendar,Y2824,NDays&amp;"D")</f>
        <v>58747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0"/>
        <v>1w</v>
      </c>
      <c r="Y2825" s="181">
        <f>_xll.qlCalendarAdvance(Calendar,Y2824,X2825,"f",FALSE)</f>
        <v>58754</v>
      </c>
      <c r="Z2825" s="184">
        <f>_xll.qlCalendarAdvance(Calendar,Y2825,NDays&amp;"D")</f>
        <v>58754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0"/>
        <v>1w</v>
      </c>
      <c r="Y2826" s="181">
        <f>_xll.qlCalendarAdvance(Calendar,Y2825,X2826,"f",FALSE)</f>
        <v>58761</v>
      </c>
      <c r="Z2826" s="184">
        <f>_xll.qlCalendarAdvance(Calendar,Y2826,NDays&amp;"D")</f>
        <v>58761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0"/>
        <v>1w</v>
      </c>
      <c r="Y2827" s="181">
        <f>_xll.qlCalendarAdvance(Calendar,Y2826,X2827,"f",FALSE)</f>
        <v>58768</v>
      </c>
      <c r="Z2827" s="184">
        <f>_xll.qlCalendarAdvance(Calendar,Y2827,NDays&amp;"D")</f>
        <v>58768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0"/>
        <v>1w</v>
      </c>
      <c r="Y2828" s="181">
        <f>_xll.qlCalendarAdvance(Calendar,Y2827,X2828,"f",FALSE)</f>
        <v>58775</v>
      </c>
      <c r="Z2828" s="184">
        <f>_xll.qlCalendarAdvance(Calendar,Y2828,NDays&amp;"D")</f>
        <v>58775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0"/>
        <v>1w</v>
      </c>
      <c r="Y2829" s="181">
        <f>_xll.qlCalendarAdvance(Calendar,Y2828,X2829,"f",FALSE)</f>
        <v>58782</v>
      </c>
      <c r="Z2829" s="184">
        <f>_xll.qlCalendarAdvance(Calendar,Y2829,NDays&amp;"D")</f>
        <v>58782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0"/>
        <v>1w</v>
      </c>
      <c r="Y2830" s="181">
        <f>_xll.qlCalendarAdvance(Calendar,Y2829,X2830,"f",FALSE)</f>
        <v>58789</v>
      </c>
      <c r="Z2830" s="184">
        <f>_xll.qlCalendarAdvance(Calendar,Y2830,NDays&amp;"D")</f>
        <v>58789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0"/>
        <v>1w</v>
      </c>
      <c r="Y2831" s="181">
        <f>_xll.qlCalendarAdvance(Calendar,Y2830,X2831,"f",FALSE)</f>
        <v>58796</v>
      </c>
      <c r="Z2831" s="184">
        <f>_xll.qlCalendarAdvance(Calendar,Y2831,NDays&amp;"D")</f>
        <v>58796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0"/>
        <v>1w</v>
      </c>
      <c r="Y2832" s="181">
        <f>_xll.qlCalendarAdvance(Calendar,Y2831,X2832,"f",FALSE)</f>
        <v>58804</v>
      </c>
      <c r="Z2832" s="184">
        <f>_xll.qlCalendarAdvance(Calendar,Y2832,NDays&amp;"D")</f>
        <v>58804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0"/>
        <v>1w</v>
      </c>
      <c r="Y2833" s="181">
        <f>_xll.qlCalendarAdvance(Calendar,Y2832,X2833,"f",FALSE)</f>
        <v>58811</v>
      </c>
      <c r="Z2833" s="184">
        <f>_xll.qlCalendarAdvance(Calendar,Y2833,NDays&amp;"D")</f>
        <v>58811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0"/>
        <v>1w</v>
      </c>
      <c r="Y2834" s="181">
        <f>_xll.qlCalendarAdvance(Calendar,Y2833,X2834,"f",FALSE)</f>
        <v>58818</v>
      </c>
      <c r="Z2834" s="184">
        <f>_xll.qlCalendarAdvance(Calendar,Y2834,NDays&amp;"D")</f>
        <v>58818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0"/>
        <v>1w</v>
      </c>
      <c r="Y2835" s="181">
        <f>_xll.qlCalendarAdvance(Calendar,Y2834,X2835,"f",FALSE)</f>
        <v>58825</v>
      </c>
      <c r="Z2835" s="184">
        <f>_xll.qlCalendarAdvance(Calendar,Y2835,NDays&amp;"D")</f>
        <v>58825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0"/>
        <v>1w</v>
      </c>
      <c r="Y2836" s="181">
        <f>_xll.qlCalendarAdvance(Calendar,Y2835,X2836,"f",FALSE)</f>
        <v>58833</v>
      </c>
      <c r="Z2836" s="184">
        <f>_xll.qlCalendarAdvance(Calendar,Y2836,NDays&amp;"D")</f>
        <v>58833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1">X2836</f>
        <v>1w</v>
      </c>
      <c r="Y2837" s="181">
        <f>_xll.qlCalendarAdvance(Calendar,Y2836,X2837,"f",FALSE)</f>
        <v>58840</v>
      </c>
      <c r="Z2837" s="184">
        <f>_xll.qlCalendarAdvance(Calendar,Y2837,NDays&amp;"D")</f>
        <v>58840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1"/>
        <v>1w</v>
      </c>
      <c r="Y2838" s="181">
        <f>_xll.qlCalendarAdvance(Calendar,Y2837,X2838,"f",FALSE)</f>
        <v>58847</v>
      </c>
      <c r="Z2838" s="184">
        <f>_xll.qlCalendarAdvance(Calendar,Y2838,NDays&amp;"D")</f>
        <v>58847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1"/>
        <v>1w</v>
      </c>
      <c r="Y2839" s="181">
        <f>_xll.qlCalendarAdvance(Calendar,Y2838,X2839,"f",FALSE)</f>
        <v>58854</v>
      </c>
      <c r="Z2839" s="184">
        <f>_xll.qlCalendarAdvance(Calendar,Y2839,NDays&amp;"D")</f>
        <v>58854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1"/>
        <v>1w</v>
      </c>
      <c r="Y2840" s="181">
        <f>_xll.qlCalendarAdvance(Calendar,Y2839,X2840,"f",FALSE)</f>
        <v>58861</v>
      </c>
      <c r="Z2840" s="184">
        <f>_xll.qlCalendarAdvance(Calendar,Y2840,NDays&amp;"D")</f>
        <v>58861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1"/>
        <v>1w</v>
      </c>
      <c r="Y2841" s="181">
        <f>_xll.qlCalendarAdvance(Calendar,Y2840,X2841,"f",FALSE)</f>
        <v>58868</v>
      </c>
      <c r="Z2841" s="184">
        <f>_xll.qlCalendarAdvance(Calendar,Y2841,NDays&amp;"D")</f>
        <v>58868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1"/>
        <v>1w</v>
      </c>
      <c r="Y2842" s="181">
        <f>_xll.qlCalendarAdvance(Calendar,Y2841,X2842,"f",FALSE)</f>
        <v>58875</v>
      </c>
      <c r="Z2842" s="184">
        <f>_xll.qlCalendarAdvance(Calendar,Y2842,NDays&amp;"D")</f>
        <v>58875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1"/>
        <v>1w</v>
      </c>
      <c r="Y2843" s="181">
        <f>_xll.qlCalendarAdvance(Calendar,Y2842,X2843,"f",FALSE)</f>
        <v>58882</v>
      </c>
      <c r="Z2843" s="184">
        <f>_xll.qlCalendarAdvance(Calendar,Y2843,NDays&amp;"D")</f>
        <v>58882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1"/>
        <v>1w</v>
      </c>
      <c r="Y2844" s="181">
        <f>_xll.qlCalendarAdvance(Calendar,Y2843,X2844,"f",FALSE)</f>
        <v>58889</v>
      </c>
      <c r="Z2844" s="184">
        <f>_xll.qlCalendarAdvance(Calendar,Y2844,NDays&amp;"D")</f>
        <v>58889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1"/>
        <v>1w</v>
      </c>
      <c r="Y2845" s="181">
        <f>_xll.qlCalendarAdvance(Calendar,Y2844,X2845,"f",FALSE)</f>
        <v>58896</v>
      </c>
      <c r="Z2845" s="184">
        <f>_xll.qlCalendarAdvance(Calendar,Y2845,NDays&amp;"D")</f>
        <v>58896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1"/>
        <v>1w</v>
      </c>
      <c r="Y2846" s="181">
        <f>_xll.qlCalendarAdvance(Calendar,Y2845,X2846,"f",FALSE)</f>
        <v>58903</v>
      </c>
      <c r="Z2846" s="184">
        <f>_xll.qlCalendarAdvance(Calendar,Y2846,NDays&amp;"D")</f>
        <v>58903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1"/>
        <v>1w</v>
      </c>
      <c r="Y2847" s="181">
        <f>_xll.qlCalendarAdvance(Calendar,Y2846,X2847,"f",FALSE)</f>
        <v>58910</v>
      </c>
      <c r="Z2847" s="184">
        <f>_xll.qlCalendarAdvance(Calendar,Y2847,NDays&amp;"D")</f>
        <v>58910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1"/>
        <v>1w</v>
      </c>
      <c r="Y2848" s="181">
        <f>_xll.qlCalendarAdvance(Calendar,Y2847,X2848,"f",FALSE)</f>
        <v>58917</v>
      </c>
      <c r="Z2848" s="184">
        <f>_xll.qlCalendarAdvance(Calendar,Y2848,NDays&amp;"D")</f>
        <v>58917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1"/>
        <v>1w</v>
      </c>
      <c r="Y2849" s="181">
        <f>_xll.qlCalendarAdvance(Calendar,Y2848,X2849,"f",FALSE)</f>
        <v>58924</v>
      </c>
      <c r="Z2849" s="184">
        <f>_xll.qlCalendarAdvance(Calendar,Y2849,NDays&amp;"D")</f>
        <v>58924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1"/>
        <v>1w</v>
      </c>
      <c r="Y2850" s="181">
        <f>_xll.qlCalendarAdvance(Calendar,Y2849,X2850,"f",FALSE)</f>
        <v>58931</v>
      </c>
      <c r="Z2850" s="184">
        <f>_xll.qlCalendarAdvance(Calendar,Y2850,NDays&amp;"D")</f>
        <v>58931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1"/>
        <v>1w</v>
      </c>
      <c r="Y2851" s="181">
        <f>_xll.qlCalendarAdvance(Calendar,Y2850,X2851,"f",FALSE)</f>
        <v>58938</v>
      </c>
      <c r="Z2851" s="184">
        <f>_xll.qlCalendarAdvance(Calendar,Y2851,NDays&amp;"D")</f>
        <v>58938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1"/>
        <v>1w</v>
      </c>
      <c r="Y2852" s="181">
        <f>_xll.qlCalendarAdvance(Calendar,Y2851,X2852,"f",FALSE)</f>
        <v>58945</v>
      </c>
      <c r="Z2852" s="184">
        <f>_xll.qlCalendarAdvance(Calendar,Y2852,NDays&amp;"D")</f>
        <v>58945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1"/>
        <v>1w</v>
      </c>
      <c r="Y2853" s="181">
        <f>_xll.qlCalendarAdvance(Calendar,Y2852,X2853,"f",FALSE)</f>
        <v>58952</v>
      </c>
      <c r="Z2853" s="184">
        <f>_xll.qlCalendarAdvance(Calendar,Y2853,NDays&amp;"D")</f>
        <v>58952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1"/>
        <v>1w</v>
      </c>
      <c r="Y2854" s="181">
        <f>_xll.qlCalendarAdvance(Calendar,Y2853,X2854,"f",FALSE)</f>
        <v>58959</v>
      </c>
      <c r="Z2854" s="184">
        <f>_xll.qlCalendarAdvance(Calendar,Y2854,NDays&amp;"D")</f>
        <v>58959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1"/>
        <v>1w</v>
      </c>
      <c r="Y2855" s="181">
        <f>_xll.qlCalendarAdvance(Calendar,Y2854,X2855,"f",FALSE)</f>
        <v>58966</v>
      </c>
      <c r="Z2855" s="184">
        <f>_xll.qlCalendarAdvance(Calendar,Y2855,NDays&amp;"D")</f>
        <v>58966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1"/>
        <v>1w</v>
      </c>
      <c r="Y2856" s="181">
        <f>_xll.qlCalendarAdvance(Calendar,Y2855,X2856,"f",FALSE)</f>
        <v>58973</v>
      </c>
      <c r="Z2856" s="184">
        <f>_xll.qlCalendarAdvance(Calendar,Y2856,NDays&amp;"D")</f>
        <v>58973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1"/>
        <v>1w</v>
      </c>
      <c r="Y2857" s="181">
        <f>_xll.qlCalendarAdvance(Calendar,Y2856,X2857,"f",FALSE)</f>
        <v>58980</v>
      </c>
      <c r="Z2857" s="184">
        <f>_xll.qlCalendarAdvance(Calendar,Y2857,NDays&amp;"D")</f>
        <v>58980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1"/>
        <v>1w</v>
      </c>
      <c r="Y2858" s="181">
        <f>_xll.qlCalendarAdvance(Calendar,Y2857,X2858,"f",FALSE)</f>
        <v>58987</v>
      </c>
      <c r="Z2858" s="184">
        <f>_xll.qlCalendarAdvance(Calendar,Y2858,NDays&amp;"D")</f>
        <v>58987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1"/>
        <v>1w</v>
      </c>
      <c r="Y2859" s="181">
        <f>_xll.qlCalendarAdvance(Calendar,Y2858,X2859,"f",FALSE)</f>
        <v>58994</v>
      </c>
      <c r="Z2859" s="184">
        <f>_xll.qlCalendarAdvance(Calendar,Y2859,NDays&amp;"D")</f>
        <v>58994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1"/>
        <v>1w</v>
      </c>
      <c r="Y2860" s="181">
        <f>_xll.qlCalendarAdvance(Calendar,Y2859,X2860,"f",FALSE)</f>
        <v>59001</v>
      </c>
      <c r="Z2860" s="184">
        <f>_xll.qlCalendarAdvance(Calendar,Y2860,NDays&amp;"D")</f>
        <v>59001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1"/>
        <v>1w</v>
      </c>
      <c r="Y2861" s="181">
        <f>_xll.qlCalendarAdvance(Calendar,Y2860,X2861,"f",FALSE)</f>
        <v>59008</v>
      </c>
      <c r="Z2861" s="184">
        <f>_xll.qlCalendarAdvance(Calendar,Y2861,NDays&amp;"D")</f>
        <v>59008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1"/>
        <v>1w</v>
      </c>
      <c r="Y2862" s="181">
        <f>_xll.qlCalendarAdvance(Calendar,Y2861,X2862,"f",FALSE)</f>
        <v>59015</v>
      </c>
      <c r="Z2862" s="184">
        <f>_xll.qlCalendarAdvance(Calendar,Y2862,NDays&amp;"D")</f>
        <v>59015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1"/>
        <v>1w</v>
      </c>
      <c r="Y2863" s="181">
        <f>_xll.qlCalendarAdvance(Calendar,Y2862,X2863,"f",FALSE)</f>
        <v>59022</v>
      </c>
      <c r="Z2863" s="184">
        <f>_xll.qlCalendarAdvance(Calendar,Y2863,NDays&amp;"D")</f>
        <v>59022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1"/>
        <v>1w</v>
      </c>
      <c r="Y2864" s="181">
        <f>_xll.qlCalendarAdvance(Calendar,Y2863,X2864,"f",FALSE)</f>
        <v>59029</v>
      </c>
      <c r="Z2864" s="184">
        <f>_xll.qlCalendarAdvance(Calendar,Y2864,NDays&amp;"D")</f>
        <v>59029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1"/>
        <v>1w</v>
      </c>
      <c r="Y2865" s="181">
        <f>_xll.qlCalendarAdvance(Calendar,Y2864,X2865,"f",FALSE)</f>
        <v>59036</v>
      </c>
      <c r="Z2865" s="184">
        <f>_xll.qlCalendarAdvance(Calendar,Y2865,NDays&amp;"D")</f>
        <v>59036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1"/>
        <v>1w</v>
      </c>
      <c r="Y2866" s="181">
        <f>_xll.qlCalendarAdvance(Calendar,Y2865,X2866,"f",FALSE)</f>
        <v>59043</v>
      </c>
      <c r="Z2866" s="184">
        <f>_xll.qlCalendarAdvance(Calendar,Y2866,NDays&amp;"D")</f>
        <v>59043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1"/>
        <v>1w</v>
      </c>
      <c r="Y2867" s="181">
        <f>_xll.qlCalendarAdvance(Calendar,Y2866,X2867,"f",FALSE)</f>
        <v>59050</v>
      </c>
      <c r="Z2867" s="184">
        <f>_xll.qlCalendarAdvance(Calendar,Y2867,NDays&amp;"D")</f>
        <v>59050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1"/>
        <v>1w</v>
      </c>
      <c r="Y2868" s="181">
        <f>_xll.qlCalendarAdvance(Calendar,Y2867,X2868,"f",FALSE)</f>
        <v>59057</v>
      </c>
      <c r="Z2868" s="184">
        <f>_xll.qlCalendarAdvance(Calendar,Y2868,NDays&amp;"D")</f>
        <v>59057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1"/>
        <v>1w</v>
      </c>
      <c r="Y2869" s="181">
        <f>_xll.qlCalendarAdvance(Calendar,Y2868,X2869,"f",FALSE)</f>
        <v>59064</v>
      </c>
      <c r="Z2869" s="184">
        <f>_xll.qlCalendarAdvance(Calendar,Y2869,NDays&amp;"D")</f>
        <v>59064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1"/>
        <v>1w</v>
      </c>
      <c r="Y2870" s="181">
        <f>_xll.qlCalendarAdvance(Calendar,Y2869,X2870,"f",FALSE)</f>
        <v>59071</v>
      </c>
      <c r="Z2870" s="184">
        <f>_xll.qlCalendarAdvance(Calendar,Y2870,NDays&amp;"D")</f>
        <v>59071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1"/>
        <v>1w</v>
      </c>
      <c r="Y2871" s="181">
        <f>_xll.qlCalendarAdvance(Calendar,Y2870,X2871,"f",FALSE)</f>
        <v>59078</v>
      </c>
      <c r="Z2871" s="184">
        <f>_xll.qlCalendarAdvance(Calendar,Y2871,NDays&amp;"D")</f>
        <v>59078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1"/>
        <v>1w</v>
      </c>
      <c r="Y2872" s="181">
        <f>_xll.qlCalendarAdvance(Calendar,Y2871,X2872,"f",FALSE)</f>
        <v>59085</v>
      </c>
      <c r="Z2872" s="184">
        <f>_xll.qlCalendarAdvance(Calendar,Y2872,NDays&amp;"D")</f>
        <v>59085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1"/>
        <v>1w</v>
      </c>
      <c r="Y2873" s="181">
        <f>_xll.qlCalendarAdvance(Calendar,Y2872,X2873,"f",FALSE)</f>
        <v>59092</v>
      </c>
      <c r="Z2873" s="184">
        <f>_xll.qlCalendarAdvance(Calendar,Y2873,NDays&amp;"D")</f>
        <v>59092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1"/>
        <v>1w</v>
      </c>
      <c r="Y2874" s="181">
        <f>_xll.qlCalendarAdvance(Calendar,Y2873,X2874,"f",FALSE)</f>
        <v>59099</v>
      </c>
      <c r="Z2874" s="184">
        <f>_xll.qlCalendarAdvance(Calendar,Y2874,NDays&amp;"D")</f>
        <v>59099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1"/>
        <v>1w</v>
      </c>
      <c r="Y2875" s="181">
        <f>_xll.qlCalendarAdvance(Calendar,Y2874,X2875,"f",FALSE)</f>
        <v>59106</v>
      </c>
      <c r="Z2875" s="184">
        <f>_xll.qlCalendarAdvance(Calendar,Y2875,NDays&amp;"D")</f>
        <v>59106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1"/>
        <v>1w</v>
      </c>
      <c r="Y2876" s="181">
        <f>_xll.qlCalendarAdvance(Calendar,Y2875,X2876,"f",FALSE)</f>
        <v>59113</v>
      </c>
      <c r="Z2876" s="184">
        <f>_xll.qlCalendarAdvance(Calendar,Y2876,NDays&amp;"D")</f>
        <v>59113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1"/>
        <v>1w</v>
      </c>
      <c r="Y2877" s="181">
        <f>_xll.qlCalendarAdvance(Calendar,Y2876,X2877,"f",FALSE)</f>
        <v>59120</v>
      </c>
      <c r="Z2877" s="184">
        <f>_xll.qlCalendarAdvance(Calendar,Y2877,NDays&amp;"D")</f>
        <v>59120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1"/>
        <v>1w</v>
      </c>
      <c r="Y2878" s="181">
        <f>_xll.qlCalendarAdvance(Calendar,Y2877,X2878,"f",FALSE)</f>
        <v>59127</v>
      </c>
      <c r="Z2878" s="184">
        <f>_xll.qlCalendarAdvance(Calendar,Y2878,NDays&amp;"D")</f>
        <v>59127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1"/>
        <v>1w</v>
      </c>
      <c r="Y2879" s="181">
        <f>_xll.qlCalendarAdvance(Calendar,Y2878,X2879,"f",FALSE)</f>
        <v>59134</v>
      </c>
      <c r="Z2879" s="184">
        <f>_xll.qlCalendarAdvance(Calendar,Y2879,NDays&amp;"D")</f>
        <v>59134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1"/>
        <v>1w</v>
      </c>
      <c r="Y2880" s="181">
        <f>_xll.qlCalendarAdvance(Calendar,Y2879,X2880,"f",FALSE)</f>
        <v>59141</v>
      </c>
      <c r="Z2880" s="184">
        <f>_xll.qlCalendarAdvance(Calendar,Y2880,NDays&amp;"D")</f>
        <v>59141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1"/>
        <v>1w</v>
      </c>
      <c r="Y2881" s="181">
        <f>_xll.qlCalendarAdvance(Calendar,Y2880,X2881,"f",FALSE)</f>
        <v>59148</v>
      </c>
      <c r="Z2881" s="184">
        <f>_xll.qlCalendarAdvance(Calendar,Y2881,NDays&amp;"D")</f>
        <v>59148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1"/>
        <v>1w</v>
      </c>
      <c r="Y2882" s="181">
        <f>_xll.qlCalendarAdvance(Calendar,Y2881,X2882,"f",FALSE)</f>
        <v>59155</v>
      </c>
      <c r="Z2882" s="184">
        <f>_xll.qlCalendarAdvance(Calendar,Y2882,NDays&amp;"D")</f>
        <v>59155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1"/>
        <v>1w</v>
      </c>
      <c r="Y2883" s="181">
        <f>_xll.qlCalendarAdvance(Calendar,Y2882,X2883,"f",FALSE)</f>
        <v>59162</v>
      </c>
      <c r="Z2883" s="184">
        <f>_xll.qlCalendarAdvance(Calendar,Y2883,NDays&amp;"D")</f>
        <v>59162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1"/>
        <v>1w</v>
      </c>
      <c r="Y2884" s="181">
        <f>_xll.qlCalendarAdvance(Calendar,Y2883,X2884,"f",FALSE)</f>
        <v>59169</v>
      </c>
      <c r="Z2884" s="184">
        <f>_xll.qlCalendarAdvance(Calendar,Y2884,NDays&amp;"D")</f>
        <v>59169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1"/>
        <v>1w</v>
      </c>
      <c r="Y2885" s="181">
        <f>_xll.qlCalendarAdvance(Calendar,Y2884,X2885,"f",FALSE)</f>
        <v>59176</v>
      </c>
      <c r="Z2885" s="184">
        <f>_xll.qlCalendarAdvance(Calendar,Y2885,NDays&amp;"D")</f>
        <v>59176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1"/>
        <v>1w</v>
      </c>
      <c r="Y2886" s="181">
        <f>_xll.qlCalendarAdvance(Calendar,Y2885,X2886,"f",FALSE)</f>
        <v>59183</v>
      </c>
      <c r="Z2886" s="184">
        <f>_xll.qlCalendarAdvance(Calendar,Y2886,NDays&amp;"D")</f>
        <v>59183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1"/>
        <v>1w</v>
      </c>
      <c r="Y2887" s="181">
        <f>_xll.qlCalendarAdvance(Calendar,Y2886,X2887,"f",FALSE)</f>
        <v>59190</v>
      </c>
      <c r="Z2887" s="184">
        <f>_xll.qlCalendarAdvance(Calendar,Y2887,NDays&amp;"D")</f>
        <v>59190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1"/>
        <v>1w</v>
      </c>
      <c r="Y2888" s="181">
        <f>_xll.qlCalendarAdvance(Calendar,Y2887,X2888,"f",FALSE)</f>
        <v>59198</v>
      </c>
      <c r="Z2888" s="184">
        <f>_xll.qlCalendarAdvance(Calendar,Y2888,NDays&amp;"D")</f>
        <v>59198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1"/>
        <v>1w</v>
      </c>
      <c r="Y2889" s="181">
        <f>_xll.qlCalendarAdvance(Calendar,Y2888,X2889,"f",FALSE)</f>
        <v>59205</v>
      </c>
      <c r="Z2889" s="184">
        <f>_xll.qlCalendarAdvance(Calendar,Y2889,NDays&amp;"D")</f>
        <v>59205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1"/>
        <v>1w</v>
      </c>
      <c r="Y2890" s="181">
        <f>_xll.qlCalendarAdvance(Calendar,Y2889,X2890,"f",FALSE)</f>
        <v>59212</v>
      </c>
      <c r="Z2890" s="184">
        <f>_xll.qlCalendarAdvance(Calendar,Y2890,NDays&amp;"D")</f>
        <v>59212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1"/>
        <v>1w</v>
      </c>
      <c r="Y2891" s="181">
        <f>_xll.qlCalendarAdvance(Calendar,Y2890,X2891,"f",FALSE)</f>
        <v>59219</v>
      </c>
      <c r="Z2891" s="184">
        <f>_xll.qlCalendarAdvance(Calendar,Y2891,NDays&amp;"D")</f>
        <v>59219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1"/>
        <v>1w</v>
      </c>
      <c r="Y2892" s="181">
        <f>_xll.qlCalendarAdvance(Calendar,Y2891,X2892,"f",FALSE)</f>
        <v>59226</v>
      </c>
      <c r="Z2892" s="184">
        <f>_xll.qlCalendarAdvance(Calendar,Y2892,NDays&amp;"D")</f>
        <v>59226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1"/>
        <v>1w</v>
      </c>
      <c r="Y2893" s="181">
        <f>_xll.qlCalendarAdvance(Calendar,Y2892,X2893,"f",FALSE)</f>
        <v>59233</v>
      </c>
      <c r="Z2893" s="184">
        <f>_xll.qlCalendarAdvance(Calendar,Y2893,NDays&amp;"D")</f>
        <v>59233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1"/>
        <v>1w</v>
      </c>
      <c r="Y2894" s="181">
        <f>_xll.qlCalendarAdvance(Calendar,Y2893,X2894,"f",FALSE)</f>
        <v>59240</v>
      </c>
      <c r="Z2894" s="184">
        <f>_xll.qlCalendarAdvance(Calendar,Y2894,NDays&amp;"D")</f>
        <v>59240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1"/>
        <v>1w</v>
      </c>
      <c r="Y2895" s="181">
        <f>_xll.qlCalendarAdvance(Calendar,Y2894,X2895,"f",FALSE)</f>
        <v>59247</v>
      </c>
      <c r="Z2895" s="184">
        <f>_xll.qlCalendarAdvance(Calendar,Y2895,NDays&amp;"D")</f>
        <v>59247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1"/>
        <v>1w</v>
      </c>
      <c r="Y2896" s="181">
        <f>_xll.qlCalendarAdvance(Calendar,Y2895,X2896,"f",FALSE)</f>
        <v>59258</v>
      </c>
      <c r="Z2896" s="184">
        <f>_xll.qlCalendarAdvance(Calendar,Y2896,NDays&amp;"D")</f>
        <v>59258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1"/>
        <v>1w</v>
      </c>
      <c r="Y2897" s="181">
        <f>_xll.qlCalendarAdvance(Calendar,Y2896,X2897,"f",FALSE)</f>
        <v>59265</v>
      </c>
      <c r="Z2897" s="184">
        <f>_xll.qlCalendarAdvance(Calendar,Y2897,NDays&amp;"D")</f>
        <v>59265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1"/>
        <v>1w</v>
      </c>
      <c r="Y2898" s="181">
        <f>_xll.qlCalendarAdvance(Calendar,Y2897,X2898,"f",FALSE)</f>
        <v>59272</v>
      </c>
      <c r="Z2898" s="184">
        <f>_xll.qlCalendarAdvance(Calendar,Y2898,NDays&amp;"D")</f>
        <v>59272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1"/>
        <v>1w</v>
      </c>
      <c r="Y2899" s="181">
        <f>_xll.qlCalendarAdvance(Calendar,Y2898,X2899,"f",FALSE)</f>
        <v>59279</v>
      </c>
      <c r="Z2899" s="184">
        <f>_xll.qlCalendarAdvance(Calendar,Y2899,NDays&amp;"D")</f>
        <v>59279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1"/>
        <v>1w</v>
      </c>
      <c r="Y2900" s="181">
        <f>_xll.qlCalendarAdvance(Calendar,Y2899,X2900,"f",FALSE)</f>
        <v>59287</v>
      </c>
      <c r="Z2900" s="184">
        <f>_xll.qlCalendarAdvance(Calendar,Y2900,NDays&amp;"D")</f>
        <v>59287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2">X2900</f>
        <v>1w</v>
      </c>
      <c r="Y2901" s="181">
        <f>_xll.qlCalendarAdvance(Calendar,Y2900,X2901,"f",FALSE)</f>
        <v>59294</v>
      </c>
      <c r="Z2901" s="184">
        <f>_xll.qlCalendarAdvance(Calendar,Y2901,NDays&amp;"D")</f>
        <v>59294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2"/>
        <v>1w</v>
      </c>
      <c r="Y2902" s="181">
        <f>_xll.qlCalendarAdvance(Calendar,Y2901,X2902,"f",FALSE)</f>
        <v>59301</v>
      </c>
      <c r="Z2902" s="184">
        <f>_xll.qlCalendarAdvance(Calendar,Y2902,NDays&amp;"D")</f>
        <v>59301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2"/>
        <v>1w</v>
      </c>
      <c r="Y2903" s="181">
        <f>_xll.qlCalendarAdvance(Calendar,Y2902,X2903,"f",FALSE)</f>
        <v>59308</v>
      </c>
      <c r="Z2903" s="184">
        <f>_xll.qlCalendarAdvance(Calendar,Y2903,NDays&amp;"D")</f>
        <v>59308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2"/>
        <v>1w</v>
      </c>
      <c r="Y2904" s="181">
        <f>_xll.qlCalendarAdvance(Calendar,Y2903,X2904,"f",FALSE)</f>
        <v>59315</v>
      </c>
      <c r="Z2904" s="184">
        <f>_xll.qlCalendarAdvance(Calendar,Y2904,NDays&amp;"D")</f>
        <v>59315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2"/>
        <v>1w</v>
      </c>
      <c r="Y2905" s="181">
        <f>_xll.qlCalendarAdvance(Calendar,Y2904,X2905,"f",FALSE)</f>
        <v>59322</v>
      </c>
      <c r="Z2905" s="184">
        <f>_xll.qlCalendarAdvance(Calendar,Y2905,NDays&amp;"D")</f>
        <v>59322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2"/>
        <v>1w</v>
      </c>
      <c r="Y2906" s="181">
        <f>_xll.qlCalendarAdvance(Calendar,Y2905,X2906,"f",FALSE)</f>
        <v>59329</v>
      </c>
      <c r="Z2906" s="184">
        <f>_xll.qlCalendarAdvance(Calendar,Y2906,NDays&amp;"D")</f>
        <v>59329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2"/>
        <v>1w</v>
      </c>
      <c r="Y2907" s="181">
        <f>_xll.qlCalendarAdvance(Calendar,Y2906,X2907,"f",FALSE)</f>
        <v>59336</v>
      </c>
      <c r="Z2907" s="184">
        <f>_xll.qlCalendarAdvance(Calendar,Y2907,NDays&amp;"D")</f>
        <v>59336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2"/>
        <v>1w</v>
      </c>
      <c r="Y2908" s="181">
        <f>_xll.qlCalendarAdvance(Calendar,Y2907,X2908,"f",FALSE)</f>
        <v>59343</v>
      </c>
      <c r="Z2908" s="184">
        <f>_xll.qlCalendarAdvance(Calendar,Y2908,NDays&amp;"D")</f>
        <v>59343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2"/>
        <v>1w</v>
      </c>
      <c r="Y2909" s="181">
        <f>_xll.qlCalendarAdvance(Calendar,Y2908,X2909,"f",FALSE)</f>
        <v>59350</v>
      </c>
      <c r="Z2909" s="184">
        <f>_xll.qlCalendarAdvance(Calendar,Y2909,NDays&amp;"D")</f>
        <v>59350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2"/>
        <v>1w</v>
      </c>
      <c r="Y2910" s="181">
        <f>_xll.qlCalendarAdvance(Calendar,Y2909,X2910,"f",FALSE)</f>
        <v>59357</v>
      </c>
      <c r="Z2910" s="184">
        <f>_xll.qlCalendarAdvance(Calendar,Y2910,NDays&amp;"D")</f>
        <v>59357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2"/>
        <v>1w</v>
      </c>
      <c r="Y2911" s="181">
        <f>_xll.qlCalendarAdvance(Calendar,Y2910,X2911,"f",FALSE)</f>
        <v>59364</v>
      </c>
      <c r="Z2911" s="184">
        <f>_xll.qlCalendarAdvance(Calendar,Y2911,NDays&amp;"D")</f>
        <v>59364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2"/>
        <v>1w</v>
      </c>
      <c r="Y2912" s="181">
        <f>_xll.qlCalendarAdvance(Calendar,Y2911,X2912,"f",FALSE)</f>
        <v>59371</v>
      </c>
      <c r="Z2912" s="184">
        <f>_xll.qlCalendarAdvance(Calendar,Y2912,NDays&amp;"D")</f>
        <v>59371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2"/>
        <v>1w</v>
      </c>
      <c r="Y2913" s="181">
        <f>_xll.qlCalendarAdvance(Calendar,Y2912,X2913,"f",FALSE)</f>
        <v>59378</v>
      </c>
      <c r="Z2913" s="184">
        <f>_xll.qlCalendarAdvance(Calendar,Y2913,NDays&amp;"D")</f>
        <v>59378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2"/>
        <v>1w</v>
      </c>
      <c r="Y2914" s="181">
        <f>_xll.qlCalendarAdvance(Calendar,Y2913,X2914,"f",FALSE)</f>
        <v>59385</v>
      </c>
      <c r="Z2914" s="184">
        <f>_xll.qlCalendarAdvance(Calendar,Y2914,NDays&amp;"D")</f>
        <v>59385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2"/>
        <v>1w</v>
      </c>
      <c r="Y2915" s="181">
        <f>_xll.qlCalendarAdvance(Calendar,Y2914,X2915,"f",FALSE)</f>
        <v>59392</v>
      </c>
      <c r="Z2915" s="184">
        <f>_xll.qlCalendarAdvance(Calendar,Y2915,NDays&amp;"D")</f>
        <v>59392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2"/>
        <v>1w</v>
      </c>
      <c r="Y2916" s="181">
        <f>_xll.qlCalendarAdvance(Calendar,Y2915,X2916,"f",FALSE)</f>
        <v>59399</v>
      </c>
      <c r="Z2916" s="184">
        <f>_xll.qlCalendarAdvance(Calendar,Y2916,NDays&amp;"D")</f>
        <v>59399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2"/>
        <v>1w</v>
      </c>
      <c r="Y2917" s="181">
        <f>_xll.qlCalendarAdvance(Calendar,Y2916,X2917,"f",FALSE)</f>
        <v>59406</v>
      </c>
      <c r="Z2917" s="184">
        <f>_xll.qlCalendarAdvance(Calendar,Y2917,NDays&amp;"D")</f>
        <v>59406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2"/>
        <v>1w</v>
      </c>
      <c r="Y2918" s="181">
        <f>_xll.qlCalendarAdvance(Calendar,Y2917,X2918,"f",FALSE)</f>
        <v>59413</v>
      </c>
      <c r="Z2918" s="184">
        <f>_xll.qlCalendarAdvance(Calendar,Y2918,NDays&amp;"D")</f>
        <v>59413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2"/>
        <v>1w</v>
      </c>
      <c r="Y2919" s="181">
        <f>_xll.qlCalendarAdvance(Calendar,Y2918,X2919,"f",FALSE)</f>
        <v>59420</v>
      </c>
      <c r="Z2919" s="184">
        <f>_xll.qlCalendarAdvance(Calendar,Y2919,NDays&amp;"D")</f>
        <v>59420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2"/>
        <v>1w</v>
      </c>
      <c r="Y2920" s="181">
        <f>_xll.qlCalendarAdvance(Calendar,Y2919,X2920,"f",FALSE)</f>
        <v>59427</v>
      </c>
      <c r="Z2920" s="184">
        <f>_xll.qlCalendarAdvance(Calendar,Y2920,NDays&amp;"D")</f>
        <v>59427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2"/>
        <v>1w</v>
      </c>
      <c r="Y2921" s="181">
        <f>_xll.qlCalendarAdvance(Calendar,Y2920,X2921,"f",FALSE)</f>
        <v>59434</v>
      </c>
      <c r="Z2921" s="184">
        <f>_xll.qlCalendarAdvance(Calendar,Y2921,NDays&amp;"D")</f>
        <v>59434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2"/>
        <v>1w</v>
      </c>
      <c r="Y2922" s="181">
        <f>_xll.qlCalendarAdvance(Calendar,Y2921,X2922,"f",FALSE)</f>
        <v>59441</v>
      </c>
      <c r="Z2922" s="184">
        <f>_xll.qlCalendarAdvance(Calendar,Y2922,NDays&amp;"D")</f>
        <v>59441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2"/>
        <v>1w</v>
      </c>
      <c r="Y2923" s="181">
        <f>_xll.qlCalendarAdvance(Calendar,Y2922,X2923,"f",FALSE)</f>
        <v>59448</v>
      </c>
      <c r="Z2923" s="184">
        <f>_xll.qlCalendarAdvance(Calendar,Y2923,NDays&amp;"D")</f>
        <v>59448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2"/>
        <v>1w</v>
      </c>
      <c r="Y2924" s="181">
        <f>_xll.qlCalendarAdvance(Calendar,Y2923,X2924,"f",FALSE)</f>
        <v>59455</v>
      </c>
      <c r="Z2924" s="184">
        <f>_xll.qlCalendarAdvance(Calendar,Y2924,NDays&amp;"D")</f>
        <v>59455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2"/>
        <v>1w</v>
      </c>
      <c r="Y2925" s="181">
        <f>_xll.qlCalendarAdvance(Calendar,Y2924,X2925,"f",FALSE)</f>
        <v>59462</v>
      </c>
      <c r="Z2925" s="184">
        <f>_xll.qlCalendarAdvance(Calendar,Y2925,NDays&amp;"D")</f>
        <v>59462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2"/>
        <v>1w</v>
      </c>
      <c r="Y2926" s="181">
        <f>_xll.qlCalendarAdvance(Calendar,Y2925,X2926,"f",FALSE)</f>
        <v>59469</v>
      </c>
      <c r="Z2926" s="184">
        <f>_xll.qlCalendarAdvance(Calendar,Y2926,NDays&amp;"D")</f>
        <v>59469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2"/>
        <v>1w</v>
      </c>
      <c r="Y2927" s="181">
        <f>_xll.qlCalendarAdvance(Calendar,Y2926,X2927,"f",FALSE)</f>
        <v>59476</v>
      </c>
      <c r="Z2927" s="184">
        <f>_xll.qlCalendarAdvance(Calendar,Y2927,NDays&amp;"D")</f>
        <v>59476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2"/>
        <v>1w</v>
      </c>
      <c r="Y2928" s="181">
        <f>_xll.qlCalendarAdvance(Calendar,Y2927,X2928,"f",FALSE)</f>
        <v>59483</v>
      </c>
      <c r="Z2928" s="184">
        <f>_xll.qlCalendarAdvance(Calendar,Y2928,NDays&amp;"D")</f>
        <v>59483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2"/>
        <v>1w</v>
      </c>
      <c r="Y2929" s="181">
        <f>_xll.qlCalendarAdvance(Calendar,Y2928,X2929,"f",FALSE)</f>
        <v>59490</v>
      </c>
      <c r="Z2929" s="184">
        <f>_xll.qlCalendarAdvance(Calendar,Y2929,NDays&amp;"D")</f>
        <v>59490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2"/>
        <v>1w</v>
      </c>
      <c r="Y2930" s="181">
        <f>_xll.qlCalendarAdvance(Calendar,Y2929,X2930,"f",FALSE)</f>
        <v>59497</v>
      </c>
      <c r="Z2930" s="184">
        <f>_xll.qlCalendarAdvance(Calendar,Y2930,NDays&amp;"D")</f>
        <v>59497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2"/>
        <v>1w</v>
      </c>
      <c r="Y2931" s="181">
        <f>_xll.qlCalendarAdvance(Calendar,Y2930,X2931,"f",FALSE)</f>
        <v>59504</v>
      </c>
      <c r="Z2931" s="184">
        <f>_xll.qlCalendarAdvance(Calendar,Y2931,NDays&amp;"D")</f>
        <v>59504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2"/>
        <v>1w</v>
      </c>
      <c r="Y2932" s="181">
        <f>_xll.qlCalendarAdvance(Calendar,Y2931,X2932,"f",FALSE)</f>
        <v>59511</v>
      </c>
      <c r="Z2932" s="184">
        <f>_xll.qlCalendarAdvance(Calendar,Y2932,NDays&amp;"D")</f>
        <v>59511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2"/>
        <v>1w</v>
      </c>
      <c r="Y2933" s="181">
        <f>_xll.qlCalendarAdvance(Calendar,Y2932,X2933,"f",FALSE)</f>
        <v>59518</v>
      </c>
      <c r="Z2933" s="184">
        <f>_xll.qlCalendarAdvance(Calendar,Y2933,NDays&amp;"D")</f>
        <v>59518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2"/>
        <v>1w</v>
      </c>
      <c r="Y2934" s="181">
        <f>_xll.qlCalendarAdvance(Calendar,Y2933,X2934,"f",FALSE)</f>
        <v>59525</v>
      </c>
      <c r="Z2934" s="184">
        <f>_xll.qlCalendarAdvance(Calendar,Y2934,NDays&amp;"D")</f>
        <v>59525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2"/>
        <v>1w</v>
      </c>
      <c r="Y2935" s="181">
        <f>_xll.qlCalendarAdvance(Calendar,Y2934,X2935,"f",FALSE)</f>
        <v>59532</v>
      </c>
      <c r="Z2935" s="184">
        <f>_xll.qlCalendarAdvance(Calendar,Y2935,NDays&amp;"D")</f>
        <v>59532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2"/>
        <v>1w</v>
      </c>
      <c r="Y2936" s="181">
        <f>_xll.qlCalendarAdvance(Calendar,Y2935,X2936,"f",FALSE)</f>
        <v>59539</v>
      </c>
      <c r="Z2936" s="184">
        <f>_xll.qlCalendarAdvance(Calendar,Y2936,NDays&amp;"D")</f>
        <v>59539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2"/>
        <v>1w</v>
      </c>
      <c r="Y2937" s="181">
        <f>_xll.qlCalendarAdvance(Calendar,Y2936,X2937,"f",FALSE)</f>
        <v>59546</v>
      </c>
      <c r="Z2937" s="184">
        <f>_xll.qlCalendarAdvance(Calendar,Y2937,NDays&amp;"D")</f>
        <v>59546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2"/>
        <v>1w</v>
      </c>
      <c r="Y2938" s="181">
        <f>_xll.qlCalendarAdvance(Calendar,Y2937,X2938,"f",FALSE)</f>
        <v>59553</v>
      </c>
      <c r="Z2938" s="184">
        <f>_xll.qlCalendarAdvance(Calendar,Y2938,NDays&amp;"D")</f>
        <v>59553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2"/>
        <v>1w</v>
      </c>
      <c r="Y2939" s="181">
        <f>_xll.qlCalendarAdvance(Calendar,Y2938,X2939,"f",FALSE)</f>
        <v>59560</v>
      </c>
      <c r="Z2939" s="184">
        <f>_xll.qlCalendarAdvance(Calendar,Y2939,NDays&amp;"D")</f>
        <v>59560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2"/>
        <v>1w</v>
      </c>
      <c r="Y2940" s="181">
        <f>_xll.qlCalendarAdvance(Calendar,Y2939,X2940,"f",FALSE)</f>
        <v>59567</v>
      </c>
      <c r="Z2940" s="184">
        <f>_xll.qlCalendarAdvance(Calendar,Y2940,NDays&amp;"D")</f>
        <v>59567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2"/>
        <v>1w</v>
      </c>
      <c r="Y2941" s="181">
        <f>_xll.qlCalendarAdvance(Calendar,Y2940,X2941,"f",FALSE)</f>
        <v>59574</v>
      </c>
      <c r="Z2941" s="184">
        <f>_xll.qlCalendarAdvance(Calendar,Y2941,NDays&amp;"D")</f>
        <v>59574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2"/>
        <v>1w</v>
      </c>
      <c r="Y2942" s="181">
        <f>_xll.qlCalendarAdvance(Calendar,Y2941,X2942,"f",FALSE)</f>
        <v>59581</v>
      </c>
      <c r="Z2942" s="184">
        <f>_xll.qlCalendarAdvance(Calendar,Y2942,NDays&amp;"D")</f>
        <v>59581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2"/>
        <v>1w</v>
      </c>
      <c r="Y2943" s="181">
        <f>_xll.qlCalendarAdvance(Calendar,Y2942,X2943,"f",FALSE)</f>
        <v>59588</v>
      </c>
      <c r="Z2943" s="184">
        <f>_xll.qlCalendarAdvance(Calendar,Y2943,NDays&amp;"D")</f>
        <v>59588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2"/>
        <v>1w</v>
      </c>
      <c r="Y2944" s="181">
        <f>_xll.qlCalendarAdvance(Calendar,Y2943,X2944,"f",FALSE)</f>
        <v>59595</v>
      </c>
      <c r="Z2944" s="184">
        <f>_xll.qlCalendarAdvance(Calendar,Y2944,NDays&amp;"D")</f>
        <v>59595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2"/>
        <v>1w</v>
      </c>
      <c r="Y2945" s="181">
        <f>_xll.qlCalendarAdvance(Calendar,Y2944,X2945,"f",FALSE)</f>
        <v>59602</v>
      </c>
      <c r="Z2945" s="184">
        <f>_xll.qlCalendarAdvance(Calendar,Y2945,NDays&amp;"D")</f>
        <v>59602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2"/>
        <v>1w</v>
      </c>
      <c r="Y2946" s="181">
        <f>_xll.qlCalendarAdvance(Calendar,Y2945,X2946,"f",FALSE)</f>
        <v>59609</v>
      </c>
      <c r="Z2946" s="184">
        <f>_xll.qlCalendarAdvance(Calendar,Y2946,NDays&amp;"D")</f>
        <v>59609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2"/>
        <v>1w</v>
      </c>
      <c r="Y2947" s="181">
        <f>_xll.qlCalendarAdvance(Calendar,Y2946,X2947,"f",FALSE)</f>
        <v>59616</v>
      </c>
      <c r="Z2947" s="184">
        <f>_xll.qlCalendarAdvance(Calendar,Y2947,NDays&amp;"D")</f>
        <v>59616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2"/>
        <v>1w</v>
      </c>
      <c r="Y2948" s="181">
        <f>_xll.qlCalendarAdvance(Calendar,Y2947,X2948,"f",FALSE)</f>
        <v>59623</v>
      </c>
      <c r="Z2948" s="184">
        <f>_xll.qlCalendarAdvance(Calendar,Y2948,NDays&amp;"D")</f>
        <v>59623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2"/>
        <v>1w</v>
      </c>
      <c r="Y2949" s="181">
        <f>_xll.qlCalendarAdvance(Calendar,Y2948,X2949,"f",FALSE)</f>
        <v>59630</v>
      </c>
      <c r="Z2949" s="184">
        <f>_xll.qlCalendarAdvance(Calendar,Y2949,NDays&amp;"D")</f>
        <v>59630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2"/>
        <v>1w</v>
      </c>
      <c r="Y2950" s="181">
        <f>_xll.qlCalendarAdvance(Calendar,Y2949,X2950,"f",FALSE)</f>
        <v>59637</v>
      </c>
      <c r="Z2950" s="184">
        <f>_xll.qlCalendarAdvance(Calendar,Y2950,NDays&amp;"D")</f>
        <v>59637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2"/>
        <v>1w</v>
      </c>
      <c r="Y2951" s="181">
        <f>_xll.qlCalendarAdvance(Calendar,Y2950,X2951,"f",FALSE)</f>
        <v>59644</v>
      </c>
      <c r="Z2951" s="184">
        <f>_xll.qlCalendarAdvance(Calendar,Y2951,NDays&amp;"D")</f>
        <v>59644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2"/>
        <v>1w</v>
      </c>
      <c r="Y2952" s="181">
        <f>_xll.qlCalendarAdvance(Calendar,Y2951,X2952,"f",FALSE)</f>
        <v>59652</v>
      </c>
      <c r="Z2952" s="184">
        <f>_xll.qlCalendarAdvance(Calendar,Y2952,NDays&amp;"D")</f>
        <v>59652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2"/>
        <v>1w</v>
      </c>
      <c r="Y2953" s="181">
        <f>_xll.qlCalendarAdvance(Calendar,Y2952,X2953,"f",FALSE)</f>
        <v>59659</v>
      </c>
      <c r="Z2953" s="184">
        <f>_xll.qlCalendarAdvance(Calendar,Y2953,NDays&amp;"D")</f>
        <v>59659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2"/>
        <v>1w</v>
      </c>
      <c r="Y2954" s="181">
        <f>_xll.qlCalendarAdvance(Calendar,Y2953,X2954,"f",FALSE)</f>
        <v>59666</v>
      </c>
      <c r="Z2954" s="184">
        <f>_xll.qlCalendarAdvance(Calendar,Y2954,NDays&amp;"D")</f>
        <v>59666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2"/>
        <v>1w</v>
      </c>
      <c r="Y2955" s="181">
        <f>_xll.qlCalendarAdvance(Calendar,Y2954,X2955,"f",FALSE)</f>
        <v>59673</v>
      </c>
      <c r="Z2955" s="184">
        <f>_xll.qlCalendarAdvance(Calendar,Y2955,NDays&amp;"D")</f>
        <v>59673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2"/>
        <v>1w</v>
      </c>
      <c r="Y2956" s="181">
        <f>_xll.qlCalendarAdvance(Calendar,Y2955,X2956,"f",FALSE)</f>
        <v>59680</v>
      </c>
      <c r="Z2956" s="184">
        <f>_xll.qlCalendarAdvance(Calendar,Y2956,NDays&amp;"D")</f>
        <v>59680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2"/>
        <v>1w</v>
      </c>
      <c r="Y2957" s="181">
        <f>_xll.qlCalendarAdvance(Calendar,Y2956,X2957,"f",FALSE)</f>
        <v>59687</v>
      </c>
      <c r="Z2957" s="184">
        <f>_xll.qlCalendarAdvance(Calendar,Y2957,NDays&amp;"D")</f>
        <v>59687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2"/>
        <v>1w</v>
      </c>
      <c r="Y2958" s="181">
        <f>_xll.qlCalendarAdvance(Calendar,Y2957,X2958,"f",FALSE)</f>
        <v>59694</v>
      </c>
      <c r="Z2958" s="184">
        <f>_xll.qlCalendarAdvance(Calendar,Y2958,NDays&amp;"D")</f>
        <v>59694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2"/>
        <v>1w</v>
      </c>
      <c r="Y2959" s="181">
        <f>_xll.qlCalendarAdvance(Calendar,Y2958,X2959,"f",FALSE)</f>
        <v>59701</v>
      </c>
      <c r="Z2959" s="184">
        <f>_xll.qlCalendarAdvance(Calendar,Y2959,NDays&amp;"D")</f>
        <v>59701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2"/>
        <v>1w</v>
      </c>
      <c r="Y2960" s="181">
        <f>_xll.qlCalendarAdvance(Calendar,Y2959,X2960,"f",FALSE)</f>
        <v>59708</v>
      </c>
      <c r="Z2960" s="184">
        <f>_xll.qlCalendarAdvance(Calendar,Y2960,NDays&amp;"D")</f>
        <v>59708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2"/>
        <v>1w</v>
      </c>
      <c r="Y2961" s="181">
        <f>_xll.qlCalendarAdvance(Calendar,Y2960,X2961,"f",FALSE)</f>
        <v>59715</v>
      </c>
      <c r="Z2961" s="184">
        <f>_xll.qlCalendarAdvance(Calendar,Y2961,NDays&amp;"D")</f>
        <v>59715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2"/>
        <v>1w</v>
      </c>
      <c r="Y2962" s="181">
        <f>_xll.qlCalendarAdvance(Calendar,Y2961,X2962,"f",FALSE)</f>
        <v>59722</v>
      </c>
      <c r="Z2962" s="184">
        <f>_xll.qlCalendarAdvance(Calendar,Y2962,NDays&amp;"D")</f>
        <v>59722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2"/>
        <v>1w</v>
      </c>
      <c r="Y2963" s="181">
        <f>_xll.qlCalendarAdvance(Calendar,Y2962,X2963,"f",FALSE)</f>
        <v>59729</v>
      </c>
      <c r="Z2963" s="184">
        <f>_xll.qlCalendarAdvance(Calendar,Y2963,NDays&amp;"D")</f>
        <v>59729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2"/>
        <v>1w</v>
      </c>
      <c r="Y2964" s="181">
        <f>_xll.qlCalendarAdvance(Calendar,Y2963,X2964,"f",FALSE)</f>
        <v>59736</v>
      </c>
      <c r="Z2964" s="184">
        <f>_xll.qlCalendarAdvance(Calendar,Y2964,NDays&amp;"D")</f>
        <v>59736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3">X2964</f>
        <v>1w</v>
      </c>
      <c r="Y2965" s="181">
        <f>_xll.qlCalendarAdvance(Calendar,Y2964,X2965,"f",FALSE)</f>
        <v>59743</v>
      </c>
      <c r="Z2965" s="184">
        <f>_xll.qlCalendarAdvance(Calendar,Y2965,NDays&amp;"D")</f>
        <v>59743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3"/>
        <v>1w</v>
      </c>
      <c r="Y2966" s="181">
        <f>_xll.qlCalendarAdvance(Calendar,Y2965,X2966,"f",FALSE)</f>
        <v>59750</v>
      </c>
      <c r="Z2966" s="184">
        <f>_xll.qlCalendarAdvance(Calendar,Y2966,NDays&amp;"D")</f>
        <v>59750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3"/>
        <v>1w</v>
      </c>
      <c r="Y2967" s="181">
        <f>_xll.qlCalendarAdvance(Calendar,Y2966,X2967,"f",FALSE)</f>
        <v>59757</v>
      </c>
      <c r="Z2967" s="184">
        <f>_xll.qlCalendarAdvance(Calendar,Y2967,NDays&amp;"D")</f>
        <v>59757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3"/>
        <v>1w</v>
      </c>
      <c r="Y2968" s="181">
        <f>_xll.qlCalendarAdvance(Calendar,Y2967,X2968,"f",FALSE)</f>
        <v>59764</v>
      </c>
      <c r="Z2968" s="184">
        <f>_xll.qlCalendarAdvance(Calendar,Y2968,NDays&amp;"D")</f>
        <v>59764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3"/>
        <v>1w</v>
      </c>
      <c r="Y2969" s="181">
        <f>_xll.qlCalendarAdvance(Calendar,Y2968,X2969,"f",FALSE)</f>
        <v>59771</v>
      </c>
      <c r="Z2969" s="184">
        <f>_xll.qlCalendarAdvance(Calendar,Y2969,NDays&amp;"D")</f>
        <v>59771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3"/>
        <v>1w</v>
      </c>
      <c r="Y2970" s="181">
        <f>_xll.qlCalendarAdvance(Calendar,Y2969,X2970,"f",FALSE)</f>
        <v>59778</v>
      </c>
      <c r="Z2970" s="184">
        <f>_xll.qlCalendarAdvance(Calendar,Y2970,NDays&amp;"D")</f>
        <v>59778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3"/>
        <v>1w</v>
      </c>
      <c r="Y2971" s="181">
        <f>_xll.qlCalendarAdvance(Calendar,Y2970,X2971,"f",FALSE)</f>
        <v>59785</v>
      </c>
      <c r="Z2971" s="184">
        <f>_xll.qlCalendarAdvance(Calendar,Y2971,NDays&amp;"D")</f>
        <v>59785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3"/>
        <v>1w</v>
      </c>
      <c r="Y2972" s="181">
        <f>_xll.qlCalendarAdvance(Calendar,Y2971,X2972,"f",FALSE)</f>
        <v>59792</v>
      </c>
      <c r="Z2972" s="184">
        <f>_xll.qlCalendarAdvance(Calendar,Y2972,NDays&amp;"D")</f>
        <v>59792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3"/>
        <v>1w</v>
      </c>
      <c r="Y2973" s="181">
        <f>_xll.qlCalendarAdvance(Calendar,Y2972,X2973,"f",FALSE)</f>
        <v>59799</v>
      </c>
      <c r="Z2973" s="184">
        <f>_xll.qlCalendarAdvance(Calendar,Y2973,NDays&amp;"D")</f>
        <v>59799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3"/>
        <v>1w</v>
      </c>
      <c r="Y2974" s="181">
        <f>_xll.qlCalendarAdvance(Calendar,Y2973,X2974,"f",FALSE)</f>
        <v>59806</v>
      </c>
      <c r="Z2974" s="184">
        <f>_xll.qlCalendarAdvance(Calendar,Y2974,NDays&amp;"D")</f>
        <v>59806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3"/>
        <v>1w</v>
      </c>
      <c r="Y2975" s="181">
        <f>_xll.qlCalendarAdvance(Calendar,Y2974,X2975,"f",FALSE)</f>
        <v>59813</v>
      </c>
      <c r="Z2975" s="184">
        <f>_xll.qlCalendarAdvance(Calendar,Y2975,NDays&amp;"D")</f>
        <v>59813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3"/>
        <v>1w</v>
      </c>
      <c r="Y2976" s="181">
        <f>_xll.qlCalendarAdvance(Calendar,Y2975,X2976,"f",FALSE)</f>
        <v>59820</v>
      </c>
      <c r="Z2976" s="184">
        <f>_xll.qlCalendarAdvance(Calendar,Y2976,NDays&amp;"D")</f>
        <v>59820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3"/>
        <v>1w</v>
      </c>
      <c r="Y2977" s="181">
        <f>_xll.qlCalendarAdvance(Calendar,Y2976,X2977,"f",FALSE)</f>
        <v>59827</v>
      </c>
      <c r="Z2977" s="184">
        <f>_xll.qlCalendarAdvance(Calendar,Y2977,NDays&amp;"D")</f>
        <v>59827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3"/>
        <v>1w</v>
      </c>
      <c r="Y2978" s="181">
        <f>_xll.qlCalendarAdvance(Calendar,Y2977,X2978,"f",FALSE)</f>
        <v>59834</v>
      </c>
      <c r="Z2978" s="184">
        <f>_xll.qlCalendarAdvance(Calendar,Y2978,NDays&amp;"D")</f>
        <v>59834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3"/>
        <v>1w</v>
      </c>
      <c r="Y2979" s="181">
        <f>_xll.qlCalendarAdvance(Calendar,Y2978,X2979,"f",FALSE)</f>
        <v>59841</v>
      </c>
      <c r="Z2979" s="184">
        <f>_xll.qlCalendarAdvance(Calendar,Y2979,NDays&amp;"D")</f>
        <v>59841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3"/>
        <v>1w</v>
      </c>
      <c r="Y2980" s="181">
        <f>_xll.qlCalendarAdvance(Calendar,Y2979,X2980,"f",FALSE)</f>
        <v>59848</v>
      </c>
      <c r="Z2980" s="184">
        <f>_xll.qlCalendarAdvance(Calendar,Y2980,NDays&amp;"D")</f>
        <v>59848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3"/>
        <v>1w</v>
      </c>
      <c r="Y2981" s="181">
        <f>_xll.qlCalendarAdvance(Calendar,Y2980,X2981,"f",FALSE)</f>
        <v>59855</v>
      </c>
      <c r="Z2981" s="184">
        <f>_xll.qlCalendarAdvance(Calendar,Y2981,NDays&amp;"D")</f>
        <v>59855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3"/>
        <v>1w</v>
      </c>
      <c r="Y2982" s="181">
        <f>_xll.qlCalendarAdvance(Calendar,Y2981,X2982,"f",FALSE)</f>
        <v>59862</v>
      </c>
      <c r="Z2982" s="184">
        <f>_xll.qlCalendarAdvance(Calendar,Y2982,NDays&amp;"D")</f>
        <v>59862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3"/>
        <v>1w</v>
      </c>
      <c r="Y2983" s="181">
        <f>_xll.qlCalendarAdvance(Calendar,Y2982,X2983,"f",FALSE)</f>
        <v>59869</v>
      </c>
      <c r="Z2983" s="184">
        <f>_xll.qlCalendarAdvance(Calendar,Y2983,NDays&amp;"D")</f>
        <v>59869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3"/>
        <v>1w</v>
      </c>
      <c r="Y2984" s="181">
        <f>_xll.qlCalendarAdvance(Calendar,Y2983,X2984,"f",FALSE)</f>
        <v>59876</v>
      </c>
      <c r="Z2984" s="184">
        <f>_xll.qlCalendarAdvance(Calendar,Y2984,NDays&amp;"D")</f>
        <v>59876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3"/>
        <v>1w</v>
      </c>
      <c r="Y2985" s="181">
        <f>_xll.qlCalendarAdvance(Calendar,Y2984,X2985,"f",FALSE)</f>
        <v>59883</v>
      </c>
      <c r="Z2985" s="184">
        <f>_xll.qlCalendarAdvance(Calendar,Y2985,NDays&amp;"D")</f>
        <v>59883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3"/>
        <v>1w</v>
      </c>
      <c r="Y2986" s="181">
        <f>_xll.qlCalendarAdvance(Calendar,Y2985,X2986,"f",FALSE)</f>
        <v>59890</v>
      </c>
      <c r="Z2986" s="184">
        <f>_xll.qlCalendarAdvance(Calendar,Y2986,NDays&amp;"D")</f>
        <v>59890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3"/>
        <v>1w</v>
      </c>
      <c r="Y2987" s="181">
        <f>_xll.qlCalendarAdvance(Calendar,Y2986,X2987,"f",FALSE)</f>
        <v>59897</v>
      </c>
      <c r="Z2987" s="184">
        <f>_xll.qlCalendarAdvance(Calendar,Y2987,NDays&amp;"D")</f>
        <v>59897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3"/>
        <v>1w</v>
      </c>
      <c r="Y2988" s="181">
        <f>_xll.qlCalendarAdvance(Calendar,Y2987,X2988,"f",FALSE)</f>
        <v>59904</v>
      </c>
      <c r="Z2988" s="184">
        <f>_xll.qlCalendarAdvance(Calendar,Y2988,NDays&amp;"D")</f>
        <v>59904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3"/>
        <v>1w</v>
      </c>
      <c r="Y2989" s="181">
        <f>_xll.qlCalendarAdvance(Calendar,Y2988,X2989,"f",FALSE)</f>
        <v>59911</v>
      </c>
      <c r="Z2989" s="184">
        <f>_xll.qlCalendarAdvance(Calendar,Y2989,NDays&amp;"D")</f>
        <v>59911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3"/>
        <v>1w</v>
      </c>
      <c r="Y2990" s="181">
        <f>_xll.qlCalendarAdvance(Calendar,Y2989,X2990,"f",FALSE)</f>
        <v>59918</v>
      </c>
      <c r="Z2990" s="184">
        <f>_xll.qlCalendarAdvance(Calendar,Y2990,NDays&amp;"D")</f>
        <v>59918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3"/>
        <v>1w</v>
      </c>
      <c r="Y2991" s="181">
        <f>_xll.qlCalendarAdvance(Calendar,Y2990,X2991,"f",FALSE)</f>
        <v>59925</v>
      </c>
      <c r="Z2991" s="184">
        <f>_xll.qlCalendarAdvance(Calendar,Y2991,NDays&amp;"D")</f>
        <v>59925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3"/>
        <v>1w</v>
      </c>
      <c r="Y2992" s="181">
        <f>_xll.qlCalendarAdvance(Calendar,Y2991,X2992,"f",FALSE)</f>
        <v>59932</v>
      </c>
      <c r="Z2992" s="184">
        <f>_xll.qlCalendarAdvance(Calendar,Y2992,NDays&amp;"D")</f>
        <v>59932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3"/>
        <v>1w</v>
      </c>
      <c r="Y2993" s="181">
        <f>_xll.qlCalendarAdvance(Calendar,Y2992,X2993,"f",FALSE)</f>
        <v>59939</v>
      </c>
      <c r="Z2993" s="184">
        <f>_xll.qlCalendarAdvance(Calendar,Y2993,NDays&amp;"D")</f>
        <v>59939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3"/>
        <v>1w</v>
      </c>
      <c r="Y2994" s="181">
        <f>_xll.qlCalendarAdvance(Calendar,Y2993,X2994,"f",FALSE)</f>
        <v>59946</v>
      </c>
      <c r="Z2994" s="184">
        <f>_xll.qlCalendarAdvance(Calendar,Y2994,NDays&amp;"D")</f>
        <v>59946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3"/>
        <v>1w</v>
      </c>
      <c r="Y2995" s="181">
        <f>_xll.qlCalendarAdvance(Calendar,Y2994,X2995,"f",FALSE)</f>
        <v>59953</v>
      </c>
      <c r="Z2995" s="184">
        <f>_xll.qlCalendarAdvance(Calendar,Y2995,NDays&amp;"D")</f>
        <v>59953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3"/>
        <v>1w</v>
      </c>
      <c r="Y2996" s="181">
        <f>_xll.qlCalendarAdvance(Calendar,Y2995,X2996,"f",FALSE)</f>
        <v>59960</v>
      </c>
      <c r="Z2996" s="184">
        <f>_xll.qlCalendarAdvance(Calendar,Y2996,NDays&amp;"D")</f>
        <v>59960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3"/>
        <v>1w</v>
      </c>
      <c r="Y2997" s="181">
        <f>_xll.qlCalendarAdvance(Calendar,Y2996,X2997,"f",FALSE)</f>
        <v>59967</v>
      </c>
      <c r="Z2997" s="184">
        <f>_xll.qlCalendarAdvance(Calendar,Y2997,NDays&amp;"D")</f>
        <v>59967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3"/>
        <v>1w</v>
      </c>
      <c r="Y2998" s="181">
        <f>_xll.qlCalendarAdvance(Calendar,Y2997,X2998,"f",FALSE)</f>
        <v>59974</v>
      </c>
      <c r="Z2998" s="184">
        <f>_xll.qlCalendarAdvance(Calendar,Y2998,NDays&amp;"D")</f>
        <v>59974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3"/>
        <v>1w</v>
      </c>
      <c r="Y2999" s="181">
        <f>_xll.qlCalendarAdvance(Calendar,Y2998,X2999,"f",FALSE)</f>
        <v>59981</v>
      </c>
      <c r="Z2999" s="184">
        <f>_xll.qlCalendarAdvance(Calendar,Y2999,NDays&amp;"D")</f>
        <v>59981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3"/>
        <v>1w</v>
      </c>
      <c r="Y3000" s="181">
        <f>_xll.qlCalendarAdvance(Calendar,Y2999,X3000,"f",FALSE)</f>
        <v>59988</v>
      </c>
      <c r="Z3000" s="184">
        <f>_xll.qlCalendarAdvance(Calendar,Y3000,NDays&amp;"D")</f>
        <v>59988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3"/>
        <v>1w</v>
      </c>
      <c r="Y3001" s="181">
        <f>_xll.qlCalendarAdvance(Calendar,Y3000,X3001,"f",FALSE)</f>
        <v>59995</v>
      </c>
      <c r="Z3001" s="184">
        <f>_xll.qlCalendarAdvance(Calendar,Y3001,NDays&amp;"D")</f>
        <v>59995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3"/>
        <v>1w</v>
      </c>
      <c r="Y3002" s="181">
        <f>_xll.qlCalendarAdvance(Calendar,Y3001,X3002,"f",FALSE)</f>
        <v>60002</v>
      </c>
      <c r="Z3002" s="184">
        <f>_xll.qlCalendarAdvance(Calendar,Y3002,NDays&amp;"D")</f>
        <v>60002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3"/>
        <v>1w</v>
      </c>
      <c r="Y3003" s="181">
        <f>_xll.qlCalendarAdvance(Calendar,Y3002,X3003,"f",FALSE)</f>
        <v>60009</v>
      </c>
      <c r="Z3003" s="184">
        <f>_xll.qlCalendarAdvance(Calendar,Y3003,NDays&amp;"D")</f>
        <v>60009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3"/>
        <v>1w</v>
      </c>
      <c r="Y3004" s="181">
        <f>_xll.qlCalendarAdvance(Calendar,Y3003,X3004,"f",FALSE)</f>
        <v>60016</v>
      </c>
      <c r="Z3004" s="184">
        <f>_xll.qlCalendarAdvance(Calendar,Y3004,NDays&amp;"D")</f>
        <v>60016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3"/>
        <v>1w</v>
      </c>
      <c r="Y3005" s="181">
        <f>_xll.qlCalendarAdvance(Calendar,Y3004,X3005,"f",FALSE)</f>
        <v>60023</v>
      </c>
      <c r="Z3005" s="184">
        <f>_xll.qlCalendarAdvance(Calendar,Y3005,NDays&amp;"D")</f>
        <v>60023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3"/>
        <v>1w</v>
      </c>
      <c r="Y3006" s="181">
        <f>_xll.qlCalendarAdvance(Calendar,Y3005,X3006,"f",FALSE)</f>
        <v>60030</v>
      </c>
      <c r="Z3006" s="184">
        <f>_xll.qlCalendarAdvance(Calendar,Y3006,NDays&amp;"D")</f>
        <v>60030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3"/>
        <v>1w</v>
      </c>
      <c r="Y3007" s="181">
        <f>_xll.qlCalendarAdvance(Calendar,Y3006,X3007,"f",FALSE)</f>
        <v>60037</v>
      </c>
      <c r="Z3007" s="184">
        <f>_xll.qlCalendarAdvance(Calendar,Y3007,NDays&amp;"D")</f>
        <v>60037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3"/>
        <v>1w</v>
      </c>
      <c r="Y3008" s="181">
        <f>_xll.qlCalendarAdvance(Calendar,Y3007,X3008,"f",FALSE)</f>
        <v>60044</v>
      </c>
      <c r="Z3008" s="184">
        <f>_xll.qlCalendarAdvance(Calendar,Y3008,NDays&amp;"D")</f>
        <v>60044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3"/>
        <v>1w</v>
      </c>
      <c r="Y3009" s="181">
        <f>_xll.qlCalendarAdvance(Calendar,Y3008,X3009,"f",FALSE)</f>
        <v>60051</v>
      </c>
      <c r="Z3009" s="184">
        <f>_xll.qlCalendarAdvance(Calendar,Y3009,NDays&amp;"D")</f>
        <v>60051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3"/>
        <v>1w</v>
      </c>
      <c r="Y3010" s="181">
        <f>_xll.qlCalendarAdvance(Calendar,Y3009,X3010,"f",FALSE)</f>
        <v>60058</v>
      </c>
      <c r="Z3010" s="184">
        <f>_xll.qlCalendarAdvance(Calendar,Y3010,NDays&amp;"D")</f>
        <v>60058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3"/>
        <v>1w</v>
      </c>
      <c r="Y3011" s="181">
        <f>_xll.qlCalendarAdvance(Calendar,Y3010,X3011,"f",FALSE)</f>
        <v>60065</v>
      </c>
      <c r="Z3011" s="184">
        <f>_xll.qlCalendarAdvance(Calendar,Y3011,NDays&amp;"D")</f>
        <v>60065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3"/>
        <v>1w</v>
      </c>
      <c r="Y3012" s="181">
        <f>_xll.qlCalendarAdvance(Calendar,Y3011,X3012,"f",FALSE)</f>
        <v>60072</v>
      </c>
      <c r="Z3012" s="184">
        <f>_xll.qlCalendarAdvance(Calendar,Y3012,NDays&amp;"D")</f>
        <v>60072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3"/>
        <v>1w</v>
      </c>
      <c r="Y3013" s="181">
        <f>_xll.qlCalendarAdvance(Calendar,Y3012,X3013,"f",FALSE)</f>
        <v>60079</v>
      </c>
      <c r="Z3013" s="184">
        <f>_xll.qlCalendarAdvance(Calendar,Y3013,NDays&amp;"D")</f>
        <v>60079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3"/>
        <v>1w</v>
      </c>
      <c r="Y3014" s="181">
        <f>_xll.qlCalendarAdvance(Calendar,Y3013,X3014,"f",FALSE)</f>
        <v>60086</v>
      </c>
      <c r="Z3014" s="184">
        <f>_xll.qlCalendarAdvance(Calendar,Y3014,NDays&amp;"D")</f>
        <v>60086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3"/>
        <v>1w</v>
      </c>
      <c r="Y3015" s="181">
        <f>_xll.qlCalendarAdvance(Calendar,Y3014,X3015,"f",FALSE)</f>
        <v>60093</v>
      </c>
      <c r="Z3015" s="184">
        <f>_xll.qlCalendarAdvance(Calendar,Y3015,NDays&amp;"D")</f>
        <v>60093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3"/>
        <v>1w</v>
      </c>
      <c r="Y3016" s="181">
        <f>_xll.qlCalendarAdvance(Calendar,Y3015,X3016,"f",FALSE)</f>
        <v>60100</v>
      </c>
      <c r="Z3016" s="184">
        <f>_xll.qlCalendarAdvance(Calendar,Y3016,NDays&amp;"D")</f>
        <v>60100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3"/>
        <v>1w</v>
      </c>
      <c r="Y3017" s="181">
        <f>_xll.qlCalendarAdvance(Calendar,Y3016,X3017,"f",FALSE)</f>
        <v>60107</v>
      </c>
      <c r="Z3017" s="184">
        <f>_xll.qlCalendarAdvance(Calendar,Y3017,NDays&amp;"D")</f>
        <v>60107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3"/>
        <v>1w</v>
      </c>
      <c r="Y3018" s="181">
        <f>_xll.qlCalendarAdvance(Calendar,Y3017,X3018,"f",FALSE)</f>
        <v>60114</v>
      </c>
      <c r="Z3018" s="184">
        <f>_xll.qlCalendarAdvance(Calendar,Y3018,NDays&amp;"D")</f>
        <v>60114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3"/>
        <v>1w</v>
      </c>
      <c r="Y3019" s="181">
        <f>_xll.qlCalendarAdvance(Calendar,Y3018,X3019,"f",FALSE)</f>
        <v>60121</v>
      </c>
      <c r="Z3019" s="184">
        <f>_xll.qlCalendarAdvance(Calendar,Y3019,NDays&amp;"D")</f>
        <v>60121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3"/>
        <v>1w</v>
      </c>
      <c r="Y3020" s="181">
        <f>_xll.qlCalendarAdvance(Calendar,Y3019,X3020,"f",FALSE)</f>
        <v>60128</v>
      </c>
      <c r="Z3020" s="184">
        <f>_xll.qlCalendarAdvance(Calendar,Y3020,NDays&amp;"D")</f>
        <v>60128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3"/>
        <v>1w</v>
      </c>
      <c r="Y3021" s="181">
        <f>_xll.qlCalendarAdvance(Calendar,Y3020,X3021,"f",FALSE)</f>
        <v>60135</v>
      </c>
      <c r="Z3021" s="184">
        <f>_xll.qlCalendarAdvance(Calendar,Y3021,NDays&amp;"D")</f>
        <v>60135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3"/>
        <v>1w</v>
      </c>
      <c r="Y3022" s="181">
        <f>_xll.qlCalendarAdvance(Calendar,Y3021,X3022,"f",FALSE)</f>
        <v>60142</v>
      </c>
      <c r="Z3022" s="184">
        <f>_xll.qlCalendarAdvance(Calendar,Y3022,NDays&amp;"D")</f>
        <v>60142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3"/>
        <v>1w</v>
      </c>
      <c r="Y3023" s="181">
        <f>_xll.qlCalendarAdvance(Calendar,Y3022,X3023,"f",FALSE)</f>
        <v>60149</v>
      </c>
      <c r="Z3023" s="184">
        <f>_xll.qlCalendarAdvance(Calendar,Y3023,NDays&amp;"D")</f>
        <v>60149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3"/>
        <v>1w</v>
      </c>
      <c r="Y3024" s="181">
        <f>_xll.qlCalendarAdvance(Calendar,Y3023,X3024,"f",FALSE)</f>
        <v>60156</v>
      </c>
      <c r="Z3024" s="184">
        <f>_xll.qlCalendarAdvance(Calendar,Y3024,NDays&amp;"D")</f>
        <v>60156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3"/>
        <v>1w</v>
      </c>
      <c r="Y3025" s="181">
        <f>_xll.qlCalendarAdvance(Calendar,Y3024,X3025,"f",FALSE)</f>
        <v>60163</v>
      </c>
      <c r="Z3025" s="184">
        <f>_xll.qlCalendarAdvance(Calendar,Y3025,NDays&amp;"D")</f>
        <v>60163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3"/>
        <v>1w</v>
      </c>
      <c r="Y3026" s="181">
        <f>_xll.qlCalendarAdvance(Calendar,Y3025,X3026,"f",FALSE)</f>
        <v>60170</v>
      </c>
      <c r="Z3026" s="184">
        <f>_xll.qlCalendarAdvance(Calendar,Y3026,NDays&amp;"D")</f>
        <v>60170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3"/>
        <v>1w</v>
      </c>
      <c r="Y3027" s="181">
        <f>_xll.qlCalendarAdvance(Calendar,Y3026,X3027,"f",FALSE)</f>
        <v>60177</v>
      </c>
      <c r="Z3027" s="184">
        <f>_xll.qlCalendarAdvance(Calendar,Y3027,NDays&amp;"D")</f>
        <v>60177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3"/>
        <v>1w</v>
      </c>
      <c r="Y3028" s="181">
        <f>_xll.qlCalendarAdvance(Calendar,Y3027,X3028,"f",FALSE)</f>
        <v>60184</v>
      </c>
      <c r="Z3028" s="184">
        <f>_xll.qlCalendarAdvance(Calendar,Y3028,NDays&amp;"D")</f>
        <v>60184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54">X3028</f>
        <v>1w</v>
      </c>
      <c r="Y3029" s="181">
        <f>_xll.qlCalendarAdvance(Calendar,Y3028,X3029,"f",FALSE)</f>
        <v>60191</v>
      </c>
      <c r="Z3029" s="184">
        <f>_xll.qlCalendarAdvance(Calendar,Y3029,NDays&amp;"D")</f>
        <v>60191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54"/>
        <v>1w</v>
      </c>
      <c r="Y3030" s="181">
        <f>_xll.qlCalendarAdvance(Calendar,Y3029,X3030,"f",FALSE)</f>
        <v>60198</v>
      </c>
      <c r="Z3030" s="184">
        <f>_xll.qlCalendarAdvance(Calendar,Y3030,NDays&amp;"D")</f>
        <v>60198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54"/>
        <v>1w</v>
      </c>
      <c r="Y3031" s="181">
        <f>_xll.qlCalendarAdvance(Calendar,Y3030,X3031,"f",FALSE)</f>
        <v>60205</v>
      </c>
      <c r="Z3031" s="184">
        <f>_xll.qlCalendarAdvance(Calendar,Y3031,NDays&amp;"D")</f>
        <v>60205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54"/>
        <v>1w</v>
      </c>
      <c r="Y3032" s="181">
        <f>_xll.qlCalendarAdvance(Calendar,Y3031,X3032,"f",FALSE)</f>
        <v>60212</v>
      </c>
      <c r="Z3032" s="184">
        <f>_xll.qlCalendarAdvance(Calendar,Y3032,NDays&amp;"D")</f>
        <v>60212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54"/>
        <v>1w</v>
      </c>
      <c r="Y3033" s="181">
        <f>_xll.qlCalendarAdvance(Calendar,Y3032,X3033,"f",FALSE)</f>
        <v>60219</v>
      </c>
      <c r="Z3033" s="184">
        <f>_xll.qlCalendarAdvance(Calendar,Y3033,NDays&amp;"D")</f>
        <v>60219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54"/>
        <v>1w</v>
      </c>
      <c r="Y3034" s="181">
        <f>_xll.qlCalendarAdvance(Calendar,Y3033,X3034,"f",FALSE)</f>
        <v>60226</v>
      </c>
      <c r="Z3034" s="184">
        <f>_xll.qlCalendarAdvance(Calendar,Y3034,NDays&amp;"D")</f>
        <v>60226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54"/>
        <v>1w</v>
      </c>
      <c r="Y3035" s="181">
        <f>_xll.qlCalendarAdvance(Calendar,Y3034,X3035,"f",FALSE)</f>
        <v>60233</v>
      </c>
      <c r="Z3035" s="184">
        <f>_xll.qlCalendarAdvance(Calendar,Y3035,NDays&amp;"D")</f>
        <v>60233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54"/>
        <v>1w</v>
      </c>
      <c r="Y3036" s="181">
        <f>_xll.qlCalendarAdvance(Calendar,Y3035,X3036,"f",FALSE)</f>
        <v>60240</v>
      </c>
      <c r="Z3036" s="184">
        <f>_xll.qlCalendarAdvance(Calendar,Y3036,NDays&amp;"D")</f>
        <v>60240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54"/>
        <v>1w</v>
      </c>
      <c r="Y3037" s="181">
        <f>_xll.qlCalendarAdvance(Calendar,Y3036,X3037,"f",FALSE)</f>
        <v>60247</v>
      </c>
      <c r="Z3037" s="184">
        <f>_xll.qlCalendarAdvance(Calendar,Y3037,NDays&amp;"D")</f>
        <v>60247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54"/>
        <v>1w</v>
      </c>
      <c r="Y3038" s="181">
        <f>_xll.qlCalendarAdvance(Calendar,Y3037,X3038,"f",FALSE)</f>
        <v>60254</v>
      </c>
      <c r="Z3038" s="184">
        <f>_xll.qlCalendarAdvance(Calendar,Y3038,NDays&amp;"D")</f>
        <v>60254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54"/>
        <v>1w</v>
      </c>
      <c r="Y3039" s="181">
        <f>_xll.qlCalendarAdvance(Calendar,Y3038,X3039,"f",FALSE)</f>
        <v>60265</v>
      </c>
      <c r="Z3039" s="184">
        <f>_xll.qlCalendarAdvance(Calendar,Y3039,NDays&amp;"D")</f>
        <v>60265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54"/>
        <v>1w</v>
      </c>
      <c r="Y3040" s="181">
        <f>_xll.qlCalendarAdvance(Calendar,Y3039,X3040,"f",FALSE)</f>
        <v>60272</v>
      </c>
      <c r="Z3040" s="184">
        <f>_xll.qlCalendarAdvance(Calendar,Y3040,NDays&amp;"D")</f>
        <v>60272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54"/>
        <v>1w</v>
      </c>
      <c r="Y3041" s="181">
        <f>_xll.qlCalendarAdvance(Calendar,Y3040,X3041,"f",FALSE)</f>
        <v>60279</v>
      </c>
      <c r="Z3041" s="184">
        <f>_xll.qlCalendarAdvance(Calendar,Y3041,NDays&amp;"D")</f>
        <v>60279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54"/>
        <v>1w</v>
      </c>
      <c r="Y3042" s="181">
        <f>_xll.qlCalendarAdvance(Calendar,Y3041,X3042,"f",FALSE)</f>
        <v>60286</v>
      </c>
      <c r="Z3042" s="184">
        <f>_xll.qlCalendarAdvance(Calendar,Y3042,NDays&amp;"D")</f>
        <v>60286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54"/>
        <v>1w</v>
      </c>
      <c r="Y3043" s="181">
        <f>_xll.qlCalendarAdvance(Calendar,Y3042,X3043,"f",FALSE)</f>
        <v>60294</v>
      </c>
      <c r="Z3043" s="184">
        <f>_xll.qlCalendarAdvance(Calendar,Y3043,NDays&amp;"D")</f>
        <v>60294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54"/>
        <v>1w</v>
      </c>
      <c r="Y3044" s="181">
        <f>_xll.qlCalendarAdvance(Calendar,Y3043,X3044,"f",FALSE)</f>
        <v>60301</v>
      </c>
      <c r="Z3044" s="184">
        <f>_xll.qlCalendarAdvance(Calendar,Y3044,NDays&amp;"D")</f>
        <v>60301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54"/>
        <v>1w</v>
      </c>
      <c r="Y3045" s="181">
        <f>_xll.qlCalendarAdvance(Calendar,Y3044,X3045,"f",FALSE)</f>
        <v>60308</v>
      </c>
      <c r="Z3045" s="184">
        <f>_xll.qlCalendarAdvance(Calendar,Y3045,NDays&amp;"D")</f>
        <v>60308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54"/>
        <v>1w</v>
      </c>
      <c r="Y3046" s="181">
        <f>_xll.qlCalendarAdvance(Calendar,Y3045,X3046,"f",FALSE)</f>
        <v>60315</v>
      </c>
      <c r="Z3046" s="184">
        <f>_xll.qlCalendarAdvance(Calendar,Y3046,NDays&amp;"D")</f>
        <v>60315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54"/>
        <v>1w</v>
      </c>
      <c r="Y3047" s="181">
        <f>_xll.qlCalendarAdvance(Calendar,Y3046,X3047,"f",FALSE)</f>
        <v>60322</v>
      </c>
      <c r="Z3047" s="184">
        <f>_xll.qlCalendarAdvance(Calendar,Y3047,NDays&amp;"D")</f>
        <v>60322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54"/>
        <v>1w</v>
      </c>
      <c r="Y3048" s="181">
        <f>_xll.qlCalendarAdvance(Calendar,Y3047,X3048,"f",FALSE)</f>
        <v>60329</v>
      </c>
      <c r="Z3048" s="184">
        <f>_xll.qlCalendarAdvance(Calendar,Y3048,NDays&amp;"D")</f>
        <v>60329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54"/>
        <v>1w</v>
      </c>
      <c r="Y3049" s="181">
        <f>_xll.qlCalendarAdvance(Calendar,Y3048,X3049,"f",FALSE)</f>
        <v>60336</v>
      </c>
      <c r="Z3049" s="184">
        <f>_xll.qlCalendarAdvance(Calendar,Y3049,NDays&amp;"D")</f>
        <v>60336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54"/>
        <v>1w</v>
      </c>
      <c r="Y3050" s="181">
        <f>_xll.qlCalendarAdvance(Calendar,Y3049,X3050,"f",FALSE)</f>
        <v>60343</v>
      </c>
      <c r="Z3050" s="184">
        <f>_xll.qlCalendarAdvance(Calendar,Y3050,NDays&amp;"D")</f>
        <v>60343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54"/>
        <v>1w</v>
      </c>
      <c r="Y3051" s="181">
        <f>_xll.qlCalendarAdvance(Calendar,Y3050,X3051,"f",FALSE)</f>
        <v>60350</v>
      </c>
      <c r="Z3051" s="184">
        <f>_xll.qlCalendarAdvance(Calendar,Y3051,NDays&amp;"D")</f>
        <v>60350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54"/>
        <v>1w</v>
      </c>
      <c r="Y3052" s="181">
        <f>_xll.qlCalendarAdvance(Calendar,Y3051,X3052,"f",FALSE)</f>
        <v>60357</v>
      </c>
      <c r="Z3052" s="184">
        <f>_xll.qlCalendarAdvance(Calendar,Y3052,NDays&amp;"D")</f>
        <v>60357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54"/>
        <v>1w</v>
      </c>
      <c r="Y3053" s="181">
        <f>_xll.qlCalendarAdvance(Calendar,Y3052,X3053,"f",FALSE)</f>
        <v>60364</v>
      </c>
      <c r="Z3053" s="184">
        <f>_xll.qlCalendarAdvance(Calendar,Y3053,NDays&amp;"D")</f>
        <v>60364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54"/>
        <v>1w</v>
      </c>
      <c r="Y3054" s="181">
        <f>_xll.qlCalendarAdvance(Calendar,Y3053,X3054,"f",FALSE)</f>
        <v>60371</v>
      </c>
      <c r="Z3054" s="184">
        <f>_xll.qlCalendarAdvance(Calendar,Y3054,NDays&amp;"D")</f>
        <v>60371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54"/>
        <v>1w</v>
      </c>
      <c r="Y3055" s="181">
        <f>_xll.qlCalendarAdvance(Calendar,Y3054,X3055,"f",FALSE)</f>
        <v>60378</v>
      </c>
      <c r="Z3055" s="184">
        <f>_xll.qlCalendarAdvance(Calendar,Y3055,NDays&amp;"D")</f>
        <v>60378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54"/>
        <v>1w</v>
      </c>
      <c r="Y3056" s="181">
        <f>_xll.qlCalendarAdvance(Calendar,Y3055,X3056,"f",FALSE)</f>
        <v>60385</v>
      </c>
      <c r="Z3056" s="184">
        <f>_xll.qlCalendarAdvance(Calendar,Y3056,NDays&amp;"D")</f>
        <v>60385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54"/>
        <v>1w</v>
      </c>
      <c r="Y3057" s="181">
        <f>_xll.qlCalendarAdvance(Calendar,Y3056,X3057,"f",FALSE)</f>
        <v>60392</v>
      </c>
      <c r="Z3057" s="184">
        <f>_xll.qlCalendarAdvance(Calendar,Y3057,NDays&amp;"D")</f>
        <v>60392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54"/>
        <v>1w</v>
      </c>
      <c r="Y3058" s="181">
        <f>_xll.qlCalendarAdvance(Calendar,Y3057,X3058,"f",FALSE)</f>
        <v>60399</v>
      </c>
      <c r="Z3058" s="184">
        <f>_xll.qlCalendarAdvance(Calendar,Y3058,NDays&amp;"D")</f>
        <v>60399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54"/>
        <v>1w</v>
      </c>
      <c r="Y3059" s="181">
        <f>_xll.qlCalendarAdvance(Calendar,Y3058,X3059,"f",FALSE)</f>
        <v>60406</v>
      </c>
      <c r="Z3059" s="184">
        <f>_xll.qlCalendarAdvance(Calendar,Y3059,NDays&amp;"D")</f>
        <v>60406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54"/>
        <v>1w</v>
      </c>
      <c r="Y3060" s="181">
        <f>_xll.qlCalendarAdvance(Calendar,Y3059,X3060,"f",FALSE)</f>
        <v>60413</v>
      </c>
      <c r="Z3060" s="184">
        <f>_xll.qlCalendarAdvance(Calendar,Y3060,NDays&amp;"D")</f>
        <v>60413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54"/>
        <v>1w</v>
      </c>
      <c r="Y3061" s="181">
        <f>_xll.qlCalendarAdvance(Calendar,Y3060,X3061,"f",FALSE)</f>
        <v>60420</v>
      </c>
      <c r="Z3061" s="184">
        <f>_xll.qlCalendarAdvance(Calendar,Y3061,NDays&amp;"D")</f>
        <v>60420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54"/>
        <v>1w</v>
      </c>
      <c r="Y3062" s="181">
        <f>_xll.qlCalendarAdvance(Calendar,Y3061,X3062,"f",FALSE)</f>
        <v>60427</v>
      </c>
      <c r="Z3062" s="184">
        <f>_xll.qlCalendarAdvance(Calendar,Y3062,NDays&amp;"D")</f>
        <v>60427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54"/>
        <v>1w</v>
      </c>
      <c r="Y3063" s="181">
        <f>_xll.qlCalendarAdvance(Calendar,Y3062,X3063,"f",FALSE)</f>
        <v>60434</v>
      </c>
      <c r="Z3063" s="184">
        <f>_xll.qlCalendarAdvance(Calendar,Y3063,NDays&amp;"D")</f>
        <v>60434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54"/>
        <v>1w</v>
      </c>
      <c r="Y3064" s="181">
        <f>_xll.qlCalendarAdvance(Calendar,Y3063,X3064,"f",FALSE)</f>
        <v>60441</v>
      </c>
      <c r="Z3064" s="184">
        <f>_xll.qlCalendarAdvance(Calendar,Y3064,NDays&amp;"D")</f>
        <v>60441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54"/>
        <v>1w</v>
      </c>
      <c r="Y3065" s="181">
        <f>_xll.qlCalendarAdvance(Calendar,Y3064,X3065,"f",FALSE)</f>
        <v>60448</v>
      </c>
      <c r="Z3065" s="184">
        <f>_xll.qlCalendarAdvance(Calendar,Y3065,NDays&amp;"D")</f>
        <v>60448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54"/>
        <v>1w</v>
      </c>
      <c r="Y3066" s="181">
        <f>_xll.qlCalendarAdvance(Calendar,Y3065,X3066,"f",FALSE)</f>
        <v>60455</v>
      </c>
      <c r="Z3066" s="184">
        <f>_xll.qlCalendarAdvance(Calendar,Y3066,NDays&amp;"D")</f>
        <v>60455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54"/>
        <v>1w</v>
      </c>
      <c r="Y3067" s="181">
        <f>_xll.qlCalendarAdvance(Calendar,Y3066,X3067,"f",FALSE)</f>
        <v>60462</v>
      </c>
      <c r="Z3067" s="184">
        <f>_xll.qlCalendarAdvance(Calendar,Y3067,NDays&amp;"D")</f>
        <v>60462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54"/>
        <v>1w</v>
      </c>
      <c r="Y3068" s="181">
        <f>_xll.qlCalendarAdvance(Calendar,Y3067,X3068,"f",FALSE)</f>
        <v>60469</v>
      </c>
      <c r="Z3068" s="184">
        <f>_xll.qlCalendarAdvance(Calendar,Y3068,NDays&amp;"D")</f>
        <v>60469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54"/>
        <v>1w</v>
      </c>
      <c r="Y3069" s="181">
        <f>_xll.qlCalendarAdvance(Calendar,Y3068,X3069,"f",FALSE)</f>
        <v>60476</v>
      </c>
      <c r="Z3069" s="184">
        <f>_xll.qlCalendarAdvance(Calendar,Y3069,NDays&amp;"D")</f>
        <v>60476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54"/>
        <v>1w</v>
      </c>
      <c r="Y3070" s="181">
        <f>_xll.qlCalendarAdvance(Calendar,Y3069,X3070,"f",FALSE)</f>
        <v>60483</v>
      </c>
      <c r="Z3070" s="184">
        <f>_xll.qlCalendarAdvance(Calendar,Y3070,NDays&amp;"D")</f>
        <v>60483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54"/>
        <v>1w</v>
      </c>
      <c r="Y3071" s="181">
        <f>_xll.qlCalendarAdvance(Calendar,Y3070,X3071,"f",FALSE)</f>
        <v>60490</v>
      </c>
      <c r="Z3071" s="184">
        <f>_xll.qlCalendarAdvance(Calendar,Y3071,NDays&amp;"D")</f>
        <v>60490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54"/>
        <v>1w</v>
      </c>
      <c r="Y3072" s="181">
        <f>_xll.qlCalendarAdvance(Calendar,Y3071,X3072,"f",FALSE)</f>
        <v>60497</v>
      </c>
      <c r="Z3072" s="184">
        <f>_xll.qlCalendarAdvance(Calendar,Y3072,NDays&amp;"D")</f>
        <v>60497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54"/>
        <v>1w</v>
      </c>
      <c r="Y3073" s="181">
        <f>_xll.qlCalendarAdvance(Calendar,Y3072,X3073,"f",FALSE)</f>
        <v>60504</v>
      </c>
      <c r="Z3073" s="184">
        <f>_xll.qlCalendarAdvance(Calendar,Y3073,NDays&amp;"D")</f>
        <v>60504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54"/>
        <v>1w</v>
      </c>
      <c r="Y3074" s="181">
        <f>_xll.qlCalendarAdvance(Calendar,Y3073,X3074,"f",FALSE)</f>
        <v>60511</v>
      </c>
      <c r="Z3074" s="184">
        <f>_xll.qlCalendarAdvance(Calendar,Y3074,NDays&amp;"D")</f>
        <v>60511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54"/>
        <v>1w</v>
      </c>
      <c r="Y3075" s="181">
        <f>_xll.qlCalendarAdvance(Calendar,Y3074,X3075,"f",FALSE)</f>
        <v>60518</v>
      </c>
      <c r="Z3075" s="184">
        <f>_xll.qlCalendarAdvance(Calendar,Y3075,NDays&amp;"D")</f>
        <v>60518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54"/>
        <v>1w</v>
      </c>
      <c r="Y3076" s="181">
        <f>_xll.qlCalendarAdvance(Calendar,Y3075,X3076,"f",FALSE)</f>
        <v>60525</v>
      </c>
      <c r="Z3076" s="184">
        <f>_xll.qlCalendarAdvance(Calendar,Y3076,NDays&amp;"D")</f>
        <v>60525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54"/>
        <v>1w</v>
      </c>
      <c r="Y3077" s="181">
        <f>_xll.qlCalendarAdvance(Calendar,Y3076,X3077,"f",FALSE)</f>
        <v>60532</v>
      </c>
      <c r="Z3077" s="184">
        <f>_xll.qlCalendarAdvance(Calendar,Y3077,NDays&amp;"D")</f>
        <v>60532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54"/>
        <v>1w</v>
      </c>
      <c r="Y3078" s="181">
        <f>_xll.qlCalendarAdvance(Calendar,Y3077,X3078,"f",FALSE)</f>
        <v>60539</v>
      </c>
      <c r="Z3078" s="184">
        <f>_xll.qlCalendarAdvance(Calendar,Y3078,NDays&amp;"D")</f>
        <v>60539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54"/>
        <v>1w</v>
      </c>
      <c r="Y3079" s="181">
        <f>_xll.qlCalendarAdvance(Calendar,Y3078,X3079,"f",FALSE)</f>
        <v>60546</v>
      </c>
      <c r="Z3079" s="184">
        <f>_xll.qlCalendarAdvance(Calendar,Y3079,NDays&amp;"D")</f>
        <v>60546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54"/>
        <v>1w</v>
      </c>
      <c r="Y3080" s="181">
        <f>_xll.qlCalendarAdvance(Calendar,Y3079,X3080,"f",FALSE)</f>
        <v>60553</v>
      </c>
      <c r="Z3080" s="184">
        <f>_xll.qlCalendarAdvance(Calendar,Y3080,NDays&amp;"D")</f>
        <v>60553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54"/>
        <v>1w</v>
      </c>
      <c r="Y3081" s="181">
        <f>_xll.qlCalendarAdvance(Calendar,Y3080,X3081,"f",FALSE)</f>
        <v>60560</v>
      </c>
      <c r="Z3081" s="184">
        <f>_xll.qlCalendarAdvance(Calendar,Y3081,NDays&amp;"D")</f>
        <v>60560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54"/>
        <v>1w</v>
      </c>
      <c r="Y3082" s="181">
        <f>_xll.qlCalendarAdvance(Calendar,Y3081,X3082,"f",FALSE)</f>
        <v>60567</v>
      </c>
      <c r="Z3082" s="184">
        <f>_xll.qlCalendarAdvance(Calendar,Y3082,NDays&amp;"D")</f>
        <v>60567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54"/>
        <v>1w</v>
      </c>
      <c r="Y3083" s="181">
        <f>_xll.qlCalendarAdvance(Calendar,Y3082,X3083,"f",FALSE)</f>
        <v>60574</v>
      </c>
      <c r="Z3083" s="184">
        <f>_xll.qlCalendarAdvance(Calendar,Y3083,NDays&amp;"D")</f>
        <v>60574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54"/>
        <v>1w</v>
      </c>
      <c r="Y3084" s="181">
        <f>_xll.qlCalendarAdvance(Calendar,Y3083,X3084,"f",FALSE)</f>
        <v>60581</v>
      </c>
      <c r="Z3084" s="184">
        <f>_xll.qlCalendarAdvance(Calendar,Y3084,NDays&amp;"D")</f>
        <v>60581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54"/>
        <v>1w</v>
      </c>
      <c r="Y3085" s="181">
        <f>_xll.qlCalendarAdvance(Calendar,Y3084,X3085,"f",FALSE)</f>
        <v>60588</v>
      </c>
      <c r="Z3085" s="184">
        <f>_xll.qlCalendarAdvance(Calendar,Y3085,NDays&amp;"D")</f>
        <v>60588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54"/>
        <v>1w</v>
      </c>
      <c r="Y3086" s="181">
        <f>_xll.qlCalendarAdvance(Calendar,Y3085,X3086,"f",FALSE)</f>
        <v>60595</v>
      </c>
      <c r="Z3086" s="184">
        <f>_xll.qlCalendarAdvance(Calendar,Y3086,NDays&amp;"D")</f>
        <v>60595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54"/>
        <v>1w</v>
      </c>
      <c r="Y3087" s="181">
        <f>_xll.qlCalendarAdvance(Calendar,Y3086,X3087,"f",FALSE)</f>
        <v>60602</v>
      </c>
      <c r="Z3087" s="184">
        <f>_xll.qlCalendarAdvance(Calendar,Y3087,NDays&amp;"D")</f>
        <v>60602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54"/>
        <v>1w</v>
      </c>
      <c r="Y3088" s="181">
        <f>_xll.qlCalendarAdvance(Calendar,Y3087,X3088,"f",FALSE)</f>
        <v>60609</v>
      </c>
      <c r="Z3088" s="184">
        <f>_xll.qlCalendarAdvance(Calendar,Y3088,NDays&amp;"D")</f>
        <v>60609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54"/>
        <v>1w</v>
      </c>
      <c r="Y3089" s="181">
        <f>_xll.qlCalendarAdvance(Calendar,Y3088,X3089,"f",FALSE)</f>
        <v>60616</v>
      </c>
      <c r="Z3089" s="184">
        <f>_xll.qlCalendarAdvance(Calendar,Y3089,NDays&amp;"D")</f>
        <v>60616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54"/>
        <v>1w</v>
      </c>
      <c r="Y3090" s="181">
        <f>_xll.qlCalendarAdvance(Calendar,Y3089,X3090,"f",FALSE)</f>
        <v>60623</v>
      </c>
      <c r="Z3090" s="184">
        <f>_xll.qlCalendarAdvance(Calendar,Y3090,NDays&amp;"D")</f>
        <v>60623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54"/>
        <v>1w</v>
      </c>
      <c r="Y3091" s="181">
        <f>_xll.qlCalendarAdvance(Calendar,Y3090,X3091,"f",FALSE)</f>
        <v>60630</v>
      </c>
      <c r="Z3091" s="184">
        <f>_xll.qlCalendarAdvance(Calendar,Y3091,NDays&amp;"D")</f>
        <v>60630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54"/>
        <v>1w</v>
      </c>
      <c r="Y3092" s="181">
        <f>_xll.qlCalendarAdvance(Calendar,Y3091,X3092,"f",FALSE)</f>
        <v>60637</v>
      </c>
      <c r="Z3092" s="184">
        <f>_xll.qlCalendarAdvance(Calendar,Y3092,NDays&amp;"D")</f>
        <v>60637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55">X3092</f>
        <v>1w</v>
      </c>
      <c r="Y3093" s="181">
        <f>_xll.qlCalendarAdvance(Calendar,Y3092,X3093,"f",FALSE)</f>
        <v>60644</v>
      </c>
      <c r="Z3093" s="184">
        <f>_xll.qlCalendarAdvance(Calendar,Y3093,NDays&amp;"D")</f>
        <v>60644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55"/>
        <v>1w</v>
      </c>
      <c r="Y3094" s="181">
        <f>_xll.qlCalendarAdvance(Calendar,Y3093,X3094,"f",FALSE)</f>
        <v>60651</v>
      </c>
      <c r="Z3094" s="184">
        <f>_xll.qlCalendarAdvance(Calendar,Y3094,NDays&amp;"D")</f>
        <v>60651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55"/>
        <v>1w</v>
      </c>
      <c r="Y3095" s="181">
        <f>_xll.qlCalendarAdvance(Calendar,Y3094,X3095,"f",FALSE)</f>
        <v>60659</v>
      </c>
      <c r="Z3095" s="184">
        <f>_xll.qlCalendarAdvance(Calendar,Y3095,NDays&amp;"D")</f>
        <v>60659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55"/>
        <v>1w</v>
      </c>
      <c r="Y3096" s="181">
        <f>_xll.qlCalendarAdvance(Calendar,Y3095,X3096,"f",FALSE)</f>
        <v>60666</v>
      </c>
      <c r="Z3096" s="184">
        <f>_xll.qlCalendarAdvance(Calendar,Y3096,NDays&amp;"D")</f>
        <v>60666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55"/>
        <v>1w</v>
      </c>
      <c r="Y3097" s="181">
        <f>_xll.qlCalendarAdvance(Calendar,Y3096,X3097,"f",FALSE)</f>
        <v>60673</v>
      </c>
      <c r="Z3097" s="184">
        <f>_xll.qlCalendarAdvance(Calendar,Y3097,NDays&amp;"D")</f>
        <v>60673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55"/>
        <v>1w</v>
      </c>
      <c r="Y3098" s="181">
        <f>_xll.qlCalendarAdvance(Calendar,Y3097,X3098,"f",FALSE)</f>
        <v>60680</v>
      </c>
      <c r="Z3098" s="184">
        <f>_xll.qlCalendarAdvance(Calendar,Y3098,NDays&amp;"D")</f>
        <v>60680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55"/>
        <v>1w</v>
      </c>
      <c r="Y3099" s="181">
        <f>_xll.qlCalendarAdvance(Calendar,Y3098,X3099,"f",FALSE)</f>
        <v>60687</v>
      </c>
      <c r="Z3099" s="184">
        <f>_xll.qlCalendarAdvance(Calendar,Y3099,NDays&amp;"D")</f>
        <v>60687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55"/>
        <v>1w</v>
      </c>
      <c r="Y3100" s="181">
        <f>_xll.qlCalendarAdvance(Calendar,Y3099,X3100,"f",FALSE)</f>
        <v>60694</v>
      </c>
      <c r="Z3100" s="184">
        <f>_xll.qlCalendarAdvance(Calendar,Y3100,NDays&amp;"D")</f>
        <v>60694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55"/>
        <v>1w</v>
      </c>
      <c r="Y3101" s="181">
        <f>_xll.qlCalendarAdvance(Calendar,Y3100,X3101,"f",FALSE)</f>
        <v>60701</v>
      </c>
      <c r="Z3101" s="184">
        <f>_xll.qlCalendarAdvance(Calendar,Y3101,NDays&amp;"D")</f>
        <v>60701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55"/>
        <v>1w</v>
      </c>
      <c r="Y3102" s="181">
        <f>_xll.qlCalendarAdvance(Calendar,Y3101,X3102,"f",FALSE)</f>
        <v>60708</v>
      </c>
      <c r="Z3102" s="184">
        <f>_xll.qlCalendarAdvance(Calendar,Y3102,NDays&amp;"D")</f>
        <v>60708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55"/>
        <v>1w</v>
      </c>
      <c r="Y3103" s="181">
        <f>_xll.qlCalendarAdvance(Calendar,Y3102,X3103,"f",FALSE)</f>
        <v>60715</v>
      </c>
      <c r="Z3103" s="184">
        <f>_xll.qlCalendarAdvance(Calendar,Y3103,NDays&amp;"D")</f>
        <v>60715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55"/>
        <v>1w</v>
      </c>
      <c r="Y3104" s="181">
        <f>_xll.qlCalendarAdvance(Calendar,Y3103,X3104,"f",FALSE)</f>
        <v>60722</v>
      </c>
      <c r="Z3104" s="184">
        <f>_xll.qlCalendarAdvance(Calendar,Y3104,NDays&amp;"D")</f>
        <v>60722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55"/>
        <v>1w</v>
      </c>
      <c r="Y3105" s="181">
        <f>_xll.qlCalendarAdvance(Calendar,Y3104,X3105,"f",FALSE)</f>
        <v>60729</v>
      </c>
      <c r="Z3105" s="184">
        <f>_xll.qlCalendarAdvance(Calendar,Y3105,NDays&amp;"D")</f>
        <v>60729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55"/>
        <v>1w</v>
      </c>
      <c r="Y3106" s="181">
        <f>_xll.qlCalendarAdvance(Calendar,Y3105,X3106,"f",FALSE)</f>
        <v>60736</v>
      </c>
      <c r="Z3106" s="184">
        <f>_xll.qlCalendarAdvance(Calendar,Y3106,NDays&amp;"D")</f>
        <v>60736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55"/>
        <v>1w</v>
      </c>
      <c r="Y3107" s="181">
        <f>_xll.qlCalendarAdvance(Calendar,Y3106,X3107,"f",FALSE)</f>
        <v>60743</v>
      </c>
      <c r="Z3107" s="184">
        <f>_xll.qlCalendarAdvance(Calendar,Y3107,NDays&amp;"D")</f>
        <v>60743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55"/>
        <v>1w</v>
      </c>
      <c r="Y3108" s="181">
        <f>_xll.qlCalendarAdvance(Calendar,Y3107,X3108,"f",FALSE)</f>
        <v>60750</v>
      </c>
      <c r="Z3108" s="184">
        <f>_xll.qlCalendarAdvance(Calendar,Y3108,NDays&amp;"D")</f>
        <v>60750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55"/>
        <v>1w</v>
      </c>
      <c r="Y3109" s="181">
        <f>_xll.qlCalendarAdvance(Calendar,Y3108,X3109,"f",FALSE)</f>
        <v>60757</v>
      </c>
      <c r="Z3109" s="184">
        <f>_xll.qlCalendarAdvance(Calendar,Y3109,NDays&amp;"D")</f>
        <v>60757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55"/>
        <v>1w</v>
      </c>
      <c r="Y3110" s="181">
        <f>_xll.qlCalendarAdvance(Calendar,Y3109,X3110,"f",FALSE)</f>
        <v>60764</v>
      </c>
      <c r="Z3110" s="184">
        <f>_xll.qlCalendarAdvance(Calendar,Y3110,NDays&amp;"D")</f>
        <v>60764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55"/>
        <v>1w</v>
      </c>
      <c r="Y3111" s="181">
        <f>_xll.qlCalendarAdvance(Calendar,Y3110,X3111,"f",FALSE)</f>
        <v>60771</v>
      </c>
      <c r="Z3111" s="184">
        <f>_xll.qlCalendarAdvance(Calendar,Y3111,NDays&amp;"D")</f>
        <v>60771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55"/>
        <v>1w</v>
      </c>
      <c r="Y3112" s="181">
        <f>_xll.qlCalendarAdvance(Calendar,Y3111,X3112,"f",FALSE)</f>
        <v>60778</v>
      </c>
      <c r="Z3112" s="184">
        <f>_xll.qlCalendarAdvance(Calendar,Y3112,NDays&amp;"D")</f>
        <v>60778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55"/>
        <v>1w</v>
      </c>
      <c r="Y3113" s="181">
        <f>_xll.qlCalendarAdvance(Calendar,Y3112,X3113,"f",FALSE)</f>
        <v>60785</v>
      </c>
      <c r="Z3113" s="184">
        <f>_xll.qlCalendarAdvance(Calendar,Y3113,NDays&amp;"D")</f>
        <v>60785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55"/>
        <v>1w</v>
      </c>
      <c r="Y3114" s="181">
        <f>_xll.qlCalendarAdvance(Calendar,Y3113,X3114,"f",FALSE)</f>
        <v>60792</v>
      </c>
      <c r="Z3114" s="184">
        <f>_xll.qlCalendarAdvance(Calendar,Y3114,NDays&amp;"D")</f>
        <v>60792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55"/>
        <v>1w</v>
      </c>
      <c r="Y3115" s="181">
        <f>_xll.qlCalendarAdvance(Calendar,Y3114,X3115,"f",FALSE)</f>
        <v>60799</v>
      </c>
      <c r="Z3115" s="184">
        <f>_xll.qlCalendarAdvance(Calendar,Y3115,NDays&amp;"D")</f>
        <v>60799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55"/>
        <v>1w</v>
      </c>
      <c r="Y3116" s="181">
        <f>_xll.qlCalendarAdvance(Calendar,Y3115,X3116,"f",FALSE)</f>
        <v>60806</v>
      </c>
      <c r="Z3116" s="184">
        <f>_xll.qlCalendarAdvance(Calendar,Y3116,NDays&amp;"D")</f>
        <v>60806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55"/>
        <v>1w</v>
      </c>
      <c r="Y3117" s="181">
        <f>_xll.qlCalendarAdvance(Calendar,Y3116,X3117,"f",FALSE)</f>
        <v>60813</v>
      </c>
      <c r="Z3117" s="184">
        <f>_xll.qlCalendarAdvance(Calendar,Y3117,NDays&amp;"D")</f>
        <v>60813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55"/>
        <v>1w</v>
      </c>
      <c r="Y3118" s="181">
        <f>_xll.qlCalendarAdvance(Calendar,Y3117,X3118,"f",FALSE)</f>
        <v>60820</v>
      </c>
      <c r="Z3118" s="184">
        <f>_xll.qlCalendarAdvance(Calendar,Y3118,NDays&amp;"D")</f>
        <v>60820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55"/>
        <v>1w</v>
      </c>
      <c r="Y3119" s="181">
        <f>_xll.qlCalendarAdvance(Calendar,Y3118,X3119,"f",FALSE)</f>
        <v>60827</v>
      </c>
      <c r="Z3119" s="184">
        <f>_xll.qlCalendarAdvance(Calendar,Y3119,NDays&amp;"D")</f>
        <v>60827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55"/>
        <v>1w</v>
      </c>
      <c r="Y3120" s="181">
        <f>_xll.qlCalendarAdvance(Calendar,Y3119,X3120,"f",FALSE)</f>
        <v>60834</v>
      </c>
      <c r="Z3120" s="184">
        <f>_xll.qlCalendarAdvance(Calendar,Y3120,NDays&amp;"D")</f>
        <v>60834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55"/>
        <v>1w</v>
      </c>
      <c r="Y3121" s="181">
        <f>_xll.qlCalendarAdvance(Calendar,Y3120,X3121,"f",FALSE)</f>
        <v>60841</v>
      </c>
      <c r="Z3121" s="184">
        <f>_xll.qlCalendarAdvance(Calendar,Y3121,NDays&amp;"D")</f>
        <v>60841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55"/>
        <v>1w</v>
      </c>
      <c r="Y3122" s="181">
        <f>_xll.qlCalendarAdvance(Calendar,Y3121,X3122,"f",FALSE)</f>
        <v>60848</v>
      </c>
      <c r="Z3122" s="184">
        <f>_xll.qlCalendarAdvance(Calendar,Y3122,NDays&amp;"D")</f>
        <v>60848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55"/>
        <v>1w</v>
      </c>
      <c r="Y3123" s="181">
        <f>_xll.qlCalendarAdvance(Calendar,Y3122,X3123,"f",FALSE)</f>
        <v>60855</v>
      </c>
      <c r="Z3123" s="184">
        <f>_xll.qlCalendarAdvance(Calendar,Y3123,NDays&amp;"D")</f>
        <v>60855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55"/>
        <v>1w</v>
      </c>
      <c r="Y3124" s="181">
        <f>_xll.qlCalendarAdvance(Calendar,Y3123,X3124,"f",FALSE)</f>
        <v>60862</v>
      </c>
      <c r="Z3124" s="184">
        <f>_xll.qlCalendarAdvance(Calendar,Y3124,NDays&amp;"D")</f>
        <v>60862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55"/>
        <v>1w</v>
      </c>
      <c r="Y3125" s="181">
        <f>_xll.qlCalendarAdvance(Calendar,Y3124,X3125,"f",FALSE)</f>
        <v>60869</v>
      </c>
      <c r="Z3125" s="184">
        <f>_xll.qlCalendarAdvance(Calendar,Y3125,NDays&amp;"D")</f>
        <v>60869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55"/>
        <v>1w</v>
      </c>
      <c r="Y3126" s="181">
        <f>_xll.qlCalendarAdvance(Calendar,Y3125,X3126,"f",FALSE)</f>
        <v>60876</v>
      </c>
      <c r="Z3126" s="184">
        <f>_xll.qlCalendarAdvance(Calendar,Y3126,NDays&amp;"D")</f>
        <v>60876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55"/>
        <v>1w</v>
      </c>
      <c r="Y3127" s="181">
        <f>_xll.qlCalendarAdvance(Calendar,Y3126,X3127,"f",FALSE)</f>
        <v>60883</v>
      </c>
      <c r="Z3127" s="184">
        <f>_xll.qlCalendarAdvance(Calendar,Y3127,NDays&amp;"D")</f>
        <v>60883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55"/>
        <v>1w</v>
      </c>
      <c r="Y3128" s="181">
        <f>_xll.qlCalendarAdvance(Calendar,Y3127,X3128,"f",FALSE)</f>
        <v>60890</v>
      </c>
      <c r="Z3128" s="184">
        <f>_xll.qlCalendarAdvance(Calendar,Y3128,NDays&amp;"D")</f>
        <v>60890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55"/>
        <v>1w</v>
      </c>
      <c r="Y3129" s="181">
        <f>_xll.qlCalendarAdvance(Calendar,Y3128,X3129,"f",FALSE)</f>
        <v>60897</v>
      </c>
      <c r="Z3129" s="184">
        <f>_xll.qlCalendarAdvance(Calendar,Y3129,NDays&amp;"D")</f>
        <v>60897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55"/>
        <v>1w</v>
      </c>
      <c r="Y3130" s="181">
        <f>_xll.qlCalendarAdvance(Calendar,Y3129,X3130,"f",FALSE)</f>
        <v>60904</v>
      </c>
      <c r="Z3130" s="184">
        <f>_xll.qlCalendarAdvance(Calendar,Y3130,NDays&amp;"D")</f>
        <v>60904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55"/>
        <v>1w</v>
      </c>
      <c r="Y3131" s="181">
        <f>_xll.qlCalendarAdvance(Calendar,Y3130,X3131,"f",FALSE)</f>
        <v>60911</v>
      </c>
      <c r="Z3131" s="184">
        <f>_xll.qlCalendarAdvance(Calendar,Y3131,NDays&amp;"D")</f>
        <v>60911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55"/>
        <v>1w</v>
      </c>
      <c r="Y3132" s="181">
        <f>_xll.qlCalendarAdvance(Calendar,Y3131,X3132,"f",FALSE)</f>
        <v>60918</v>
      </c>
      <c r="Z3132" s="184">
        <f>_xll.qlCalendarAdvance(Calendar,Y3132,NDays&amp;"D")</f>
        <v>60918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55"/>
        <v>1w</v>
      </c>
      <c r="Y3133" s="181">
        <f>_xll.qlCalendarAdvance(Calendar,Y3132,X3133,"f",FALSE)</f>
        <v>60925</v>
      </c>
      <c r="Z3133" s="184">
        <f>_xll.qlCalendarAdvance(Calendar,Y3133,NDays&amp;"D")</f>
        <v>60925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55"/>
        <v>1w</v>
      </c>
      <c r="Y3134" s="181">
        <f>_xll.qlCalendarAdvance(Calendar,Y3133,X3134,"f",FALSE)</f>
        <v>60932</v>
      </c>
      <c r="Z3134" s="184">
        <f>_xll.qlCalendarAdvance(Calendar,Y3134,NDays&amp;"D")</f>
        <v>60932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55"/>
        <v>1w</v>
      </c>
      <c r="Y3135" s="181">
        <f>_xll.qlCalendarAdvance(Calendar,Y3134,X3135,"f",FALSE)</f>
        <v>60939</v>
      </c>
      <c r="Z3135" s="184">
        <f>_xll.qlCalendarAdvance(Calendar,Y3135,NDays&amp;"D")</f>
        <v>60939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55"/>
        <v>1w</v>
      </c>
      <c r="Y3136" s="181">
        <f>_xll.qlCalendarAdvance(Calendar,Y3135,X3136,"f",FALSE)</f>
        <v>60946</v>
      </c>
      <c r="Z3136" s="184">
        <f>_xll.qlCalendarAdvance(Calendar,Y3136,NDays&amp;"D")</f>
        <v>60946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55"/>
        <v>1w</v>
      </c>
      <c r="Y3137" s="181">
        <f>_xll.qlCalendarAdvance(Calendar,Y3136,X3137,"f",FALSE)</f>
        <v>60953</v>
      </c>
      <c r="Z3137" s="184">
        <f>_xll.qlCalendarAdvance(Calendar,Y3137,NDays&amp;"D")</f>
        <v>60953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55"/>
        <v>1w</v>
      </c>
      <c r="Y3138" s="181">
        <f>_xll.qlCalendarAdvance(Calendar,Y3137,X3138,"f",FALSE)</f>
        <v>60960</v>
      </c>
      <c r="Z3138" s="184">
        <f>_xll.qlCalendarAdvance(Calendar,Y3138,NDays&amp;"D")</f>
        <v>60960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55"/>
        <v>1w</v>
      </c>
      <c r="Y3139" s="181">
        <f>_xll.qlCalendarAdvance(Calendar,Y3138,X3139,"f",FALSE)</f>
        <v>60967</v>
      </c>
      <c r="Z3139" s="184">
        <f>_xll.qlCalendarAdvance(Calendar,Y3139,NDays&amp;"D")</f>
        <v>60967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55"/>
        <v>1w</v>
      </c>
      <c r="Y3140" s="181">
        <f>_xll.qlCalendarAdvance(Calendar,Y3139,X3140,"f",FALSE)</f>
        <v>60974</v>
      </c>
      <c r="Z3140" s="184">
        <f>_xll.qlCalendarAdvance(Calendar,Y3140,NDays&amp;"D")</f>
        <v>60974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55"/>
        <v>1w</v>
      </c>
      <c r="Y3141" s="181">
        <f>_xll.qlCalendarAdvance(Calendar,Y3140,X3141,"f",FALSE)</f>
        <v>60981</v>
      </c>
      <c r="Z3141" s="184">
        <f>_xll.qlCalendarAdvance(Calendar,Y3141,NDays&amp;"D")</f>
        <v>60981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55"/>
        <v>1w</v>
      </c>
      <c r="Y3142" s="181">
        <f>_xll.qlCalendarAdvance(Calendar,Y3141,X3142,"f",FALSE)</f>
        <v>60988</v>
      </c>
      <c r="Z3142" s="184">
        <f>_xll.qlCalendarAdvance(Calendar,Y3142,NDays&amp;"D")</f>
        <v>60988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55"/>
        <v>1w</v>
      </c>
      <c r="Y3143" s="181">
        <f>_xll.qlCalendarAdvance(Calendar,Y3142,X3143,"f",FALSE)</f>
        <v>60995</v>
      </c>
      <c r="Z3143" s="184">
        <f>_xll.qlCalendarAdvance(Calendar,Y3143,NDays&amp;"D")</f>
        <v>60995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55"/>
        <v>1w</v>
      </c>
      <c r="Y3144" s="181">
        <f>_xll.qlCalendarAdvance(Calendar,Y3143,X3144,"f",FALSE)</f>
        <v>61002</v>
      </c>
      <c r="Z3144" s="184">
        <f>_xll.qlCalendarAdvance(Calendar,Y3144,NDays&amp;"D")</f>
        <v>61002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55"/>
        <v>1w</v>
      </c>
      <c r="Y3145" s="181">
        <f>_xll.qlCalendarAdvance(Calendar,Y3144,X3145,"f",FALSE)</f>
        <v>61009</v>
      </c>
      <c r="Z3145" s="184">
        <f>_xll.qlCalendarAdvance(Calendar,Y3145,NDays&amp;"D")</f>
        <v>61009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55"/>
        <v>1w</v>
      </c>
      <c r="Y3146" s="181">
        <f>_xll.qlCalendarAdvance(Calendar,Y3145,X3146,"f",FALSE)</f>
        <v>61016</v>
      </c>
      <c r="Z3146" s="184">
        <f>_xll.qlCalendarAdvance(Calendar,Y3146,NDays&amp;"D")</f>
        <v>61016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55"/>
        <v>1w</v>
      </c>
      <c r="Y3147" s="181">
        <f>_xll.qlCalendarAdvance(Calendar,Y3146,X3147,"f",FALSE)</f>
        <v>61024</v>
      </c>
      <c r="Z3147" s="184">
        <f>_xll.qlCalendarAdvance(Calendar,Y3147,NDays&amp;"D")</f>
        <v>61024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55"/>
        <v>1w</v>
      </c>
      <c r="Y3148" s="181">
        <f>_xll.qlCalendarAdvance(Calendar,Y3147,X3148,"f",FALSE)</f>
        <v>61031</v>
      </c>
      <c r="Z3148" s="184">
        <f>_xll.qlCalendarAdvance(Calendar,Y3148,NDays&amp;"D")</f>
        <v>61031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55"/>
        <v>1w</v>
      </c>
      <c r="Y3149" s="181">
        <f>_xll.qlCalendarAdvance(Calendar,Y3148,X3149,"f",FALSE)</f>
        <v>61038</v>
      </c>
      <c r="Z3149" s="184">
        <f>_xll.qlCalendarAdvance(Calendar,Y3149,NDays&amp;"D")</f>
        <v>61038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55"/>
        <v>1w</v>
      </c>
      <c r="Y3150" s="181">
        <f>_xll.qlCalendarAdvance(Calendar,Y3149,X3150,"f",FALSE)</f>
        <v>61045</v>
      </c>
      <c r="Z3150" s="184">
        <f>_xll.qlCalendarAdvance(Calendar,Y3150,NDays&amp;"D")</f>
        <v>61045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55"/>
        <v>1w</v>
      </c>
      <c r="Y3151" s="181">
        <f>_xll.qlCalendarAdvance(Calendar,Y3150,X3151,"f",FALSE)</f>
        <v>61052</v>
      </c>
      <c r="Z3151" s="184">
        <f>_xll.qlCalendarAdvance(Calendar,Y3151,NDays&amp;"D")</f>
        <v>61052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55"/>
        <v>1w</v>
      </c>
      <c r="Y3152" s="181">
        <f>_xll.qlCalendarAdvance(Calendar,Y3151,X3152,"f",FALSE)</f>
        <v>61059</v>
      </c>
      <c r="Z3152" s="184">
        <f>_xll.qlCalendarAdvance(Calendar,Y3152,NDays&amp;"D")</f>
        <v>61059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55"/>
        <v>1w</v>
      </c>
      <c r="Y3153" s="181">
        <f>_xll.qlCalendarAdvance(Calendar,Y3152,X3153,"f",FALSE)</f>
        <v>61066</v>
      </c>
      <c r="Z3153" s="184">
        <f>_xll.qlCalendarAdvance(Calendar,Y3153,NDays&amp;"D")</f>
        <v>61066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55"/>
        <v>1w</v>
      </c>
      <c r="Y3154" s="181">
        <f>_xll.qlCalendarAdvance(Calendar,Y3153,X3154,"f",FALSE)</f>
        <v>61073</v>
      </c>
      <c r="Z3154" s="184">
        <f>_xll.qlCalendarAdvance(Calendar,Y3154,NDays&amp;"D")</f>
        <v>61073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55"/>
        <v>1w</v>
      </c>
      <c r="Y3155" s="181">
        <f>_xll.qlCalendarAdvance(Calendar,Y3154,X3155,"f",FALSE)</f>
        <v>61080</v>
      </c>
      <c r="Z3155" s="184">
        <f>_xll.qlCalendarAdvance(Calendar,Y3155,NDays&amp;"D")</f>
        <v>61080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55"/>
        <v>1w</v>
      </c>
      <c r="Y3156" s="181">
        <f>_xll.qlCalendarAdvance(Calendar,Y3155,X3156,"f",FALSE)</f>
        <v>61087</v>
      </c>
      <c r="Z3156" s="184">
        <f>_xll.qlCalendarAdvance(Calendar,Y3156,NDays&amp;"D")</f>
        <v>61087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56">X3156</f>
        <v>1w</v>
      </c>
      <c r="Y3157" s="181">
        <f>_xll.qlCalendarAdvance(Calendar,Y3156,X3157,"f",FALSE)</f>
        <v>61094</v>
      </c>
      <c r="Z3157" s="184">
        <f>_xll.qlCalendarAdvance(Calendar,Y3157,NDays&amp;"D")</f>
        <v>61094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56"/>
        <v>1w</v>
      </c>
      <c r="Y3158" s="181">
        <f>_xll.qlCalendarAdvance(Calendar,Y3157,X3158,"f",FALSE)</f>
        <v>61101</v>
      </c>
      <c r="Z3158" s="184">
        <f>_xll.qlCalendarAdvance(Calendar,Y3158,NDays&amp;"D")</f>
        <v>61101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56"/>
        <v>1w</v>
      </c>
      <c r="Y3159" s="181">
        <f>_xll.qlCalendarAdvance(Calendar,Y3158,X3159,"f",FALSE)</f>
        <v>61108</v>
      </c>
      <c r="Z3159" s="184">
        <f>_xll.qlCalendarAdvance(Calendar,Y3159,NDays&amp;"D")</f>
        <v>61108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56"/>
        <v>1w</v>
      </c>
      <c r="Y3160" s="181">
        <f>_xll.qlCalendarAdvance(Calendar,Y3159,X3160,"f",FALSE)</f>
        <v>61115</v>
      </c>
      <c r="Z3160" s="184">
        <f>_xll.qlCalendarAdvance(Calendar,Y3160,NDays&amp;"D")</f>
        <v>61115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56"/>
        <v>1w</v>
      </c>
      <c r="Y3161" s="181">
        <f>_xll.qlCalendarAdvance(Calendar,Y3160,X3161,"f",FALSE)</f>
        <v>61122</v>
      </c>
      <c r="Z3161" s="184">
        <f>_xll.qlCalendarAdvance(Calendar,Y3161,NDays&amp;"D")</f>
        <v>61122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56"/>
        <v>1w</v>
      </c>
      <c r="Y3162" s="181">
        <f>_xll.qlCalendarAdvance(Calendar,Y3161,X3162,"f",FALSE)</f>
        <v>61129</v>
      </c>
      <c r="Z3162" s="184">
        <f>_xll.qlCalendarAdvance(Calendar,Y3162,NDays&amp;"D")</f>
        <v>61129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56"/>
        <v>1w</v>
      </c>
      <c r="Y3163" s="181">
        <f>_xll.qlCalendarAdvance(Calendar,Y3162,X3163,"f",FALSE)</f>
        <v>61136</v>
      </c>
      <c r="Z3163" s="184">
        <f>_xll.qlCalendarAdvance(Calendar,Y3163,NDays&amp;"D")</f>
        <v>61136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56"/>
        <v>1w</v>
      </c>
      <c r="Y3164" s="181">
        <f>_xll.qlCalendarAdvance(Calendar,Y3163,X3164,"f",FALSE)</f>
        <v>61143</v>
      </c>
      <c r="Z3164" s="184">
        <f>_xll.qlCalendarAdvance(Calendar,Y3164,NDays&amp;"D")</f>
        <v>61143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56"/>
        <v>1w</v>
      </c>
      <c r="Y3165" s="181">
        <f>_xll.qlCalendarAdvance(Calendar,Y3164,X3165,"f",FALSE)</f>
        <v>61150</v>
      </c>
      <c r="Z3165" s="184">
        <f>_xll.qlCalendarAdvance(Calendar,Y3165,NDays&amp;"D")</f>
        <v>61150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56"/>
        <v>1w</v>
      </c>
      <c r="Y3166" s="181">
        <f>_xll.qlCalendarAdvance(Calendar,Y3165,X3166,"f",FALSE)</f>
        <v>61157</v>
      </c>
      <c r="Z3166" s="184">
        <f>_xll.qlCalendarAdvance(Calendar,Y3166,NDays&amp;"D")</f>
        <v>61157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56"/>
        <v>1w</v>
      </c>
      <c r="Y3167" s="181">
        <f>_xll.qlCalendarAdvance(Calendar,Y3166,X3167,"f",FALSE)</f>
        <v>61164</v>
      </c>
      <c r="Z3167" s="184">
        <f>_xll.qlCalendarAdvance(Calendar,Y3167,NDays&amp;"D")</f>
        <v>61164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56"/>
        <v>1w</v>
      </c>
      <c r="Y3168" s="181">
        <f>_xll.qlCalendarAdvance(Calendar,Y3167,X3168,"f",FALSE)</f>
        <v>61171</v>
      </c>
      <c r="Z3168" s="184">
        <f>_xll.qlCalendarAdvance(Calendar,Y3168,NDays&amp;"D")</f>
        <v>61171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56"/>
        <v>1w</v>
      </c>
      <c r="Y3169" s="181">
        <f>_xll.qlCalendarAdvance(Calendar,Y3168,X3169,"f",FALSE)</f>
        <v>61178</v>
      </c>
      <c r="Z3169" s="184">
        <f>_xll.qlCalendarAdvance(Calendar,Y3169,NDays&amp;"D")</f>
        <v>61178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56"/>
        <v>1w</v>
      </c>
      <c r="Y3170" s="181">
        <f>_xll.qlCalendarAdvance(Calendar,Y3169,X3170,"f",FALSE)</f>
        <v>61185</v>
      </c>
      <c r="Z3170" s="184">
        <f>_xll.qlCalendarAdvance(Calendar,Y3170,NDays&amp;"D")</f>
        <v>61185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56"/>
        <v>1w</v>
      </c>
      <c r="Y3171" s="181">
        <f>_xll.qlCalendarAdvance(Calendar,Y3170,X3171,"f",FALSE)</f>
        <v>61192</v>
      </c>
      <c r="Z3171" s="184">
        <f>_xll.qlCalendarAdvance(Calendar,Y3171,NDays&amp;"D")</f>
        <v>61192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56"/>
        <v>1w</v>
      </c>
      <c r="Y3172" s="181">
        <f>_xll.qlCalendarAdvance(Calendar,Y3171,X3172,"f",FALSE)</f>
        <v>61199</v>
      </c>
      <c r="Z3172" s="184">
        <f>_xll.qlCalendarAdvance(Calendar,Y3172,NDays&amp;"D")</f>
        <v>61199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56"/>
        <v>1w</v>
      </c>
      <c r="Y3173" s="181">
        <f>_xll.qlCalendarAdvance(Calendar,Y3172,X3173,"f",FALSE)</f>
        <v>61206</v>
      </c>
      <c r="Z3173" s="184">
        <f>_xll.qlCalendarAdvance(Calendar,Y3173,NDays&amp;"D")</f>
        <v>61206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56"/>
        <v>1w</v>
      </c>
      <c r="Y3174" s="181">
        <f>_xll.qlCalendarAdvance(Calendar,Y3173,X3174,"f",FALSE)</f>
        <v>61213</v>
      </c>
      <c r="Z3174" s="184">
        <f>_xll.qlCalendarAdvance(Calendar,Y3174,NDays&amp;"D")</f>
        <v>61213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56"/>
        <v>1w</v>
      </c>
      <c r="Y3175" s="181">
        <f>_xll.qlCalendarAdvance(Calendar,Y3174,X3175,"f",FALSE)</f>
        <v>61220</v>
      </c>
      <c r="Z3175" s="184">
        <f>_xll.qlCalendarAdvance(Calendar,Y3175,NDays&amp;"D")</f>
        <v>61220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56"/>
        <v>1w</v>
      </c>
      <c r="Y3176" s="181">
        <f>_xll.qlCalendarAdvance(Calendar,Y3175,X3176,"f",FALSE)</f>
        <v>61227</v>
      </c>
      <c r="Z3176" s="184">
        <f>_xll.qlCalendarAdvance(Calendar,Y3176,NDays&amp;"D")</f>
        <v>61227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56"/>
        <v>1w</v>
      </c>
      <c r="Y3177" s="181">
        <f>_xll.qlCalendarAdvance(Calendar,Y3176,X3177,"f",FALSE)</f>
        <v>61234</v>
      </c>
      <c r="Z3177" s="184">
        <f>_xll.qlCalendarAdvance(Calendar,Y3177,NDays&amp;"D")</f>
        <v>61234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56"/>
        <v>1w</v>
      </c>
      <c r="Y3178" s="181">
        <f>_xll.qlCalendarAdvance(Calendar,Y3177,X3178,"f",FALSE)</f>
        <v>61241</v>
      </c>
      <c r="Z3178" s="184">
        <f>_xll.qlCalendarAdvance(Calendar,Y3178,NDays&amp;"D")</f>
        <v>61241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56"/>
        <v>1w</v>
      </c>
      <c r="Y3179" s="181">
        <f>_xll.qlCalendarAdvance(Calendar,Y3178,X3179,"f",FALSE)</f>
        <v>61248</v>
      </c>
      <c r="Z3179" s="184">
        <f>_xll.qlCalendarAdvance(Calendar,Y3179,NDays&amp;"D")</f>
        <v>61248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56"/>
        <v>1w</v>
      </c>
      <c r="Y3180" s="181">
        <f>_xll.qlCalendarAdvance(Calendar,Y3179,X3180,"f",FALSE)</f>
        <v>61255</v>
      </c>
      <c r="Z3180" s="184">
        <f>_xll.qlCalendarAdvance(Calendar,Y3180,NDays&amp;"D")</f>
        <v>61255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56"/>
        <v>1w</v>
      </c>
      <c r="Y3181" s="181">
        <f>_xll.qlCalendarAdvance(Calendar,Y3180,X3181,"f",FALSE)</f>
        <v>61262</v>
      </c>
      <c r="Z3181" s="184">
        <f>_xll.qlCalendarAdvance(Calendar,Y3181,NDays&amp;"D")</f>
        <v>61262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56"/>
        <v>1w</v>
      </c>
      <c r="Y3182" s="181">
        <f>_xll.qlCalendarAdvance(Calendar,Y3181,X3182,"f",FALSE)</f>
        <v>61269</v>
      </c>
      <c r="Z3182" s="184">
        <f>_xll.qlCalendarAdvance(Calendar,Y3182,NDays&amp;"D")</f>
        <v>61269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56"/>
        <v>1w</v>
      </c>
      <c r="Y3183" s="181">
        <f>_xll.qlCalendarAdvance(Calendar,Y3182,X3183,"f",FALSE)</f>
        <v>61276</v>
      </c>
      <c r="Z3183" s="184">
        <f>_xll.qlCalendarAdvance(Calendar,Y3183,NDays&amp;"D")</f>
        <v>61276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56"/>
        <v>1w</v>
      </c>
      <c r="Y3184" s="181">
        <f>_xll.qlCalendarAdvance(Calendar,Y3183,X3184,"f",FALSE)</f>
        <v>61283</v>
      </c>
      <c r="Z3184" s="184">
        <f>_xll.qlCalendarAdvance(Calendar,Y3184,NDays&amp;"D")</f>
        <v>61283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56"/>
        <v>1w</v>
      </c>
      <c r="Y3185" s="181">
        <f>_xll.qlCalendarAdvance(Calendar,Y3184,X3185,"f",FALSE)</f>
        <v>61290</v>
      </c>
      <c r="Z3185" s="184">
        <f>_xll.qlCalendarAdvance(Calendar,Y3185,NDays&amp;"D")</f>
        <v>61290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56"/>
        <v>1w</v>
      </c>
      <c r="Y3186" s="181">
        <f>_xll.qlCalendarAdvance(Calendar,Y3185,X3186,"f",FALSE)</f>
        <v>61297</v>
      </c>
      <c r="Z3186" s="184">
        <f>_xll.qlCalendarAdvance(Calendar,Y3186,NDays&amp;"D")</f>
        <v>61297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56"/>
        <v>1w</v>
      </c>
      <c r="Y3187" s="181">
        <f>_xll.qlCalendarAdvance(Calendar,Y3186,X3187,"f",FALSE)</f>
        <v>61304</v>
      </c>
      <c r="Z3187" s="184">
        <f>_xll.qlCalendarAdvance(Calendar,Y3187,NDays&amp;"D")</f>
        <v>61304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56"/>
        <v>1w</v>
      </c>
      <c r="Y3188" s="181">
        <f>_xll.qlCalendarAdvance(Calendar,Y3187,X3188,"f",FALSE)</f>
        <v>61311</v>
      </c>
      <c r="Z3188" s="184">
        <f>_xll.qlCalendarAdvance(Calendar,Y3188,NDays&amp;"D")</f>
        <v>61311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56"/>
        <v>1w</v>
      </c>
      <c r="Y3189" s="181">
        <f>_xll.qlCalendarAdvance(Calendar,Y3188,X3189,"f",FALSE)</f>
        <v>61318</v>
      </c>
      <c r="Z3189" s="184">
        <f>_xll.qlCalendarAdvance(Calendar,Y3189,NDays&amp;"D")</f>
        <v>61318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56"/>
        <v>1w</v>
      </c>
      <c r="Y3190" s="181">
        <f>_xll.qlCalendarAdvance(Calendar,Y3189,X3190,"f",FALSE)</f>
        <v>61325</v>
      </c>
      <c r="Z3190" s="184">
        <f>_xll.qlCalendarAdvance(Calendar,Y3190,NDays&amp;"D")</f>
        <v>61325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56"/>
        <v>1w</v>
      </c>
      <c r="Y3191" s="181">
        <f>_xll.qlCalendarAdvance(Calendar,Y3190,X3191,"f",FALSE)</f>
        <v>61332</v>
      </c>
      <c r="Z3191" s="184">
        <f>_xll.qlCalendarAdvance(Calendar,Y3191,NDays&amp;"D")</f>
        <v>61332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56"/>
        <v>1w</v>
      </c>
      <c r="Y3192" s="181">
        <f>_xll.qlCalendarAdvance(Calendar,Y3191,X3192,"f",FALSE)</f>
        <v>61339</v>
      </c>
      <c r="Z3192" s="184">
        <f>_xll.qlCalendarAdvance(Calendar,Y3192,NDays&amp;"D")</f>
        <v>61339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56"/>
        <v>1w</v>
      </c>
      <c r="Y3193" s="181">
        <f>_xll.qlCalendarAdvance(Calendar,Y3192,X3193,"f",FALSE)</f>
        <v>61346</v>
      </c>
      <c r="Z3193" s="184">
        <f>_xll.qlCalendarAdvance(Calendar,Y3193,NDays&amp;"D")</f>
        <v>61346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56"/>
        <v>1w</v>
      </c>
      <c r="Y3194" s="181">
        <f>_xll.qlCalendarAdvance(Calendar,Y3193,X3194,"f",FALSE)</f>
        <v>61353</v>
      </c>
      <c r="Z3194" s="184">
        <f>_xll.qlCalendarAdvance(Calendar,Y3194,NDays&amp;"D")</f>
        <v>61353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56"/>
        <v>1w</v>
      </c>
      <c r="Y3195" s="181">
        <f>_xll.qlCalendarAdvance(Calendar,Y3194,X3195,"f",FALSE)</f>
        <v>61360</v>
      </c>
      <c r="Z3195" s="184">
        <f>_xll.qlCalendarAdvance(Calendar,Y3195,NDays&amp;"D")</f>
        <v>61360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56"/>
        <v>1w</v>
      </c>
      <c r="Y3196" s="181">
        <f>_xll.qlCalendarAdvance(Calendar,Y3195,X3196,"f",FALSE)</f>
        <v>61367</v>
      </c>
      <c r="Z3196" s="184">
        <f>_xll.qlCalendarAdvance(Calendar,Y3196,NDays&amp;"D")</f>
        <v>61367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56"/>
        <v>1w</v>
      </c>
      <c r="Y3197" s="181">
        <f>_xll.qlCalendarAdvance(Calendar,Y3196,X3197,"f",FALSE)</f>
        <v>61374</v>
      </c>
      <c r="Z3197" s="184">
        <f>_xll.qlCalendarAdvance(Calendar,Y3197,NDays&amp;"D")</f>
        <v>61374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56"/>
        <v>1w</v>
      </c>
      <c r="Y3198" s="181">
        <f>_xll.qlCalendarAdvance(Calendar,Y3197,X3198,"f",FALSE)</f>
        <v>61381</v>
      </c>
      <c r="Z3198" s="184">
        <f>_xll.qlCalendarAdvance(Calendar,Y3198,NDays&amp;"D")</f>
        <v>61381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56"/>
        <v>1w</v>
      </c>
      <c r="Y3199" s="181">
        <f>_xll.qlCalendarAdvance(Calendar,Y3198,X3199,"f",FALSE)</f>
        <v>61389</v>
      </c>
      <c r="Z3199" s="184">
        <f>_xll.qlCalendarAdvance(Calendar,Y3199,NDays&amp;"D")</f>
        <v>61389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56"/>
        <v>1w</v>
      </c>
      <c r="Y3200" s="181">
        <f>_xll.qlCalendarAdvance(Calendar,Y3199,X3200,"f",FALSE)</f>
        <v>61396</v>
      </c>
      <c r="Z3200" s="184">
        <f>_xll.qlCalendarAdvance(Calendar,Y3200,NDays&amp;"D")</f>
        <v>61396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56"/>
        <v>1w</v>
      </c>
      <c r="Y3201" s="181">
        <f>_xll.qlCalendarAdvance(Calendar,Y3200,X3201,"f",FALSE)</f>
        <v>61403</v>
      </c>
      <c r="Z3201" s="184">
        <f>_xll.qlCalendarAdvance(Calendar,Y3201,NDays&amp;"D")</f>
        <v>61403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56"/>
        <v>1w</v>
      </c>
      <c r="Y3202" s="181">
        <f>_xll.qlCalendarAdvance(Calendar,Y3201,X3202,"f",FALSE)</f>
        <v>61410</v>
      </c>
      <c r="Z3202" s="184">
        <f>_xll.qlCalendarAdvance(Calendar,Y3202,NDays&amp;"D")</f>
        <v>61410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56"/>
        <v>1w</v>
      </c>
      <c r="Y3203" s="181">
        <f>_xll.qlCalendarAdvance(Calendar,Y3202,X3203,"f",FALSE)</f>
        <v>61417</v>
      </c>
      <c r="Z3203" s="184">
        <f>_xll.qlCalendarAdvance(Calendar,Y3203,NDays&amp;"D")</f>
        <v>61417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56"/>
        <v>1w</v>
      </c>
      <c r="Y3204" s="181">
        <f>_xll.qlCalendarAdvance(Calendar,Y3203,X3204,"f",FALSE)</f>
        <v>61424</v>
      </c>
      <c r="Z3204" s="184">
        <f>_xll.qlCalendarAdvance(Calendar,Y3204,NDays&amp;"D")</f>
        <v>61424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56"/>
        <v>1w</v>
      </c>
      <c r="Y3205" s="181">
        <f>_xll.qlCalendarAdvance(Calendar,Y3204,X3205,"f",FALSE)</f>
        <v>61431</v>
      </c>
      <c r="Z3205" s="184">
        <f>_xll.qlCalendarAdvance(Calendar,Y3205,NDays&amp;"D")</f>
        <v>61431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56"/>
        <v>1w</v>
      </c>
      <c r="Y3206" s="181">
        <f>_xll.qlCalendarAdvance(Calendar,Y3205,X3206,"f",FALSE)</f>
        <v>61438</v>
      </c>
      <c r="Z3206" s="184">
        <f>_xll.qlCalendarAdvance(Calendar,Y3206,NDays&amp;"D")</f>
        <v>61438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56"/>
        <v>1w</v>
      </c>
      <c r="Y3207" s="181">
        <f>_xll.qlCalendarAdvance(Calendar,Y3206,X3207,"f",FALSE)</f>
        <v>61445</v>
      </c>
      <c r="Z3207" s="184">
        <f>_xll.qlCalendarAdvance(Calendar,Y3207,NDays&amp;"D")</f>
        <v>61445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56"/>
        <v>1w</v>
      </c>
      <c r="Y3208" s="181">
        <f>_xll.qlCalendarAdvance(Calendar,Y3207,X3208,"f",FALSE)</f>
        <v>61452</v>
      </c>
      <c r="Z3208" s="184">
        <f>_xll.qlCalendarAdvance(Calendar,Y3208,NDays&amp;"D")</f>
        <v>61452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56"/>
        <v>1w</v>
      </c>
      <c r="Y3209" s="181">
        <f>_xll.qlCalendarAdvance(Calendar,Y3208,X3209,"f",FALSE)</f>
        <v>61459</v>
      </c>
      <c r="Z3209" s="184">
        <f>_xll.qlCalendarAdvance(Calendar,Y3209,NDays&amp;"D")</f>
        <v>61459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56"/>
        <v>1w</v>
      </c>
      <c r="Y3210" s="181">
        <f>_xll.qlCalendarAdvance(Calendar,Y3209,X3210,"f",FALSE)</f>
        <v>61466</v>
      </c>
      <c r="Z3210" s="184">
        <f>_xll.qlCalendarAdvance(Calendar,Y3210,NDays&amp;"D")</f>
        <v>61466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56"/>
        <v>1w</v>
      </c>
      <c r="Y3211" s="181">
        <f>_xll.qlCalendarAdvance(Calendar,Y3210,X3211,"f",FALSE)</f>
        <v>61477</v>
      </c>
      <c r="Z3211" s="184">
        <f>_xll.qlCalendarAdvance(Calendar,Y3211,NDays&amp;"D")</f>
        <v>61477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56"/>
        <v>1w</v>
      </c>
      <c r="Y3212" s="181">
        <f>_xll.qlCalendarAdvance(Calendar,Y3211,X3212,"f",FALSE)</f>
        <v>61484</v>
      </c>
      <c r="Z3212" s="184">
        <f>_xll.qlCalendarAdvance(Calendar,Y3212,NDays&amp;"D")</f>
        <v>61484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56"/>
        <v>1w</v>
      </c>
      <c r="Y3213" s="181">
        <f>_xll.qlCalendarAdvance(Calendar,Y3212,X3213,"f",FALSE)</f>
        <v>61491</v>
      </c>
      <c r="Z3213" s="184">
        <f>_xll.qlCalendarAdvance(Calendar,Y3213,NDays&amp;"D")</f>
        <v>61491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56"/>
        <v>1w</v>
      </c>
      <c r="Y3214" s="181">
        <f>_xll.qlCalendarAdvance(Calendar,Y3213,X3214,"f",FALSE)</f>
        <v>61498</v>
      </c>
      <c r="Z3214" s="184">
        <f>_xll.qlCalendarAdvance(Calendar,Y3214,NDays&amp;"D")</f>
        <v>61498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56"/>
        <v>1w</v>
      </c>
      <c r="Y3215" s="181">
        <f>_xll.qlCalendarAdvance(Calendar,Y3214,X3215,"f",FALSE)</f>
        <v>61505</v>
      </c>
      <c r="Z3215" s="184">
        <f>_xll.qlCalendarAdvance(Calendar,Y3215,NDays&amp;"D")</f>
        <v>61505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56"/>
        <v>1w</v>
      </c>
      <c r="Y3216" s="181">
        <f>_xll.qlCalendarAdvance(Calendar,Y3215,X3216,"f",FALSE)</f>
        <v>61512</v>
      </c>
      <c r="Z3216" s="184">
        <f>_xll.qlCalendarAdvance(Calendar,Y3216,NDays&amp;"D")</f>
        <v>61512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56"/>
        <v>1w</v>
      </c>
      <c r="Y3217" s="181">
        <f>_xll.qlCalendarAdvance(Calendar,Y3216,X3217,"f",FALSE)</f>
        <v>61519</v>
      </c>
      <c r="Z3217" s="184">
        <f>_xll.qlCalendarAdvance(Calendar,Y3217,NDays&amp;"D")</f>
        <v>61519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56"/>
        <v>1w</v>
      </c>
      <c r="Y3218" s="181">
        <f>_xll.qlCalendarAdvance(Calendar,Y3217,X3218,"f",FALSE)</f>
        <v>61526</v>
      </c>
      <c r="Z3218" s="184">
        <f>_xll.qlCalendarAdvance(Calendar,Y3218,NDays&amp;"D")</f>
        <v>61526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56"/>
        <v>1w</v>
      </c>
      <c r="Y3219" s="181">
        <f>_xll.qlCalendarAdvance(Calendar,Y3218,X3219,"f",FALSE)</f>
        <v>61533</v>
      </c>
      <c r="Z3219" s="184">
        <f>_xll.qlCalendarAdvance(Calendar,Y3219,NDays&amp;"D")</f>
        <v>61533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56"/>
        <v>1w</v>
      </c>
      <c r="Y3220" s="181">
        <f>_xll.qlCalendarAdvance(Calendar,Y3219,X3220,"f",FALSE)</f>
        <v>61540</v>
      </c>
      <c r="Z3220" s="184">
        <f>_xll.qlCalendarAdvance(Calendar,Y3220,NDays&amp;"D")</f>
        <v>61540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57">X3220</f>
        <v>1w</v>
      </c>
      <c r="Y3221" s="181">
        <f>_xll.qlCalendarAdvance(Calendar,Y3220,X3221,"f",FALSE)</f>
        <v>61547</v>
      </c>
      <c r="Z3221" s="184">
        <f>_xll.qlCalendarAdvance(Calendar,Y3221,NDays&amp;"D")</f>
        <v>61547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57"/>
        <v>1w</v>
      </c>
      <c r="Y3222" s="181">
        <f>_xll.qlCalendarAdvance(Calendar,Y3221,X3222,"f",FALSE)</f>
        <v>61554</v>
      </c>
      <c r="Z3222" s="184">
        <f>_xll.qlCalendarAdvance(Calendar,Y3222,NDays&amp;"D")</f>
        <v>61554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57"/>
        <v>1w</v>
      </c>
      <c r="Y3223" s="181">
        <f>_xll.qlCalendarAdvance(Calendar,Y3222,X3223,"f",FALSE)</f>
        <v>61561</v>
      </c>
      <c r="Z3223" s="184">
        <f>_xll.qlCalendarAdvance(Calendar,Y3223,NDays&amp;"D")</f>
        <v>61561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57"/>
        <v>1w</v>
      </c>
      <c r="Y3224" s="181">
        <f>_xll.qlCalendarAdvance(Calendar,Y3223,X3224,"f",FALSE)</f>
        <v>61568</v>
      </c>
      <c r="Z3224" s="184">
        <f>_xll.qlCalendarAdvance(Calendar,Y3224,NDays&amp;"D")</f>
        <v>61568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57"/>
        <v>1w</v>
      </c>
      <c r="Y3225" s="181">
        <f>_xll.qlCalendarAdvance(Calendar,Y3224,X3225,"f",FALSE)</f>
        <v>61575</v>
      </c>
      <c r="Z3225" s="184">
        <f>_xll.qlCalendarAdvance(Calendar,Y3225,NDays&amp;"D")</f>
        <v>61575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57"/>
        <v>1w</v>
      </c>
      <c r="Y3226" s="181">
        <f>_xll.qlCalendarAdvance(Calendar,Y3225,X3226,"f",FALSE)</f>
        <v>61582</v>
      </c>
      <c r="Z3226" s="184">
        <f>_xll.qlCalendarAdvance(Calendar,Y3226,NDays&amp;"D")</f>
        <v>61582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57"/>
        <v>1w</v>
      </c>
      <c r="Y3227" s="181">
        <f>_xll.qlCalendarAdvance(Calendar,Y3226,X3227,"f",FALSE)</f>
        <v>61589</v>
      </c>
      <c r="Z3227" s="184">
        <f>_xll.qlCalendarAdvance(Calendar,Y3227,NDays&amp;"D")</f>
        <v>61589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57"/>
        <v>1w</v>
      </c>
      <c r="Y3228" s="181">
        <f>_xll.qlCalendarAdvance(Calendar,Y3227,X3228,"f",FALSE)</f>
        <v>61596</v>
      </c>
      <c r="Z3228" s="184">
        <f>_xll.qlCalendarAdvance(Calendar,Y3228,NDays&amp;"D")</f>
        <v>61596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57"/>
        <v>1w</v>
      </c>
      <c r="Y3229" s="181">
        <f>_xll.qlCalendarAdvance(Calendar,Y3228,X3229,"f",FALSE)</f>
        <v>61603</v>
      </c>
      <c r="Z3229" s="184">
        <f>_xll.qlCalendarAdvance(Calendar,Y3229,NDays&amp;"D")</f>
        <v>61603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57"/>
        <v>1w</v>
      </c>
      <c r="Y3230" s="181">
        <f>_xll.qlCalendarAdvance(Calendar,Y3229,X3230,"f",FALSE)</f>
        <v>61610</v>
      </c>
      <c r="Z3230" s="184">
        <f>_xll.qlCalendarAdvance(Calendar,Y3230,NDays&amp;"D")</f>
        <v>61610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57"/>
        <v>1w</v>
      </c>
      <c r="Y3231" s="181">
        <f>_xll.qlCalendarAdvance(Calendar,Y3230,X3231,"f",FALSE)</f>
        <v>61617</v>
      </c>
      <c r="Z3231" s="184">
        <f>_xll.qlCalendarAdvance(Calendar,Y3231,NDays&amp;"D")</f>
        <v>61617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57"/>
        <v>1w</v>
      </c>
      <c r="Y3232" s="181">
        <f>_xll.qlCalendarAdvance(Calendar,Y3231,X3232,"f",FALSE)</f>
        <v>61624</v>
      </c>
      <c r="Z3232" s="184">
        <f>_xll.qlCalendarAdvance(Calendar,Y3232,NDays&amp;"D")</f>
        <v>61624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57"/>
        <v>1w</v>
      </c>
      <c r="Y3233" s="181">
        <f>_xll.qlCalendarAdvance(Calendar,Y3232,X3233,"f",FALSE)</f>
        <v>61631</v>
      </c>
      <c r="Z3233" s="184">
        <f>_xll.qlCalendarAdvance(Calendar,Y3233,NDays&amp;"D")</f>
        <v>61631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57"/>
        <v>1w</v>
      </c>
      <c r="Y3234" s="181">
        <f>_xll.qlCalendarAdvance(Calendar,Y3233,X3234,"f",FALSE)</f>
        <v>61638</v>
      </c>
      <c r="Z3234" s="184">
        <f>_xll.qlCalendarAdvance(Calendar,Y3234,NDays&amp;"D")</f>
        <v>61638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57"/>
        <v>1w</v>
      </c>
      <c r="Y3235" s="181">
        <f>_xll.qlCalendarAdvance(Calendar,Y3234,X3235,"f",FALSE)</f>
        <v>61645</v>
      </c>
      <c r="Z3235" s="184">
        <f>_xll.qlCalendarAdvance(Calendar,Y3235,NDays&amp;"D")</f>
        <v>61645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57"/>
        <v>1w</v>
      </c>
      <c r="Y3236" s="181">
        <f>_xll.qlCalendarAdvance(Calendar,Y3235,X3236,"f",FALSE)</f>
        <v>61652</v>
      </c>
      <c r="Z3236" s="184">
        <f>_xll.qlCalendarAdvance(Calendar,Y3236,NDays&amp;"D")</f>
        <v>61652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57"/>
        <v>1w</v>
      </c>
      <c r="Y3237" s="181">
        <f>_xll.qlCalendarAdvance(Calendar,Y3236,X3237,"f",FALSE)</f>
        <v>61659</v>
      </c>
      <c r="Z3237" s="184">
        <f>_xll.qlCalendarAdvance(Calendar,Y3237,NDays&amp;"D")</f>
        <v>61659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57"/>
        <v>1w</v>
      </c>
      <c r="Y3238" s="181">
        <f>_xll.qlCalendarAdvance(Calendar,Y3237,X3238,"f",FALSE)</f>
        <v>61666</v>
      </c>
      <c r="Z3238" s="184">
        <f>_xll.qlCalendarAdvance(Calendar,Y3238,NDays&amp;"D")</f>
        <v>61666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57"/>
        <v>1w</v>
      </c>
      <c r="Y3239" s="181">
        <f>_xll.qlCalendarAdvance(Calendar,Y3238,X3239,"f",FALSE)</f>
        <v>61673</v>
      </c>
      <c r="Z3239" s="184">
        <f>_xll.qlCalendarAdvance(Calendar,Y3239,NDays&amp;"D")</f>
        <v>61673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57"/>
        <v>1w</v>
      </c>
      <c r="Y3240" s="181">
        <f>_xll.qlCalendarAdvance(Calendar,Y3239,X3240,"f",FALSE)</f>
        <v>61680</v>
      </c>
      <c r="Z3240" s="184">
        <f>_xll.qlCalendarAdvance(Calendar,Y3240,NDays&amp;"D")</f>
        <v>61680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57"/>
        <v>1w</v>
      </c>
      <c r="Y3241" s="181">
        <f>_xll.qlCalendarAdvance(Calendar,Y3240,X3241,"f",FALSE)</f>
        <v>61687</v>
      </c>
      <c r="Z3241" s="184">
        <f>_xll.qlCalendarAdvance(Calendar,Y3241,NDays&amp;"D")</f>
        <v>61687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57"/>
        <v>1w</v>
      </c>
      <c r="Y3242" s="181">
        <f>_xll.qlCalendarAdvance(Calendar,Y3241,X3242,"f",FALSE)</f>
        <v>61694</v>
      </c>
      <c r="Z3242" s="184">
        <f>_xll.qlCalendarAdvance(Calendar,Y3242,NDays&amp;"D")</f>
        <v>61694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57"/>
        <v>1w</v>
      </c>
      <c r="Y3243" s="181">
        <f>_xll.qlCalendarAdvance(Calendar,Y3242,X3243,"f",FALSE)</f>
        <v>61701</v>
      </c>
      <c r="Z3243" s="184">
        <f>_xll.qlCalendarAdvance(Calendar,Y3243,NDays&amp;"D")</f>
        <v>61701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57"/>
        <v>1w</v>
      </c>
      <c r="Y3244" s="181">
        <f>_xll.qlCalendarAdvance(Calendar,Y3243,X3244,"f",FALSE)</f>
        <v>61708</v>
      </c>
      <c r="Z3244" s="184">
        <f>_xll.qlCalendarAdvance(Calendar,Y3244,NDays&amp;"D")</f>
        <v>61708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57"/>
        <v>1w</v>
      </c>
      <c r="Y3245" s="181">
        <f>_xll.qlCalendarAdvance(Calendar,Y3244,X3245,"f",FALSE)</f>
        <v>61715</v>
      </c>
      <c r="Z3245" s="184">
        <f>_xll.qlCalendarAdvance(Calendar,Y3245,NDays&amp;"D")</f>
        <v>61715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57"/>
        <v>1w</v>
      </c>
      <c r="Y3246" s="181">
        <f>_xll.qlCalendarAdvance(Calendar,Y3245,X3246,"f",FALSE)</f>
        <v>61724</v>
      </c>
      <c r="Z3246" s="184">
        <f>_xll.qlCalendarAdvance(Calendar,Y3246,NDays&amp;"D")</f>
        <v>61724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57"/>
        <v>1w</v>
      </c>
      <c r="Y3247" s="181">
        <f>_xll.qlCalendarAdvance(Calendar,Y3246,X3247,"f",FALSE)</f>
        <v>61731</v>
      </c>
      <c r="Z3247" s="184">
        <f>_xll.qlCalendarAdvance(Calendar,Y3247,NDays&amp;"D")</f>
        <v>61731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57"/>
        <v>1w</v>
      </c>
      <c r="Y3248" s="181">
        <f>_xll.qlCalendarAdvance(Calendar,Y3247,X3248,"f",FALSE)</f>
        <v>61738</v>
      </c>
      <c r="Z3248" s="184">
        <f>_xll.qlCalendarAdvance(Calendar,Y3248,NDays&amp;"D")</f>
        <v>61738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57"/>
        <v>1w</v>
      </c>
      <c r="Y3249" s="181">
        <f>_xll.qlCalendarAdvance(Calendar,Y3248,X3249,"f",FALSE)</f>
        <v>61745</v>
      </c>
      <c r="Z3249" s="184">
        <f>_xll.qlCalendarAdvance(Calendar,Y3249,NDays&amp;"D")</f>
        <v>61745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57"/>
        <v>1w</v>
      </c>
      <c r="Y3250" s="181">
        <f>_xll.qlCalendarAdvance(Calendar,Y3249,X3250,"f",FALSE)</f>
        <v>61752</v>
      </c>
      <c r="Z3250" s="184">
        <f>_xll.qlCalendarAdvance(Calendar,Y3250,NDays&amp;"D")</f>
        <v>61752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57"/>
        <v>1w</v>
      </c>
      <c r="Y3251" s="181">
        <f>_xll.qlCalendarAdvance(Calendar,Y3250,X3251,"f",FALSE)</f>
        <v>61759</v>
      </c>
      <c r="Z3251" s="184">
        <f>_xll.qlCalendarAdvance(Calendar,Y3251,NDays&amp;"D")</f>
        <v>61759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57"/>
        <v>1w</v>
      </c>
      <c r="Y3252" s="181">
        <f>_xll.qlCalendarAdvance(Calendar,Y3251,X3252,"f",FALSE)</f>
        <v>61766</v>
      </c>
      <c r="Z3252" s="184">
        <f>_xll.qlCalendarAdvance(Calendar,Y3252,NDays&amp;"D")</f>
        <v>61766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57"/>
        <v>1w</v>
      </c>
      <c r="Y3253" s="181">
        <f>_xll.qlCalendarAdvance(Calendar,Y3252,X3253,"f",FALSE)</f>
        <v>61773</v>
      </c>
      <c r="Z3253" s="184">
        <f>_xll.qlCalendarAdvance(Calendar,Y3253,NDays&amp;"D")</f>
        <v>61773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57"/>
        <v>1w</v>
      </c>
      <c r="Y3254" s="181">
        <f>_xll.qlCalendarAdvance(Calendar,Y3253,X3254,"f",FALSE)</f>
        <v>61780</v>
      </c>
      <c r="Z3254" s="184">
        <f>_xll.qlCalendarAdvance(Calendar,Y3254,NDays&amp;"D")</f>
        <v>61780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57"/>
        <v>1w</v>
      </c>
      <c r="Y3255" s="181">
        <f>_xll.qlCalendarAdvance(Calendar,Y3254,X3255,"f",FALSE)</f>
        <v>61787</v>
      </c>
      <c r="Z3255" s="184">
        <f>_xll.qlCalendarAdvance(Calendar,Y3255,NDays&amp;"D")</f>
        <v>61787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57"/>
        <v>1w</v>
      </c>
      <c r="Y3256" s="181">
        <f>_xll.qlCalendarAdvance(Calendar,Y3255,X3256,"f",FALSE)</f>
        <v>61794</v>
      </c>
      <c r="Z3256" s="184">
        <f>_xll.qlCalendarAdvance(Calendar,Y3256,NDays&amp;"D")</f>
        <v>61794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57"/>
        <v>1w</v>
      </c>
      <c r="Y3257" s="181">
        <f>_xll.qlCalendarAdvance(Calendar,Y3256,X3257,"f",FALSE)</f>
        <v>61801</v>
      </c>
      <c r="Z3257" s="184">
        <f>_xll.qlCalendarAdvance(Calendar,Y3257,NDays&amp;"D")</f>
        <v>61801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57"/>
        <v>1w</v>
      </c>
      <c r="Y3258" s="181">
        <f>_xll.qlCalendarAdvance(Calendar,Y3257,X3258,"f",FALSE)</f>
        <v>61808</v>
      </c>
      <c r="Z3258" s="184">
        <f>_xll.qlCalendarAdvance(Calendar,Y3258,NDays&amp;"D")</f>
        <v>61808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57"/>
        <v>1w</v>
      </c>
      <c r="Y3259" s="181">
        <f>_xll.qlCalendarAdvance(Calendar,Y3258,X3259,"f",FALSE)</f>
        <v>61815</v>
      </c>
      <c r="Z3259" s="184">
        <f>_xll.qlCalendarAdvance(Calendar,Y3259,NDays&amp;"D")</f>
        <v>61815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57"/>
        <v>1w</v>
      </c>
      <c r="Y3260" s="181">
        <f>_xll.qlCalendarAdvance(Calendar,Y3259,X3260,"f",FALSE)</f>
        <v>61822</v>
      </c>
      <c r="Z3260" s="184">
        <f>_xll.qlCalendarAdvance(Calendar,Y3260,NDays&amp;"D")</f>
        <v>61822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57"/>
        <v>1w</v>
      </c>
      <c r="Y3261" s="181">
        <f>_xll.qlCalendarAdvance(Calendar,Y3260,X3261,"f",FALSE)</f>
        <v>61829</v>
      </c>
      <c r="Z3261" s="184">
        <f>_xll.qlCalendarAdvance(Calendar,Y3261,NDays&amp;"D")</f>
        <v>61829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57"/>
        <v>1w</v>
      </c>
      <c r="Y3262" s="181">
        <f>_xll.qlCalendarAdvance(Calendar,Y3261,X3262,"f",FALSE)</f>
        <v>61836</v>
      </c>
      <c r="Z3262" s="184">
        <f>_xll.qlCalendarAdvance(Calendar,Y3262,NDays&amp;"D")</f>
        <v>61836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57"/>
        <v>1w</v>
      </c>
      <c r="Y3263" s="181">
        <f>_xll.qlCalendarAdvance(Calendar,Y3262,X3263,"f",FALSE)</f>
        <v>61844</v>
      </c>
      <c r="Z3263" s="184">
        <f>_xll.qlCalendarAdvance(Calendar,Y3263,NDays&amp;"D")</f>
        <v>61844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57"/>
        <v>1w</v>
      </c>
      <c r="Y3264" s="181">
        <f>_xll.qlCalendarAdvance(Calendar,Y3263,X3264,"f",FALSE)</f>
        <v>61851</v>
      </c>
      <c r="Z3264" s="184">
        <f>_xll.qlCalendarAdvance(Calendar,Y3264,NDays&amp;"D")</f>
        <v>61851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57"/>
        <v>1w</v>
      </c>
      <c r="Y3265" s="181">
        <f>_xll.qlCalendarAdvance(Calendar,Y3264,X3265,"f",FALSE)</f>
        <v>61858</v>
      </c>
      <c r="Z3265" s="184">
        <f>_xll.qlCalendarAdvance(Calendar,Y3265,NDays&amp;"D")</f>
        <v>61858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57"/>
        <v>1w</v>
      </c>
      <c r="Y3266" s="181">
        <f>_xll.qlCalendarAdvance(Calendar,Y3265,X3266,"f",FALSE)</f>
        <v>61865</v>
      </c>
      <c r="Z3266" s="184">
        <f>_xll.qlCalendarAdvance(Calendar,Y3266,NDays&amp;"D")</f>
        <v>61865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57"/>
        <v>1w</v>
      </c>
      <c r="Y3267" s="181">
        <f>_xll.qlCalendarAdvance(Calendar,Y3266,X3267,"f",FALSE)</f>
        <v>61872</v>
      </c>
      <c r="Z3267" s="184">
        <f>_xll.qlCalendarAdvance(Calendar,Y3267,NDays&amp;"D")</f>
        <v>61872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57"/>
        <v>1w</v>
      </c>
      <c r="Y3268" s="181">
        <f>_xll.qlCalendarAdvance(Calendar,Y3267,X3268,"f",FALSE)</f>
        <v>61879</v>
      </c>
      <c r="Z3268" s="184">
        <f>_xll.qlCalendarAdvance(Calendar,Y3268,NDays&amp;"D")</f>
        <v>61879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57"/>
        <v>1w</v>
      </c>
      <c r="Y3269" s="181">
        <f>_xll.qlCalendarAdvance(Calendar,Y3268,X3269,"f",FALSE)</f>
        <v>61886</v>
      </c>
      <c r="Z3269" s="184">
        <f>_xll.qlCalendarAdvance(Calendar,Y3269,NDays&amp;"D")</f>
        <v>61886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57"/>
        <v>1w</v>
      </c>
      <c r="Y3270" s="181">
        <f>_xll.qlCalendarAdvance(Calendar,Y3269,X3270,"f",FALSE)</f>
        <v>61893</v>
      </c>
      <c r="Z3270" s="184">
        <f>_xll.qlCalendarAdvance(Calendar,Y3270,NDays&amp;"D")</f>
        <v>61893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57"/>
        <v>1w</v>
      </c>
      <c r="Y3271" s="181">
        <f>_xll.qlCalendarAdvance(Calendar,Y3270,X3271,"f",FALSE)</f>
        <v>61900</v>
      </c>
      <c r="Z3271" s="184">
        <f>_xll.qlCalendarAdvance(Calendar,Y3271,NDays&amp;"D")</f>
        <v>61900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57"/>
        <v>1w</v>
      </c>
      <c r="Y3272" s="181">
        <f>_xll.qlCalendarAdvance(Calendar,Y3271,X3272,"f",FALSE)</f>
        <v>61907</v>
      </c>
      <c r="Z3272" s="184">
        <f>_xll.qlCalendarAdvance(Calendar,Y3272,NDays&amp;"D")</f>
        <v>61907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57"/>
        <v>1w</v>
      </c>
      <c r="Y3273" s="181">
        <f>_xll.qlCalendarAdvance(Calendar,Y3272,X3273,"f",FALSE)</f>
        <v>61914</v>
      </c>
      <c r="Z3273" s="184">
        <f>_xll.qlCalendarAdvance(Calendar,Y3273,NDays&amp;"D")</f>
        <v>61914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57"/>
        <v>1w</v>
      </c>
      <c r="Y3274" s="181">
        <f>_xll.qlCalendarAdvance(Calendar,Y3273,X3274,"f",FALSE)</f>
        <v>61921</v>
      </c>
      <c r="Z3274" s="184">
        <f>_xll.qlCalendarAdvance(Calendar,Y3274,NDays&amp;"D")</f>
        <v>61921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57"/>
        <v>1w</v>
      </c>
      <c r="Y3275" s="181">
        <f>_xll.qlCalendarAdvance(Calendar,Y3274,X3275,"f",FALSE)</f>
        <v>61928</v>
      </c>
      <c r="Z3275" s="184">
        <f>_xll.qlCalendarAdvance(Calendar,Y3275,NDays&amp;"D")</f>
        <v>61928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57"/>
        <v>1w</v>
      </c>
      <c r="Y3276" s="181">
        <f>_xll.qlCalendarAdvance(Calendar,Y3275,X3276,"f",FALSE)</f>
        <v>61935</v>
      </c>
      <c r="Z3276" s="184">
        <f>_xll.qlCalendarAdvance(Calendar,Y3276,NDays&amp;"D")</f>
        <v>61935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57"/>
        <v>1w</v>
      </c>
      <c r="Y3277" s="181">
        <f>_xll.qlCalendarAdvance(Calendar,Y3276,X3277,"f",FALSE)</f>
        <v>61942</v>
      </c>
      <c r="Z3277" s="184">
        <f>_xll.qlCalendarAdvance(Calendar,Y3277,NDays&amp;"D")</f>
        <v>61942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57"/>
        <v>1w</v>
      </c>
      <c r="Y3278" s="181">
        <f>_xll.qlCalendarAdvance(Calendar,Y3277,X3278,"f",FALSE)</f>
        <v>61949</v>
      </c>
      <c r="Z3278" s="184">
        <f>_xll.qlCalendarAdvance(Calendar,Y3278,NDays&amp;"D")</f>
        <v>61949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57"/>
        <v>1w</v>
      </c>
      <c r="Y3279" s="181">
        <f>_xll.qlCalendarAdvance(Calendar,Y3278,X3279,"f",FALSE)</f>
        <v>61956</v>
      </c>
      <c r="Z3279" s="184">
        <f>_xll.qlCalendarAdvance(Calendar,Y3279,NDays&amp;"D")</f>
        <v>61956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57"/>
        <v>1w</v>
      </c>
      <c r="Y3280" s="181">
        <f>_xll.qlCalendarAdvance(Calendar,Y3279,X3280,"f",FALSE)</f>
        <v>61963</v>
      </c>
      <c r="Z3280" s="184">
        <f>_xll.qlCalendarAdvance(Calendar,Y3280,NDays&amp;"D")</f>
        <v>61963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57"/>
        <v>1w</v>
      </c>
      <c r="Y3281" s="181">
        <f>_xll.qlCalendarAdvance(Calendar,Y3280,X3281,"f",FALSE)</f>
        <v>61970</v>
      </c>
      <c r="Z3281" s="184">
        <f>_xll.qlCalendarAdvance(Calendar,Y3281,NDays&amp;"D")</f>
        <v>61970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57"/>
        <v>1w</v>
      </c>
      <c r="Y3282" s="181">
        <f>_xll.qlCalendarAdvance(Calendar,Y3281,X3282,"f",FALSE)</f>
        <v>61977</v>
      </c>
      <c r="Z3282" s="184">
        <f>_xll.qlCalendarAdvance(Calendar,Y3282,NDays&amp;"D")</f>
        <v>61977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57"/>
        <v>1w</v>
      </c>
      <c r="Y3283" s="181">
        <f>_xll.qlCalendarAdvance(Calendar,Y3282,X3283,"f",FALSE)</f>
        <v>61984</v>
      </c>
      <c r="Z3283" s="184">
        <f>_xll.qlCalendarAdvance(Calendar,Y3283,NDays&amp;"D")</f>
        <v>61984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57"/>
        <v>1w</v>
      </c>
      <c r="Y3284" s="181">
        <f>_xll.qlCalendarAdvance(Calendar,Y3283,X3284,"f",FALSE)</f>
        <v>61991</v>
      </c>
      <c r="Z3284" s="184">
        <f>_xll.qlCalendarAdvance(Calendar,Y3284,NDays&amp;"D")</f>
        <v>61991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58">X3284</f>
        <v>1w</v>
      </c>
      <c r="Y3285" s="181">
        <f>_xll.qlCalendarAdvance(Calendar,Y3284,X3285,"f",FALSE)</f>
        <v>61998</v>
      </c>
      <c r="Z3285" s="184">
        <f>_xll.qlCalendarAdvance(Calendar,Y3285,NDays&amp;"D")</f>
        <v>61998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58"/>
        <v>1w</v>
      </c>
      <c r="Y3286" s="181">
        <f>_xll.qlCalendarAdvance(Calendar,Y3285,X3286,"f",FALSE)</f>
        <v>62005</v>
      </c>
      <c r="Z3286" s="184">
        <f>_xll.qlCalendarAdvance(Calendar,Y3286,NDays&amp;"D")</f>
        <v>62005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58"/>
        <v>1w</v>
      </c>
      <c r="Y3287" s="181">
        <f>_xll.qlCalendarAdvance(Calendar,Y3286,X3287,"f",FALSE)</f>
        <v>62012</v>
      </c>
      <c r="Z3287" s="184">
        <f>_xll.qlCalendarAdvance(Calendar,Y3287,NDays&amp;"D")</f>
        <v>62012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58"/>
        <v>1w</v>
      </c>
      <c r="Y3288" s="181">
        <f>_xll.qlCalendarAdvance(Calendar,Y3287,X3288,"f",FALSE)</f>
        <v>62019</v>
      </c>
      <c r="Z3288" s="184">
        <f>_xll.qlCalendarAdvance(Calendar,Y3288,NDays&amp;"D")</f>
        <v>62019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58"/>
        <v>1w</v>
      </c>
      <c r="Y3289" s="181">
        <f>_xll.qlCalendarAdvance(Calendar,Y3288,X3289,"f",FALSE)</f>
        <v>62026</v>
      </c>
      <c r="Z3289" s="184">
        <f>_xll.qlCalendarAdvance(Calendar,Y3289,NDays&amp;"D")</f>
        <v>62026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58"/>
        <v>1w</v>
      </c>
      <c r="Y3290" s="181">
        <f>_xll.qlCalendarAdvance(Calendar,Y3289,X3290,"f",FALSE)</f>
        <v>62033</v>
      </c>
      <c r="Z3290" s="184">
        <f>_xll.qlCalendarAdvance(Calendar,Y3290,NDays&amp;"D")</f>
        <v>62033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58"/>
        <v>1w</v>
      </c>
      <c r="Y3291" s="181">
        <f>_xll.qlCalendarAdvance(Calendar,Y3290,X3291,"f",FALSE)</f>
        <v>62040</v>
      </c>
      <c r="Z3291" s="184">
        <f>_xll.qlCalendarAdvance(Calendar,Y3291,NDays&amp;"D")</f>
        <v>62040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58"/>
        <v>1w</v>
      </c>
      <c r="Y3292" s="181">
        <f>_xll.qlCalendarAdvance(Calendar,Y3291,X3292,"f",FALSE)</f>
        <v>62047</v>
      </c>
      <c r="Z3292" s="184">
        <f>_xll.qlCalendarAdvance(Calendar,Y3292,NDays&amp;"D")</f>
        <v>62047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58"/>
        <v>1w</v>
      </c>
      <c r="Y3293" s="181">
        <f>_xll.qlCalendarAdvance(Calendar,Y3292,X3293,"f",FALSE)</f>
        <v>62054</v>
      </c>
      <c r="Z3293" s="184">
        <f>_xll.qlCalendarAdvance(Calendar,Y3293,NDays&amp;"D")</f>
        <v>62054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58"/>
        <v>1w</v>
      </c>
      <c r="Y3294" s="181">
        <f>_xll.qlCalendarAdvance(Calendar,Y3293,X3294,"f",FALSE)</f>
        <v>62061</v>
      </c>
      <c r="Z3294" s="184">
        <f>_xll.qlCalendarAdvance(Calendar,Y3294,NDays&amp;"D")</f>
        <v>62061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58"/>
        <v>1w</v>
      </c>
      <c r="Y3295" s="181">
        <f>_xll.qlCalendarAdvance(Calendar,Y3294,X3295,"f",FALSE)</f>
        <v>62068</v>
      </c>
      <c r="Z3295" s="184">
        <f>_xll.qlCalendarAdvance(Calendar,Y3295,NDays&amp;"D")</f>
        <v>62068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58"/>
        <v>1w</v>
      </c>
      <c r="Y3296" s="181">
        <f>_xll.qlCalendarAdvance(Calendar,Y3295,X3296,"f",FALSE)</f>
        <v>62075</v>
      </c>
      <c r="Z3296" s="184">
        <f>_xll.qlCalendarAdvance(Calendar,Y3296,NDays&amp;"D")</f>
        <v>62075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58"/>
        <v>1w</v>
      </c>
      <c r="Y3297" s="181">
        <f>_xll.qlCalendarAdvance(Calendar,Y3296,X3297,"f",FALSE)</f>
        <v>62082</v>
      </c>
      <c r="Z3297" s="184">
        <f>_xll.qlCalendarAdvance(Calendar,Y3297,NDays&amp;"D")</f>
        <v>62082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58"/>
        <v>1w</v>
      </c>
      <c r="Y3298" s="181">
        <f>_xll.qlCalendarAdvance(Calendar,Y3297,X3298,"f",FALSE)</f>
        <v>62089</v>
      </c>
      <c r="Z3298" s="184">
        <f>_xll.qlCalendarAdvance(Calendar,Y3298,NDays&amp;"D")</f>
        <v>62089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58"/>
        <v>1w</v>
      </c>
      <c r="Y3299" s="181">
        <f>_xll.qlCalendarAdvance(Calendar,Y3298,X3299,"f",FALSE)</f>
        <v>62096</v>
      </c>
      <c r="Z3299" s="184">
        <f>_xll.qlCalendarAdvance(Calendar,Y3299,NDays&amp;"D")</f>
        <v>62096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58"/>
        <v>1w</v>
      </c>
      <c r="Y3300" s="181">
        <f>_xll.qlCalendarAdvance(Calendar,Y3299,X3300,"f",FALSE)</f>
        <v>62103</v>
      </c>
      <c r="Z3300" s="184">
        <f>_xll.qlCalendarAdvance(Calendar,Y3300,NDays&amp;"D")</f>
        <v>62103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58"/>
        <v>1w</v>
      </c>
      <c r="Y3301" s="181">
        <f>_xll.qlCalendarAdvance(Calendar,Y3300,X3301,"f",FALSE)</f>
        <v>62110</v>
      </c>
      <c r="Z3301" s="184">
        <f>_xll.qlCalendarAdvance(Calendar,Y3301,NDays&amp;"D")</f>
        <v>62110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58"/>
        <v>1w</v>
      </c>
      <c r="Y3302" s="181">
        <f>_xll.qlCalendarAdvance(Calendar,Y3301,X3302,"f",FALSE)</f>
        <v>62117</v>
      </c>
      <c r="Z3302" s="184">
        <f>_xll.qlCalendarAdvance(Calendar,Y3302,NDays&amp;"D")</f>
        <v>62117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58"/>
        <v>1w</v>
      </c>
      <c r="Y3303" s="181">
        <f>_xll.qlCalendarAdvance(Calendar,Y3302,X3303,"f",FALSE)</f>
        <v>62124</v>
      </c>
      <c r="Z3303" s="184">
        <f>_xll.qlCalendarAdvance(Calendar,Y3303,NDays&amp;"D")</f>
        <v>62124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58"/>
        <v>1w</v>
      </c>
      <c r="Y3304" s="181">
        <f>_xll.qlCalendarAdvance(Calendar,Y3303,X3304,"f",FALSE)</f>
        <v>62131</v>
      </c>
      <c r="Z3304" s="184">
        <f>_xll.qlCalendarAdvance(Calendar,Y3304,NDays&amp;"D")</f>
        <v>62131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58"/>
        <v>1w</v>
      </c>
      <c r="Y3305" s="181">
        <f>_xll.qlCalendarAdvance(Calendar,Y3304,X3305,"f",FALSE)</f>
        <v>62138</v>
      </c>
      <c r="Z3305" s="184">
        <f>_xll.qlCalendarAdvance(Calendar,Y3305,NDays&amp;"D")</f>
        <v>62138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58"/>
        <v>1w</v>
      </c>
      <c r="Y3306" s="181">
        <f>_xll.qlCalendarAdvance(Calendar,Y3305,X3306,"f",FALSE)</f>
        <v>62145</v>
      </c>
      <c r="Z3306" s="184">
        <f>_xll.qlCalendarAdvance(Calendar,Y3306,NDays&amp;"D")</f>
        <v>62145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58"/>
        <v>1w</v>
      </c>
      <c r="Y3307" s="181">
        <f>_xll.qlCalendarAdvance(Calendar,Y3306,X3307,"f",FALSE)</f>
        <v>62152</v>
      </c>
      <c r="Z3307" s="184">
        <f>_xll.qlCalendarAdvance(Calendar,Y3307,NDays&amp;"D")</f>
        <v>62152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58"/>
        <v>1w</v>
      </c>
      <c r="Y3308" s="181">
        <f>_xll.qlCalendarAdvance(Calendar,Y3307,X3308,"f",FALSE)</f>
        <v>62159</v>
      </c>
      <c r="Z3308" s="184">
        <f>_xll.qlCalendarAdvance(Calendar,Y3308,NDays&amp;"D")</f>
        <v>62159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58"/>
        <v>1w</v>
      </c>
      <c r="Y3309" s="181">
        <f>_xll.qlCalendarAdvance(Calendar,Y3308,X3309,"f",FALSE)</f>
        <v>62166</v>
      </c>
      <c r="Z3309" s="184">
        <f>_xll.qlCalendarAdvance(Calendar,Y3309,NDays&amp;"D")</f>
        <v>62166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58"/>
        <v>1w</v>
      </c>
      <c r="Y3310" s="181">
        <f>_xll.qlCalendarAdvance(Calendar,Y3309,X3310,"f",FALSE)</f>
        <v>62173</v>
      </c>
      <c r="Z3310" s="184">
        <f>_xll.qlCalendarAdvance(Calendar,Y3310,NDays&amp;"D")</f>
        <v>62173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58"/>
        <v>1w</v>
      </c>
      <c r="Y3311" s="181">
        <f>_xll.qlCalendarAdvance(Calendar,Y3310,X3311,"f",FALSE)</f>
        <v>62184</v>
      </c>
      <c r="Z3311" s="184">
        <f>_xll.qlCalendarAdvance(Calendar,Y3311,NDays&amp;"D")</f>
        <v>62184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58"/>
        <v>1w</v>
      </c>
      <c r="Y3312" s="181">
        <f>_xll.qlCalendarAdvance(Calendar,Y3311,X3312,"f",FALSE)</f>
        <v>62191</v>
      </c>
      <c r="Z3312" s="184">
        <f>_xll.qlCalendarAdvance(Calendar,Y3312,NDays&amp;"D")</f>
        <v>62191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58"/>
        <v>1w</v>
      </c>
      <c r="Y3313" s="181">
        <f>_xll.qlCalendarAdvance(Calendar,Y3312,X3313,"f",FALSE)</f>
        <v>62198</v>
      </c>
      <c r="Z3313" s="184">
        <f>_xll.qlCalendarAdvance(Calendar,Y3313,NDays&amp;"D")</f>
        <v>62198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58"/>
        <v>1w</v>
      </c>
      <c r="Y3314" s="181">
        <f>_xll.qlCalendarAdvance(Calendar,Y3313,X3314,"f",FALSE)</f>
        <v>62205</v>
      </c>
      <c r="Z3314" s="184">
        <f>_xll.qlCalendarAdvance(Calendar,Y3314,NDays&amp;"D")</f>
        <v>62205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58"/>
        <v>1w</v>
      </c>
      <c r="Y3315" s="181">
        <f>_xll.qlCalendarAdvance(Calendar,Y3314,X3315,"f",FALSE)</f>
        <v>62212</v>
      </c>
      <c r="Z3315" s="184">
        <f>_xll.qlCalendarAdvance(Calendar,Y3315,NDays&amp;"D")</f>
        <v>62212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58"/>
        <v>1w</v>
      </c>
      <c r="Y3316" s="181">
        <f>_xll.qlCalendarAdvance(Calendar,Y3315,X3316,"f",FALSE)</f>
        <v>62219</v>
      </c>
      <c r="Z3316" s="184">
        <f>_xll.qlCalendarAdvance(Calendar,Y3316,NDays&amp;"D")</f>
        <v>62219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58"/>
        <v>1w</v>
      </c>
      <c r="Y3317" s="181">
        <f>_xll.qlCalendarAdvance(Calendar,Y3316,X3317,"f",FALSE)</f>
        <v>62226</v>
      </c>
      <c r="Z3317" s="184">
        <f>_xll.qlCalendarAdvance(Calendar,Y3317,NDays&amp;"D")</f>
        <v>62226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58"/>
        <v>1w</v>
      </c>
      <c r="Y3318" s="181">
        <f>_xll.qlCalendarAdvance(Calendar,Y3317,X3318,"f",FALSE)</f>
        <v>62233</v>
      </c>
      <c r="Z3318" s="184">
        <f>_xll.qlCalendarAdvance(Calendar,Y3318,NDays&amp;"D")</f>
        <v>62233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58"/>
        <v>1w</v>
      </c>
      <c r="Y3319" s="181">
        <f>_xll.qlCalendarAdvance(Calendar,Y3318,X3319,"f",FALSE)</f>
        <v>62240</v>
      </c>
      <c r="Z3319" s="184">
        <f>_xll.qlCalendarAdvance(Calendar,Y3319,NDays&amp;"D")</f>
        <v>62240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58"/>
        <v>1w</v>
      </c>
      <c r="Y3320" s="181">
        <f>_xll.qlCalendarAdvance(Calendar,Y3319,X3320,"f",FALSE)</f>
        <v>62247</v>
      </c>
      <c r="Z3320" s="184">
        <f>_xll.qlCalendarAdvance(Calendar,Y3320,NDays&amp;"D")</f>
        <v>62247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58"/>
        <v>1w</v>
      </c>
      <c r="Y3321" s="181">
        <f>_xll.qlCalendarAdvance(Calendar,Y3320,X3321,"f",FALSE)</f>
        <v>62254</v>
      </c>
      <c r="Z3321" s="184">
        <f>_xll.qlCalendarAdvance(Calendar,Y3321,NDays&amp;"D")</f>
        <v>62254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58"/>
        <v>1w</v>
      </c>
      <c r="Y3322" s="181">
        <f>_xll.qlCalendarAdvance(Calendar,Y3321,X3322,"f",FALSE)</f>
        <v>62261</v>
      </c>
      <c r="Z3322" s="184">
        <f>_xll.qlCalendarAdvance(Calendar,Y3322,NDays&amp;"D")</f>
        <v>62261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58"/>
        <v>1w</v>
      </c>
      <c r="Y3323" s="181">
        <f>_xll.qlCalendarAdvance(Calendar,Y3322,X3323,"f",FALSE)</f>
        <v>62268</v>
      </c>
      <c r="Z3323" s="184">
        <f>_xll.qlCalendarAdvance(Calendar,Y3323,NDays&amp;"D")</f>
        <v>62268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58"/>
        <v>1w</v>
      </c>
      <c r="Y3324" s="181">
        <f>_xll.qlCalendarAdvance(Calendar,Y3323,X3324,"f",FALSE)</f>
        <v>62275</v>
      </c>
      <c r="Z3324" s="184">
        <f>_xll.qlCalendarAdvance(Calendar,Y3324,NDays&amp;"D")</f>
        <v>62275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58"/>
        <v>1w</v>
      </c>
      <c r="Y3325" s="181">
        <f>_xll.qlCalendarAdvance(Calendar,Y3324,X3325,"f",FALSE)</f>
        <v>62282</v>
      </c>
      <c r="Z3325" s="184">
        <f>_xll.qlCalendarAdvance(Calendar,Y3325,NDays&amp;"D")</f>
        <v>62282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58"/>
        <v>1w</v>
      </c>
      <c r="Y3326" s="181">
        <f>_xll.qlCalendarAdvance(Calendar,Y3325,X3326,"f",FALSE)</f>
        <v>62289</v>
      </c>
      <c r="Z3326" s="184">
        <f>_xll.qlCalendarAdvance(Calendar,Y3326,NDays&amp;"D")</f>
        <v>62289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58"/>
        <v>1w</v>
      </c>
      <c r="Y3327" s="181">
        <f>_xll.qlCalendarAdvance(Calendar,Y3326,X3327,"f",FALSE)</f>
        <v>62296</v>
      </c>
      <c r="Z3327" s="184">
        <f>_xll.qlCalendarAdvance(Calendar,Y3327,NDays&amp;"D")</f>
        <v>62296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58"/>
        <v>1w</v>
      </c>
      <c r="Y3328" s="181">
        <f>_xll.qlCalendarAdvance(Calendar,Y3327,X3328,"f",FALSE)</f>
        <v>62303</v>
      </c>
      <c r="Z3328" s="184">
        <f>_xll.qlCalendarAdvance(Calendar,Y3328,NDays&amp;"D")</f>
        <v>62303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58"/>
        <v>1w</v>
      </c>
      <c r="Y3329" s="181">
        <f>_xll.qlCalendarAdvance(Calendar,Y3328,X3329,"f",FALSE)</f>
        <v>62310</v>
      </c>
      <c r="Z3329" s="184">
        <f>_xll.qlCalendarAdvance(Calendar,Y3329,NDays&amp;"D")</f>
        <v>62310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58"/>
        <v>1w</v>
      </c>
      <c r="Y3330" s="181">
        <f>_xll.qlCalendarAdvance(Calendar,Y3329,X3330,"f",FALSE)</f>
        <v>62317</v>
      </c>
      <c r="Z3330" s="184">
        <f>_xll.qlCalendarAdvance(Calendar,Y3330,NDays&amp;"D")</f>
        <v>62317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58"/>
        <v>1w</v>
      </c>
      <c r="Y3331" s="181">
        <f>_xll.qlCalendarAdvance(Calendar,Y3330,X3331,"f",FALSE)</f>
        <v>62324</v>
      </c>
      <c r="Z3331" s="184">
        <f>_xll.qlCalendarAdvance(Calendar,Y3331,NDays&amp;"D")</f>
        <v>62324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58"/>
        <v>1w</v>
      </c>
      <c r="Y3332" s="181">
        <f>_xll.qlCalendarAdvance(Calendar,Y3331,X3332,"f",FALSE)</f>
        <v>62331</v>
      </c>
      <c r="Z3332" s="184">
        <f>_xll.qlCalendarAdvance(Calendar,Y3332,NDays&amp;"D")</f>
        <v>62331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58"/>
        <v>1w</v>
      </c>
      <c r="Y3333" s="181">
        <f>_xll.qlCalendarAdvance(Calendar,Y3332,X3333,"f",FALSE)</f>
        <v>62338</v>
      </c>
      <c r="Z3333" s="184">
        <f>_xll.qlCalendarAdvance(Calendar,Y3333,NDays&amp;"D")</f>
        <v>62338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58"/>
        <v>1w</v>
      </c>
      <c r="Y3334" s="181">
        <f>_xll.qlCalendarAdvance(Calendar,Y3333,X3334,"f",FALSE)</f>
        <v>62345</v>
      </c>
      <c r="Z3334" s="184">
        <f>_xll.qlCalendarAdvance(Calendar,Y3334,NDays&amp;"D")</f>
        <v>62345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58"/>
        <v>1w</v>
      </c>
      <c r="Y3335" s="181">
        <f>_xll.qlCalendarAdvance(Calendar,Y3334,X3335,"f",FALSE)</f>
        <v>62352</v>
      </c>
      <c r="Z3335" s="184">
        <f>_xll.qlCalendarAdvance(Calendar,Y3335,NDays&amp;"D")</f>
        <v>62352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58"/>
        <v>1w</v>
      </c>
      <c r="Y3336" s="181">
        <f>_xll.qlCalendarAdvance(Calendar,Y3335,X3336,"f",FALSE)</f>
        <v>62359</v>
      </c>
      <c r="Z3336" s="184">
        <f>_xll.qlCalendarAdvance(Calendar,Y3336,NDays&amp;"D")</f>
        <v>62359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58"/>
        <v>1w</v>
      </c>
      <c r="Y3337" s="181">
        <f>_xll.qlCalendarAdvance(Calendar,Y3336,X3337,"f",FALSE)</f>
        <v>62366</v>
      </c>
      <c r="Z3337" s="184">
        <f>_xll.qlCalendarAdvance(Calendar,Y3337,NDays&amp;"D")</f>
        <v>62366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58"/>
        <v>1w</v>
      </c>
      <c r="Y3338" s="181">
        <f>_xll.qlCalendarAdvance(Calendar,Y3337,X3338,"f",FALSE)</f>
        <v>62373</v>
      </c>
      <c r="Z3338" s="184">
        <f>_xll.qlCalendarAdvance(Calendar,Y3338,NDays&amp;"D")</f>
        <v>62373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58"/>
        <v>1w</v>
      </c>
      <c r="Y3339" s="181">
        <f>_xll.qlCalendarAdvance(Calendar,Y3338,X3339,"f",FALSE)</f>
        <v>62380</v>
      </c>
      <c r="Z3339" s="184">
        <f>_xll.qlCalendarAdvance(Calendar,Y3339,NDays&amp;"D")</f>
        <v>62380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58"/>
        <v>1w</v>
      </c>
      <c r="Y3340" s="181">
        <f>_xll.qlCalendarAdvance(Calendar,Y3339,X3340,"f",FALSE)</f>
        <v>62387</v>
      </c>
      <c r="Z3340" s="184">
        <f>_xll.qlCalendarAdvance(Calendar,Y3340,NDays&amp;"D")</f>
        <v>62387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58"/>
        <v>1w</v>
      </c>
      <c r="Y3341" s="181">
        <f>_xll.qlCalendarAdvance(Calendar,Y3340,X3341,"f",FALSE)</f>
        <v>62394</v>
      </c>
      <c r="Z3341" s="184">
        <f>_xll.qlCalendarAdvance(Calendar,Y3341,NDays&amp;"D")</f>
        <v>62394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58"/>
        <v>1w</v>
      </c>
      <c r="Y3342" s="181">
        <f>_xll.qlCalendarAdvance(Calendar,Y3341,X3342,"f",FALSE)</f>
        <v>62401</v>
      </c>
      <c r="Z3342" s="184">
        <f>_xll.qlCalendarAdvance(Calendar,Y3342,NDays&amp;"D")</f>
        <v>62401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58"/>
        <v>1w</v>
      </c>
      <c r="Y3343" s="181">
        <f>_xll.qlCalendarAdvance(Calendar,Y3342,X3343,"f",FALSE)</f>
        <v>62408</v>
      </c>
      <c r="Z3343" s="184">
        <f>_xll.qlCalendarAdvance(Calendar,Y3343,NDays&amp;"D")</f>
        <v>62408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58"/>
        <v>1w</v>
      </c>
      <c r="Y3344" s="181">
        <f>_xll.qlCalendarAdvance(Calendar,Y3343,X3344,"f",FALSE)</f>
        <v>62415</v>
      </c>
      <c r="Z3344" s="184">
        <f>_xll.qlCalendarAdvance(Calendar,Y3344,NDays&amp;"D")</f>
        <v>62415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58"/>
        <v>1w</v>
      </c>
      <c r="Y3345" s="181">
        <f>_xll.qlCalendarAdvance(Calendar,Y3344,X3345,"f",FALSE)</f>
        <v>62422</v>
      </c>
      <c r="Z3345" s="184">
        <f>_xll.qlCalendarAdvance(Calendar,Y3345,NDays&amp;"D")</f>
        <v>62422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58"/>
        <v>1w</v>
      </c>
      <c r="Y3346" s="181">
        <f>_xll.qlCalendarAdvance(Calendar,Y3345,X3346,"f",FALSE)</f>
        <v>62429</v>
      </c>
      <c r="Z3346" s="184">
        <f>_xll.qlCalendarAdvance(Calendar,Y3346,NDays&amp;"D")</f>
        <v>62429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58"/>
        <v>1w</v>
      </c>
      <c r="Y3347" s="181">
        <f>_xll.qlCalendarAdvance(Calendar,Y3346,X3347,"f",FALSE)</f>
        <v>62436</v>
      </c>
      <c r="Z3347" s="184">
        <f>_xll.qlCalendarAdvance(Calendar,Y3347,NDays&amp;"D")</f>
        <v>62436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58"/>
        <v>1w</v>
      </c>
      <c r="Y3348" s="181">
        <f>_xll.qlCalendarAdvance(Calendar,Y3347,X3348,"f",FALSE)</f>
        <v>62443</v>
      </c>
      <c r="Z3348" s="184">
        <f>_xll.qlCalendarAdvance(Calendar,Y3348,NDays&amp;"D")</f>
        <v>62443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59">X3348</f>
        <v>1w</v>
      </c>
      <c r="Y3349" s="181">
        <f>_xll.qlCalendarAdvance(Calendar,Y3348,X3349,"f",FALSE)</f>
        <v>62450</v>
      </c>
      <c r="Z3349" s="184">
        <f>_xll.qlCalendarAdvance(Calendar,Y3349,NDays&amp;"D")</f>
        <v>62450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59"/>
        <v>1w</v>
      </c>
      <c r="Y3350" s="181">
        <f>_xll.qlCalendarAdvance(Calendar,Y3349,X3350,"f",FALSE)</f>
        <v>62457</v>
      </c>
      <c r="Z3350" s="184">
        <f>_xll.qlCalendarAdvance(Calendar,Y3350,NDays&amp;"D")</f>
        <v>62457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59"/>
        <v>1w</v>
      </c>
      <c r="Y3351" s="181">
        <f>_xll.qlCalendarAdvance(Calendar,Y3350,X3351,"f",FALSE)</f>
        <v>62464</v>
      </c>
      <c r="Z3351" s="184">
        <f>_xll.qlCalendarAdvance(Calendar,Y3351,NDays&amp;"D")</f>
        <v>62464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59"/>
        <v>1w</v>
      </c>
      <c r="Y3352" s="181">
        <f>_xll.qlCalendarAdvance(Calendar,Y3351,X3352,"f",FALSE)</f>
        <v>62471</v>
      </c>
      <c r="Z3352" s="184">
        <f>_xll.qlCalendarAdvance(Calendar,Y3352,NDays&amp;"D")</f>
        <v>62471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59"/>
        <v>1w</v>
      </c>
      <c r="Y3353" s="181">
        <f>_xll.qlCalendarAdvance(Calendar,Y3352,X3353,"f",FALSE)</f>
        <v>62478</v>
      </c>
      <c r="Z3353" s="184">
        <f>_xll.qlCalendarAdvance(Calendar,Y3353,NDays&amp;"D")</f>
        <v>62478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59"/>
        <v>1w</v>
      </c>
      <c r="Y3354" s="181">
        <f>_xll.qlCalendarAdvance(Calendar,Y3353,X3354,"f",FALSE)</f>
        <v>62485</v>
      </c>
      <c r="Z3354" s="184">
        <f>_xll.qlCalendarAdvance(Calendar,Y3354,NDays&amp;"D")</f>
        <v>62485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59"/>
        <v>1w</v>
      </c>
      <c r="Y3355" s="181">
        <f>_xll.qlCalendarAdvance(Calendar,Y3354,X3355,"f",FALSE)</f>
        <v>62492</v>
      </c>
      <c r="Z3355" s="184">
        <f>_xll.qlCalendarAdvance(Calendar,Y3355,NDays&amp;"D")</f>
        <v>62492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59"/>
        <v>1w</v>
      </c>
      <c r="Y3356" s="181">
        <f>_xll.qlCalendarAdvance(Calendar,Y3355,X3356,"f",FALSE)</f>
        <v>62499</v>
      </c>
      <c r="Z3356" s="184">
        <f>_xll.qlCalendarAdvance(Calendar,Y3356,NDays&amp;"D")</f>
        <v>62499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59"/>
        <v>1w</v>
      </c>
      <c r="Y3357" s="181">
        <f>_xll.qlCalendarAdvance(Calendar,Y3356,X3357,"f",FALSE)</f>
        <v>62506</v>
      </c>
      <c r="Z3357" s="184">
        <f>_xll.qlCalendarAdvance(Calendar,Y3357,NDays&amp;"D")</f>
        <v>62506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59"/>
        <v>1w</v>
      </c>
      <c r="Y3358" s="181">
        <f>_xll.qlCalendarAdvance(Calendar,Y3357,X3358,"f",FALSE)</f>
        <v>62513</v>
      </c>
      <c r="Z3358" s="184">
        <f>_xll.qlCalendarAdvance(Calendar,Y3358,NDays&amp;"D")</f>
        <v>62513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59"/>
        <v>1w</v>
      </c>
      <c r="Y3359" s="181">
        <f>_xll.qlCalendarAdvance(Calendar,Y3358,X3359,"f",FALSE)</f>
        <v>62520</v>
      </c>
      <c r="Z3359" s="184">
        <f>_xll.qlCalendarAdvance(Calendar,Y3359,NDays&amp;"D")</f>
        <v>62520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59"/>
        <v>1w</v>
      </c>
      <c r="Y3360" s="181">
        <f>_xll.qlCalendarAdvance(Calendar,Y3359,X3360,"f",FALSE)</f>
        <v>62527</v>
      </c>
      <c r="Z3360" s="184">
        <f>_xll.qlCalendarAdvance(Calendar,Y3360,NDays&amp;"D")</f>
        <v>62527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59"/>
        <v>1w</v>
      </c>
      <c r="Y3361" s="181">
        <f>_xll.qlCalendarAdvance(Calendar,Y3360,X3361,"f",FALSE)</f>
        <v>62534</v>
      </c>
      <c r="Z3361" s="184">
        <f>_xll.qlCalendarAdvance(Calendar,Y3361,NDays&amp;"D")</f>
        <v>62534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59"/>
        <v>1w</v>
      </c>
      <c r="Y3362" s="181">
        <f>_xll.qlCalendarAdvance(Calendar,Y3361,X3362,"f",FALSE)</f>
        <v>62541</v>
      </c>
      <c r="Z3362" s="184">
        <f>_xll.qlCalendarAdvance(Calendar,Y3362,NDays&amp;"D")</f>
        <v>62541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59"/>
        <v>1w</v>
      </c>
      <c r="Y3363" s="181">
        <f>_xll.qlCalendarAdvance(Calendar,Y3362,X3363,"f",FALSE)</f>
        <v>62548</v>
      </c>
      <c r="Z3363" s="184">
        <f>_xll.qlCalendarAdvance(Calendar,Y3363,NDays&amp;"D")</f>
        <v>62548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59"/>
        <v>1w</v>
      </c>
      <c r="Y3364" s="181">
        <f>_xll.qlCalendarAdvance(Calendar,Y3363,X3364,"f",FALSE)</f>
        <v>62555</v>
      </c>
      <c r="Z3364" s="184">
        <f>_xll.qlCalendarAdvance(Calendar,Y3364,NDays&amp;"D")</f>
        <v>62555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59"/>
        <v>1w</v>
      </c>
      <c r="Y3365" s="181">
        <f>_xll.qlCalendarAdvance(Calendar,Y3364,X3365,"f",FALSE)</f>
        <v>62562</v>
      </c>
      <c r="Z3365" s="184">
        <f>_xll.qlCalendarAdvance(Calendar,Y3365,NDays&amp;"D")</f>
        <v>62562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59"/>
        <v>1w</v>
      </c>
      <c r="Y3366" s="181">
        <f>_xll.qlCalendarAdvance(Calendar,Y3365,X3366,"f",FALSE)</f>
        <v>62569</v>
      </c>
      <c r="Z3366" s="184">
        <f>_xll.qlCalendarAdvance(Calendar,Y3366,NDays&amp;"D")</f>
        <v>62569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59"/>
        <v>1w</v>
      </c>
      <c r="Y3367" s="181">
        <f>_xll.qlCalendarAdvance(Calendar,Y3366,X3367,"f",FALSE)</f>
        <v>62576</v>
      </c>
      <c r="Z3367" s="184">
        <f>_xll.qlCalendarAdvance(Calendar,Y3367,NDays&amp;"D")</f>
        <v>62576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59"/>
        <v>1w</v>
      </c>
      <c r="Y3368" s="181">
        <f>_xll.qlCalendarAdvance(Calendar,Y3367,X3368,"f",FALSE)</f>
        <v>62583</v>
      </c>
      <c r="Z3368" s="184">
        <f>_xll.qlCalendarAdvance(Calendar,Y3368,NDays&amp;"D")</f>
        <v>62583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59"/>
        <v>1w</v>
      </c>
      <c r="Y3369" s="181">
        <f>_xll.qlCalendarAdvance(Calendar,Y3368,X3369,"f",FALSE)</f>
        <v>62590</v>
      </c>
      <c r="Z3369" s="184">
        <f>_xll.qlCalendarAdvance(Calendar,Y3369,NDays&amp;"D")</f>
        <v>62590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59"/>
        <v>1w</v>
      </c>
      <c r="Y3370" s="181">
        <f>_xll.qlCalendarAdvance(Calendar,Y3369,X3370,"f",FALSE)</f>
        <v>62597</v>
      </c>
      <c r="Z3370" s="184">
        <f>_xll.qlCalendarAdvance(Calendar,Y3370,NDays&amp;"D")</f>
        <v>62597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59"/>
        <v>1w</v>
      </c>
      <c r="Y3371" s="181">
        <f>_xll.qlCalendarAdvance(Calendar,Y3370,X3371,"f",FALSE)</f>
        <v>62604</v>
      </c>
      <c r="Z3371" s="184">
        <f>_xll.qlCalendarAdvance(Calendar,Y3371,NDays&amp;"D")</f>
        <v>62604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59"/>
        <v>1w</v>
      </c>
      <c r="Y3372" s="181">
        <f>_xll.qlCalendarAdvance(Calendar,Y3371,X3372,"f",FALSE)</f>
        <v>62611</v>
      </c>
      <c r="Z3372" s="184">
        <f>_xll.qlCalendarAdvance(Calendar,Y3372,NDays&amp;"D")</f>
        <v>62611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59"/>
        <v>1w</v>
      </c>
      <c r="Y3373" s="181">
        <f>_xll.qlCalendarAdvance(Calendar,Y3372,X3373,"f",FALSE)</f>
        <v>62618</v>
      </c>
      <c r="Z3373" s="184">
        <f>_xll.qlCalendarAdvance(Calendar,Y3373,NDays&amp;"D")</f>
        <v>62618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59"/>
        <v>1w</v>
      </c>
      <c r="Y3374" s="181">
        <f>_xll.qlCalendarAdvance(Calendar,Y3373,X3374,"f",FALSE)</f>
        <v>62625</v>
      </c>
      <c r="Z3374" s="184">
        <f>_xll.qlCalendarAdvance(Calendar,Y3374,NDays&amp;"D")</f>
        <v>62625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59"/>
        <v>1w</v>
      </c>
      <c r="Y3375" s="181">
        <f>_xll.qlCalendarAdvance(Calendar,Y3374,X3375,"f",FALSE)</f>
        <v>62632</v>
      </c>
      <c r="Z3375" s="184">
        <f>_xll.qlCalendarAdvance(Calendar,Y3375,NDays&amp;"D")</f>
        <v>62632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59"/>
        <v>1w</v>
      </c>
      <c r="Y3376" s="181">
        <f>_xll.qlCalendarAdvance(Calendar,Y3375,X3376,"f",FALSE)</f>
        <v>62639</v>
      </c>
      <c r="Z3376" s="184">
        <f>_xll.qlCalendarAdvance(Calendar,Y3376,NDays&amp;"D")</f>
        <v>62639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59"/>
        <v>1w</v>
      </c>
      <c r="Y3377" s="181">
        <f>_xll.qlCalendarAdvance(Calendar,Y3376,X3377,"f",FALSE)</f>
        <v>62646</v>
      </c>
      <c r="Z3377" s="184">
        <f>_xll.qlCalendarAdvance(Calendar,Y3377,NDays&amp;"D")</f>
        <v>62646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59"/>
        <v>1w</v>
      </c>
      <c r="Y3378" s="181">
        <f>_xll.qlCalendarAdvance(Calendar,Y3377,X3378,"f",FALSE)</f>
        <v>62653</v>
      </c>
      <c r="Z3378" s="184">
        <f>_xll.qlCalendarAdvance(Calendar,Y3378,NDays&amp;"D")</f>
        <v>62653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59"/>
        <v>1w</v>
      </c>
      <c r="Y3379" s="181">
        <f>_xll.qlCalendarAdvance(Calendar,Y3378,X3379,"f",FALSE)</f>
        <v>62660</v>
      </c>
      <c r="Z3379" s="184">
        <f>_xll.qlCalendarAdvance(Calendar,Y3379,NDays&amp;"D")</f>
        <v>62660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59"/>
        <v>1w</v>
      </c>
      <c r="Y3380" s="181">
        <f>_xll.qlCalendarAdvance(Calendar,Y3379,X3380,"f",FALSE)</f>
        <v>62667</v>
      </c>
      <c r="Z3380" s="184">
        <f>_xll.qlCalendarAdvance(Calendar,Y3380,NDays&amp;"D")</f>
        <v>62667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59"/>
        <v>1w</v>
      </c>
      <c r="Y3381" s="181">
        <f>_xll.qlCalendarAdvance(Calendar,Y3380,X3381,"f",FALSE)</f>
        <v>62674</v>
      </c>
      <c r="Z3381" s="184">
        <f>_xll.qlCalendarAdvance(Calendar,Y3381,NDays&amp;"D")</f>
        <v>62674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59"/>
        <v>1w</v>
      </c>
      <c r="Y3382" s="181">
        <f>_xll.qlCalendarAdvance(Calendar,Y3381,X3382,"f",FALSE)</f>
        <v>62681</v>
      </c>
      <c r="Z3382" s="184">
        <f>_xll.qlCalendarAdvance(Calendar,Y3382,NDays&amp;"D")</f>
        <v>62681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59"/>
        <v>1w</v>
      </c>
      <c r="Y3383" s="181">
        <f>_xll.qlCalendarAdvance(Calendar,Y3382,X3383,"f",FALSE)</f>
        <v>62688</v>
      </c>
      <c r="Z3383" s="184">
        <f>_xll.qlCalendarAdvance(Calendar,Y3383,NDays&amp;"D")</f>
        <v>62688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59"/>
        <v>1w</v>
      </c>
      <c r="Y3384" s="181">
        <f>_xll.qlCalendarAdvance(Calendar,Y3383,X3384,"f",FALSE)</f>
        <v>62695</v>
      </c>
      <c r="Z3384" s="184">
        <f>_xll.qlCalendarAdvance(Calendar,Y3384,NDays&amp;"D")</f>
        <v>62695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59"/>
        <v>1w</v>
      </c>
      <c r="Y3385" s="181">
        <f>_xll.qlCalendarAdvance(Calendar,Y3384,X3385,"f",FALSE)</f>
        <v>62702</v>
      </c>
      <c r="Z3385" s="184">
        <f>_xll.qlCalendarAdvance(Calendar,Y3385,NDays&amp;"D")</f>
        <v>62702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59"/>
        <v>1w</v>
      </c>
      <c r="Y3386" s="181">
        <f>_xll.qlCalendarAdvance(Calendar,Y3385,X3386,"f",FALSE)</f>
        <v>62709</v>
      </c>
      <c r="Z3386" s="184">
        <f>_xll.qlCalendarAdvance(Calendar,Y3386,NDays&amp;"D")</f>
        <v>62709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59"/>
        <v>1w</v>
      </c>
      <c r="Y3387" s="181">
        <f>_xll.qlCalendarAdvance(Calendar,Y3386,X3387,"f",FALSE)</f>
        <v>62716</v>
      </c>
      <c r="Z3387" s="184">
        <f>_xll.qlCalendarAdvance(Calendar,Y3387,NDays&amp;"D")</f>
        <v>62716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59"/>
        <v>1w</v>
      </c>
      <c r="Y3388" s="181">
        <f>_xll.qlCalendarAdvance(Calendar,Y3387,X3388,"f",FALSE)</f>
        <v>62723</v>
      </c>
      <c r="Z3388" s="184">
        <f>_xll.qlCalendarAdvance(Calendar,Y3388,NDays&amp;"D")</f>
        <v>62723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59"/>
        <v>1w</v>
      </c>
      <c r="Y3389" s="181">
        <f>_xll.qlCalendarAdvance(Calendar,Y3388,X3389,"f",FALSE)</f>
        <v>62730</v>
      </c>
      <c r="Z3389" s="184">
        <f>_xll.qlCalendarAdvance(Calendar,Y3389,NDays&amp;"D")</f>
        <v>62730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59"/>
        <v>1w</v>
      </c>
      <c r="Y3390" s="181">
        <f>_xll.qlCalendarAdvance(Calendar,Y3389,X3390,"f",FALSE)</f>
        <v>62737</v>
      </c>
      <c r="Z3390" s="184">
        <f>_xll.qlCalendarAdvance(Calendar,Y3390,NDays&amp;"D")</f>
        <v>62737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59"/>
        <v>1w</v>
      </c>
      <c r="Y3391" s="181">
        <f>_xll.qlCalendarAdvance(Calendar,Y3390,X3391,"f",FALSE)</f>
        <v>62744</v>
      </c>
      <c r="Z3391" s="184">
        <f>_xll.qlCalendarAdvance(Calendar,Y3391,NDays&amp;"D")</f>
        <v>62744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59"/>
        <v>1w</v>
      </c>
      <c r="Y3392" s="181">
        <f>_xll.qlCalendarAdvance(Calendar,Y3391,X3392,"f",FALSE)</f>
        <v>62751</v>
      </c>
      <c r="Z3392" s="184">
        <f>_xll.qlCalendarAdvance(Calendar,Y3392,NDays&amp;"D")</f>
        <v>62751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59"/>
        <v>1w</v>
      </c>
      <c r="Y3393" s="181">
        <f>_xll.qlCalendarAdvance(Calendar,Y3392,X3393,"f",FALSE)</f>
        <v>62758</v>
      </c>
      <c r="Z3393" s="184">
        <f>_xll.qlCalendarAdvance(Calendar,Y3393,NDays&amp;"D")</f>
        <v>62758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59"/>
        <v>1w</v>
      </c>
      <c r="Y3394" s="181">
        <f>_xll.qlCalendarAdvance(Calendar,Y3393,X3394,"f",FALSE)</f>
        <v>62765</v>
      </c>
      <c r="Z3394" s="184">
        <f>_xll.qlCalendarAdvance(Calendar,Y3394,NDays&amp;"D")</f>
        <v>62765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59"/>
        <v>1w</v>
      </c>
      <c r="Y3395" s="181">
        <f>_xll.qlCalendarAdvance(Calendar,Y3394,X3395,"f",FALSE)</f>
        <v>62772</v>
      </c>
      <c r="Z3395" s="184">
        <f>_xll.qlCalendarAdvance(Calendar,Y3395,NDays&amp;"D")</f>
        <v>62772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59"/>
        <v>1w</v>
      </c>
      <c r="Y3396" s="181">
        <f>_xll.qlCalendarAdvance(Calendar,Y3395,X3396,"f",FALSE)</f>
        <v>62779</v>
      </c>
      <c r="Z3396" s="184">
        <f>_xll.qlCalendarAdvance(Calendar,Y3396,NDays&amp;"D")</f>
        <v>62779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59"/>
        <v>1w</v>
      </c>
      <c r="Y3397" s="181">
        <f>_xll.qlCalendarAdvance(Calendar,Y3396,X3397,"f",FALSE)</f>
        <v>62786</v>
      </c>
      <c r="Z3397" s="184">
        <f>_xll.qlCalendarAdvance(Calendar,Y3397,NDays&amp;"D")</f>
        <v>62786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59"/>
        <v>1w</v>
      </c>
      <c r="Y3398" s="181">
        <f>_xll.qlCalendarAdvance(Calendar,Y3397,X3398,"f",FALSE)</f>
        <v>62793</v>
      </c>
      <c r="Z3398" s="184">
        <f>_xll.qlCalendarAdvance(Calendar,Y3398,NDays&amp;"D")</f>
        <v>62793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59"/>
        <v>1w</v>
      </c>
      <c r="Y3399" s="181">
        <f>_xll.qlCalendarAdvance(Calendar,Y3398,X3399,"f",FALSE)</f>
        <v>62800</v>
      </c>
      <c r="Z3399" s="184">
        <f>_xll.qlCalendarAdvance(Calendar,Y3399,NDays&amp;"D")</f>
        <v>62800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59"/>
        <v>1w</v>
      </c>
      <c r="Y3400" s="181">
        <f>_xll.qlCalendarAdvance(Calendar,Y3399,X3400,"f",FALSE)</f>
        <v>62807</v>
      </c>
      <c r="Z3400" s="184">
        <f>_xll.qlCalendarAdvance(Calendar,Y3400,NDays&amp;"D")</f>
        <v>62807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59"/>
        <v>1w</v>
      </c>
      <c r="Y3401" s="181">
        <f>_xll.qlCalendarAdvance(Calendar,Y3400,X3401,"f",FALSE)</f>
        <v>62814</v>
      </c>
      <c r="Z3401" s="184">
        <f>_xll.qlCalendarAdvance(Calendar,Y3401,NDays&amp;"D")</f>
        <v>62814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59"/>
        <v>1w</v>
      </c>
      <c r="Y3402" s="181">
        <f>_xll.qlCalendarAdvance(Calendar,Y3401,X3402,"f",FALSE)</f>
        <v>62821</v>
      </c>
      <c r="Z3402" s="184">
        <f>_xll.qlCalendarAdvance(Calendar,Y3402,NDays&amp;"D")</f>
        <v>62821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59"/>
        <v>1w</v>
      </c>
      <c r="Y3403" s="181">
        <f>_xll.qlCalendarAdvance(Calendar,Y3402,X3403,"f",FALSE)</f>
        <v>62828</v>
      </c>
      <c r="Z3403" s="184">
        <f>_xll.qlCalendarAdvance(Calendar,Y3403,NDays&amp;"D")</f>
        <v>62828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59"/>
        <v>1w</v>
      </c>
      <c r="Y3404" s="181">
        <f>_xll.qlCalendarAdvance(Calendar,Y3403,X3404,"f",FALSE)</f>
        <v>62835</v>
      </c>
      <c r="Z3404" s="184">
        <f>_xll.qlCalendarAdvance(Calendar,Y3404,NDays&amp;"D")</f>
        <v>62835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59"/>
        <v>1w</v>
      </c>
      <c r="Y3405" s="181">
        <f>_xll.qlCalendarAdvance(Calendar,Y3404,X3405,"f",FALSE)</f>
        <v>62842</v>
      </c>
      <c r="Z3405" s="184">
        <f>_xll.qlCalendarAdvance(Calendar,Y3405,NDays&amp;"D")</f>
        <v>62842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59"/>
        <v>1w</v>
      </c>
      <c r="Y3406" s="181">
        <f>_xll.qlCalendarAdvance(Calendar,Y3405,X3406,"f",FALSE)</f>
        <v>62850</v>
      </c>
      <c r="Z3406" s="184">
        <f>_xll.qlCalendarAdvance(Calendar,Y3406,NDays&amp;"D")</f>
        <v>62850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59"/>
        <v>1w</v>
      </c>
      <c r="Y3407" s="181">
        <f>_xll.qlCalendarAdvance(Calendar,Y3406,X3407,"f",FALSE)</f>
        <v>62857</v>
      </c>
      <c r="Z3407" s="184">
        <f>_xll.qlCalendarAdvance(Calendar,Y3407,NDays&amp;"D")</f>
        <v>62857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59"/>
        <v>1w</v>
      </c>
      <c r="Y3408" s="181">
        <f>_xll.qlCalendarAdvance(Calendar,Y3407,X3408,"f",FALSE)</f>
        <v>62864</v>
      </c>
      <c r="Z3408" s="184">
        <f>_xll.qlCalendarAdvance(Calendar,Y3408,NDays&amp;"D")</f>
        <v>62864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59"/>
        <v>1w</v>
      </c>
      <c r="Y3409" s="181">
        <f>_xll.qlCalendarAdvance(Calendar,Y3408,X3409,"f",FALSE)</f>
        <v>62871</v>
      </c>
      <c r="Z3409" s="184">
        <f>_xll.qlCalendarAdvance(Calendar,Y3409,NDays&amp;"D")</f>
        <v>62871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59"/>
        <v>1w</v>
      </c>
      <c r="Y3410" s="181">
        <f>_xll.qlCalendarAdvance(Calendar,Y3409,X3410,"f",FALSE)</f>
        <v>62878</v>
      </c>
      <c r="Z3410" s="184">
        <f>_xll.qlCalendarAdvance(Calendar,Y3410,NDays&amp;"D")</f>
        <v>62878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59"/>
        <v>1w</v>
      </c>
      <c r="Y3411" s="181">
        <f>_xll.qlCalendarAdvance(Calendar,Y3410,X3411,"f",FALSE)</f>
        <v>62885</v>
      </c>
      <c r="Z3411" s="184">
        <f>_xll.qlCalendarAdvance(Calendar,Y3411,NDays&amp;"D")</f>
        <v>62885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59"/>
        <v>1w</v>
      </c>
      <c r="Y3412" s="181">
        <f>_xll.qlCalendarAdvance(Calendar,Y3411,X3412,"f",FALSE)</f>
        <v>62892</v>
      </c>
      <c r="Z3412" s="184">
        <f>_xll.qlCalendarAdvance(Calendar,Y3412,NDays&amp;"D")</f>
        <v>62892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0">X3412</f>
        <v>1w</v>
      </c>
      <c r="Y3413" s="181">
        <f>_xll.qlCalendarAdvance(Calendar,Y3412,X3413,"f",FALSE)</f>
        <v>62899</v>
      </c>
      <c r="Z3413" s="184">
        <f>_xll.qlCalendarAdvance(Calendar,Y3413,NDays&amp;"D")</f>
        <v>62899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0"/>
        <v>1w</v>
      </c>
      <c r="Y3414" s="181">
        <f>_xll.qlCalendarAdvance(Calendar,Y3413,X3414,"f",FALSE)</f>
        <v>62906</v>
      </c>
      <c r="Z3414" s="184">
        <f>_xll.qlCalendarAdvance(Calendar,Y3414,NDays&amp;"D")</f>
        <v>62906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0"/>
        <v>1w</v>
      </c>
      <c r="Y3415" s="181">
        <f>_xll.qlCalendarAdvance(Calendar,Y3414,X3415,"f",FALSE)</f>
        <v>62913</v>
      </c>
      <c r="Z3415" s="184">
        <f>_xll.qlCalendarAdvance(Calendar,Y3415,NDays&amp;"D")</f>
        <v>62913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0"/>
        <v>1w</v>
      </c>
      <c r="Y3416" s="181">
        <f>_xll.qlCalendarAdvance(Calendar,Y3415,X3416,"f",FALSE)</f>
        <v>62920</v>
      </c>
      <c r="Z3416" s="184">
        <f>_xll.qlCalendarAdvance(Calendar,Y3416,NDays&amp;"D")</f>
        <v>62920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0"/>
        <v>1w</v>
      </c>
      <c r="Y3417" s="181">
        <f>_xll.qlCalendarAdvance(Calendar,Y3416,X3417,"f",FALSE)</f>
        <v>62927</v>
      </c>
      <c r="Z3417" s="184">
        <f>_xll.qlCalendarAdvance(Calendar,Y3417,NDays&amp;"D")</f>
        <v>62927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0"/>
        <v>1w</v>
      </c>
      <c r="Y3418" s="181">
        <f>_xll.qlCalendarAdvance(Calendar,Y3417,X3418,"f",FALSE)</f>
        <v>62934</v>
      </c>
      <c r="Z3418" s="184">
        <f>_xll.qlCalendarAdvance(Calendar,Y3418,NDays&amp;"D")</f>
        <v>62934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0"/>
        <v>1w</v>
      </c>
      <c r="Y3419" s="181">
        <f>_xll.qlCalendarAdvance(Calendar,Y3418,X3419,"f",FALSE)</f>
        <v>62941</v>
      </c>
      <c r="Z3419" s="184">
        <f>_xll.qlCalendarAdvance(Calendar,Y3419,NDays&amp;"D")</f>
        <v>62941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0"/>
        <v>1w</v>
      </c>
      <c r="Y3420" s="181">
        <f>_xll.qlCalendarAdvance(Calendar,Y3419,X3420,"f",FALSE)</f>
        <v>62948</v>
      </c>
      <c r="Z3420" s="184">
        <f>_xll.qlCalendarAdvance(Calendar,Y3420,NDays&amp;"D")</f>
        <v>62948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0"/>
        <v>1w</v>
      </c>
      <c r="Y3421" s="181">
        <f>_xll.qlCalendarAdvance(Calendar,Y3420,X3421,"f",FALSE)</f>
        <v>62955</v>
      </c>
      <c r="Z3421" s="184">
        <f>_xll.qlCalendarAdvance(Calendar,Y3421,NDays&amp;"D")</f>
        <v>62955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0"/>
        <v>1w</v>
      </c>
      <c r="Y3422" s="181">
        <f>_xll.qlCalendarAdvance(Calendar,Y3421,X3422,"f",FALSE)</f>
        <v>62962</v>
      </c>
      <c r="Z3422" s="184">
        <f>_xll.qlCalendarAdvance(Calendar,Y3422,NDays&amp;"D")</f>
        <v>62962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0"/>
        <v>1w</v>
      </c>
      <c r="Y3423" s="181">
        <f>_xll.qlCalendarAdvance(Calendar,Y3422,X3423,"f",FALSE)</f>
        <v>62969</v>
      </c>
      <c r="Z3423" s="184">
        <f>_xll.qlCalendarAdvance(Calendar,Y3423,NDays&amp;"D")</f>
        <v>62969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0"/>
        <v>1w</v>
      </c>
      <c r="Y3424" s="181">
        <f>_xll.qlCalendarAdvance(Calendar,Y3423,X3424,"f",FALSE)</f>
        <v>62976</v>
      </c>
      <c r="Z3424" s="184">
        <f>_xll.qlCalendarAdvance(Calendar,Y3424,NDays&amp;"D")</f>
        <v>62976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0"/>
        <v>1w</v>
      </c>
      <c r="Y3425" s="181">
        <f>_xll.qlCalendarAdvance(Calendar,Y3424,X3425,"f",FALSE)</f>
        <v>62983</v>
      </c>
      <c r="Z3425" s="184">
        <f>_xll.qlCalendarAdvance(Calendar,Y3425,NDays&amp;"D")</f>
        <v>62983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0"/>
        <v>1w</v>
      </c>
      <c r="Y3426" s="181">
        <f>_xll.qlCalendarAdvance(Calendar,Y3425,X3426,"f",FALSE)</f>
        <v>62990</v>
      </c>
      <c r="Z3426" s="184">
        <f>_xll.qlCalendarAdvance(Calendar,Y3426,NDays&amp;"D")</f>
        <v>62990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0"/>
        <v>1w</v>
      </c>
      <c r="Y3427" s="181">
        <f>_xll.qlCalendarAdvance(Calendar,Y3426,X3427,"f",FALSE)</f>
        <v>62997</v>
      </c>
      <c r="Z3427" s="184">
        <f>_xll.qlCalendarAdvance(Calendar,Y3427,NDays&amp;"D")</f>
        <v>62997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0"/>
        <v>1w</v>
      </c>
      <c r="Y3428" s="181">
        <f>_xll.qlCalendarAdvance(Calendar,Y3427,X3428,"f",FALSE)</f>
        <v>63004</v>
      </c>
      <c r="Z3428" s="184">
        <f>_xll.qlCalendarAdvance(Calendar,Y3428,NDays&amp;"D")</f>
        <v>63004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0"/>
        <v>1w</v>
      </c>
      <c r="Y3429" s="181">
        <f>_xll.qlCalendarAdvance(Calendar,Y3428,X3429,"f",FALSE)</f>
        <v>63011</v>
      </c>
      <c r="Z3429" s="184">
        <f>_xll.qlCalendarAdvance(Calendar,Y3429,NDays&amp;"D")</f>
        <v>63011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0"/>
        <v>1w</v>
      </c>
      <c r="Y3430" s="181">
        <f>_xll.qlCalendarAdvance(Calendar,Y3429,X3430,"f",FALSE)</f>
        <v>63018</v>
      </c>
      <c r="Z3430" s="184">
        <f>_xll.qlCalendarAdvance(Calendar,Y3430,NDays&amp;"D")</f>
        <v>63018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0"/>
        <v>1w</v>
      </c>
      <c r="Y3431" s="181">
        <f>_xll.qlCalendarAdvance(Calendar,Y3430,X3431,"f",FALSE)</f>
        <v>63025</v>
      </c>
      <c r="Z3431" s="184">
        <f>_xll.qlCalendarAdvance(Calendar,Y3431,NDays&amp;"D")</f>
        <v>63025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0"/>
        <v>1w</v>
      </c>
      <c r="Y3432" s="181">
        <f>_xll.qlCalendarAdvance(Calendar,Y3431,X3432,"f",FALSE)</f>
        <v>63032</v>
      </c>
      <c r="Z3432" s="184">
        <f>_xll.qlCalendarAdvance(Calendar,Y3432,NDays&amp;"D")</f>
        <v>63032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0"/>
        <v>1w</v>
      </c>
      <c r="Y3433" s="181">
        <f>_xll.qlCalendarAdvance(Calendar,Y3432,X3433,"f",FALSE)</f>
        <v>63039</v>
      </c>
      <c r="Z3433" s="184">
        <f>_xll.qlCalendarAdvance(Calendar,Y3433,NDays&amp;"D")</f>
        <v>63039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0"/>
        <v>1w</v>
      </c>
      <c r="Y3434" s="181">
        <f>_xll.qlCalendarAdvance(Calendar,Y3433,X3434,"f",FALSE)</f>
        <v>63046</v>
      </c>
      <c r="Z3434" s="184">
        <f>_xll.qlCalendarAdvance(Calendar,Y3434,NDays&amp;"D")</f>
        <v>63046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0"/>
        <v>1w</v>
      </c>
      <c r="Y3435" s="181">
        <f>_xll.qlCalendarAdvance(Calendar,Y3434,X3435,"f",FALSE)</f>
        <v>63053</v>
      </c>
      <c r="Z3435" s="184">
        <f>_xll.qlCalendarAdvance(Calendar,Y3435,NDays&amp;"D")</f>
        <v>63053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0"/>
        <v>1w</v>
      </c>
      <c r="Y3436" s="181">
        <f>_xll.qlCalendarAdvance(Calendar,Y3435,X3436,"f",FALSE)</f>
        <v>63060</v>
      </c>
      <c r="Z3436" s="184">
        <f>_xll.qlCalendarAdvance(Calendar,Y3436,NDays&amp;"D")</f>
        <v>63060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0"/>
        <v>1w</v>
      </c>
      <c r="Y3437" s="181">
        <f>_xll.qlCalendarAdvance(Calendar,Y3436,X3437,"f",FALSE)</f>
        <v>63067</v>
      </c>
      <c r="Z3437" s="184">
        <f>_xll.qlCalendarAdvance(Calendar,Y3437,NDays&amp;"D")</f>
        <v>63067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0"/>
        <v>1w</v>
      </c>
      <c r="Y3438" s="181">
        <f>_xll.qlCalendarAdvance(Calendar,Y3437,X3438,"f",FALSE)</f>
        <v>63074</v>
      </c>
      <c r="Z3438" s="184">
        <f>_xll.qlCalendarAdvance(Calendar,Y3438,NDays&amp;"D")</f>
        <v>63074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0"/>
        <v>1w</v>
      </c>
      <c r="Y3439" s="181">
        <f>_xll.qlCalendarAdvance(Calendar,Y3438,X3439,"f",FALSE)</f>
        <v>63081</v>
      </c>
      <c r="Z3439" s="184">
        <f>_xll.qlCalendarAdvance(Calendar,Y3439,NDays&amp;"D")</f>
        <v>63081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0"/>
        <v>1w</v>
      </c>
      <c r="Y3440" s="181">
        <f>_xll.qlCalendarAdvance(Calendar,Y3439,X3440,"f",FALSE)</f>
        <v>63088</v>
      </c>
      <c r="Z3440" s="184">
        <f>_xll.qlCalendarAdvance(Calendar,Y3440,NDays&amp;"D")</f>
        <v>63088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0"/>
        <v>1w</v>
      </c>
      <c r="Y3441" s="181">
        <f>_xll.qlCalendarAdvance(Calendar,Y3440,X3441,"f",FALSE)</f>
        <v>63095</v>
      </c>
      <c r="Z3441" s="184">
        <f>_xll.qlCalendarAdvance(Calendar,Y3441,NDays&amp;"D")</f>
        <v>63095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0"/>
        <v>1w</v>
      </c>
      <c r="Y3442" s="181">
        <f>_xll.qlCalendarAdvance(Calendar,Y3441,X3442,"f",FALSE)</f>
        <v>63102</v>
      </c>
      <c r="Z3442" s="184">
        <f>_xll.qlCalendarAdvance(Calendar,Y3442,NDays&amp;"D")</f>
        <v>63102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0"/>
        <v>1w</v>
      </c>
      <c r="Y3443" s="181">
        <f>_xll.qlCalendarAdvance(Calendar,Y3442,X3443,"f",FALSE)</f>
        <v>63109</v>
      </c>
      <c r="Z3443" s="184">
        <f>_xll.qlCalendarAdvance(Calendar,Y3443,NDays&amp;"D")</f>
        <v>63109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0"/>
        <v>1w</v>
      </c>
      <c r="Y3444" s="181">
        <f>_xll.qlCalendarAdvance(Calendar,Y3443,X3444,"f",FALSE)</f>
        <v>63116</v>
      </c>
      <c r="Z3444" s="184">
        <f>_xll.qlCalendarAdvance(Calendar,Y3444,NDays&amp;"D")</f>
        <v>63116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0"/>
        <v>1w</v>
      </c>
      <c r="Y3445" s="181">
        <f>_xll.qlCalendarAdvance(Calendar,Y3444,X3445,"f",FALSE)</f>
        <v>63123</v>
      </c>
      <c r="Z3445" s="184">
        <f>_xll.qlCalendarAdvance(Calendar,Y3445,NDays&amp;"D")</f>
        <v>63123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0"/>
        <v>1w</v>
      </c>
      <c r="Y3446" s="181">
        <f>_xll.qlCalendarAdvance(Calendar,Y3445,X3446,"f",FALSE)</f>
        <v>63130</v>
      </c>
      <c r="Z3446" s="184">
        <f>_xll.qlCalendarAdvance(Calendar,Y3446,NDays&amp;"D")</f>
        <v>63130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0"/>
        <v>1w</v>
      </c>
      <c r="Y3447" s="181">
        <f>_xll.qlCalendarAdvance(Calendar,Y3446,X3447,"f",FALSE)</f>
        <v>63137</v>
      </c>
      <c r="Z3447" s="184">
        <f>_xll.qlCalendarAdvance(Calendar,Y3447,NDays&amp;"D")</f>
        <v>63137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0"/>
        <v>1w</v>
      </c>
      <c r="Y3448" s="181">
        <f>_xll.qlCalendarAdvance(Calendar,Y3447,X3448,"f",FALSE)</f>
        <v>63144</v>
      </c>
      <c r="Z3448" s="184">
        <f>_xll.qlCalendarAdvance(Calendar,Y3448,NDays&amp;"D")</f>
        <v>63144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0"/>
        <v>1w</v>
      </c>
      <c r="Y3449" s="181">
        <f>_xll.qlCalendarAdvance(Calendar,Y3448,X3449,"f",FALSE)</f>
        <v>63151</v>
      </c>
      <c r="Z3449" s="184">
        <f>_xll.qlCalendarAdvance(Calendar,Y3449,NDays&amp;"D")</f>
        <v>63151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0"/>
        <v>1w</v>
      </c>
      <c r="Y3450" s="181">
        <f>_xll.qlCalendarAdvance(Calendar,Y3449,X3450,"f",FALSE)</f>
        <v>63158</v>
      </c>
      <c r="Z3450" s="184">
        <f>_xll.qlCalendarAdvance(Calendar,Y3450,NDays&amp;"D")</f>
        <v>63158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0"/>
        <v>1w</v>
      </c>
      <c r="Y3451" s="181">
        <f>_xll.qlCalendarAdvance(Calendar,Y3450,X3451,"f",FALSE)</f>
        <v>63165</v>
      </c>
      <c r="Z3451" s="184">
        <f>_xll.qlCalendarAdvance(Calendar,Y3451,NDays&amp;"D")</f>
        <v>63165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0"/>
        <v>1w</v>
      </c>
      <c r="Y3452" s="181">
        <f>_xll.qlCalendarAdvance(Calendar,Y3451,X3452,"f",FALSE)</f>
        <v>63172</v>
      </c>
      <c r="Z3452" s="184">
        <f>_xll.qlCalendarAdvance(Calendar,Y3452,NDays&amp;"D")</f>
        <v>63172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0"/>
        <v>1w</v>
      </c>
      <c r="Y3453" s="181">
        <f>_xll.qlCalendarAdvance(Calendar,Y3452,X3453,"f",FALSE)</f>
        <v>63179</v>
      </c>
      <c r="Z3453" s="184">
        <f>_xll.qlCalendarAdvance(Calendar,Y3453,NDays&amp;"D")</f>
        <v>63179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0"/>
        <v>1w</v>
      </c>
      <c r="Y3454" s="181">
        <f>_xll.qlCalendarAdvance(Calendar,Y3453,X3454,"f",FALSE)</f>
        <v>63186</v>
      </c>
      <c r="Z3454" s="184">
        <f>_xll.qlCalendarAdvance(Calendar,Y3454,NDays&amp;"D")</f>
        <v>63186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0"/>
        <v>1w</v>
      </c>
      <c r="Y3455" s="181">
        <f>_xll.qlCalendarAdvance(Calendar,Y3454,X3455,"f",FALSE)</f>
        <v>63193</v>
      </c>
      <c r="Z3455" s="184">
        <f>_xll.qlCalendarAdvance(Calendar,Y3455,NDays&amp;"D")</f>
        <v>63193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0"/>
        <v>1w</v>
      </c>
      <c r="Y3456" s="181">
        <f>_xll.qlCalendarAdvance(Calendar,Y3455,X3456,"f",FALSE)</f>
        <v>63200</v>
      </c>
      <c r="Z3456" s="184">
        <f>_xll.qlCalendarAdvance(Calendar,Y3456,NDays&amp;"D")</f>
        <v>63200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0"/>
        <v>1w</v>
      </c>
      <c r="Y3457" s="181">
        <f>_xll.qlCalendarAdvance(Calendar,Y3456,X3457,"f",FALSE)</f>
        <v>63207</v>
      </c>
      <c r="Z3457" s="184">
        <f>_xll.qlCalendarAdvance(Calendar,Y3457,NDays&amp;"D")</f>
        <v>63207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0"/>
        <v>1w</v>
      </c>
      <c r="Y3458" s="181">
        <f>_xll.qlCalendarAdvance(Calendar,Y3457,X3458,"f",FALSE)</f>
        <v>63214</v>
      </c>
      <c r="Z3458" s="184">
        <f>_xll.qlCalendarAdvance(Calendar,Y3458,NDays&amp;"D")</f>
        <v>63214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0"/>
        <v>1w</v>
      </c>
      <c r="Y3459" s="181">
        <f>_xll.qlCalendarAdvance(Calendar,Y3458,X3459,"f",FALSE)</f>
        <v>63221</v>
      </c>
      <c r="Z3459" s="184">
        <f>_xll.qlCalendarAdvance(Calendar,Y3459,NDays&amp;"D")</f>
        <v>63221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0"/>
        <v>1w</v>
      </c>
      <c r="Y3460" s="181">
        <f>_xll.qlCalendarAdvance(Calendar,Y3459,X3460,"f",FALSE)</f>
        <v>63228</v>
      </c>
      <c r="Z3460" s="184">
        <f>_xll.qlCalendarAdvance(Calendar,Y3460,NDays&amp;"D")</f>
        <v>63228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0"/>
        <v>1w</v>
      </c>
      <c r="Y3461" s="181">
        <f>_xll.qlCalendarAdvance(Calendar,Y3460,X3461,"f",FALSE)</f>
        <v>63235</v>
      </c>
      <c r="Z3461" s="184">
        <f>_xll.qlCalendarAdvance(Calendar,Y3461,NDays&amp;"D")</f>
        <v>63235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0"/>
        <v>1w</v>
      </c>
      <c r="Y3462" s="181">
        <f>_xll.qlCalendarAdvance(Calendar,Y3461,X3462,"f",FALSE)</f>
        <v>63242</v>
      </c>
      <c r="Z3462" s="184">
        <f>_xll.qlCalendarAdvance(Calendar,Y3462,NDays&amp;"D")</f>
        <v>63242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0"/>
        <v>1w</v>
      </c>
      <c r="Y3463" s="181">
        <f>_xll.qlCalendarAdvance(Calendar,Y3462,X3463,"f",FALSE)</f>
        <v>63249</v>
      </c>
      <c r="Z3463" s="184">
        <f>_xll.qlCalendarAdvance(Calendar,Y3463,NDays&amp;"D")</f>
        <v>63249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0"/>
        <v>1w</v>
      </c>
      <c r="Y3464" s="181">
        <f>_xll.qlCalendarAdvance(Calendar,Y3463,X3464,"f",FALSE)</f>
        <v>63256</v>
      </c>
      <c r="Z3464" s="184">
        <f>_xll.qlCalendarAdvance(Calendar,Y3464,NDays&amp;"D")</f>
        <v>63256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0"/>
        <v>1w</v>
      </c>
      <c r="Y3465" s="181">
        <f>_xll.qlCalendarAdvance(Calendar,Y3464,X3465,"f",FALSE)</f>
        <v>63263</v>
      </c>
      <c r="Z3465" s="184">
        <f>_xll.qlCalendarAdvance(Calendar,Y3465,NDays&amp;"D")</f>
        <v>63263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0"/>
        <v>1w</v>
      </c>
      <c r="Y3466" s="181">
        <f>_xll.qlCalendarAdvance(Calendar,Y3465,X3466,"f",FALSE)</f>
        <v>63270</v>
      </c>
      <c r="Z3466" s="184">
        <f>_xll.qlCalendarAdvance(Calendar,Y3466,NDays&amp;"D")</f>
        <v>63270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0"/>
        <v>1w</v>
      </c>
      <c r="Y3467" s="181">
        <f>_xll.qlCalendarAdvance(Calendar,Y3466,X3467,"f",FALSE)</f>
        <v>63277</v>
      </c>
      <c r="Z3467" s="184">
        <f>_xll.qlCalendarAdvance(Calendar,Y3467,NDays&amp;"D")</f>
        <v>63277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0"/>
        <v>1w</v>
      </c>
      <c r="Y3468" s="181">
        <f>_xll.qlCalendarAdvance(Calendar,Y3467,X3468,"f",FALSE)</f>
        <v>63284</v>
      </c>
      <c r="Z3468" s="184">
        <f>_xll.qlCalendarAdvance(Calendar,Y3468,NDays&amp;"D")</f>
        <v>63284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0"/>
        <v>1w</v>
      </c>
      <c r="Y3469" s="181">
        <f>_xll.qlCalendarAdvance(Calendar,Y3468,X3469,"f",FALSE)</f>
        <v>63291</v>
      </c>
      <c r="Z3469" s="184">
        <f>_xll.qlCalendarAdvance(Calendar,Y3469,NDays&amp;"D")</f>
        <v>63291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0"/>
        <v>1w</v>
      </c>
      <c r="Y3470" s="181">
        <f>_xll.qlCalendarAdvance(Calendar,Y3469,X3470,"f",FALSE)</f>
        <v>63298</v>
      </c>
      <c r="Z3470" s="184">
        <f>_xll.qlCalendarAdvance(Calendar,Y3470,NDays&amp;"D")</f>
        <v>63298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0"/>
        <v>1w</v>
      </c>
      <c r="Y3471" s="181">
        <f>_xll.qlCalendarAdvance(Calendar,Y3470,X3471,"f",FALSE)</f>
        <v>63305</v>
      </c>
      <c r="Z3471" s="184">
        <f>_xll.qlCalendarAdvance(Calendar,Y3471,NDays&amp;"D")</f>
        <v>63305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0"/>
        <v>1w</v>
      </c>
      <c r="Y3472" s="181">
        <f>_xll.qlCalendarAdvance(Calendar,Y3471,X3472,"f",FALSE)</f>
        <v>63312</v>
      </c>
      <c r="Z3472" s="184">
        <f>_xll.qlCalendarAdvance(Calendar,Y3472,NDays&amp;"D")</f>
        <v>63312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0"/>
        <v>1w</v>
      </c>
      <c r="Y3473" s="181">
        <f>_xll.qlCalendarAdvance(Calendar,Y3472,X3473,"f",FALSE)</f>
        <v>63319</v>
      </c>
      <c r="Z3473" s="184">
        <f>_xll.qlCalendarAdvance(Calendar,Y3473,NDays&amp;"D")</f>
        <v>63319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0"/>
        <v>1w</v>
      </c>
      <c r="Y3474" s="181">
        <f>_xll.qlCalendarAdvance(Calendar,Y3473,X3474,"f",FALSE)</f>
        <v>63326</v>
      </c>
      <c r="Z3474" s="184">
        <f>_xll.qlCalendarAdvance(Calendar,Y3474,NDays&amp;"D")</f>
        <v>63326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0"/>
        <v>1w</v>
      </c>
      <c r="Y3475" s="181">
        <f>_xll.qlCalendarAdvance(Calendar,Y3474,X3475,"f",FALSE)</f>
        <v>63333</v>
      </c>
      <c r="Z3475" s="184">
        <f>_xll.qlCalendarAdvance(Calendar,Y3475,NDays&amp;"D")</f>
        <v>63333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0"/>
        <v>1w</v>
      </c>
      <c r="Y3476" s="181">
        <f>_xll.qlCalendarAdvance(Calendar,Y3475,X3476,"f",FALSE)</f>
        <v>63340</v>
      </c>
      <c r="Z3476" s="184">
        <f>_xll.qlCalendarAdvance(Calendar,Y3476,NDays&amp;"D")</f>
        <v>63340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1">X3476</f>
        <v>1w</v>
      </c>
      <c r="Y3477" s="181">
        <f>_xll.qlCalendarAdvance(Calendar,Y3476,X3477,"f",FALSE)</f>
        <v>63347</v>
      </c>
      <c r="Z3477" s="184">
        <f>_xll.qlCalendarAdvance(Calendar,Y3477,NDays&amp;"D")</f>
        <v>63347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1"/>
        <v>1w</v>
      </c>
      <c r="Y3478" s="181">
        <f>_xll.qlCalendarAdvance(Calendar,Y3477,X3478,"f",FALSE)</f>
        <v>63354</v>
      </c>
      <c r="Z3478" s="184">
        <f>_xll.qlCalendarAdvance(Calendar,Y3478,NDays&amp;"D")</f>
        <v>63354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1"/>
        <v>1w</v>
      </c>
      <c r="Y3479" s="181">
        <f>_xll.qlCalendarAdvance(Calendar,Y3478,X3479,"f",FALSE)</f>
        <v>63361</v>
      </c>
      <c r="Z3479" s="184">
        <f>_xll.qlCalendarAdvance(Calendar,Y3479,NDays&amp;"D")</f>
        <v>63361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1"/>
        <v>1w</v>
      </c>
      <c r="Y3480" s="181">
        <f>_xll.qlCalendarAdvance(Calendar,Y3479,X3480,"f",FALSE)</f>
        <v>63368</v>
      </c>
      <c r="Z3480" s="184">
        <f>_xll.qlCalendarAdvance(Calendar,Y3480,NDays&amp;"D")</f>
        <v>63368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1"/>
        <v>1w</v>
      </c>
      <c r="Y3481" s="181">
        <f>_xll.qlCalendarAdvance(Calendar,Y3480,X3481,"f",FALSE)</f>
        <v>63375</v>
      </c>
      <c r="Z3481" s="184">
        <f>_xll.qlCalendarAdvance(Calendar,Y3481,NDays&amp;"D")</f>
        <v>63375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1"/>
        <v>1w</v>
      </c>
      <c r="Y3482" s="181">
        <f>_xll.qlCalendarAdvance(Calendar,Y3481,X3482,"f",FALSE)</f>
        <v>63382</v>
      </c>
      <c r="Z3482" s="184">
        <f>_xll.qlCalendarAdvance(Calendar,Y3482,NDays&amp;"D")</f>
        <v>63382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1"/>
        <v>1w</v>
      </c>
      <c r="Y3483" s="181">
        <f>_xll.qlCalendarAdvance(Calendar,Y3482,X3483,"f",FALSE)</f>
        <v>63389</v>
      </c>
      <c r="Z3483" s="184">
        <f>_xll.qlCalendarAdvance(Calendar,Y3483,NDays&amp;"D")</f>
        <v>63389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1"/>
        <v>1w</v>
      </c>
      <c r="Y3484" s="181">
        <f>_xll.qlCalendarAdvance(Calendar,Y3483,X3484,"f",FALSE)</f>
        <v>63396</v>
      </c>
      <c r="Z3484" s="184">
        <f>_xll.qlCalendarAdvance(Calendar,Y3484,NDays&amp;"D")</f>
        <v>63396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1"/>
        <v>1w</v>
      </c>
      <c r="Y3485" s="181">
        <f>_xll.qlCalendarAdvance(Calendar,Y3484,X3485,"f",FALSE)</f>
        <v>63403</v>
      </c>
      <c r="Z3485" s="184">
        <f>_xll.qlCalendarAdvance(Calendar,Y3485,NDays&amp;"D")</f>
        <v>63403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1"/>
        <v>1w</v>
      </c>
      <c r="Y3486" s="181">
        <f>_xll.qlCalendarAdvance(Calendar,Y3485,X3486,"f",FALSE)</f>
        <v>63410</v>
      </c>
      <c r="Z3486" s="184">
        <f>_xll.qlCalendarAdvance(Calendar,Y3486,NDays&amp;"D")</f>
        <v>63410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1"/>
        <v>1w</v>
      </c>
      <c r="Y3487" s="181">
        <f>_xll.qlCalendarAdvance(Calendar,Y3486,X3487,"f",FALSE)</f>
        <v>63417</v>
      </c>
      <c r="Z3487" s="184">
        <f>_xll.qlCalendarAdvance(Calendar,Y3487,NDays&amp;"D")</f>
        <v>63417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1"/>
        <v>1w</v>
      </c>
      <c r="Y3488" s="181">
        <f>_xll.qlCalendarAdvance(Calendar,Y3487,X3488,"f",FALSE)</f>
        <v>63424</v>
      </c>
      <c r="Z3488" s="184">
        <f>_xll.qlCalendarAdvance(Calendar,Y3488,NDays&amp;"D")</f>
        <v>63424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1"/>
        <v>1w</v>
      </c>
      <c r="Y3489" s="181">
        <f>_xll.qlCalendarAdvance(Calendar,Y3488,X3489,"f",FALSE)</f>
        <v>63431</v>
      </c>
      <c r="Z3489" s="184">
        <f>_xll.qlCalendarAdvance(Calendar,Y3489,NDays&amp;"D")</f>
        <v>63431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1"/>
        <v>1w</v>
      </c>
      <c r="Y3490" s="181">
        <f>_xll.qlCalendarAdvance(Calendar,Y3489,X3490,"f",FALSE)</f>
        <v>63438</v>
      </c>
      <c r="Z3490" s="184">
        <f>_xll.qlCalendarAdvance(Calendar,Y3490,NDays&amp;"D")</f>
        <v>63438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1"/>
        <v>1w</v>
      </c>
      <c r="Y3491" s="181">
        <f>_xll.qlCalendarAdvance(Calendar,Y3490,X3491,"f",FALSE)</f>
        <v>63445</v>
      </c>
      <c r="Z3491" s="184">
        <f>_xll.qlCalendarAdvance(Calendar,Y3491,NDays&amp;"D")</f>
        <v>63445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1"/>
        <v>1w</v>
      </c>
      <c r="Y3492" s="181">
        <f>_xll.qlCalendarAdvance(Calendar,Y3491,X3492,"f",FALSE)</f>
        <v>63452</v>
      </c>
      <c r="Z3492" s="184">
        <f>_xll.qlCalendarAdvance(Calendar,Y3492,NDays&amp;"D")</f>
        <v>63452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1"/>
        <v>1w</v>
      </c>
      <c r="Y3493" s="181">
        <f>_xll.qlCalendarAdvance(Calendar,Y3492,X3493,"f",FALSE)</f>
        <v>63459</v>
      </c>
      <c r="Z3493" s="184">
        <f>_xll.qlCalendarAdvance(Calendar,Y3493,NDays&amp;"D")</f>
        <v>63459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1"/>
        <v>1w</v>
      </c>
      <c r="Y3494" s="181">
        <f>_xll.qlCalendarAdvance(Calendar,Y3493,X3494,"f",FALSE)</f>
        <v>63466</v>
      </c>
      <c r="Z3494" s="184">
        <f>_xll.qlCalendarAdvance(Calendar,Y3494,NDays&amp;"D")</f>
        <v>63466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1"/>
        <v>1w</v>
      </c>
      <c r="Y3495" s="181">
        <f>_xll.qlCalendarAdvance(Calendar,Y3494,X3495,"f",FALSE)</f>
        <v>63473</v>
      </c>
      <c r="Z3495" s="184">
        <f>_xll.qlCalendarAdvance(Calendar,Y3495,NDays&amp;"D")</f>
        <v>63473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1"/>
        <v>1w</v>
      </c>
      <c r="Y3496" s="181">
        <f>_xll.qlCalendarAdvance(Calendar,Y3495,X3496,"f",FALSE)</f>
        <v>63480</v>
      </c>
      <c r="Z3496" s="184">
        <f>_xll.qlCalendarAdvance(Calendar,Y3496,NDays&amp;"D")</f>
        <v>63480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1"/>
        <v>1w</v>
      </c>
      <c r="Y3497" s="181">
        <f>_xll.qlCalendarAdvance(Calendar,Y3496,X3497,"f",FALSE)</f>
        <v>63487</v>
      </c>
      <c r="Z3497" s="184">
        <f>_xll.qlCalendarAdvance(Calendar,Y3497,NDays&amp;"D")</f>
        <v>63487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1"/>
        <v>1w</v>
      </c>
      <c r="Y3498" s="181">
        <f>_xll.qlCalendarAdvance(Calendar,Y3497,X3498,"f",FALSE)</f>
        <v>63494</v>
      </c>
      <c r="Z3498" s="184">
        <f>_xll.qlCalendarAdvance(Calendar,Y3498,NDays&amp;"D")</f>
        <v>63494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1"/>
        <v>1w</v>
      </c>
      <c r="Y3499" s="181">
        <f>_xll.qlCalendarAdvance(Calendar,Y3498,X3499,"f",FALSE)</f>
        <v>63501</v>
      </c>
      <c r="Z3499" s="184">
        <f>_xll.qlCalendarAdvance(Calendar,Y3499,NDays&amp;"D")</f>
        <v>63501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1"/>
        <v>1w</v>
      </c>
      <c r="Y3500" s="181">
        <f>_xll.qlCalendarAdvance(Calendar,Y3499,X3500,"f",FALSE)</f>
        <v>63508</v>
      </c>
      <c r="Z3500" s="184">
        <f>_xll.qlCalendarAdvance(Calendar,Y3500,NDays&amp;"D")</f>
        <v>63508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1"/>
        <v>1w</v>
      </c>
      <c r="Y3501" s="181">
        <f>_xll.qlCalendarAdvance(Calendar,Y3500,X3501,"f",FALSE)</f>
        <v>63515</v>
      </c>
      <c r="Z3501" s="184">
        <f>_xll.qlCalendarAdvance(Calendar,Y3501,NDays&amp;"D")</f>
        <v>63515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1"/>
        <v>1w</v>
      </c>
      <c r="Y3502" s="181">
        <f>_xll.qlCalendarAdvance(Calendar,Y3501,X3502,"f",FALSE)</f>
        <v>63522</v>
      </c>
      <c r="Z3502" s="184">
        <f>_xll.qlCalendarAdvance(Calendar,Y3502,NDays&amp;"D")</f>
        <v>63522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1"/>
        <v>1w</v>
      </c>
      <c r="Y3503" s="181">
        <f>_xll.qlCalendarAdvance(Calendar,Y3502,X3503,"f",FALSE)</f>
        <v>63529</v>
      </c>
      <c r="Z3503" s="184">
        <f>_xll.qlCalendarAdvance(Calendar,Y3503,NDays&amp;"D")</f>
        <v>63529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1"/>
        <v>1w</v>
      </c>
      <c r="Y3504" s="181">
        <f>_xll.qlCalendarAdvance(Calendar,Y3503,X3504,"f",FALSE)</f>
        <v>63536</v>
      </c>
      <c r="Z3504" s="184">
        <f>_xll.qlCalendarAdvance(Calendar,Y3504,NDays&amp;"D")</f>
        <v>63536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1"/>
        <v>1w</v>
      </c>
      <c r="Y3505" s="181">
        <f>_xll.qlCalendarAdvance(Calendar,Y3504,X3505,"f",FALSE)</f>
        <v>63543</v>
      </c>
      <c r="Z3505" s="184">
        <f>_xll.qlCalendarAdvance(Calendar,Y3505,NDays&amp;"D")</f>
        <v>63543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1"/>
        <v>1w</v>
      </c>
      <c r="Y3506" s="181">
        <f>_xll.qlCalendarAdvance(Calendar,Y3505,X3506,"f",FALSE)</f>
        <v>63550</v>
      </c>
      <c r="Z3506" s="184">
        <f>_xll.qlCalendarAdvance(Calendar,Y3506,NDays&amp;"D")</f>
        <v>63550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1"/>
        <v>1w</v>
      </c>
      <c r="Y3507" s="181">
        <f>_xll.qlCalendarAdvance(Calendar,Y3506,X3507,"f",FALSE)</f>
        <v>63557</v>
      </c>
      <c r="Z3507" s="184">
        <f>_xll.qlCalendarAdvance(Calendar,Y3507,NDays&amp;"D")</f>
        <v>63557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1"/>
        <v>1w</v>
      </c>
      <c r="Y3508" s="181">
        <f>_xll.qlCalendarAdvance(Calendar,Y3507,X3508,"f",FALSE)</f>
        <v>63564</v>
      </c>
      <c r="Z3508" s="184">
        <f>_xll.qlCalendarAdvance(Calendar,Y3508,NDays&amp;"D")</f>
        <v>63564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1"/>
        <v>1w</v>
      </c>
      <c r="Y3509" s="181">
        <f>_xll.qlCalendarAdvance(Calendar,Y3508,X3509,"f",FALSE)</f>
        <v>63571</v>
      </c>
      <c r="Z3509" s="184">
        <f>_xll.qlCalendarAdvance(Calendar,Y3509,NDays&amp;"D")</f>
        <v>63571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1"/>
        <v>1w</v>
      </c>
      <c r="Y3510" s="181">
        <f>_xll.qlCalendarAdvance(Calendar,Y3509,X3510,"f",FALSE)</f>
        <v>63578</v>
      </c>
      <c r="Z3510" s="184">
        <f>_xll.qlCalendarAdvance(Calendar,Y3510,NDays&amp;"D")</f>
        <v>63578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1"/>
        <v>1w</v>
      </c>
      <c r="Y3511" s="181">
        <f>_xll.qlCalendarAdvance(Calendar,Y3510,X3511,"f",FALSE)</f>
        <v>63585</v>
      </c>
      <c r="Z3511" s="184">
        <f>_xll.qlCalendarAdvance(Calendar,Y3511,NDays&amp;"D")</f>
        <v>63585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1"/>
        <v>1w</v>
      </c>
      <c r="Y3512" s="181">
        <f>_xll.qlCalendarAdvance(Calendar,Y3511,X3512,"f",FALSE)</f>
        <v>63592</v>
      </c>
      <c r="Z3512" s="184">
        <f>_xll.qlCalendarAdvance(Calendar,Y3512,NDays&amp;"D")</f>
        <v>63592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1"/>
        <v>1w</v>
      </c>
      <c r="Y3513" s="181">
        <f>_xll.qlCalendarAdvance(Calendar,Y3512,X3513,"f",FALSE)</f>
        <v>63599</v>
      </c>
      <c r="Z3513" s="184">
        <f>_xll.qlCalendarAdvance(Calendar,Y3513,NDays&amp;"D")</f>
        <v>63599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1"/>
        <v>1w</v>
      </c>
      <c r="Y3514" s="181">
        <f>_xll.qlCalendarAdvance(Calendar,Y3513,X3514,"f",FALSE)</f>
        <v>63606</v>
      </c>
      <c r="Z3514" s="184">
        <f>_xll.qlCalendarAdvance(Calendar,Y3514,NDays&amp;"D")</f>
        <v>63606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1"/>
        <v>1w</v>
      </c>
      <c r="Y3515" s="181">
        <f>_xll.qlCalendarAdvance(Calendar,Y3514,X3515,"f",FALSE)</f>
        <v>63613</v>
      </c>
      <c r="Z3515" s="184">
        <f>_xll.qlCalendarAdvance(Calendar,Y3515,NDays&amp;"D")</f>
        <v>63613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1"/>
        <v>1w</v>
      </c>
      <c r="Y3516" s="181">
        <f>_xll.qlCalendarAdvance(Calendar,Y3515,X3516,"f",FALSE)</f>
        <v>63620</v>
      </c>
      <c r="Z3516" s="184">
        <f>_xll.qlCalendarAdvance(Calendar,Y3516,NDays&amp;"D")</f>
        <v>63620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1"/>
        <v>1w</v>
      </c>
      <c r="Y3517" s="181">
        <f>_xll.qlCalendarAdvance(Calendar,Y3516,X3517,"f",FALSE)</f>
        <v>63627</v>
      </c>
      <c r="Z3517" s="184">
        <f>_xll.qlCalendarAdvance(Calendar,Y3517,NDays&amp;"D")</f>
        <v>63627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1"/>
        <v>1w</v>
      </c>
      <c r="Y3518" s="181">
        <f>_xll.qlCalendarAdvance(Calendar,Y3517,X3518,"f",FALSE)</f>
        <v>63634</v>
      </c>
      <c r="Z3518" s="184">
        <f>_xll.qlCalendarAdvance(Calendar,Y3518,NDays&amp;"D")</f>
        <v>63634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1"/>
        <v>1w</v>
      </c>
      <c r="Y3519" s="181">
        <f>_xll.qlCalendarAdvance(Calendar,Y3518,X3519,"f",FALSE)</f>
        <v>63641</v>
      </c>
      <c r="Z3519" s="184">
        <f>_xll.qlCalendarAdvance(Calendar,Y3519,NDays&amp;"D")</f>
        <v>63641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1"/>
        <v>1w</v>
      </c>
      <c r="Y3520" s="181">
        <f>_xll.qlCalendarAdvance(Calendar,Y3519,X3520,"f",FALSE)</f>
        <v>63648</v>
      </c>
      <c r="Z3520" s="184">
        <f>_xll.qlCalendarAdvance(Calendar,Y3520,NDays&amp;"D")</f>
        <v>63648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1"/>
        <v>1w</v>
      </c>
      <c r="Y3521" s="181">
        <f>_xll.qlCalendarAdvance(Calendar,Y3520,X3521,"f",FALSE)</f>
        <v>63655</v>
      </c>
      <c r="Z3521" s="184">
        <f>_xll.qlCalendarAdvance(Calendar,Y3521,NDays&amp;"D")</f>
        <v>63655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1"/>
        <v>1w</v>
      </c>
      <c r="Y3522" s="181">
        <f>_xll.qlCalendarAdvance(Calendar,Y3521,X3522,"f",FALSE)</f>
        <v>63662</v>
      </c>
      <c r="Z3522" s="184">
        <f>_xll.qlCalendarAdvance(Calendar,Y3522,NDays&amp;"D")</f>
        <v>63662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1"/>
        <v>1w</v>
      </c>
      <c r="Y3523" s="181">
        <f>_xll.qlCalendarAdvance(Calendar,Y3522,X3523,"f",FALSE)</f>
        <v>63670</v>
      </c>
      <c r="Z3523" s="184">
        <f>_xll.qlCalendarAdvance(Calendar,Y3523,NDays&amp;"D")</f>
        <v>63670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1"/>
        <v>1w</v>
      </c>
      <c r="Y3524" s="181">
        <f>_xll.qlCalendarAdvance(Calendar,Y3523,X3524,"f",FALSE)</f>
        <v>63677</v>
      </c>
      <c r="Z3524" s="184">
        <f>_xll.qlCalendarAdvance(Calendar,Y3524,NDays&amp;"D")</f>
        <v>63677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1"/>
        <v>1w</v>
      </c>
      <c r="Y3525" s="181">
        <f>_xll.qlCalendarAdvance(Calendar,Y3524,X3525,"f",FALSE)</f>
        <v>63684</v>
      </c>
      <c r="Z3525" s="184">
        <f>_xll.qlCalendarAdvance(Calendar,Y3525,NDays&amp;"D")</f>
        <v>63684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1"/>
        <v>1w</v>
      </c>
      <c r="Y3526" s="181">
        <f>_xll.qlCalendarAdvance(Calendar,Y3525,X3526,"f",FALSE)</f>
        <v>63691</v>
      </c>
      <c r="Z3526" s="184">
        <f>_xll.qlCalendarAdvance(Calendar,Y3526,NDays&amp;"D")</f>
        <v>63691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1"/>
        <v>1w</v>
      </c>
      <c r="Y3527" s="181">
        <f>_xll.qlCalendarAdvance(Calendar,Y3526,X3527,"f",FALSE)</f>
        <v>63698</v>
      </c>
      <c r="Z3527" s="184">
        <f>_xll.qlCalendarAdvance(Calendar,Y3527,NDays&amp;"D")</f>
        <v>63698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1"/>
        <v>1w</v>
      </c>
      <c r="Y3528" s="181">
        <f>_xll.qlCalendarAdvance(Calendar,Y3527,X3528,"f",FALSE)</f>
        <v>63705</v>
      </c>
      <c r="Z3528" s="184">
        <f>_xll.qlCalendarAdvance(Calendar,Y3528,NDays&amp;"D")</f>
        <v>63705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1"/>
        <v>1w</v>
      </c>
      <c r="Y3529" s="181">
        <f>_xll.qlCalendarAdvance(Calendar,Y3528,X3529,"f",FALSE)</f>
        <v>63712</v>
      </c>
      <c r="Z3529" s="184">
        <f>_xll.qlCalendarAdvance(Calendar,Y3529,NDays&amp;"D")</f>
        <v>63712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1"/>
        <v>1w</v>
      </c>
      <c r="Y3530" s="181">
        <f>_xll.qlCalendarAdvance(Calendar,Y3529,X3530,"f",FALSE)</f>
        <v>63719</v>
      </c>
      <c r="Z3530" s="184">
        <f>_xll.qlCalendarAdvance(Calendar,Y3530,NDays&amp;"D")</f>
        <v>63719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1"/>
        <v>1w</v>
      </c>
      <c r="Y3531" s="181">
        <f>_xll.qlCalendarAdvance(Calendar,Y3530,X3531,"f",FALSE)</f>
        <v>63726</v>
      </c>
      <c r="Z3531" s="184">
        <f>_xll.qlCalendarAdvance(Calendar,Y3531,NDays&amp;"D")</f>
        <v>63726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1"/>
        <v>1w</v>
      </c>
      <c r="Y3532" s="181">
        <f>_xll.qlCalendarAdvance(Calendar,Y3531,X3532,"f",FALSE)</f>
        <v>63733</v>
      </c>
      <c r="Z3532" s="184">
        <f>_xll.qlCalendarAdvance(Calendar,Y3532,NDays&amp;"D")</f>
        <v>63733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1"/>
        <v>1w</v>
      </c>
      <c r="Y3533" s="181">
        <f>_xll.qlCalendarAdvance(Calendar,Y3532,X3533,"f",FALSE)</f>
        <v>63740</v>
      </c>
      <c r="Z3533" s="184">
        <f>_xll.qlCalendarAdvance(Calendar,Y3533,NDays&amp;"D")</f>
        <v>63740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1"/>
        <v>1w</v>
      </c>
      <c r="Y3534" s="181">
        <f>_xll.qlCalendarAdvance(Calendar,Y3533,X3534,"f",FALSE)</f>
        <v>63747</v>
      </c>
      <c r="Z3534" s="184">
        <f>_xll.qlCalendarAdvance(Calendar,Y3534,NDays&amp;"D")</f>
        <v>63747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1"/>
        <v>1w</v>
      </c>
      <c r="Y3535" s="181">
        <f>_xll.qlCalendarAdvance(Calendar,Y3534,X3535,"f",FALSE)</f>
        <v>63754</v>
      </c>
      <c r="Z3535" s="184">
        <f>_xll.qlCalendarAdvance(Calendar,Y3535,NDays&amp;"D")</f>
        <v>63754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1"/>
        <v>1w</v>
      </c>
      <c r="Y3536" s="181">
        <f>_xll.qlCalendarAdvance(Calendar,Y3535,X3536,"f",FALSE)</f>
        <v>63761</v>
      </c>
      <c r="Z3536" s="184">
        <f>_xll.qlCalendarAdvance(Calendar,Y3536,NDays&amp;"D")</f>
        <v>63761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1"/>
        <v>1w</v>
      </c>
      <c r="Y3537" s="181">
        <f>_xll.qlCalendarAdvance(Calendar,Y3536,X3537,"f",FALSE)</f>
        <v>63768</v>
      </c>
      <c r="Z3537" s="184">
        <f>_xll.qlCalendarAdvance(Calendar,Y3537,NDays&amp;"D")</f>
        <v>63768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1"/>
        <v>1w</v>
      </c>
      <c r="Y3538" s="181">
        <f>_xll.qlCalendarAdvance(Calendar,Y3537,X3538,"f",FALSE)</f>
        <v>63775</v>
      </c>
      <c r="Z3538" s="184">
        <f>_xll.qlCalendarAdvance(Calendar,Y3538,NDays&amp;"D")</f>
        <v>63775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1"/>
        <v>1w</v>
      </c>
      <c r="Y3539" s="181">
        <f>_xll.qlCalendarAdvance(Calendar,Y3538,X3539,"f",FALSE)</f>
        <v>63782</v>
      </c>
      <c r="Z3539" s="184">
        <f>_xll.qlCalendarAdvance(Calendar,Y3539,NDays&amp;"D")</f>
        <v>63782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1"/>
        <v>1w</v>
      </c>
      <c r="Y3540" s="181">
        <f>_xll.qlCalendarAdvance(Calendar,Y3539,X3540,"f",FALSE)</f>
        <v>63789</v>
      </c>
      <c r="Z3540" s="184">
        <f>_xll.qlCalendarAdvance(Calendar,Y3540,NDays&amp;"D")</f>
        <v>63789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2">X3540</f>
        <v>1w</v>
      </c>
      <c r="Y3541" s="181">
        <f>_xll.qlCalendarAdvance(Calendar,Y3540,X3541,"f",FALSE)</f>
        <v>63796</v>
      </c>
      <c r="Z3541" s="184">
        <f>_xll.qlCalendarAdvance(Calendar,Y3541,NDays&amp;"D")</f>
        <v>63796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2"/>
        <v>1w</v>
      </c>
      <c r="Y3542" s="181">
        <f>_xll.qlCalendarAdvance(Calendar,Y3541,X3542,"f",FALSE)</f>
        <v>63803</v>
      </c>
      <c r="Z3542" s="184">
        <f>_xll.qlCalendarAdvance(Calendar,Y3542,NDays&amp;"D")</f>
        <v>63803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2"/>
        <v>1w</v>
      </c>
      <c r="Y3543" s="181">
        <f>_xll.qlCalendarAdvance(Calendar,Y3542,X3543,"f",FALSE)</f>
        <v>63810</v>
      </c>
      <c r="Z3543" s="184">
        <f>_xll.qlCalendarAdvance(Calendar,Y3543,NDays&amp;"D")</f>
        <v>63810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2"/>
        <v>1w</v>
      </c>
      <c r="Y3544" s="181">
        <f>_xll.qlCalendarAdvance(Calendar,Y3543,X3544,"f",FALSE)</f>
        <v>63817</v>
      </c>
      <c r="Z3544" s="184">
        <f>_xll.qlCalendarAdvance(Calendar,Y3544,NDays&amp;"D")</f>
        <v>63817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2"/>
        <v>1w</v>
      </c>
      <c r="Y3545" s="181">
        <f>_xll.qlCalendarAdvance(Calendar,Y3544,X3545,"f",FALSE)</f>
        <v>63824</v>
      </c>
      <c r="Z3545" s="184">
        <f>_xll.qlCalendarAdvance(Calendar,Y3545,NDays&amp;"D")</f>
        <v>63824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2"/>
        <v>1w</v>
      </c>
      <c r="Y3546" s="181">
        <f>_xll.qlCalendarAdvance(Calendar,Y3545,X3546,"f",FALSE)</f>
        <v>63831</v>
      </c>
      <c r="Z3546" s="184">
        <f>_xll.qlCalendarAdvance(Calendar,Y3546,NDays&amp;"D")</f>
        <v>63831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2"/>
        <v>1w</v>
      </c>
      <c r="Y3547" s="181">
        <f>_xll.qlCalendarAdvance(Calendar,Y3546,X3547,"f",FALSE)</f>
        <v>63838</v>
      </c>
      <c r="Z3547" s="184">
        <f>_xll.qlCalendarAdvance(Calendar,Y3547,NDays&amp;"D")</f>
        <v>63838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2"/>
        <v>1w</v>
      </c>
      <c r="Y3548" s="181">
        <f>_xll.qlCalendarAdvance(Calendar,Y3547,X3548,"f",FALSE)</f>
        <v>63845</v>
      </c>
      <c r="Z3548" s="184">
        <f>_xll.qlCalendarAdvance(Calendar,Y3548,NDays&amp;"D")</f>
        <v>63845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2"/>
        <v>1w</v>
      </c>
      <c r="Y3549" s="181">
        <f>_xll.qlCalendarAdvance(Calendar,Y3548,X3549,"f",FALSE)</f>
        <v>63852</v>
      </c>
      <c r="Z3549" s="184">
        <f>_xll.qlCalendarAdvance(Calendar,Y3549,NDays&amp;"D")</f>
        <v>63852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2"/>
        <v>1w</v>
      </c>
      <c r="Y3550" s="181">
        <f>_xll.qlCalendarAdvance(Calendar,Y3549,X3550,"f",FALSE)</f>
        <v>63859</v>
      </c>
      <c r="Z3550" s="184">
        <f>_xll.qlCalendarAdvance(Calendar,Y3550,NDays&amp;"D")</f>
        <v>63859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2"/>
        <v>1w</v>
      </c>
      <c r="Y3551" s="181">
        <f>_xll.qlCalendarAdvance(Calendar,Y3550,X3551,"f",FALSE)</f>
        <v>63866</v>
      </c>
      <c r="Z3551" s="184">
        <f>_xll.qlCalendarAdvance(Calendar,Y3551,NDays&amp;"D")</f>
        <v>63866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2"/>
        <v>1w</v>
      </c>
      <c r="Y3552" s="188">
        <f>_xll.qlCalendarAdvance(Calendar,Y3551,X3552,"f",FALSE)</f>
        <v>63873</v>
      </c>
      <c r="Z3552" s="200">
        <f>_xll.qlCalendarAdvance(Calendar,Y3552,NDays&amp;"D")</f>
        <v>63873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2014-09-15T08:37:32Z</dcterms:modified>
</cp:coreProperties>
</file>
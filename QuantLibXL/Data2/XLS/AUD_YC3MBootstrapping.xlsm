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10" windowHeight="835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6" i="11" l="1"/>
  <c r="J7" i="11"/>
  <c r="J8" i="11"/>
  <c r="J9" i="11"/>
  <c r="J10" i="11"/>
  <c r="U73" i="13" a="1"/>
  <c r="K3" i="11" l="1"/>
  <c r="K8" i="11"/>
  <c r="K7" i="11"/>
  <c r="K10" i="11"/>
  <c r="K9" i="11"/>
  <c r="K6" i="11"/>
  <c r="K5" i="11"/>
  <c r="U27" i="13" l="1" a="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E4" i="12"/>
  <c r="I6" i="7"/>
  <c r="K16" i="6"/>
  <c r="K15" i="6"/>
  <c r="D7" i="6"/>
  <c r="H4" i="7"/>
  <c r="G4" i="12"/>
  <c r="H5" i="7"/>
  <c r="H6" i="7"/>
  <c r="H3" i="7"/>
  <c r="U63" i="13" l="1" a="1"/>
  <c r="J6" i="7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12" i="13"/>
  <c r="B11" i="13"/>
  <c r="B5" i="13"/>
  <c r="B6" i="13"/>
  <c r="B9" i="13"/>
  <c r="B7" i="13"/>
  <c r="B13" i="13"/>
  <c r="B4" i="13"/>
  <c r="B3" i="13"/>
  <c r="B16" i="13"/>
  <c r="B8" i="13"/>
  <c r="B14" i="13"/>
  <c r="B10" i="13"/>
  <c r="F5" i="12" l="1"/>
  <c r="F6" i="12"/>
  <c r="F7" i="12"/>
  <c r="D5" i="12"/>
  <c r="D6" i="12"/>
  <c r="D7" i="12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6" i="6"/>
  <c r="X19" i="13"/>
  <c r="Y19" i="13" s="1"/>
  <c r="X20" i="13"/>
  <c r="Y20" i="13"/>
  <c r="X21" i="13"/>
  <c r="C5" i="13"/>
  <c r="C4" i="13"/>
  <c r="Y21" i="13"/>
  <c r="C3" i="13"/>
  <c r="X22" i="13"/>
  <c r="I2" i="9"/>
  <c r="L2" i="11"/>
  <c r="K2" i="7"/>
  <c r="Y22" i="13"/>
  <c r="X23" i="13"/>
  <c r="Y23" i="13"/>
  <c r="X24" i="13"/>
  <c r="X25" i="13"/>
  <c r="Y25" i="13"/>
  <c r="X26" i="13"/>
  <c r="Y26" i="13"/>
  <c r="X27" i="13"/>
  <c r="Y27" i="13"/>
  <c r="X28" i="13"/>
  <c r="Y28" i="13"/>
  <c r="X29" i="13"/>
  <c r="X30" i="13"/>
  <c r="Y29" i="13"/>
  <c r="Y30" i="13"/>
  <c r="X31" i="13"/>
  <c r="X32" i="13"/>
  <c r="Y31" i="13"/>
  <c r="X33" i="13"/>
  <c r="Y32" i="13"/>
  <c r="X34" i="13"/>
  <c r="Y33" i="13"/>
  <c r="X35" i="13"/>
  <c r="Y34" i="13"/>
  <c r="X36" i="13"/>
  <c r="Y35" i="13"/>
  <c r="X37" i="13"/>
  <c r="Y36" i="13"/>
  <c r="Y37" i="13"/>
  <c r="X38" i="13"/>
  <c r="Y38" i="13"/>
  <c r="X39" i="13"/>
  <c r="X40" i="13"/>
  <c r="Y39" i="13"/>
  <c r="Y40" i="13"/>
  <c r="X41" i="13"/>
  <c r="Y41" i="13"/>
  <c r="X42" i="13"/>
  <c r="X43" i="13"/>
  <c r="Y42" i="13"/>
  <c r="X44" i="13"/>
  <c r="Y43" i="13"/>
  <c r="X45" i="13"/>
  <c r="Y44" i="13"/>
  <c r="Y45" i="13"/>
  <c r="X46" i="13"/>
  <c r="Y46" i="13"/>
  <c r="X47" i="13"/>
  <c r="Y47" i="13"/>
  <c r="X48" i="13"/>
  <c r="X49" i="13"/>
  <c r="Y48" i="13"/>
  <c r="X50" i="13"/>
  <c r="Y49" i="13"/>
  <c r="X51" i="13"/>
  <c r="Y50" i="13"/>
  <c r="X52" i="13"/>
  <c r="Y51" i="13"/>
  <c r="Y52" i="13"/>
  <c r="X53" i="13"/>
  <c r="Y53" i="13"/>
  <c r="X54" i="13"/>
  <c r="X55" i="13"/>
  <c r="Y54" i="13"/>
  <c r="Y55" i="13"/>
  <c r="X56" i="13"/>
  <c r="Y56" i="13"/>
  <c r="X57" i="13"/>
  <c r="Y57" i="13"/>
  <c r="X58" i="13"/>
  <c r="Y58" i="13"/>
  <c r="X59" i="13"/>
  <c r="X60" i="13"/>
  <c r="Y59" i="13"/>
  <c r="Y60" i="13"/>
  <c r="X61" i="13"/>
  <c r="Y61" i="13"/>
  <c r="X62" i="13"/>
  <c r="Y62" i="13"/>
  <c r="X63" i="13"/>
  <c r="Y63" i="13"/>
  <c r="X64" i="13"/>
  <c r="X65" i="13"/>
  <c r="Y64" i="13"/>
  <c r="X66" i="13"/>
  <c r="Y65" i="13"/>
  <c r="X67" i="13"/>
  <c r="Y66" i="13"/>
  <c r="X68" i="13"/>
  <c r="Y67" i="13"/>
  <c r="X69" i="13"/>
  <c r="Y68" i="13"/>
  <c r="Y69" i="13"/>
  <c r="X70" i="13"/>
  <c r="Y70" i="13"/>
  <c r="X71" i="13"/>
  <c r="X72" i="13"/>
  <c r="Y71" i="13"/>
  <c r="Y72" i="13"/>
  <c r="X73" i="13"/>
  <c r="Y73" i="13"/>
  <c r="X74" i="13"/>
  <c r="X75" i="13"/>
  <c r="Y74" i="13"/>
  <c r="Y75" i="13"/>
  <c r="X76" i="13"/>
  <c r="Y76" i="13"/>
  <c r="X77" i="13"/>
  <c r="X78" i="13"/>
  <c r="Y77" i="13"/>
  <c r="Y78" i="13"/>
  <c r="X79" i="13"/>
  <c r="Y79" i="13"/>
  <c r="X80" i="13"/>
  <c r="Y80" i="13"/>
  <c r="X81" i="13"/>
  <c r="Y81" i="13"/>
  <c r="X82" i="13"/>
  <c r="Y82" i="13"/>
  <c r="X83" i="13"/>
  <c r="Y83" i="13"/>
  <c r="X84" i="13"/>
  <c r="Y84" i="13"/>
  <c r="X85" i="13"/>
  <c r="X86" i="13"/>
  <c r="Y85" i="13"/>
  <c r="X87" i="13"/>
  <c r="Y86" i="13"/>
  <c r="X88" i="13"/>
  <c r="Y87" i="13"/>
  <c r="Y88" i="13"/>
  <c r="X89" i="13"/>
  <c r="X90" i="13"/>
  <c r="Y89" i="13"/>
  <c r="Y90" i="13"/>
  <c r="X91" i="13"/>
  <c r="X92" i="13"/>
  <c r="Y91" i="13"/>
  <c r="Y92" i="13"/>
  <c r="X93" i="13"/>
  <c r="Y93" i="13"/>
  <c r="X94" i="13"/>
  <c r="X95" i="13"/>
  <c r="Y94" i="13"/>
  <c r="X96" i="13"/>
  <c r="Y95" i="13"/>
  <c r="Y96" i="13"/>
  <c r="X97" i="13"/>
  <c r="Y97" i="13"/>
  <c r="X98" i="13"/>
  <c r="Y98" i="13"/>
  <c r="X99" i="13"/>
  <c r="Y99" i="13"/>
  <c r="X100" i="13"/>
  <c r="Y100" i="13"/>
  <c r="X101" i="13"/>
  <c r="X102" i="13"/>
  <c r="Y101" i="13"/>
  <c r="X103" i="13"/>
  <c r="Y102" i="13"/>
  <c r="X104" i="13"/>
  <c r="Y103" i="13"/>
  <c r="X105" i="13"/>
  <c r="Y104" i="13"/>
  <c r="X106" i="13"/>
  <c r="Y105" i="13"/>
  <c r="Y106" i="13"/>
  <c r="X107" i="13"/>
  <c r="Y107" i="13"/>
  <c r="X108" i="13"/>
  <c r="X109" i="13"/>
  <c r="Y108" i="13"/>
  <c r="X110" i="13"/>
  <c r="Y109" i="13"/>
  <c r="X111" i="13"/>
  <c r="Y110" i="13"/>
  <c r="X112" i="13"/>
  <c r="Y111" i="13"/>
  <c r="X113" i="13"/>
  <c r="Y112" i="13"/>
  <c r="X114" i="13"/>
  <c r="Y113" i="13"/>
  <c r="Y114" i="13"/>
  <c r="X115" i="13"/>
  <c r="Y115" i="13"/>
  <c r="X116" i="13"/>
  <c r="X117" i="13"/>
  <c r="Y116" i="13"/>
  <c r="Y117" i="13"/>
  <c r="X118" i="13"/>
  <c r="X119" i="13"/>
  <c r="Y118" i="13"/>
  <c r="Y119" i="13"/>
  <c r="X120" i="13"/>
  <c r="X121" i="13"/>
  <c r="Y120" i="13"/>
  <c r="Y121" i="13"/>
  <c r="X122" i="13"/>
  <c r="Y122" i="13"/>
  <c r="X123" i="13"/>
  <c r="X124" i="13"/>
  <c r="Y123" i="13"/>
  <c r="X125" i="13"/>
  <c r="Y124" i="13"/>
  <c r="Y125" i="13"/>
  <c r="X126" i="13"/>
  <c r="X127" i="13"/>
  <c r="Y126" i="13"/>
  <c r="Y127" i="13"/>
  <c r="X128" i="13"/>
  <c r="X129" i="13"/>
  <c r="Y128" i="13"/>
  <c r="X130" i="13"/>
  <c r="Y129" i="13"/>
  <c r="Y130" i="13"/>
  <c r="X131" i="13"/>
  <c r="Y131" i="13"/>
  <c r="X132" i="13"/>
  <c r="X133" i="13"/>
  <c r="Y132" i="13"/>
  <c r="Y133" i="13"/>
  <c r="X134" i="13"/>
  <c r="X135" i="13"/>
  <c r="Y134" i="13"/>
  <c r="X136" i="13"/>
  <c r="Y135" i="13"/>
  <c r="Y136" i="13"/>
  <c r="X137" i="13"/>
  <c r="Y137" i="13"/>
  <c r="X138" i="13"/>
  <c r="Y138" i="13"/>
  <c r="X139" i="13"/>
  <c r="Y139" i="13"/>
  <c r="X140" i="13"/>
  <c r="X141" i="13"/>
  <c r="Y140" i="13"/>
  <c r="X142" i="13"/>
  <c r="Y141" i="13"/>
  <c r="X143" i="13"/>
  <c r="Y142" i="13"/>
  <c r="X144" i="13"/>
  <c r="Y143" i="13"/>
  <c r="X145" i="13"/>
  <c r="Y144" i="13"/>
  <c r="X146" i="13"/>
  <c r="Y145" i="13"/>
  <c r="Y146" i="13"/>
  <c r="X147" i="13"/>
  <c r="Y147" i="13"/>
  <c r="X148" i="13"/>
  <c r="X149" i="13"/>
  <c r="Y148" i="13"/>
  <c r="Y149" i="13"/>
  <c r="X150" i="13"/>
  <c r="X151" i="13"/>
  <c r="Y150" i="13"/>
  <c r="Y151" i="13"/>
  <c r="X152" i="13"/>
  <c r="X153" i="13"/>
  <c r="Y152" i="13"/>
  <c r="Y153" i="13"/>
  <c r="X154" i="13"/>
  <c r="Y154" i="13"/>
  <c r="X155" i="13"/>
  <c r="X156" i="13"/>
  <c r="Y155" i="13"/>
  <c r="Y156" i="13"/>
  <c r="X157" i="13"/>
  <c r="Y157" i="13"/>
  <c r="X158" i="13"/>
  <c r="X159" i="13"/>
  <c r="Y158" i="13"/>
  <c r="Y159" i="13"/>
  <c r="X160" i="13"/>
  <c r="X161" i="13"/>
  <c r="Y160" i="13"/>
  <c r="X162" i="13"/>
  <c r="Y161" i="13"/>
  <c r="Y162" i="13"/>
  <c r="X163" i="13"/>
  <c r="Y163" i="13"/>
  <c r="X164" i="13"/>
  <c r="X165" i="13"/>
  <c r="Y164" i="13"/>
  <c r="Y165" i="13"/>
  <c r="X166" i="13"/>
  <c r="X167" i="13"/>
  <c r="Y166" i="13"/>
  <c r="X168" i="13"/>
  <c r="Y167" i="13"/>
  <c r="X169" i="13"/>
  <c r="Y168" i="13"/>
  <c r="X170" i="13"/>
  <c r="Y169" i="13"/>
  <c r="Y170" i="13"/>
  <c r="X171" i="13"/>
  <c r="Y171" i="13"/>
  <c r="X172" i="13"/>
  <c r="Y172" i="13"/>
  <c r="X173" i="13"/>
  <c r="Y173" i="13"/>
  <c r="X174" i="13"/>
  <c r="X175" i="13"/>
  <c r="Y174" i="13"/>
  <c r="Y175" i="13"/>
  <c r="X176" i="13"/>
  <c r="Y176" i="13"/>
  <c r="X177" i="13"/>
  <c r="X178" i="13"/>
  <c r="Y177" i="13"/>
  <c r="Y178" i="13"/>
  <c r="X179" i="13"/>
  <c r="Y179" i="13"/>
  <c r="X180" i="13"/>
  <c r="X181" i="13"/>
  <c r="Y180" i="13"/>
  <c r="Y181" i="13"/>
  <c r="X182" i="13"/>
  <c r="X183" i="13"/>
  <c r="Y182" i="13"/>
  <c r="X184" i="13"/>
  <c r="Y183" i="13"/>
  <c r="X185" i="13"/>
  <c r="Y184" i="13"/>
  <c r="Y185" i="13"/>
  <c r="X186" i="13"/>
  <c r="Y186" i="13"/>
  <c r="X187" i="13"/>
  <c r="Y187" i="13"/>
  <c r="X188" i="13"/>
  <c r="Y188" i="13"/>
  <c r="X189" i="13"/>
  <c r="Y189" i="13"/>
  <c r="X190" i="13"/>
  <c r="X191" i="13"/>
  <c r="Y190" i="13"/>
  <c r="X192" i="13"/>
  <c r="Y191" i="13"/>
  <c r="X193" i="13"/>
  <c r="Y192" i="13"/>
  <c r="X194" i="13"/>
  <c r="Y193" i="13"/>
  <c r="Y194" i="13"/>
  <c r="X195" i="13"/>
  <c r="Y195" i="13"/>
  <c r="X196" i="13"/>
  <c r="Y196" i="13"/>
  <c r="X197" i="13"/>
  <c r="Y197" i="13"/>
  <c r="X198" i="13"/>
  <c r="X199" i="13"/>
  <c r="Y198" i="13"/>
  <c r="X200" i="13"/>
  <c r="Y199" i="13"/>
  <c r="X201" i="13"/>
  <c r="Y200" i="13"/>
  <c r="X202" i="13"/>
  <c r="Y201" i="13"/>
  <c r="Y202" i="13"/>
  <c r="X203" i="13"/>
  <c r="X204" i="13"/>
  <c r="Y203" i="13"/>
  <c r="Y204" i="13"/>
  <c r="X205" i="13"/>
  <c r="X206" i="13"/>
  <c r="Y205" i="13"/>
  <c r="X207" i="13"/>
  <c r="Y206" i="13"/>
  <c r="X208" i="13"/>
  <c r="Y207" i="13"/>
  <c r="Y208" i="13"/>
  <c r="X209" i="13"/>
  <c r="Y209" i="13"/>
  <c r="X210" i="13"/>
  <c r="Y210" i="13"/>
  <c r="X211" i="13"/>
  <c r="X212" i="13"/>
  <c r="Y211" i="13"/>
  <c r="X213" i="13"/>
  <c r="Y212" i="13"/>
  <c r="Y213" i="13"/>
  <c r="X214" i="13"/>
  <c r="X215" i="13"/>
  <c r="Y214" i="13"/>
  <c r="X216" i="13"/>
  <c r="Y215" i="13"/>
  <c r="X217" i="13"/>
  <c r="Y216" i="13"/>
  <c r="Y217" i="13"/>
  <c r="X218" i="13"/>
  <c r="Y218" i="13"/>
  <c r="X219" i="13"/>
  <c r="X220" i="13"/>
  <c r="Y219" i="13"/>
  <c r="Y220" i="13"/>
  <c r="X221" i="13"/>
  <c r="Y221" i="13"/>
  <c r="X222" i="13"/>
  <c r="X223" i="13"/>
  <c r="Y222" i="13"/>
  <c r="X224" i="13"/>
  <c r="Y223" i="13"/>
  <c r="Y224" i="13"/>
  <c r="X225" i="13"/>
  <c r="X226" i="13"/>
  <c r="Y225" i="13"/>
  <c r="Y226" i="13"/>
  <c r="X227" i="13"/>
  <c r="X228" i="13"/>
  <c r="Y227" i="13"/>
  <c r="X229" i="13"/>
  <c r="Y228" i="13"/>
  <c r="Y229" i="13"/>
  <c r="X230" i="13"/>
  <c r="X231" i="13"/>
  <c r="Y230" i="13"/>
  <c r="X232" i="13"/>
  <c r="Y231" i="13"/>
  <c r="X233" i="13"/>
  <c r="Y232" i="13"/>
  <c r="X234" i="13"/>
  <c r="Y233" i="13"/>
  <c r="Y234" i="13"/>
  <c r="X235" i="13"/>
  <c r="X236" i="13"/>
  <c r="Y235" i="13"/>
  <c r="X237" i="13"/>
  <c r="Y236" i="13"/>
  <c r="Y237" i="13"/>
  <c r="X238" i="13"/>
  <c r="Y238" i="13"/>
  <c r="X239" i="13"/>
  <c r="Y239" i="13"/>
  <c r="X240" i="13"/>
  <c r="X241" i="13"/>
  <c r="Y240" i="13"/>
  <c r="X242" i="13"/>
  <c r="Y241" i="13"/>
  <c r="Y242" i="13"/>
  <c r="X243" i="13"/>
  <c r="X244" i="13"/>
  <c r="Y243" i="13"/>
  <c r="X245" i="13"/>
  <c r="Y244" i="13"/>
  <c r="X246" i="13"/>
  <c r="Y245" i="13"/>
  <c r="Y246" i="13"/>
  <c r="X247" i="13"/>
  <c r="X248" i="13"/>
  <c r="Y247" i="13"/>
  <c r="X249" i="13"/>
  <c r="Y248" i="13"/>
  <c r="Y249" i="13"/>
  <c r="X250" i="13"/>
  <c r="Y250" i="13"/>
  <c r="X251" i="13"/>
  <c r="X252" i="13"/>
  <c r="Y251" i="13"/>
  <c r="Y252" i="13"/>
  <c r="X253" i="13"/>
  <c r="X254" i="13"/>
  <c r="Y253" i="13"/>
  <c r="X255" i="13"/>
  <c r="Y254" i="13"/>
  <c r="Y255" i="13"/>
  <c r="X256" i="13"/>
  <c r="X257" i="13"/>
  <c r="Y256" i="13"/>
  <c r="X258" i="13"/>
  <c r="Y257" i="13"/>
  <c r="Y258" i="13"/>
  <c r="X259" i="13"/>
  <c r="X260" i="13"/>
  <c r="Y259" i="13"/>
  <c r="X261" i="13"/>
  <c r="Y260" i="13"/>
  <c r="Y261" i="13"/>
  <c r="X262" i="13"/>
  <c r="X263" i="13"/>
  <c r="Y262" i="13"/>
  <c r="X264" i="13"/>
  <c r="Y263" i="13"/>
  <c r="X265" i="13"/>
  <c r="Y264" i="13"/>
  <c r="Y265" i="13"/>
  <c r="X266" i="13"/>
  <c r="Y266" i="13"/>
  <c r="X267" i="13"/>
  <c r="Y267" i="13"/>
  <c r="X268" i="13"/>
  <c r="Y268" i="13"/>
  <c r="X269" i="13"/>
  <c r="Y269" i="13"/>
  <c r="X270" i="13"/>
  <c r="Y270" i="13"/>
  <c r="X271" i="13"/>
  <c r="X272" i="13"/>
  <c r="Y271" i="13"/>
  <c r="Y272" i="13"/>
  <c r="X273" i="13"/>
  <c r="X274" i="13"/>
  <c r="Y273" i="13"/>
  <c r="Y274" i="13"/>
  <c r="X275" i="13"/>
  <c r="X276" i="13"/>
  <c r="Y275" i="13"/>
  <c r="Y276" i="13"/>
  <c r="X277" i="13"/>
  <c r="Y277" i="13"/>
  <c r="X278" i="13"/>
  <c r="X279" i="13"/>
  <c r="Y278" i="13"/>
  <c r="X280" i="13"/>
  <c r="Y279" i="13"/>
  <c r="X281" i="13"/>
  <c r="Y280" i="13"/>
  <c r="Y281" i="13"/>
  <c r="X282" i="13"/>
  <c r="X283" i="13"/>
  <c r="Y282" i="13"/>
  <c r="X284" i="13"/>
  <c r="Y283" i="13"/>
  <c r="Y284" i="13"/>
  <c r="X285" i="13"/>
  <c r="X286" i="13"/>
  <c r="Y285" i="13"/>
  <c r="X287" i="13"/>
  <c r="Y286" i="13"/>
  <c r="Y287" i="13"/>
  <c r="X288" i="13"/>
  <c r="X289" i="13"/>
  <c r="Y288" i="13"/>
  <c r="X290" i="13"/>
  <c r="Y289" i="13"/>
  <c r="Y290" i="13"/>
  <c r="X291" i="13"/>
  <c r="X292" i="13"/>
  <c r="Y291" i="13"/>
  <c r="Y292" i="13"/>
  <c r="X293" i="13"/>
  <c r="Y293" i="13"/>
  <c r="X294" i="13"/>
  <c r="X295" i="13"/>
  <c r="Y294" i="13"/>
  <c r="Y295" i="13"/>
  <c r="X296" i="13"/>
  <c r="X297" i="13"/>
  <c r="Y296" i="13"/>
  <c r="Y297" i="13"/>
  <c r="X298" i="13"/>
  <c r="Y298" i="13"/>
  <c r="X299" i="13"/>
  <c r="X300" i="13"/>
  <c r="Y299" i="13"/>
  <c r="Y300" i="13"/>
  <c r="X301" i="13"/>
  <c r="Y301" i="13"/>
  <c r="X302" i="13"/>
  <c r="X303" i="13"/>
  <c r="Y302" i="13"/>
  <c r="Y303" i="13"/>
  <c r="X304" i="13"/>
  <c r="Y304" i="13"/>
  <c r="X305" i="13"/>
  <c r="X306" i="13"/>
  <c r="Y305" i="13"/>
  <c r="Y306" i="13"/>
  <c r="X307" i="13"/>
  <c r="X308" i="13"/>
  <c r="Y307" i="13"/>
  <c r="X309" i="13"/>
  <c r="Y308" i="13"/>
  <c r="X310" i="13"/>
  <c r="Y309" i="13"/>
  <c r="X311" i="13"/>
  <c r="Y310" i="13"/>
  <c r="X312" i="13"/>
  <c r="Y311" i="13"/>
  <c r="X313" i="13"/>
  <c r="Y312" i="13"/>
  <c r="X314" i="13"/>
  <c r="Y313" i="13"/>
  <c r="Y314" i="13"/>
  <c r="X315" i="13"/>
  <c r="Y315" i="13"/>
  <c r="X316" i="13"/>
  <c r="Y316" i="13"/>
  <c r="X317" i="13"/>
  <c r="X318" i="13"/>
  <c r="Y317" i="13"/>
  <c r="Y318" i="13"/>
  <c r="X319" i="13"/>
  <c r="Y319" i="13"/>
  <c r="X320" i="13"/>
  <c r="Y320" i="13"/>
  <c r="X321" i="13"/>
  <c r="X322" i="13"/>
  <c r="Y321" i="13"/>
  <c r="Y322" i="13"/>
  <c r="X323" i="13"/>
  <c r="X324" i="13"/>
  <c r="Y323" i="13"/>
  <c r="X325" i="13"/>
  <c r="Y324" i="13"/>
  <c r="X326" i="13"/>
  <c r="Y325" i="13"/>
  <c r="Y326" i="13"/>
  <c r="X327" i="13"/>
  <c r="X328" i="13"/>
  <c r="Y327" i="13"/>
  <c r="Y328" i="13"/>
  <c r="X329" i="13"/>
  <c r="X330" i="13"/>
  <c r="Y329" i="13"/>
  <c r="X331" i="13"/>
  <c r="Y330" i="13"/>
  <c r="X332" i="13"/>
  <c r="Y331" i="13"/>
  <c r="Y332" i="13"/>
  <c r="X333" i="13"/>
  <c r="Y333" i="13"/>
  <c r="X334" i="13"/>
  <c r="X335" i="13"/>
  <c r="Y334" i="13"/>
  <c r="X336" i="13"/>
  <c r="Y335" i="13"/>
  <c r="Y336" i="13"/>
  <c r="X337" i="13"/>
  <c r="X338" i="13"/>
  <c r="Y337" i="13"/>
  <c r="Y338" i="13"/>
  <c r="X339" i="13"/>
  <c r="Y339" i="13"/>
  <c r="X340" i="13"/>
  <c r="Y340" i="13"/>
  <c r="X341" i="13"/>
  <c r="Y341" i="13"/>
  <c r="X342" i="13"/>
  <c r="X343" i="13"/>
  <c r="Y342" i="13"/>
  <c r="X344" i="13"/>
  <c r="Y343" i="13"/>
  <c r="X345" i="13"/>
  <c r="Y344" i="13"/>
  <c r="Y345" i="13"/>
  <c r="X346" i="13"/>
  <c r="X347" i="13"/>
  <c r="Y346" i="13"/>
  <c r="Y347" i="13"/>
  <c r="X348" i="13"/>
  <c r="X349" i="13"/>
  <c r="Y348" i="13"/>
  <c r="X350" i="13"/>
  <c r="Y349" i="13"/>
  <c r="X351" i="13"/>
  <c r="Y350" i="13"/>
  <c r="X352" i="13"/>
  <c r="Y351" i="13"/>
  <c r="X353" i="13"/>
  <c r="Y352" i="13"/>
  <c r="X354" i="13"/>
  <c r="Y353" i="13"/>
  <c r="Y354" i="13"/>
  <c r="X355" i="13"/>
  <c r="X356" i="13"/>
  <c r="Y355" i="13"/>
  <c r="X357" i="13"/>
  <c r="Y356" i="13"/>
  <c r="X358" i="13"/>
  <c r="Y357" i="13"/>
  <c r="Y358" i="13"/>
  <c r="X359" i="13"/>
  <c r="X360" i="13"/>
  <c r="Y359" i="13"/>
  <c r="Y360" i="13"/>
  <c r="X361" i="13"/>
  <c r="Y361" i="13"/>
  <c r="X362" i="13"/>
  <c r="Y362" i="13"/>
  <c r="X363" i="13"/>
  <c r="X364" i="13"/>
  <c r="Y363" i="13"/>
  <c r="Y364" i="13"/>
  <c r="X365" i="13"/>
  <c r="Y365" i="13"/>
  <c r="X366" i="13"/>
  <c r="X367" i="13"/>
  <c r="Y366" i="13"/>
  <c r="X368" i="13"/>
  <c r="Y367" i="13"/>
  <c r="X369" i="13"/>
  <c r="Y368" i="13"/>
  <c r="X370" i="13"/>
  <c r="Y369" i="13"/>
  <c r="Y370" i="13"/>
  <c r="X371" i="13"/>
  <c r="Y371" i="13"/>
  <c r="X372" i="13"/>
  <c r="Y372" i="13"/>
  <c r="X373" i="13"/>
  <c r="Y373" i="13"/>
  <c r="X374" i="13"/>
  <c r="X375" i="13"/>
  <c r="Y374" i="13"/>
  <c r="X376" i="13"/>
  <c r="Y375" i="13"/>
  <c r="X377" i="13"/>
  <c r="Y376" i="13"/>
  <c r="Y377" i="13"/>
  <c r="X378" i="13"/>
  <c r="X379" i="13"/>
  <c r="Y378" i="13"/>
  <c r="X380" i="13"/>
  <c r="Y379" i="13"/>
  <c r="X381" i="13"/>
  <c r="Y380" i="13"/>
  <c r="X382" i="13"/>
  <c r="Y381" i="13"/>
  <c r="X383" i="13"/>
  <c r="Y382" i="13"/>
  <c r="Y383" i="13"/>
  <c r="X384" i="13"/>
  <c r="Y384" i="13"/>
  <c r="X385" i="13"/>
  <c r="X386" i="13"/>
  <c r="Y385" i="13"/>
  <c r="Y386" i="13"/>
  <c r="X387" i="13"/>
  <c r="X388" i="13"/>
  <c r="Y387" i="13"/>
  <c r="X389" i="13"/>
  <c r="Y388" i="13"/>
  <c r="X390" i="13"/>
  <c r="Y389" i="13"/>
  <c r="Y390" i="13"/>
  <c r="X391" i="13"/>
  <c r="X392" i="13"/>
  <c r="Y391" i="13"/>
  <c r="X393" i="13"/>
  <c r="Y392" i="13"/>
  <c r="X394" i="13"/>
  <c r="Y393" i="13"/>
  <c r="X395" i="13"/>
  <c r="Y394" i="13"/>
  <c r="Y395" i="13"/>
  <c r="X396" i="13"/>
  <c r="X397" i="13"/>
  <c r="Y396" i="13"/>
  <c r="Y397" i="13"/>
  <c r="X398" i="13"/>
  <c r="Y398" i="13"/>
  <c r="X399" i="13"/>
  <c r="X400" i="13"/>
  <c r="Y399" i="13"/>
  <c r="X401" i="13"/>
  <c r="Y400" i="13"/>
  <c r="Y401" i="13"/>
  <c r="X402" i="13"/>
  <c r="X403" i="13"/>
  <c r="Y402" i="13"/>
  <c r="X404" i="13"/>
  <c r="Y403" i="13"/>
  <c r="Y404" i="13"/>
  <c r="X405" i="13"/>
  <c r="Y405" i="13"/>
  <c r="X406" i="13"/>
  <c r="Y406" i="13"/>
  <c r="X407" i="13"/>
  <c r="Y407" i="13"/>
  <c r="X408" i="13"/>
  <c r="Y408" i="13"/>
  <c r="X409" i="13"/>
  <c r="Y409" i="13"/>
  <c r="X410" i="13"/>
  <c r="Y410" i="13"/>
  <c r="X411" i="13"/>
  <c r="Y411" i="13"/>
  <c r="X412" i="13"/>
  <c r="X413" i="13"/>
  <c r="Y412" i="13"/>
  <c r="Y413" i="13"/>
  <c r="X414" i="13"/>
  <c r="Y414" i="13"/>
  <c r="X415" i="13"/>
  <c r="Y415" i="13"/>
  <c r="X416" i="13"/>
  <c r="Y416" i="13"/>
  <c r="X417" i="13"/>
  <c r="X418" i="13"/>
  <c r="Y417" i="13"/>
  <c r="X419" i="13"/>
  <c r="Y418" i="13"/>
  <c r="X420" i="13"/>
  <c r="Y419" i="13"/>
  <c r="Y420" i="13"/>
  <c r="X421" i="13"/>
  <c r="Y421" i="13"/>
  <c r="X422" i="13"/>
  <c r="X423" i="13"/>
  <c r="Y422" i="13"/>
  <c r="Y423" i="13"/>
  <c r="X424" i="13"/>
  <c r="X425" i="13"/>
  <c r="Y424" i="13"/>
  <c r="Y425" i="13"/>
  <c r="X426" i="13"/>
  <c r="X427" i="13"/>
  <c r="Y426" i="13"/>
  <c r="Y427" i="13"/>
  <c r="X428" i="13"/>
  <c r="Y428" i="13"/>
  <c r="X429" i="13"/>
  <c r="Y429" i="13"/>
  <c r="X430" i="13"/>
  <c r="Y430" i="13"/>
  <c r="X431" i="13"/>
  <c r="Y431" i="13"/>
  <c r="X432" i="13"/>
  <c r="Y432" i="13"/>
  <c r="X433" i="13"/>
  <c r="X434" i="13"/>
  <c r="Y433" i="13"/>
  <c r="X435" i="13"/>
  <c r="Y434" i="13"/>
  <c r="Y435" i="13"/>
  <c r="X436" i="13"/>
  <c r="X437" i="13"/>
  <c r="Y436" i="13"/>
  <c r="X438" i="13"/>
  <c r="Y437" i="13"/>
  <c r="Y438" i="13"/>
  <c r="X439" i="13"/>
  <c r="X440" i="13"/>
  <c r="Y439" i="13"/>
  <c r="Y440" i="13"/>
  <c r="X441" i="13"/>
  <c r="Y441" i="13"/>
  <c r="X442" i="13"/>
  <c r="Y442" i="13"/>
  <c r="X443" i="13"/>
  <c r="Y443" i="13"/>
  <c r="X444" i="13"/>
  <c r="Y444" i="13"/>
  <c r="X445" i="13"/>
  <c r="Y445" i="13"/>
  <c r="X446" i="13"/>
  <c r="Y446" i="13"/>
  <c r="X447" i="13"/>
  <c r="Y447" i="13"/>
  <c r="X448" i="13"/>
  <c r="Y448" i="13"/>
  <c r="X449" i="13"/>
  <c r="Y449" i="13"/>
  <c r="X450" i="13"/>
  <c r="X451" i="13"/>
  <c r="Y450" i="13"/>
  <c r="X452" i="13"/>
  <c r="Y451" i="13"/>
  <c r="Y452" i="13"/>
  <c r="X453" i="13"/>
  <c r="X454" i="13"/>
  <c r="Y453" i="13"/>
  <c r="X455" i="13"/>
  <c r="Y454" i="13"/>
  <c r="X456" i="13"/>
  <c r="Y455" i="13"/>
  <c r="X457" i="13"/>
  <c r="Y456" i="13"/>
  <c r="Y457" i="13"/>
  <c r="X458" i="13"/>
  <c r="Y458" i="13"/>
  <c r="X459" i="13"/>
  <c r="Y459" i="13"/>
  <c r="X460" i="13"/>
  <c r="Y460" i="13"/>
  <c r="X461" i="13"/>
  <c r="Y461" i="13"/>
  <c r="X462" i="13"/>
  <c r="Y462" i="13"/>
  <c r="X463" i="13"/>
  <c r="Y463" i="13"/>
  <c r="X464" i="13"/>
  <c r="Y464" i="13"/>
  <c r="X465" i="13"/>
  <c r="X466" i="13"/>
  <c r="Y465" i="13"/>
  <c r="X467" i="13"/>
  <c r="Y466" i="13"/>
  <c r="Y467" i="13"/>
  <c r="X468" i="13"/>
  <c r="Y468" i="13"/>
  <c r="X469" i="13"/>
  <c r="Y469" i="13"/>
  <c r="X470" i="13"/>
  <c r="Y470" i="13"/>
  <c r="X471" i="13"/>
  <c r="Y471" i="13"/>
  <c r="X472" i="13"/>
  <c r="X473" i="13"/>
  <c r="Y472" i="13"/>
  <c r="X474" i="13"/>
  <c r="Y473" i="13"/>
  <c r="X475" i="13"/>
  <c r="Y474" i="13"/>
  <c r="Y475" i="13"/>
  <c r="X476" i="13"/>
  <c r="X477" i="13"/>
  <c r="Y476" i="13"/>
  <c r="Y477" i="13"/>
  <c r="X478" i="13"/>
  <c r="Y478" i="13"/>
  <c r="X479" i="13"/>
  <c r="X480" i="13"/>
  <c r="Y479" i="13"/>
  <c r="X481" i="13"/>
  <c r="Y480" i="13"/>
  <c r="Y481" i="13"/>
  <c r="X482" i="13"/>
  <c r="Y482" i="13"/>
  <c r="X483" i="13"/>
  <c r="X484" i="13"/>
  <c r="Y483" i="13"/>
  <c r="X485" i="13"/>
  <c r="Y484" i="13"/>
  <c r="X486" i="13"/>
  <c r="Y485" i="13"/>
  <c r="X487" i="13"/>
  <c r="Y486" i="13"/>
  <c r="Y487" i="13"/>
  <c r="X488" i="13"/>
  <c r="X489" i="13"/>
  <c r="Y488" i="13"/>
  <c r="Y489" i="13"/>
  <c r="X490" i="13"/>
  <c r="X491" i="13"/>
  <c r="Y490" i="13"/>
  <c r="X492" i="13"/>
  <c r="Y491" i="13"/>
  <c r="X493" i="13"/>
  <c r="Y492" i="13"/>
  <c r="Y493" i="13"/>
  <c r="X494" i="13"/>
  <c r="Y494" i="13"/>
  <c r="X495" i="13"/>
  <c r="X496" i="13"/>
  <c r="Y495" i="13"/>
  <c r="Y496" i="13"/>
  <c r="X497" i="13"/>
  <c r="Y497" i="13"/>
  <c r="X498" i="13"/>
  <c r="X499" i="13"/>
  <c r="Y498" i="13"/>
  <c r="X500" i="13"/>
  <c r="Y499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X507" i="13"/>
  <c r="Y506" i="13"/>
  <c r="Y507" i="13"/>
  <c r="X508" i="13"/>
  <c r="X509" i="13"/>
  <c r="Y508" i="13"/>
  <c r="X510" i="13"/>
  <c r="Y509" i="13"/>
  <c r="X511" i="13"/>
  <c r="Y510" i="13"/>
  <c r="X512" i="13"/>
  <c r="Y511" i="13"/>
  <c r="Y512" i="13"/>
  <c r="X513" i="13"/>
  <c r="X514" i="13"/>
  <c r="Y513" i="13"/>
  <c r="Y514" i="13"/>
  <c r="X515" i="13"/>
  <c r="X516" i="13"/>
  <c r="Y515" i="13"/>
  <c r="Y516" i="13"/>
  <c r="X517" i="13"/>
  <c r="X518" i="13"/>
  <c r="Y517" i="13"/>
  <c r="Y518" i="13"/>
  <c r="X519" i="13"/>
  <c r="Y519" i="13"/>
  <c r="X520" i="13"/>
  <c r="Y520" i="13"/>
  <c r="X521" i="13"/>
  <c r="Y521" i="13"/>
  <c r="X522" i="13"/>
  <c r="Y522" i="13"/>
  <c r="X523" i="13"/>
  <c r="Y523" i="13"/>
  <c r="X524" i="13"/>
  <c r="Y524" i="13"/>
  <c r="X525" i="13"/>
  <c r="X526" i="13"/>
  <c r="Y525" i="13"/>
  <c r="X527" i="13"/>
  <c r="Y526" i="13"/>
  <c r="X528" i="13"/>
  <c r="Y527" i="13"/>
  <c r="Y528" i="13"/>
  <c r="X529" i="13"/>
  <c r="Y529" i="13"/>
  <c r="X530" i="13"/>
  <c r="X531" i="13"/>
  <c r="Y530" i="13"/>
  <c r="Y531" i="13"/>
  <c r="X532" i="13"/>
  <c r="Y532" i="13"/>
  <c r="X533" i="13"/>
  <c r="Y533" i="13"/>
  <c r="X534" i="13"/>
  <c r="Y534" i="13"/>
  <c r="X535" i="13"/>
  <c r="Y535" i="13"/>
  <c r="X536" i="13"/>
  <c r="Y536" i="13"/>
  <c r="X537" i="13"/>
  <c r="Y537" i="13"/>
  <c r="X538" i="13"/>
  <c r="Y538" i="13"/>
  <c r="X539" i="13"/>
  <c r="Y539" i="13"/>
  <c r="X540" i="13"/>
  <c r="X541" i="13"/>
  <c r="Y540" i="13"/>
  <c r="Y541" i="13"/>
  <c r="X542" i="13"/>
  <c r="X543" i="13"/>
  <c r="Y542" i="13"/>
  <c r="X544" i="13"/>
  <c r="Y543" i="13"/>
  <c r="Y544" i="13"/>
  <c r="X545" i="13"/>
  <c r="X546" i="13"/>
  <c r="Y545" i="13"/>
  <c r="Y546" i="13"/>
  <c r="X547" i="13"/>
  <c r="X548" i="13"/>
  <c r="Y547" i="13"/>
  <c r="X549" i="13"/>
  <c r="Y548" i="13"/>
  <c r="Y549" i="13"/>
  <c r="X550" i="13"/>
  <c r="Y550" i="13"/>
  <c r="X551" i="13"/>
  <c r="X552" i="13"/>
  <c r="Y551" i="13"/>
  <c r="X553" i="13"/>
  <c r="Y552" i="13"/>
  <c r="Y553" i="13"/>
  <c r="X554" i="13"/>
  <c r="X555" i="13"/>
  <c r="Y554" i="13"/>
  <c r="X556" i="13"/>
  <c r="Y555" i="13"/>
  <c r="X557" i="13"/>
  <c r="Y556" i="13"/>
  <c r="X558" i="13"/>
  <c r="Y557" i="13"/>
  <c r="X559" i="13"/>
  <c r="Y558" i="13"/>
  <c r="Y559" i="13"/>
  <c r="X560" i="13"/>
  <c r="Y560" i="13"/>
  <c r="X561" i="13"/>
  <c r="Y561" i="13"/>
  <c r="X562" i="13"/>
  <c r="Y562" i="13"/>
  <c r="X563" i="13"/>
  <c r="X564" i="13"/>
  <c r="Y563" i="13"/>
  <c r="Y564" i="13"/>
  <c r="X565" i="13"/>
  <c r="Y565" i="13"/>
  <c r="X566" i="13"/>
  <c r="Y566" i="13"/>
  <c r="X567" i="13"/>
  <c r="Y567" i="13"/>
  <c r="X568" i="13"/>
  <c r="Y568" i="13"/>
  <c r="X569" i="13"/>
  <c r="X570" i="13"/>
  <c r="Y569" i="13"/>
  <c r="Y570" i="13"/>
  <c r="X571" i="13"/>
  <c r="X572" i="13"/>
  <c r="Y571" i="13"/>
  <c r="Y572" i="13"/>
  <c r="X573" i="13"/>
  <c r="Y573" i="13"/>
  <c r="X574" i="13"/>
  <c r="Y574" i="13"/>
  <c r="X575" i="13"/>
  <c r="X576" i="13"/>
  <c r="Y575" i="13"/>
  <c r="X577" i="13"/>
  <c r="Y576" i="13"/>
  <c r="X578" i="13"/>
  <c r="Y577" i="13"/>
  <c r="Y578" i="13"/>
  <c r="X579" i="13"/>
  <c r="Y579" i="13"/>
  <c r="X580" i="13"/>
  <c r="X581" i="13"/>
  <c r="Y580" i="13"/>
  <c r="X582" i="13"/>
  <c r="Y581" i="13"/>
  <c r="X583" i="13"/>
  <c r="Y582" i="13"/>
  <c r="Y583" i="13"/>
  <c r="X584" i="13"/>
  <c r="Y584" i="13"/>
  <c r="X585" i="13"/>
  <c r="Y585" i="13"/>
  <c r="X586" i="13"/>
  <c r="X587" i="13"/>
  <c r="Y586" i="13"/>
  <c r="X588" i="13"/>
  <c r="Y587" i="13"/>
  <c r="X589" i="13"/>
  <c r="Y588" i="13"/>
  <c r="X590" i="13"/>
  <c r="Y589" i="13"/>
  <c r="Y590" i="13"/>
  <c r="X591" i="13"/>
  <c r="X592" i="13"/>
  <c r="Y591" i="13"/>
  <c r="Y592" i="13"/>
  <c r="X593" i="13"/>
  <c r="X594" i="13"/>
  <c r="Y593" i="13"/>
  <c r="Y594" i="13"/>
  <c r="X595" i="13"/>
  <c r="Y595" i="13"/>
  <c r="X596" i="13"/>
  <c r="Y596" i="13"/>
  <c r="X597" i="13"/>
  <c r="Y597" i="13"/>
  <c r="X598" i="13"/>
  <c r="X599" i="13"/>
  <c r="Y598" i="13"/>
  <c r="X600" i="13"/>
  <c r="Y599" i="13"/>
  <c r="X601" i="13"/>
  <c r="Y600" i="13"/>
  <c r="X602" i="13"/>
  <c r="Y601" i="13"/>
  <c r="Y602" i="13"/>
  <c r="X603" i="13"/>
  <c r="X604" i="13"/>
  <c r="Y603" i="13"/>
  <c r="X605" i="13"/>
  <c r="Y604" i="13"/>
  <c r="X606" i="13"/>
  <c r="Y605" i="13"/>
  <c r="X607" i="13"/>
  <c r="Y606" i="13"/>
  <c r="X608" i="13"/>
  <c r="Y607" i="13"/>
  <c r="Y608" i="13"/>
  <c r="X609" i="13"/>
  <c r="X610" i="13"/>
  <c r="Y609" i="13"/>
  <c r="X611" i="13"/>
  <c r="Y610" i="13"/>
  <c r="X612" i="13"/>
  <c r="Y611" i="13"/>
  <c r="Y612" i="13"/>
  <c r="X613" i="13"/>
  <c r="Y613" i="13"/>
  <c r="X614" i="13"/>
  <c r="X615" i="13"/>
  <c r="Y614" i="13"/>
  <c r="Y615" i="13"/>
  <c r="X616" i="13"/>
  <c r="X617" i="13"/>
  <c r="Y616" i="13"/>
  <c r="Y617" i="13"/>
  <c r="X618" i="13"/>
  <c r="Y618" i="13"/>
  <c r="X619" i="13"/>
  <c r="X620" i="13"/>
  <c r="Y619" i="13"/>
  <c r="Y620" i="13"/>
  <c r="X621" i="13"/>
  <c r="Y621" i="13"/>
  <c r="X622" i="13"/>
  <c r="X623" i="13"/>
  <c r="Y622" i="13"/>
  <c r="X624" i="13"/>
  <c r="Y623" i="13"/>
  <c r="X625" i="13"/>
  <c r="Y624" i="13"/>
  <c r="X626" i="13"/>
  <c r="Y625" i="13"/>
  <c r="Y626" i="13"/>
  <c r="X627" i="13"/>
  <c r="X628" i="13"/>
  <c r="Y627" i="13"/>
  <c r="Y628" i="13"/>
  <c r="X629" i="13"/>
  <c r="Y629" i="13"/>
  <c r="X630" i="13"/>
  <c r="Y630" i="13"/>
  <c r="X631" i="13"/>
  <c r="Y631" i="13"/>
  <c r="X632" i="13"/>
  <c r="X633" i="13"/>
  <c r="Y632" i="13"/>
  <c r="X634" i="13"/>
  <c r="Y633" i="13"/>
  <c r="Y634" i="13"/>
  <c r="X635" i="13"/>
  <c r="X636" i="13"/>
  <c r="Y635" i="13"/>
  <c r="X637" i="13"/>
  <c r="Y636" i="13"/>
  <c r="Y637" i="13"/>
  <c r="X638" i="13"/>
  <c r="X639" i="13"/>
  <c r="Y638" i="13"/>
  <c r="X640" i="13"/>
  <c r="Y639" i="13"/>
  <c r="Y640" i="13"/>
  <c r="X641" i="13"/>
  <c r="Y641" i="13"/>
  <c r="X642" i="13"/>
  <c r="Y642" i="13"/>
  <c r="X643" i="13"/>
  <c r="X644" i="13"/>
  <c r="Y643" i="13"/>
  <c r="Y644" i="13"/>
  <c r="X645" i="13"/>
  <c r="Y645" i="13"/>
  <c r="X646" i="13"/>
  <c r="Y646" i="13"/>
  <c r="X647" i="13"/>
  <c r="X648" i="13"/>
  <c r="Y647" i="13"/>
  <c r="X649" i="13"/>
  <c r="Y648" i="13"/>
  <c r="Y649" i="13"/>
  <c r="X650" i="13"/>
  <c r="Y650" i="13"/>
  <c r="X651" i="13"/>
  <c r="Y651" i="13"/>
  <c r="X652" i="13"/>
  <c r="Y652" i="13"/>
  <c r="X653" i="13"/>
  <c r="Y653" i="13"/>
  <c r="X654" i="13"/>
  <c r="X655" i="13"/>
  <c r="Y654" i="13"/>
  <c r="X656" i="13"/>
  <c r="Y655" i="13"/>
  <c r="Y656" i="13"/>
  <c r="X657" i="13"/>
  <c r="X658" i="13"/>
  <c r="Y657" i="13"/>
  <c r="Y658" i="13"/>
  <c r="X659" i="13"/>
  <c r="X660" i="13"/>
  <c r="Y659" i="13"/>
  <c r="Y660" i="13"/>
  <c r="X661" i="13"/>
  <c r="X662" i="13"/>
  <c r="Y661" i="13"/>
  <c r="Y662" i="13"/>
  <c r="X663" i="13"/>
  <c r="X664" i="13"/>
  <c r="Y663" i="13"/>
  <c r="X665" i="13"/>
  <c r="Y664" i="13"/>
  <c r="Y665" i="13"/>
  <c r="X666" i="13"/>
  <c r="Y666" i="13"/>
  <c r="X667" i="13"/>
  <c r="Y667" i="13"/>
  <c r="X668" i="13"/>
  <c r="Y668" i="13"/>
  <c r="X669" i="13"/>
  <c r="X670" i="13"/>
  <c r="Y669" i="13"/>
  <c r="X671" i="13"/>
  <c r="Y670" i="13"/>
  <c r="Y671" i="13"/>
  <c r="X672" i="13"/>
  <c r="X673" i="13"/>
  <c r="Y672" i="13"/>
  <c r="Y673" i="13"/>
  <c r="X674" i="13"/>
  <c r="X675" i="13"/>
  <c r="Y674" i="13"/>
  <c r="Y675" i="13"/>
  <c r="X676" i="13"/>
  <c r="X677" i="13"/>
  <c r="Y676" i="13"/>
  <c r="Y677" i="13"/>
  <c r="X678" i="13"/>
  <c r="X679" i="13"/>
  <c r="Y678" i="13"/>
  <c r="Y679" i="13"/>
  <c r="X680" i="13"/>
  <c r="Y680" i="13"/>
  <c r="X681" i="13"/>
  <c r="X682" i="13"/>
  <c r="Y681" i="13"/>
  <c r="X683" i="13"/>
  <c r="Y682" i="13"/>
  <c r="Y683" i="13"/>
  <c r="X684" i="13"/>
  <c r="Y684" i="13"/>
  <c r="X685" i="13"/>
  <c r="X686" i="13"/>
  <c r="Y685" i="13"/>
  <c r="X687" i="13"/>
  <c r="Y686" i="13"/>
  <c r="X688" i="13"/>
  <c r="Y687" i="13"/>
  <c r="X689" i="13"/>
  <c r="Y688" i="13"/>
  <c r="Y689" i="13"/>
  <c r="X690" i="13"/>
  <c r="X691" i="13"/>
  <c r="Y690" i="13"/>
  <c r="X692" i="13"/>
  <c r="Y691" i="13"/>
  <c r="Y692" i="13"/>
  <c r="X693" i="13"/>
  <c r="Y693" i="13"/>
  <c r="X694" i="13"/>
  <c r="X695" i="13"/>
  <c r="Y694" i="13"/>
  <c r="Y695" i="13"/>
  <c r="X696" i="13"/>
  <c r="Y696" i="13"/>
  <c r="X697" i="13"/>
  <c r="X698" i="13"/>
  <c r="Y697" i="13"/>
  <c r="Y698" i="13"/>
  <c r="X699" i="13"/>
  <c r="X700" i="13"/>
  <c r="Y699" i="13"/>
  <c r="Y700" i="13"/>
  <c r="X701" i="13"/>
  <c r="Y701" i="13"/>
  <c r="X702" i="13"/>
  <c r="Y702" i="13"/>
  <c r="X703" i="13"/>
  <c r="Y703" i="13"/>
  <c r="X704" i="13"/>
  <c r="X705" i="13"/>
  <c r="Y704" i="13"/>
  <c r="X706" i="13"/>
  <c r="Y705" i="13"/>
  <c r="Y706" i="13"/>
  <c r="X707" i="13"/>
  <c r="X708" i="13"/>
  <c r="Y707" i="13"/>
  <c r="X709" i="13"/>
  <c r="Y708" i="13"/>
  <c r="Y709" i="13"/>
  <c r="X710" i="13"/>
  <c r="X711" i="13"/>
  <c r="Y710" i="13"/>
  <c r="X712" i="13"/>
  <c r="Y711" i="13"/>
  <c r="X713" i="13"/>
  <c r="Y712" i="13"/>
  <c r="Y713" i="13"/>
  <c r="X714" i="13"/>
  <c r="X715" i="13"/>
  <c r="Y714" i="13"/>
  <c r="Y715" i="13"/>
  <c r="X716" i="13"/>
  <c r="Y716" i="13"/>
  <c r="X717" i="13"/>
  <c r="X718" i="13"/>
  <c r="Y717" i="13"/>
  <c r="X719" i="13"/>
  <c r="Y718" i="13"/>
  <c r="X720" i="13"/>
  <c r="Y719" i="13"/>
  <c r="X721" i="13"/>
  <c r="Y720" i="13"/>
  <c r="X722" i="13"/>
  <c r="Y721" i="13"/>
  <c r="Y722" i="13"/>
  <c r="X723" i="13"/>
  <c r="X724" i="13"/>
  <c r="Y723" i="13"/>
  <c r="Y724" i="13"/>
  <c r="X725" i="13"/>
  <c r="Y725" i="13"/>
  <c r="X726" i="13"/>
  <c r="X727" i="13"/>
  <c r="Y726" i="13"/>
  <c r="X728" i="13"/>
  <c r="Y727" i="13"/>
  <c r="Y728" i="13"/>
  <c r="X729" i="13"/>
  <c r="X730" i="13"/>
  <c r="Y729" i="13"/>
  <c r="X731" i="13"/>
  <c r="Y730" i="13"/>
  <c r="Y731" i="13"/>
  <c r="X732" i="13"/>
  <c r="Y732" i="13"/>
  <c r="X733" i="13"/>
  <c r="X734" i="13"/>
  <c r="Y733" i="13"/>
  <c r="Y734" i="13"/>
  <c r="X735" i="13"/>
  <c r="Y735" i="13"/>
  <c r="X736" i="13"/>
  <c r="Y736" i="13"/>
  <c r="X737" i="13"/>
  <c r="X738" i="13"/>
  <c r="Y737" i="13"/>
  <c r="Y738" i="13"/>
  <c r="X739" i="13"/>
  <c r="X740" i="13"/>
  <c r="Y739" i="13"/>
  <c r="Y740" i="13"/>
  <c r="X741" i="13"/>
  <c r="Y741" i="13"/>
  <c r="X742" i="13"/>
  <c r="Y742" i="13"/>
  <c r="X743" i="13"/>
  <c r="Y743" i="13"/>
  <c r="X744" i="13"/>
  <c r="Y744" i="13"/>
  <c r="X745" i="13"/>
  <c r="X746" i="13"/>
  <c r="Y745" i="13"/>
  <c r="Y746" i="13"/>
  <c r="X747" i="13"/>
  <c r="X748" i="13"/>
  <c r="Y747" i="13"/>
  <c r="X749" i="13"/>
  <c r="Y748" i="13"/>
  <c r="X750" i="13"/>
  <c r="Y749" i="13"/>
  <c r="X751" i="13"/>
  <c r="Y750" i="13"/>
  <c r="X752" i="13"/>
  <c r="Y751" i="13"/>
  <c r="X753" i="13"/>
  <c r="Y752" i="13"/>
  <c r="X754" i="13"/>
  <c r="Y753" i="13"/>
  <c r="Y754" i="13"/>
  <c r="X755" i="13"/>
  <c r="X756" i="13"/>
  <c r="Y755" i="13"/>
  <c r="X757" i="13"/>
  <c r="Y756" i="13"/>
  <c r="X758" i="13"/>
  <c r="Y757" i="13"/>
  <c r="X759" i="13"/>
  <c r="Y758" i="13"/>
  <c r="Y759" i="13"/>
  <c r="X760" i="13"/>
  <c r="Y760" i="13"/>
  <c r="X761" i="13"/>
  <c r="X762" i="13"/>
  <c r="Y761" i="13"/>
  <c r="Y762" i="13"/>
  <c r="X763" i="13"/>
  <c r="X764" i="13"/>
  <c r="Y763" i="13"/>
  <c r="X765" i="13"/>
  <c r="Y764" i="13"/>
  <c r="X766" i="13"/>
  <c r="Y765" i="13"/>
  <c r="Y766" i="13"/>
  <c r="X767" i="13"/>
  <c r="X768" i="13"/>
  <c r="Y767" i="13"/>
  <c r="X769" i="13"/>
  <c r="Y768" i="13"/>
  <c r="Y769" i="13"/>
  <c r="X770" i="13"/>
  <c r="X771" i="13"/>
  <c r="Y770" i="13"/>
  <c r="Y771" i="13"/>
  <c r="X772" i="13"/>
  <c r="X773" i="13"/>
  <c r="Y772" i="13"/>
  <c r="Y773" i="13"/>
  <c r="X774" i="13"/>
  <c r="X775" i="13"/>
  <c r="Y774" i="13"/>
  <c r="Y775" i="13"/>
  <c r="X776" i="13"/>
  <c r="X777" i="13"/>
  <c r="Y776" i="13"/>
  <c r="X778" i="13"/>
  <c r="Y777" i="13"/>
  <c r="Y778" i="13"/>
  <c r="X779" i="13"/>
  <c r="Y779" i="13"/>
  <c r="X780" i="13"/>
  <c r="X781" i="13"/>
  <c r="Y780" i="13"/>
  <c r="X782" i="13"/>
  <c r="Y781" i="13"/>
  <c r="Y782" i="13"/>
  <c r="X783" i="13"/>
  <c r="Y783" i="13"/>
  <c r="X784" i="13"/>
  <c r="X785" i="13"/>
  <c r="Y784" i="13"/>
  <c r="X786" i="13"/>
  <c r="Y785" i="13"/>
  <c r="Y786" i="13"/>
  <c r="X787" i="13"/>
  <c r="Y787" i="13"/>
  <c r="X788" i="13"/>
  <c r="X789" i="13"/>
  <c r="Y788" i="13"/>
  <c r="Y789" i="13"/>
  <c r="X790" i="13"/>
  <c r="Y790" i="13"/>
  <c r="X791" i="13"/>
  <c r="X792" i="13"/>
  <c r="Y791" i="13"/>
  <c r="X793" i="13"/>
  <c r="Y792" i="13"/>
  <c r="Y793" i="13"/>
  <c r="X794" i="13"/>
  <c r="Y794" i="13"/>
  <c r="X795" i="13"/>
  <c r="X796" i="13"/>
  <c r="Y795" i="13"/>
  <c r="Y796" i="13"/>
  <c r="X797" i="13"/>
  <c r="Y797" i="13"/>
  <c r="X798" i="13"/>
  <c r="X799" i="13"/>
  <c r="Y798" i="13"/>
  <c r="X800" i="13"/>
  <c r="Y799" i="13"/>
  <c r="X801" i="13"/>
  <c r="Y800" i="13"/>
  <c r="Y801" i="13"/>
  <c r="X802" i="13"/>
  <c r="Y802" i="13"/>
  <c r="X803" i="13"/>
  <c r="X804" i="13"/>
  <c r="Y803" i="13"/>
  <c r="X805" i="13"/>
  <c r="Y804" i="13"/>
  <c r="X806" i="13"/>
  <c r="Y805" i="13"/>
  <c r="X807" i="13"/>
  <c r="Y806" i="13"/>
  <c r="Y807" i="13"/>
  <c r="X808" i="13"/>
  <c r="X809" i="13"/>
  <c r="Y808" i="13"/>
  <c r="X810" i="13"/>
  <c r="Y809" i="13"/>
  <c r="Y810" i="13"/>
  <c r="X811" i="13"/>
  <c r="X812" i="13"/>
  <c r="Y811" i="13"/>
  <c r="X813" i="13"/>
  <c r="Y812" i="13"/>
  <c r="Y813" i="13"/>
  <c r="X814" i="13"/>
  <c r="X815" i="13"/>
  <c r="Y814" i="13"/>
  <c r="Y815" i="13"/>
  <c r="X816" i="13"/>
  <c r="Y816" i="13"/>
  <c r="X817" i="13"/>
  <c r="X818" i="13"/>
  <c r="Y817" i="13"/>
  <c r="Y818" i="13"/>
  <c r="X819" i="13"/>
  <c r="X820" i="13"/>
  <c r="Y819" i="13"/>
  <c r="X821" i="13"/>
  <c r="Y820" i="13"/>
  <c r="Y821" i="13"/>
  <c r="X822" i="13"/>
  <c r="Y822" i="13"/>
  <c r="X823" i="13"/>
  <c r="Y823" i="13"/>
  <c r="X824" i="13"/>
  <c r="X825" i="13"/>
  <c r="Y824" i="13"/>
  <c r="X826" i="13"/>
  <c r="Y825" i="13"/>
  <c r="X827" i="13"/>
  <c r="Y826" i="13"/>
  <c r="Y827" i="13"/>
  <c r="X828" i="13"/>
  <c r="X829" i="13"/>
  <c r="Y828" i="13"/>
  <c r="X830" i="13"/>
  <c r="Y829" i="13"/>
  <c r="Y830" i="13"/>
  <c r="X831" i="13"/>
  <c r="X832" i="13"/>
  <c r="Y831" i="13"/>
  <c r="X833" i="13"/>
  <c r="Y832" i="13"/>
  <c r="Y833" i="13"/>
  <c r="X834" i="13"/>
  <c r="Y834" i="13"/>
  <c r="X835" i="13"/>
  <c r="X836" i="13"/>
  <c r="Y835" i="13"/>
  <c r="Y836" i="13"/>
  <c r="X837" i="13"/>
  <c r="Y837" i="13"/>
  <c r="X838" i="13"/>
  <c r="X839" i="13"/>
  <c r="Y838" i="13"/>
  <c r="X840" i="13"/>
  <c r="Y839" i="13"/>
  <c r="Y840" i="13"/>
  <c r="X841" i="13"/>
  <c r="X842" i="13"/>
  <c r="Y841" i="13"/>
  <c r="Y842" i="13"/>
  <c r="X843" i="13"/>
  <c r="Y843" i="13"/>
  <c r="X844" i="13"/>
  <c r="X845" i="13"/>
  <c r="Y844" i="13"/>
  <c r="X846" i="13"/>
  <c r="Y845" i="13"/>
  <c r="X847" i="13"/>
  <c r="Y846" i="13"/>
  <c r="X848" i="13"/>
  <c r="Y847" i="13"/>
  <c r="X849" i="13"/>
  <c r="Y848" i="13"/>
  <c r="Y849" i="13"/>
  <c r="X850" i="13"/>
  <c r="Y850" i="13"/>
  <c r="X851" i="13"/>
  <c r="X852" i="13"/>
  <c r="Y851" i="13"/>
  <c r="X853" i="13"/>
  <c r="Y852" i="13"/>
  <c r="Y853" i="13"/>
  <c r="X854" i="13"/>
  <c r="Y854" i="13"/>
  <c r="X855" i="13"/>
  <c r="X856" i="13"/>
  <c r="Y855" i="13"/>
  <c r="X857" i="13"/>
  <c r="Y856" i="13"/>
  <c r="X858" i="13"/>
  <c r="Y857" i="13"/>
  <c r="Y858" i="13"/>
  <c r="X859" i="13"/>
  <c r="Y859" i="13"/>
  <c r="X860" i="13"/>
  <c r="Y860" i="13"/>
  <c r="X861" i="13"/>
  <c r="Y861" i="13"/>
  <c r="X862" i="13"/>
  <c r="X863" i="13"/>
  <c r="Y862" i="13"/>
  <c r="Y863" i="13"/>
  <c r="X864" i="13"/>
  <c r="X865" i="13"/>
  <c r="Y864" i="13"/>
  <c r="Y865" i="13"/>
  <c r="X866" i="13"/>
  <c r="Y866" i="13"/>
  <c r="X867" i="13"/>
  <c r="Y867" i="13"/>
  <c r="X868" i="13"/>
  <c r="X869" i="13"/>
  <c r="Y868" i="13"/>
  <c r="Y869" i="13"/>
  <c r="X870" i="13"/>
  <c r="X871" i="13"/>
  <c r="Y870" i="13"/>
  <c r="Y871" i="13"/>
  <c r="X872" i="13"/>
  <c r="X873" i="13"/>
  <c r="Y872" i="13"/>
  <c r="X874" i="13"/>
  <c r="Y873" i="13"/>
  <c r="Y874" i="13"/>
  <c r="X875" i="13"/>
  <c r="Y875" i="13"/>
  <c r="X876" i="13"/>
  <c r="Y876" i="13"/>
  <c r="X877" i="13"/>
  <c r="Y877" i="13"/>
  <c r="X878" i="13"/>
  <c r="X879" i="13"/>
  <c r="Y878" i="13"/>
  <c r="Y879" i="13"/>
  <c r="X880" i="13"/>
  <c r="Y880" i="13"/>
  <c r="X881" i="13"/>
  <c r="Y881" i="13"/>
  <c r="X882" i="13"/>
  <c r="Y882" i="13"/>
  <c r="X883" i="13"/>
  <c r="Y883" i="13"/>
  <c r="X884" i="13"/>
  <c r="X885" i="13"/>
  <c r="Y884" i="13"/>
  <c r="X886" i="13"/>
  <c r="Y885" i="13"/>
  <c r="X887" i="13"/>
  <c r="Y886" i="13"/>
  <c r="X888" i="13"/>
  <c r="Y887" i="13"/>
  <c r="Y888" i="13"/>
  <c r="X889" i="13"/>
  <c r="Y889" i="13"/>
  <c r="X890" i="13"/>
  <c r="X891" i="13"/>
  <c r="Y890" i="13"/>
  <c r="X892" i="13"/>
  <c r="Y891" i="13"/>
  <c r="X893" i="13"/>
  <c r="Y892" i="13"/>
  <c r="X894" i="13"/>
  <c r="Y893" i="13"/>
  <c r="Y894" i="13"/>
  <c r="X895" i="13"/>
  <c r="Y895" i="13"/>
  <c r="X896" i="13"/>
  <c r="X897" i="13"/>
  <c r="Y896" i="13"/>
  <c r="Y897" i="13"/>
  <c r="X898" i="13"/>
  <c r="Y898" i="13"/>
  <c r="X899" i="13"/>
  <c r="X900" i="13"/>
  <c r="Y899" i="13"/>
  <c r="Y900" i="13"/>
  <c r="X901" i="13"/>
  <c r="X902" i="13"/>
  <c r="Y901" i="13"/>
  <c r="X903" i="13"/>
  <c r="Y902" i="13"/>
  <c r="X904" i="13"/>
  <c r="Y903" i="13"/>
  <c r="X905" i="13"/>
  <c r="Y904" i="13"/>
  <c r="X906" i="13"/>
  <c r="Y905" i="13"/>
  <c r="X907" i="13"/>
  <c r="Y906" i="13"/>
  <c r="Y907" i="13"/>
  <c r="X908" i="13"/>
  <c r="X909" i="13"/>
  <c r="Y908" i="13"/>
  <c r="X910" i="13"/>
  <c r="Y909" i="13"/>
  <c r="Y910" i="13"/>
  <c r="X911" i="13"/>
  <c r="Y911" i="13"/>
  <c r="X912" i="13"/>
  <c r="Y912" i="13"/>
  <c r="X913" i="13"/>
  <c r="Y913" i="13"/>
  <c r="X914" i="13"/>
  <c r="Y914" i="13"/>
  <c r="X915" i="13"/>
  <c r="Y915" i="13"/>
  <c r="X916" i="13"/>
  <c r="X917" i="13"/>
  <c r="Y916" i="13"/>
  <c r="Y917" i="13"/>
  <c r="X918" i="13"/>
  <c r="Y918" i="13"/>
  <c r="X919" i="13"/>
  <c r="Y919" i="13"/>
  <c r="X920" i="13"/>
  <c r="X921" i="13"/>
  <c r="Y920" i="13"/>
  <c r="Y921" i="13"/>
  <c r="X922" i="13"/>
  <c r="Y922" i="13"/>
  <c r="X923" i="13"/>
  <c r="X924" i="13"/>
  <c r="Y923" i="13"/>
  <c r="X925" i="13"/>
  <c r="Y924" i="13"/>
  <c r="Y925" i="13"/>
  <c r="X926" i="13"/>
  <c r="Y926" i="13"/>
  <c r="X927" i="13"/>
  <c r="Y927" i="13"/>
  <c r="X928" i="13"/>
  <c r="Y928" i="13"/>
  <c r="X929" i="13"/>
  <c r="Y929" i="13"/>
  <c r="X930" i="13"/>
  <c r="X931" i="13"/>
  <c r="Y930" i="13"/>
  <c r="X932" i="13"/>
  <c r="Y931" i="13"/>
  <c r="Y932" i="13"/>
  <c r="X933" i="13"/>
  <c r="X934" i="13"/>
  <c r="Y933" i="13"/>
  <c r="Y934" i="13"/>
  <c r="X935" i="13"/>
  <c r="X936" i="13"/>
  <c r="Y935" i="13"/>
  <c r="Y936" i="13"/>
  <c r="X937" i="13"/>
  <c r="X938" i="13"/>
  <c r="Y937" i="13"/>
  <c r="X939" i="13"/>
  <c r="Y938" i="13"/>
  <c r="X940" i="13"/>
  <c r="Y939" i="13"/>
  <c r="Y940" i="13"/>
  <c r="X941" i="13"/>
  <c r="X942" i="13"/>
  <c r="Y941" i="13"/>
  <c r="X943" i="13"/>
  <c r="Y942" i="13"/>
  <c r="Y943" i="13"/>
  <c r="X944" i="13"/>
  <c r="X945" i="13"/>
  <c r="Y944" i="13"/>
  <c r="Y945" i="13"/>
  <c r="X946" i="13"/>
  <c r="X947" i="13"/>
  <c r="Y946" i="13"/>
  <c r="X948" i="13"/>
  <c r="Y947" i="13"/>
  <c r="Y948" i="13"/>
  <c r="X949" i="13"/>
  <c r="X950" i="13"/>
  <c r="Y949" i="13"/>
  <c r="X951" i="13"/>
  <c r="Y950" i="13"/>
  <c r="Y951" i="13"/>
  <c r="X952" i="13"/>
  <c r="X953" i="13"/>
  <c r="Y952" i="13"/>
  <c r="Y953" i="13"/>
  <c r="X954" i="13"/>
  <c r="Y954" i="13"/>
  <c r="X955" i="13"/>
  <c r="Y955" i="13"/>
  <c r="X956" i="13"/>
  <c r="X957" i="13"/>
  <c r="Y956" i="13"/>
  <c r="Y957" i="13"/>
  <c r="X958" i="13"/>
  <c r="Y958" i="13"/>
  <c r="X959" i="13"/>
  <c r="Y959" i="13"/>
  <c r="X960" i="13"/>
  <c r="X961" i="13"/>
  <c r="Y960" i="13"/>
  <c r="Y961" i="13"/>
  <c r="X962" i="13"/>
  <c r="X963" i="13"/>
  <c r="Y962" i="13"/>
  <c r="Y963" i="13"/>
  <c r="X964" i="13"/>
  <c r="Y964" i="13"/>
  <c r="X965" i="13"/>
  <c r="X966" i="13"/>
  <c r="Y965" i="13"/>
  <c r="Y966" i="13"/>
  <c r="X967" i="13"/>
  <c r="Y967" i="13"/>
  <c r="X968" i="13"/>
  <c r="Y968" i="13"/>
  <c r="X969" i="13"/>
  <c r="Y969" i="13"/>
  <c r="X970" i="13"/>
  <c r="X971" i="13"/>
  <c r="Y970" i="13"/>
  <c r="X972" i="13"/>
  <c r="Y971" i="13"/>
  <c r="X973" i="13"/>
  <c r="Y972" i="13"/>
  <c r="Y973" i="13"/>
  <c r="X974" i="13"/>
  <c r="X975" i="13"/>
  <c r="Y974" i="13"/>
  <c r="Y975" i="13"/>
  <c r="X976" i="13"/>
  <c r="Y976" i="13"/>
  <c r="X977" i="13"/>
  <c r="Y977" i="13"/>
  <c r="X978" i="13"/>
  <c r="X979" i="13"/>
  <c r="Y978" i="13"/>
  <c r="X980" i="13"/>
  <c r="Y979" i="13"/>
  <c r="X981" i="13"/>
  <c r="Y980" i="13"/>
  <c r="X982" i="13"/>
  <c r="Y981" i="13"/>
  <c r="Y982" i="13"/>
  <c r="X983" i="13"/>
  <c r="X984" i="13"/>
  <c r="Y983" i="13"/>
  <c r="X985" i="13"/>
  <c r="Y984" i="13"/>
  <c r="Y985" i="13"/>
  <c r="X986" i="13"/>
  <c r="X987" i="13"/>
  <c r="Y986" i="13"/>
  <c r="X988" i="13"/>
  <c r="Y987" i="13"/>
  <c r="X989" i="13"/>
  <c r="Y988" i="13"/>
  <c r="X990" i="13"/>
  <c r="Y989" i="13"/>
  <c r="X991" i="13"/>
  <c r="Y990" i="13"/>
  <c r="Y991" i="13"/>
  <c r="X992" i="13"/>
  <c r="X993" i="13"/>
  <c r="Y992" i="13"/>
  <c r="Y993" i="13"/>
  <c r="X994" i="13"/>
  <c r="X995" i="13"/>
  <c r="Y994" i="13"/>
  <c r="Y995" i="13"/>
  <c r="X996" i="13"/>
  <c r="Y996" i="13"/>
  <c r="X997" i="13"/>
  <c r="X998" i="13"/>
  <c r="Y997" i="13"/>
  <c r="Y998" i="13"/>
  <c r="X999" i="13"/>
  <c r="Y999" i="13"/>
  <c r="X1000" i="13"/>
  <c r="X1001" i="13"/>
  <c r="Y1000" i="13"/>
  <c r="Y1001" i="13"/>
  <c r="X1002" i="13"/>
  <c r="X1003" i="13"/>
  <c r="Y1002" i="13"/>
  <c r="X1004" i="13"/>
  <c r="Y1003" i="13"/>
  <c r="X1005" i="13"/>
  <c r="Y1004" i="13"/>
  <c r="X1006" i="13"/>
  <c r="Y1005" i="13"/>
  <c r="X1007" i="13"/>
  <c r="Y1006" i="13"/>
  <c r="X1008" i="13"/>
  <c r="Y1007" i="13"/>
  <c r="X1009" i="13"/>
  <c r="Y1008" i="13"/>
  <c r="X1010" i="13"/>
  <c r="Y1009" i="13"/>
  <c r="X1011" i="13"/>
  <c r="Y1010" i="13"/>
  <c r="Y1011" i="13"/>
  <c r="X1012" i="13"/>
  <c r="X1013" i="13"/>
  <c r="Y1012" i="13"/>
  <c r="Y1013" i="13"/>
  <c r="X1014" i="13"/>
  <c r="Y1014" i="13"/>
  <c r="X1015" i="13"/>
  <c r="Y1015" i="13"/>
  <c r="X1016" i="13"/>
  <c r="X1017" i="13"/>
  <c r="Y1016" i="13"/>
  <c r="Y1017" i="13"/>
  <c r="X1018" i="13"/>
  <c r="X1019" i="13"/>
  <c r="Y1018" i="13"/>
  <c r="X1020" i="13"/>
  <c r="Y1019" i="13"/>
  <c r="Y1020" i="13"/>
  <c r="X1021" i="13"/>
  <c r="X1022" i="13"/>
  <c r="Y1021" i="13"/>
  <c r="Y1022" i="13"/>
  <c r="X1023" i="13"/>
  <c r="X1024" i="13"/>
  <c r="Y1023" i="13"/>
  <c r="Y1024" i="13"/>
  <c r="X1025" i="13"/>
  <c r="Y1025" i="13"/>
  <c r="X1026" i="13"/>
  <c r="X1027" i="13"/>
  <c r="Y1026" i="13"/>
  <c r="X1028" i="13"/>
  <c r="Y1027" i="13"/>
  <c r="Y1028" i="13"/>
  <c r="X1029" i="13"/>
  <c r="Y1029" i="13"/>
  <c r="X1030" i="13"/>
  <c r="X1031" i="13"/>
  <c r="Y1030" i="13"/>
  <c r="X1032" i="13"/>
  <c r="Y1031" i="13"/>
  <c r="X1033" i="13"/>
  <c r="Y1032" i="13"/>
  <c r="X1034" i="13"/>
  <c r="Y1033" i="13"/>
  <c r="Y1034" i="13"/>
  <c r="X1035" i="13"/>
  <c r="Y1035" i="13"/>
  <c r="X1036" i="13"/>
  <c r="Y1036" i="13"/>
  <c r="X1037" i="13"/>
  <c r="Y1037" i="13"/>
  <c r="X1038" i="13"/>
  <c r="X1039" i="13"/>
  <c r="Y1038" i="13"/>
  <c r="X1040" i="13"/>
  <c r="Y1039" i="13"/>
  <c r="Y1040" i="13"/>
  <c r="X1041" i="13"/>
  <c r="X1042" i="13"/>
  <c r="Y1041" i="13"/>
  <c r="X1043" i="13"/>
  <c r="Y1042" i="13"/>
  <c r="X1044" i="13"/>
  <c r="Y1043" i="13"/>
  <c r="Y1044" i="13"/>
  <c r="X1045" i="13"/>
  <c r="X1046" i="13"/>
  <c r="Y1045" i="13"/>
  <c r="Y1046" i="13"/>
  <c r="X1047" i="13"/>
  <c r="Y1047" i="13"/>
  <c r="X1048" i="13"/>
  <c r="X1049" i="13"/>
  <c r="Y1048" i="13"/>
  <c r="Y1049" i="13"/>
  <c r="X1050" i="13"/>
  <c r="Y1050" i="13"/>
  <c r="X1051" i="13"/>
  <c r="X1052" i="13"/>
  <c r="Y1051" i="13"/>
  <c r="Y1052" i="13"/>
  <c r="X1053" i="13"/>
  <c r="Y1053" i="13"/>
  <c r="X1054" i="13"/>
  <c r="Y1054" i="13"/>
  <c r="X1055" i="13"/>
  <c r="X1056" i="13"/>
  <c r="Y1055" i="13"/>
  <c r="X1057" i="13"/>
  <c r="Y1056" i="13"/>
  <c r="Y1057" i="13"/>
  <c r="X1058" i="13"/>
  <c r="X1059" i="13"/>
  <c r="Y1058" i="13"/>
  <c r="X1060" i="13"/>
  <c r="Y1059" i="13"/>
  <c r="X1061" i="13"/>
  <c r="Y1060" i="13"/>
  <c r="X1062" i="13"/>
  <c r="Y1061" i="13"/>
  <c r="X1063" i="13"/>
  <c r="Y1062" i="13"/>
  <c r="Y1063" i="13"/>
  <c r="X1064" i="13"/>
  <c r="Y1064" i="13"/>
  <c r="X1065" i="13"/>
  <c r="Y1065" i="13"/>
  <c r="X1066" i="13"/>
  <c r="X1067" i="13"/>
  <c r="Y1066" i="13"/>
  <c r="X1068" i="13"/>
  <c r="Y1067" i="13"/>
  <c r="Y1068" i="13"/>
  <c r="X1069" i="13"/>
  <c r="X1070" i="13"/>
  <c r="Y1069" i="13"/>
  <c r="X1071" i="13"/>
  <c r="Y1070" i="13"/>
  <c r="X1072" i="13"/>
  <c r="Y1071" i="13"/>
  <c r="X1073" i="13"/>
  <c r="Y1072" i="13"/>
  <c r="X1074" i="13"/>
  <c r="Y1073" i="13"/>
  <c r="X1075" i="13"/>
  <c r="Y1074" i="13"/>
  <c r="X1076" i="13"/>
  <c r="Y1075" i="13"/>
  <c r="Y1076" i="13"/>
  <c r="X1077" i="13"/>
  <c r="Y1077" i="13"/>
  <c r="X1078" i="13"/>
  <c r="Y1078" i="13"/>
  <c r="X1079" i="13"/>
  <c r="X1080" i="13"/>
  <c r="Y1079" i="13"/>
  <c r="X1081" i="13"/>
  <c r="Y1080" i="13"/>
  <c r="Y1081" i="13"/>
  <c r="X1082" i="13"/>
  <c r="X1083" i="13"/>
  <c r="Y1082" i="13"/>
  <c r="Y1083" i="13"/>
  <c r="X1084" i="13"/>
  <c r="Y1084" i="13"/>
  <c r="X1085" i="13"/>
  <c r="X1086" i="13"/>
  <c r="Y1085" i="13"/>
  <c r="Y1086" i="13"/>
  <c r="X1087" i="13"/>
  <c r="X1088" i="13"/>
  <c r="Y1087" i="13"/>
  <c r="X1089" i="13"/>
  <c r="Y1088" i="13"/>
  <c r="X1090" i="13"/>
  <c r="Y1089" i="13"/>
  <c r="Y1090" i="13"/>
  <c r="X1091" i="13"/>
  <c r="Y1091" i="13"/>
  <c r="X1092" i="13"/>
  <c r="X1093" i="13"/>
  <c r="Y1092" i="13"/>
  <c r="X1094" i="13"/>
  <c r="Y1093" i="13"/>
  <c r="X1095" i="13"/>
  <c r="Y1094" i="13"/>
  <c r="X1096" i="13"/>
  <c r="Y1095" i="13"/>
  <c r="X1097" i="13"/>
  <c r="Y1096" i="13"/>
  <c r="Y1097" i="13"/>
  <c r="X1098" i="13"/>
  <c r="X1099" i="13"/>
  <c r="Y1098" i="13"/>
  <c r="Y1099" i="13"/>
  <c r="X1100" i="13"/>
  <c r="Y1100" i="13"/>
  <c r="X1101" i="13"/>
  <c r="X1102" i="13"/>
  <c r="Y1101" i="13"/>
  <c r="X1103" i="13"/>
  <c r="Y1102" i="13"/>
  <c r="Y1103" i="13"/>
  <c r="X1104" i="13"/>
  <c r="Y1104" i="13"/>
  <c r="X1105" i="13"/>
  <c r="X1106" i="13"/>
  <c r="Y1105" i="13"/>
  <c r="X1107" i="13"/>
  <c r="Y1106" i="13"/>
  <c r="X1108" i="13"/>
  <c r="Y1107" i="13"/>
  <c r="X1109" i="13"/>
  <c r="Y1108" i="13"/>
  <c r="X1110" i="13"/>
  <c r="Y1109" i="13"/>
  <c r="Y1110" i="13"/>
  <c r="X1111" i="13"/>
  <c r="X1112" i="13"/>
  <c r="Y1111" i="13"/>
  <c r="Y1112" i="13"/>
  <c r="X1113" i="13"/>
  <c r="X1114" i="13"/>
  <c r="Y1113" i="13"/>
  <c r="Y1114" i="13"/>
  <c r="X1115" i="13"/>
  <c r="Y1115" i="13"/>
  <c r="X1116" i="13"/>
  <c r="Y1116" i="13"/>
  <c r="X1117" i="13"/>
  <c r="X1118" i="13"/>
  <c r="Y1117" i="13"/>
  <c r="Y1118" i="13"/>
  <c r="X1119" i="13"/>
  <c r="Y1119" i="13"/>
  <c r="X1120" i="13"/>
  <c r="X1121" i="13"/>
  <c r="Y1120" i="13"/>
  <c r="Y1121" i="13"/>
  <c r="X1122" i="13"/>
  <c r="X1123" i="13"/>
  <c r="Y1122" i="13"/>
  <c r="X1124" i="13"/>
  <c r="Y1123" i="13"/>
  <c r="X1125" i="13"/>
  <c r="Y1124" i="13"/>
  <c r="X1126" i="13"/>
  <c r="Y1125" i="13"/>
  <c r="Y1126" i="13"/>
  <c r="X1127" i="13"/>
  <c r="X1128" i="13"/>
  <c r="Y1127" i="13"/>
  <c r="Y1128" i="13"/>
  <c r="X1129" i="13"/>
  <c r="X1130" i="13"/>
  <c r="Y1129" i="13"/>
  <c r="Y1130" i="13"/>
  <c r="X1131" i="13"/>
  <c r="X1132" i="13"/>
  <c r="Y1131" i="13"/>
  <c r="Y1132" i="13"/>
  <c r="X1133" i="13"/>
  <c r="X1134" i="13"/>
  <c r="Y1133" i="13"/>
  <c r="X1135" i="13"/>
  <c r="Y1134" i="13"/>
  <c r="Y1135" i="13"/>
  <c r="X1136" i="13"/>
  <c r="Y1136" i="13"/>
  <c r="X1137" i="13"/>
  <c r="X1138" i="13"/>
  <c r="Y1137" i="13"/>
  <c r="X1139" i="13"/>
  <c r="Y1138" i="13"/>
  <c r="X1140" i="13"/>
  <c r="Y1139" i="13"/>
  <c r="X1141" i="13"/>
  <c r="Y1140" i="13"/>
  <c r="X1142" i="13"/>
  <c r="Y1141" i="13"/>
  <c r="Y1142" i="13"/>
  <c r="X1143" i="13"/>
  <c r="X1144" i="13"/>
  <c r="Y1143" i="13"/>
  <c r="X1145" i="13"/>
  <c r="Y1144" i="13"/>
  <c r="Y1145" i="13"/>
  <c r="X1146" i="13"/>
  <c r="Y1146" i="13"/>
  <c r="X1147" i="13"/>
  <c r="Y1147" i="13"/>
  <c r="X1148" i="13"/>
  <c r="Y1148" i="13"/>
  <c r="X1149" i="13"/>
  <c r="X1150" i="13"/>
  <c r="Y1149" i="13"/>
  <c r="Y1150" i="13"/>
  <c r="X1151" i="13"/>
  <c r="X1152" i="13"/>
  <c r="Y1151" i="13"/>
  <c r="X1153" i="13"/>
  <c r="Y1152" i="13"/>
  <c r="X1154" i="13"/>
  <c r="Y1153" i="13"/>
  <c r="Y1154" i="13"/>
  <c r="X1155" i="13"/>
  <c r="X1156" i="13"/>
  <c r="Y1155" i="13"/>
  <c r="X1157" i="13"/>
  <c r="Y1156" i="13"/>
  <c r="X1158" i="13"/>
  <c r="Y1157" i="13"/>
  <c r="X1159" i="13"/>
  <c r="Y1158" i="13"/>
  <c r="Y1159" i="13"/>
  <c r="X1160" i="13"/>
  <c r="Y1160" i="13"/>
  <c r="X1161" i="13"/>
  <c r="Y1161" i="13"/>
  <c r="X1162" i="13"/>
  <c r="Y1162" i="13"/>
  <c r="X1163" i="13"/>
  <c r="Y1163" i="13"/>
  <c r="X1164" i="13"/>
  <c r="Y1164" i="13"/>
  <c r="X1165" i="13"/>
  <c r="Y1165" i="13"/>
  <c r="X1166" i="13"/>
  <c r="Y1166" i="13"/>
  <c r="X1167" i="13"/>
  <c r="Y1167" i="13"/>
  <c r="X1168" i="13"/>
  <c r="X1169" i="13"/>
  <c r="Y1168" i="13"/>
  <c r="X1170" i="13"/>
  <c r="Y1169" i="13"/>
  <c r="X1171" i="13"/>
  <c r="Y1170" i="13"/>
  <c r="X1172" i="13"/>
  <c r="Y1171" i="13"/>
  <c r="X1173" i="13"/>
  <c r="Y1172" i="13"/>
  <c r="Y1173" i="13"/>
  <c r="X1174" i="13"/>
  <c r="Y1174" i="13"/>
  <c r="X1175" i="13"/>
  <c r="Y1175" i="13"/>
  <c r="X1176" i="13"/>
  <c r="Y1176" i="13"/>
  <c r="X1177" i="13"/>
  <c r="Y1177" i="13"/>
  <c r="X1178" i="13"/>
  <c r="Y1178" i="13"/>
  <c r="X1179" i="13"/>
  <c r="Y1179" i="13"/>
  <c r="X1180" i="13"/>
  <c r="Y1180" i="13"/>
  <c r="X1181" i="13"/>
  <c r="Y1181" i="13"/>
  <c r="X1182" i="13"/>
  <c r="Y1182" i="13"/>
  <c r="X1183" i="13"/>
  <c r="X1184" i="13"/>
  <c r="Y1183" i="13"/>
  <c r="Y1184" i="13"/>
  <c r="X1185" i="13"/>
  <c r="Y1185" i="13"/>
  <c r="X1186" i="13"/>
  <c r="Y1186" i="13"/>
  <c r="X1187" i="13"/>
  <c r="Y1187" i="13"/>
  <c r="X1188" i="13"/>
  <c r="X1189" i="13"/>
  <c r="Y1188" i="13"/>
  <c r="Y1189" i="13"/>
  <c r="X1190" i="13"/>
  <c r="Y1190" i="13"/>
  <c r="X1191" i="13"/>
  <c r="Y1191" i="13"/>
  <c r="X1192" i="13"/>
  <c r="Y1192" i="13"/>
  <c r="X1193" i="13"/>
  <c r="X1194" i="13"/>
  <c r="Y1193" i="13"/>
  <c r="Y1194" i="13"/>
  <c r="X1195" i="13"/>
  <c r="Y1195" i="13"/>
  <c r="X1196" i="13"/>
  <c r="Y1196" i="13"/>
  <c r="X1197" i="13"/>
  <c r="X1198" i="13"/>
  <c r="Y1197" i="13"/>
  <c r="Y1198" i="13"/>
  <c r="X1199" i="13"/>
  <c r="Y1199" i="13"/>
  <c r="X1200" i="13"/>
  <c r="X1201" i="13"/>
  <c r="Y1200" i="13"/>
  <c r="X1202" i="13"/>
  <c r="Y1201" i="13"/>
  <c r="Y1202" i="13"/>
  <c r="X1203" i="13"/>
  <c r="X1204" i="13"/>
  <c r="Y1203" i="13"/>
  <c r="X1205" i="13"/>
  <c r="Y1204" i="13"/>
  <c r="Y1205" i="13"/>
  <c r="X1206" i="13"/>
  <c r="X1207" i="13"/>
  <c r="Y1206" i="13"/>
  <c r="X1208" i="13"/>
  <c r="Y1207" i="13"/>
  <c r="X1209" i="13"/>
  <c r="Y1208" i="13"/>
  <c r="Y1209" i="13"/>
  <c r="X1210" i="13"/>
  <c r="Y1210" i="13"/>
  <c r="X1211" i="13"/>
  <c r="X1212" i="13"/>
  <c r="Y1211" i="13"/>
  <c r="Y1212" i="13"/>
  <c r="X1213" i="13"/>
  <c r="X1214" i="13"/>
  <c r="Y1213" i="13"/>
  <c r="X1215" i="13"/>
  <c r="Y1214" i="13"/>
  <c r="Y1215" i="13"/>
  <c r="X1216" i="13"/>
  <c r="Y1216" i="13"/>
  <c r="X1217" i="13"/>
  <c r="X1218" i="13"/>
  <c r="Y1217" i="13"/>
  <c r="Y1218" i="13"/>
  <c r="X1219" i="13"/>
  <c r="X1220" i="13"/>
  <c r="Y1219" i="13"/>
  <c r="Y1220" i="13"/>
  <c r="X1221" i="13"/>
  <c r="X1222" i="13"/>
  <c r="Y1221" i="13"/>
  <c r="X1223" i="13"/>
  <c r="Y1222" i="13"/>
  <c r="X1224" i="13"/>
  <c r="Y1223" i="13"/>
  <c r="X1225" i="13"/>
  <c r="Y1224" i="13"/>
  <c r="Y1225" i="13"/>
  <c r="X1226" i="13"/>
  <c r="Y1226" i="13"/>
  <c r="X1227" i="13"/>
  <c r="Y1227" i="13"/>
  <c r="X1228" i="13"/>
  <c r="Y1228" i="13"/>
  <c r="X1229" i="13"/>
  <c r="Y1229" i="13"/>
  <c r="X1230" i="13"/>
  <c r="X1231" i="13"/>
  <c r="Y1230" i="13"/>
  <c r="Y1231" i="13"/>
  <c r="X1232" i="13"/>
  <c r="X1233" i="13"/>
  <c r="Y1232" i="13"/>
  <c r="Y1233" i="13"/>
  <c r="X1234" i="13"/>
  <c r="X1235" i="13"/>
  <c r="Y1234" i="13"/>
  <c r="Y1235" i="13"/>
  <c r="X1236" i="13"/>
  <c r="Y1236" i="13"/>
  <c r="X1237" i="13"/>
  <c r="X1238" i="13"/>
  <c r="Y1237" i="13"/>
  <c r="X1239" i="13"/>
  <c r="Y1238" i="13"/>
  <c r="Y1239" i="13"/>
  <c r="X1240" i="13"/>
  <c r="Y1240" i="13"/>
  <c r="X1241" i="13"/>
  <c r="X1242" i="13"/>
  <c r="Y1241" i="13"/>
  <c r="X1243" i="13"/>
  <c r="Y1242" i="13"/>
  <c r="X1244" i="13"/>
  <c r="Y1243" i="13"/>
  <c r="Y1244" i="13"/>
  <c r="X1245" i="13"/>
  <c r="X1246" i="13"/>
  <c r="Y1245" i="13"/>
  <c r="X1247" i="13"/>
  <c r="Y1246" i="13"/>
  <c r="X1248" i="13"/>
  <c r="Y1247" i="13"/>
  <c r="X1249" i="13"/>
  <c r="Y1248" i="13"/>
  <c r="Y1249" i="13"/>
  <c r="X1250" i="13"/>
  <c r="Y1250" i="13"/>
  <c r="X1251" i="13"/>
  <c r="Y1251" i="13"/>
  <c r="X1252" i="13"/>
  <c r="X1253" i="13"/>
  <c r="Y1252" i="13"/>
  <c r="Y1253" i="13"/>
  <c r="X1254" i="13"/>
  <c r="Y1254" i="13"/>
  <c r="X1255" i="13"/>
  <c r="X1256" i="13"/>
  <c r="Y1255" i="13"/>
  <c r="X1257" i="13"/>
  <c r="Y1256" i="13"/>
  <c r="X1258" i="13"/>
  <c r="Y1257" i="13"/>
  <c r="Y1258" i="13"/>
  <c r="X1259" i="13"/>
  <c r="X1260" i="13"/>
  <c r="Y1259" i="13"/>
  <c r="Y1260" i="13"/>
  <c r="X1261" i="13"/>
  <c r="X1262" i="13"/>
  <c r="Y1261" i="13"/>
  <c r="Y1262" i="13"/>
  <c r="X1263" i="13"/>
  <c r="Y1263" i="13"/>
  <c r="X1264" i="13"/>
  <c r="X1265" i="13"/>
  <c r="Y1264" i="13"/>
  <c r="X1266" i="13"/>
  <c r="Y1265" i="13"/>
  <c r="Y1266" i="13"/>
  <c r="X1267" i="13"/>
  <c r="Y1267" i="13"/>
  <c r="X1268" i="13"/>
  <c r="Y1268" i="13"/>
  <c r="X1269" i="13"/>
  <c r="Y1269" i="13"/>
  <c r="X1270" i="13"/>
  <c r="Y1270" i="13"/>
  <c r="X1271" i="13"/>
  <c r="X1272" i="13"/>
  <c r="Y1271" i="13"/>
  <c r="Y1272" i="13"/>
  <c r="X1273" i="13"/>
  <c r="X1274" i="13"/>
  <c r="Y1273" i="13"/>
  <c r="X1275" i="13"/>
  <c r="Y1274" i="13"/>
  <c r="X1276" i="13"/>
  <c r="Y1275" i="13"/>
  <c r="Y1276" i="13"/>
  <c r="X1277" i="13"/>
  <c r="X1278" i="13"/>
  <c r="Y1277" i="13"/>
  <c r="X1279" i="13"/>
  <c r="Y1278" i="13"/>
  <c r="Y1279" i="13"/>
  <c r="X1280" i="13"/>
  <c r="Y1280" i="13"/>
  <c r="X1281" i="13"/>
  <c r="X1282" i="13"/>
  <c r="Y1281" i="13"/>
  <c r="Y1282" i="13"/>
  <c r="X1283" i="13"/>
  <c r="X1284" i="13"/>
  <c r="Y1283" i="13"/>
  <c r="Y1284" i="13"/>
  <c r="X1285" i="13"/>
  <c r="X1286" i="13"/>
  <c r="Y1285" i="13"/>
  <c r="X1287" i="13"/>
  <c r="Y1286" i="13"/>
  <c r="X1288" i="13"/>
  <c r="Y1287" i="13"/>
  <c r="Y1288" i="13"/>
  <c r="X1289" i="13"/>
  <c r="X1290" i="13"/>
  <c r="Y1289" i="13"/>
  <c r="Y1290" i="13"/>
  <c r="X1291" i="13"/>
  <c r="Y1291" i="13"/>
  <c r="X1292" i="13"/>
  <c r="Y1292" i="13"/>
  <c r="X1293" i="13"/>
  <c r="X1294" i="13"/>
  <c r="Y1293" i="13"/>
  <c r="Y1294" i="13"/>
  <c r="X1295" i="13"/>
  <c r="X1296" i="13"/>
  <c r="Y1295" i="13"/>
  <c r="X1297" i="13"/>
  <c r="Y1296" i="13"/>
  <c r="X1298" i="13"/>
  <c r="Y1297" i="13"/>
  <c r="Y1298" i="13"/>
  <c r="X1299" i="13"/>
  <c r="X1300" i="13"/>
  <c r="Y1299" i="13"/>
  <c r="X1301" i="13"/>
  <c r="Y1300" i="13"/>
  <c r="X1302" i="13"/>
  <c r="Y1301" i="13"/>
  <c r="Y1302" i="13"/>
  <c r="X1303" i="13"/>
  <c r="Y1303" i="13"/>
  <c r="X1304" i="13"/>
  <c r="Y1304" i="13"/>
  <c r="X1305" i="13"/>
  <c r="Y1305" i="13"/>
  <c r="X1306" i="13"/>
  <c r="X1307" i="13"/>
  <c r="Y1306" i="13"/>
  <c r="X1308" i="13"/>
  <c r="Y1307" i="13"/>
  <c r="X1309" i="13"/>
  <c r="Y1308" i="13"/>
  <c r="X1310" i="13"/>
  <c r="Y1309" i="13"/>
  <c r="Y1310" i="13"/>
  <c r="X1311" i="13"/>
  <c r="Y1311" i="13"/>
  <c r="X1312" i="13"/>
  <c r="Y1312" i="13"/>
  <c r="X1313" i="13"/>
  <c r="Y1313" i="13"/>
  <c r="X1314" i="13"/>
  <c r="X1315" i="13"/>
  <c r="Y1314" i="13"/>
  <c r="Y1315" i="13"/>
  <c r="X1316" i="13"/>
  <c r="X1317" i="13"/>
  <c r="Y1316" i="13"/>
  <c r="X1318" i="13"/>
  <c r="Y1317" i="13"/>
  <c r="X1319" i="13"/>
  <c r="Y1318" i="13"/>
  <c r="Y1319" i="13"/>
  <c r="X1320" i="13"/>
  <c r="Y1320" i="13"/>
  <c r="X1321" i="13"/>
  <c r="Y1321" i="13"/>
  <c r="X1322" i="13"/>
  <c r="X1323" i="13"/>
  <c r="Y1322" i="13"/>
  <c r="Y1323" i="13"/>
  <c r="X1324" i="13"/>
  <c r="Y1324" i="13"/>
  <c r="X1325" i="13"/>
  <c r="X1326" i="13"/>
  <c r="Y1325" i="13"/>
  <c r="X1327" i="13"/>
  <c r="Y1326" i="13"/>
  <c r="X1328" i="13"/>
  <c r="Y1327" i="13"/>
  <c r="Y1328" i="13"/>
  <c r="X1329" i="13"/>
  <c r="X1330" i="13"/>
  <c r="Y1329" i="13"/>
  <c r="X1331" i="13"/>
  <c r="Y1330" i="13"/>
  <c r="Y1331" i="13"/>
  <c r="X1332" i="13"/>
  <c r="X1333" i="13"/>
  <c r="Y1332" i="13"/>
  <c r="Y1333" i="13"/>
  <c r="X1334" i="13"/>
  <c r="Y1334" i="13"/>
  <c r="X1335" i="13"/>
  <c r="X1336" i="13"/>
  <c r="Y1335" i="13"/>
  <c r="Y1336" i="13"/>
  <c r="X1337" i="13"/>
  <c r="Y1337" i="13"/>
  <c r="X1338" i="13"/>
  <c r="X1339" i="13"/>
  <c r="Y1338" i="13"/>
  <c r="X1340" i="13"/>
  <c r="Y1339" i="13"/>
  <c r="X1341" i="13"/>
  <c r="Y1340" i="13"/>
  <c r="Y1341" i="13"/>
  <c r="X1342" i="13"/>
  <c r="X1343" i="13"/>
  <c r="Y1342" i="13"/>
  <c r="Y1343" i="13"/>
  <c r="X1344" i="13"/>
  <c r="X1345" i="13"/>
  <c r="Y1344" i="13"/>
  <c r="Y1345" i="13"/>
  <c r="X1346" i="13"/>
  <c r="X1347" i="13"/>
  <c r="Y1346" i="13"/>
  <c r="X1348" i="13"/>
  <c r="Y1347" i="13"/>
  <c r="X1349" i="13"/>
  <c r="Y1348" i="13"/>
  <c r="X1350" i="13"/>
  <c r="Y1349" i="13"/>
  <c r="X1351" i="13"/>
  <c r="Y1350" i="13"/>
  <c r="X1352" i="13"/>
  <c r="Y1351" i="13"/>
  <c r="Y1352" i="13"/>
  <c r="X1353" i="13"/>
  <c r="Y1353" i="13"/>
  <c r="X1354" i="13"/>
  <c r="Y1354" i="13"/>
  <c r="X1355" i="13"/>
  <c r="Y1355" i="13"/>
  <c r="X1356" i="13"/>
  <c r="Y1356" i="13"/>
  <c r="X1357" i="13"/>
  <c r="X1358" i="13"/>
  <c r="Y1357" i="13"/>
  <c r="X1359" i="13"/>
  <c r="Y1358" i="13"/>
  <c r="X1360" i="13"/>
  <c r="Y1359" i="13"/>
  <c r="X1361" i="13"/>
  <c r="Y1360" i="13"/>
  <c r="Y1361" i="13"/>
  <c r="X1362" i="13"/>
  <c r="Y1362" i="13"/>
  <c r="X1363" i="13"/>
  <c r="X1364" i="13"/>
  <c r="Y1363" i="13"/>
  <c r="X1365" i="13"/>
  <c r="Y1364" i="13"/>
  <c r="Y1365" i="13"/>
  <c r="X1366" i="13"/>
  <c r="X1367" i="13"/>
  <c r="Y1366" i="13"/>
  <c r="Y1367" i="13"/>
  <c r="X1368" i="13"/>
  <c r="X1369" i="13"/>
  <c r="Y1368" i="13"/>
  <c r="Y1369" i="13"/>
  <c r="X1370" i="13"/>
  <c r="X1371" i="13"/>
  <c r="Y1370" i="13"/>
  <c r="X1372" i="13"/>
  <c r="Y1371" i="13"/>
  <c r="X1373" i="13"/>
  <c r="Y1372" i="13"/>
  <c r="X1374" i="13"/>
  <c r="Y1373" i="13"/>
  <c r="Y1374" i="13"/>
  <c r="X1375" i="13"/>
  <c r="Y1375" i="13"/>
  <c r="X1376" i="13"/>
  <c r="Y1376" i="13"/>
  <c r="X1377" i="13"/>
  <c r="Y1377" i="13"/>
  <c r="X1378" i="13"/>
  <c r="X1379" i="13"/>
  <c r="Y1378" i="13"/>
  <c r="X1380" i="13"/>
  <c r="Y1379" i="13"/>
  <c r="X1381" i="13"/>
  <c r="Y1380" i="13"/>
  <c r="Y1381" i="13"/>
  <c r="X1382" i="13"/>
  <c r="X1383" i="13"/>
  <c r="Y1382" i="13"/>
  <c r="X1384" i="13"/>
  <c r="Y1383" i="13"/>
  <c r="Y1384" i="13"/>
  <c r="X1385" i="13"/>
  <c r="Y1385" i="13"/>
  <c r="X1386" i="13"/>
  <c r="Y1386" i="13"/>
  <c r="X1387" i="13"/>
  <c r="X1388" i="13"/>
  <c r="Y1387" i="13"/>
  <c r="Y1388" i="13"/>
  <c r="X1389" i="13"/>
  <c r="X1390" i="13"/>
  <c r="Y1389" i="13"/>
  <c r="Y1390" i="13"/>
  <c r="X1391" i="13"/>
  <c r="X1392" i="13"/>
  <c r="Y1391" i="13"/>
  <c r="Y1392" i="13"/>
  <c r="X1393" i="13"/>
  <c r="Y1393" i="13"/>
  <c r="X1394" i="13"/>
  <c r="X1395" i="13"/>
  <c r="Y1394" i="13"/>
  <c r="X1396" i="13"/>
  <c r="Y1395" i="13"/>
  <c r="X1397" i="13"/>
  <c r="Y1396" i="13"/>
  <c r="X1398" i="13"/>
  <c r="Y1397" i="13"/>
  <c r="X1399" i="13"/>
  <c r="Y1398" i="13"/>
  <c r="X1400" i="13"/>
  <c r="Y1399" i="13"/>
  <c r="Y1400" i="13"/>
  <c r="X1401" i="13"/>
  <c r="X1402" i="13"/>
  <c r="Y1401" i="13"/>
  <c r="X1403" i="13"/>
  <c r="Y1402" i="13"/>
  <c r="X1404" i="13"/>
  <c r="Y1403" i="13"/>
  <c r="Y1404" i="13"/>
  <c r="X1405" i="13"/>
  <c r="Y1405" i="13"/>
  <c r="X1406" i="13"/>
  <c r="X1407" i="13"/>
  <c r="Y1406" i="13"/>
  <c r="Y1407" i="13"/>
  <c r="X1408" i="13"/>
  <c r="Y1408" i="13"/>
  <c r="X1409" i="13"/>
  <c r="X1410" i="13"/>
  <c r="Y1409" i="13"/>
  <c r="X1411" i="13"/>
  <c r="Y1410" i="13"/>
  <c r="Y1411" i="13"/>
  <c r="X1412" i="13"/>
  <c r="Y1412" i="13"/>
  <c r="X1413" i="13"/>
  <c r="X1414" i="13"/>
  <c r="Y1413" i="13"/>
  <c r="X1415" i="13"/>
  <c r="Y1414" i="13"/>
  <c r="X1416" i="13"/>
  <c r="Y1415" i="13"/>
  <c r="Y1416" i="13"/>
  <c r="X1417" i="13"/>
  <c r="Y1417" i="13"/>
  <c r="X1418" i="13"/>
  <c r="X1419" i="13"/>
  <c r="Y1418" i="13"/>
  <c r="Y1419" i="13"/>
  <c r="X1420" i="13"/>
  <c r="X1421" i="13"/>
  <c r="Y1420" i="13"/>
  <c r="Y1421" i="13"/>
  <c r="X1422" i="13"/>
  <c r="Y1422" i="13"/>
  <c r="X1423" i="13"/>
  <c r="Y1423" i="13"/>
  <c r="X1424" i="13"/>
  <c r="Y1424" i="13"/>
  <c r="X1425" i="13"/>
  <c r="X1426" i="13"/>
  <c r="Y1425" i="13"/>
  <c r="Y1426" i="13"/>
  <c r="X1427" i="13"/>
  <c r="X1428" i="13"/>
  <c r="Y1427" i="13"/>
  <c r="Y1428" i="13"/>
  <c r="X1429" i="13"/>
  <c r="Y1429" i="13"/>
  <c r="X1430" i="13"/>
  <c r="Y1430" i="13"/>
  <c r="X1431" i="13"/>
  <c r="X1432" i="13"/>
  <c r="Y1431" i="13"/>
  <c r="X1433" i="13"/>
  <c r="Y1432" i="13"/>
  <c r="Y1433" i="13"/>
  <c r="X1434" i="13"/>
  <c r="Y1434" i="13"/>
  <c r="X1435" i="13"/>
  <c r="Y1435" i="13"/>
  <c r="X1436" i="13"/>
  <c r="X1437" i="13"/>
  <c r="Y1436" i="13"/>
  <c r="X1438" i="13"/>
  <c r="Y1437" i="13"/>
  <c r="X1439" i="13"/>
  <c r="Y1438" i="13"/>
  <c r="X1440" i="13"/>
  <c r="Y1439" i="13"/>
  <c r="Y1440" i="13"/>
  <c r="X1441" i="13"/>
  <c r="Y1441" i="13"/>
  <c r="X1442" i="13"/>
  <c r="Y1442" i="13"/>
  <c r="X1443" i="13"/>
  <c r="X1444" i="13"/>
  <c r="Y1443" i="13"/>
  <c r="X1445" i="13"/>
  <c r="Y1444" i="13"/>
  <c r="Y1445" i="13"/>
  <c r="X1446" i="13"/>
  <c r="Y1446" i="13"/>
  <c r="X1447" i="13"/>
  <c r="Y1447" i="13"/>
  <c r="X1448" i="13"/>
  <c r="Y1448" i="13"/>
  <c r="X1449" i="13"/>
  <c r="X1450" i="13"/>
  <c r="Y1449" i="13"/>
  <c r="X1451" i="13"/>
  <c r="Y1450" i="13"/>
  <c r="Y1451" i="13"/>
  <c r="X1452" i="13"/>
  <c r="Y1452" i="13"/>
  <c r="X1453" i="13"/>
  <c r="Y1453" i="13"/>
  <c r="X1454" i="13"/>
  <c r="Y1454" i="13"/>
  <c r="X1455" i="13"/>
  <c r="X1456" i="13"/>
  <c r="Y1455" i="13"/>
  <c r="X1457" i="13"/>
  <c r="Y1456" i="13"/>
  <c r="Y1457" i="13"/>
  <c r="X1458" i="13"/>
  <c r="X1459" i="13"/>
  <c r="Y1458" i="13"/>
  <c r="Y1459" i="13"/>
  <c r="X1460" i="13"/>
  <c r="X1461" i="13"/>
  <c r="Y1460" i="13"/>
  <c r="X1462" i="13"/>
  <c r="Y1461" i="13"/>
  <c r="Y1462" i="13"/>
  <c r="X1463" i="13"/>
  <c r="Y1463" i="13"/>
  <c r="X1464" i="13"/>
  <c r="X1465" i="13"/>
  <c r="Y1464" i="13"/>
  <c r="X1466" i="13"/>
  <c r="Y1465" i="13"/>
  <c r="Y1466" i="13"/>
  <c r="X1467" i="13"/>
  <c r="Y1467" i="13"/>
  <c r="X1468" i="13"/>
  <c r="Y1468" i="13"/>
  <c r="X1469" i="13"/>
  <c r="X1470" i="13"/>
  <c r="Y1469" i="13"/>
  <c r="X1471" i="13"/>
  <c r="Y1470" i="13"/>
  <c r="X1472" i="13"/>
  <c r="Y1471" i="13"/>
  <c r="Y1472" i="13"/>
  <c r="X1473" i="13"/>
  <c r="X1474" i="13"/>
  <c r="Y1473" i="13"/>
  <c r="X1475" i="13"/>
  <c r="Y1474" i="13"/>
  <c r="Y1475" i="13"/>
  <c r="X1476" i="13"/>
  <c r="Y1476" i="13"/>
  <c r="X1477" i="13"/>
  <c r="Y1477" i="13"/>
  <c r="X1478" i="13"/>
  <c r="X1479" i="13"/>
  <c r="Y1478" i="13"/>
  <c r="X1480" i="13"/>
  <c r="Y1479" i="13"/>
  <c r="X1481" i="13"/>
  <c r="Y1480" i="13"/>
  <c r="X1482" i="13"/>
  <c r="Y1481" i="13"/>
  <c r="X1483" i="13"/>
  <c r="Y1482" i="13"/>
  <c r="Y1483" i="13"/>
  <c r="X1484" i="13"/>
  <c r="Y1484" i="13"/>
  <c r="X1485" i="13"/>
  <c r="X1486" i="13"/>
  <c r="Y1485" i="13"/>
  <c r="X1487" i="13"/>
  <c r="Y1486" i="13"/>
  <c r="X1488" i="13"/>
  <c r="Y1487" i="13"/>
  <c r="X1489" i="13"/>
  <c r="Y1488" i="13"/>
  <c r="Y1489" i="13"/>
  <c r="X1490" i="13"/>
  <c r="X1491" i="13"/>
  <c r="Y1490" i="13"/>
  <c r="X1492" i="13"/>
  <c r="Y1491" i="13"/>
  <c r="X1493" i="13"/>
  <c r="Y1492" i="13"/>
  <c r="Y1493" i="13"/>
  <c r="X1494" i="13"/>
  <c r="Y1494" i="13"/>
  <c r="X1495" i="13"/>
  <c r="Y1495" i="13"/>
  <c r="X1496" i="13"/>
  <c r="X1497" i="13"/>
  <c r="Y1496" i="13"/>
  <c r="X1498" i="13"/>
  <c r="Y1497" i="13"/>
  <c r="X1499" i="13"/>
  <c r="Y1498" i="13"/>
  <c r="Y1499" i="13"/>
  <c r="X1500" i="13"/>
  <c r="X1501" i="13"/>
  <c r="Y1500" i="13"/>
  <c r="X1502" i="13"/>
  <c r="Y1501" i="13"/>
  <c r="Y1502" i="13"/>
  <c r="X1503" i="13"/>
  <c r="Y1503" i="13"/>
  <c r="X1504" i="13"/>
  <c r="X1505" i="13"/>
  <c r="Y1504" i="13"/>
  <c r="X1506" i="13"/>
  <c r="Y1505" i="13"/>
  <c r="X1507" i="13"/>
  <c r="Y1506" i="13"/>
  <c r="X1508" i="13"/>
  <c r="Y1507" i="13"/>
  <c r="X1509" i="13"/>
  <c r="Y1508" i="13"/>
  <c r="Y1509" i="13"/>
  <c r="X1510" i="13"/>
  <c r="X1511" i="13"/>
  <c r="Y1510" i="13"/>
  <c r="X1512" i="13"/>
  <c r="Y1511" i="13"/>
  <c r="Y1512" i="13"/>
  <c r="X1513" i="13"/>
  <c r="Y1513" i="13"/>
  <c r="X1514" i="13"/>
  <c r="X1515" i="13"/>
  <c r="Y1514" i="13"/>
  <c r="Y1515" i="13"/>
  <c r="X1516" i="13"/>
  <c r="Y1516" i="13"/>
  <c r="X1517" i="13"/>
  <c r="Y1517" i="13"/>
  <c r="X1518" i="13"/>
  <c r="Y1518" i="13"/>
  <c r="X1519" i="13"/>
  <c r="X1520" i="13"/>
  <c r="Y1519" i="13"/>
  <c r="X1521" i="13"/>
  <c r="Y1520" i="13"/>
  <c r="Y1521" i="13"/>
  <c r="X1522" i="13"/>
  <c r="Y1522" i="13"/>
  <c r="X1523" i="13"/>
  <c r="Y1523" i="13"/>
  <c r="X1524" i="13"/>
  <c r="X1525" i="13"/>
  <c r="Y1524" i="13"/>
  <c r="X1526" i="13"/>
  <c r="Y1525" i="13"/>
  <c r="X1527" i="13"/>
  <c r="Y1526" i="13"/>
  <c r="Y1527" i="13"/>
  <c r="X1528" i="13"/>
  <c r="X1529" i="13"/>
  <c r="Y1528" i="13"/>
  <c r="Y1529" i="13"/>
  <c r="X1530" i="13"/>
  <c r="Y1530" i="13"/>
  <c r="X1531" i="13"/>
  <c r="Y1531" i="13"/>
  <c r="X1532" i="13"/>
  <c r="X1533" i="13"/>
  <c r="Y1532" i="13"/>
  <c r="X1534" i="13"/>
  <c r="Y1533" i="13"/>
  <c r="Y1534" i="13"/>
  <c r="X1535" i="13"/>
  <c r="Y1535" i="13"/>
  <c r="X1536" i="13"/>
  <c r="X1537" i="13"/>
  <c r="Y1536" i="13"/>
  <c r="X1538" i="13"/>
  <c r="Y1537" i="13"/>
  <c r="X1539" i="13"/>
  <c r="Y1538" i="13"/>
  <c r="Y1539" i="13"/>
  <c r="X1540" i="13"/>
  <c r="X1541" i="13"/>
  <c r="Y1540" i="13"/>
  <c r="Y1541" i="13"/>
  <c r="X1542" i="13"/>
  <c r="X1543" i="13"/>
  <c r="Y1542" i="13"/>
  <c r="Y1543" i="13"/>
  <c r="X1544" i="13"/>
  <c r="X1545" i="13"/>
  <c r="Y1544" i="13"/>
  <c r="Y1545" i="13"/>
  <c r="X1546" i="13"/>
  <c r="X1547" i="13"/>
  <c r="Y1546" i="13"/>
  <c r="X1548" i="13"/>
  <c r="Y1547" i="13"/>
  <c r="X1549" i="13"/>
  <c r="Y1548" i="13"/>
  <c r="Y1549" i="13"/>
  <c r="X1550" i="13"/>
  <c r="Y1550" i="13"/>
  <c r="X1551" i="13"/>
  <c r="X1552" i="13"/>
  <c r="Y1551" i="13"/>
  <c r="X1553" i="13"/>
  <c r="Y1552" i="13"/>
  <c r="X1554" i="13"/>
  <c r="Y1553" i="13"/>
  <c r="Y1554" i="13"/>
  <c r="X1555" i="13"/>
  <c r="X1556" i="13"/>
  <c r="Y1555" i="13"/>
  <c r="Y1556" i="13"/>
  <c r="X1557" i="13"/>
  <c r="Y1557" i="13"/>
  <c r="X1558" i="13"/>
  <c r="X1559" i="13"/>
  <c r="Y1558" i="13"/>
  <c r="Y1559" i="13"/>
  <c r="X1560" i="13"/>
  <c r="X1561" i="13"/>
  <c r="Y1560" i="13"/>
  <c r="X1562" i="13"/>
  <c r="Y1561" i="13"/>
  <c r="X1563" i="13"/>
  <c r="Y1562" i="13"/>
  <c r="Y1563" i="13"/>
  <c r="X1564" i="13"/>
  <c r="Y1564" i="13"/>
  <c r="X1565" i="13"/>
  <c r="Y1565" i="13"/>
  <c r="X1566" i="13"/>
  <c r="Y1566" i="13"/>
  <c r="X1567" i="13"/>
  <c r="X1568" i="13"/>
  <c r="Y1567" i="13"/>
  <c r="Y1568" i="13"/>
  <c r="X1569" i="13"/>
  <c r="X1570" i="13"/>
  <c r="Y1569" i="13"/>
  <c r="X1571" i="13"/>
  <c r="Y1570" i="13"/>
  <c r="X1572" i="13"/>
  <c r="Y1571" i="13"/>
  <c r="Y1572" i="13"/>
  <c r="X1573" i="13"/>
  <c r="X1574" i="13"/>
  <c r="Y1573" i="13"/>
  <c r="X1575" i="13"/>
  <c r="Y1574" i="13"/>
  <c r="X1576" i="13"/>
  <c r="Y1575" i="13"/>
  <c r="X1577" i="13"/>
  <c r="Y1576" i="13"/>
  <c r="Y1577" i="13"/>
  <c r="X1578" i="13"/>
  <c r="Y1578" i="13"/>
  <c r="X1579" i="13"/>
  <c r="X1580" i="13"/>
  <c r="Y1579" i="13"/>
  <c r="X1581" i="13"/>
  <c r="Y1580" i="13"/>
  <c r="Y1581" i="13"/>
  <c r="X1582" i="13"/>
  <c r="Y1582" i="13"/>
  <c r="X1583" i="13"/>
  <c r="X1584" i="13"/>
  <c r="Y1583" i="13"/>
  <c r="X1585" i="13"/>
  <c r="Y1584" i="13"/>
  <c r="X1586" i="13"/>
  <c r="Y1585" i="13"/>
  <c r="Y1586" i="13"/>
  <c r="X1587" i="13"/>
  <c r="Y1587" i="13"/>
  <c r="X1588" i="13"/>
  <c r="Y1588" i="13"/>
  <c r="X1589" i="13"/>
  <c r="X1590" i="13"/>
  <c r="Y1589" i="13"/>
  <c r="Y1590" i="13"/>
  <c r="X1591" i="13"/>
  <c r="Y1591" i="13"/>
  <c r="X1592" i="13"/>
  <c r="Y1592" i="13"/>
  <c r="X1593" i="13"/>
  <c r="Y1593" i="13"/>
  <c r="X1594" i="13"/>
  <c r="Y1594" i="13"/>
  <c r="X1595" i="13"/>
  <c r="Y1595" i="13"/>
  <c r="X1596" i="13"/>
  <c r="Y1596" i="13"/>
  <c r="X1597" i="13"/>
  <c r="Y1597" i="13"/>
  <c r="X1598" i="13"/>
  <c r="Y1598" i="13"/>
  <c r="X1599" i="13"/>
  <c r="Y1599" i="13"/>
  <c r="X1600" i="13"/>
  <c r="X1601" i="13"/>
  <c r="Y1600" i="13"/>
  <c r="X1602" i="13"/>
  <c r="Y1601" i="13"/>
  <c r="X1603" i="13"/>
  <c r="Y1602" i="13"/>
  <c r="X1604" i="13"/>
  <c r="Y1603" i="13"/>
  <c r="Y1604" i="13"/>
  <c r="X1605" i="13"/>
  <c r="X1606" i="13"/>
  <c r="Y1605" i="13"/>
  <c r="Y1606" i="13"/>
  <c r="X1607" i="13"/>
  <c r="X1608" i="13"/>
  <c r="Y1607" i="13"/>
  <c r="X1609" i="13"/>
  <c r="Y1608" i="13"/>
  <c r="Y1609" i="13"/>
  <c r="X1610" i="13"/>
  <c r="Y1610" i="13"/>
  <c r="X1611" i="13"/>
  <c r="X1612" i="13"/>
  <c r="Y1611" i="13"/>
  <c r="Y1612" i="13"/>
  <c r="X1613" i="13"/>
  <c r="Y1613" i="13"/>
  <c r="X1614" i="13"/>
  <c r="Y1614" i="13"/>
  <c r="X1615" i="13"/>
  <c r="X1616" i="13"/>
  <c r="Y1615" i="13"/>
  <c r="X1617" i="13"/>
  <c r="Y1616" i="13"/>
  <c r="Y1617" i="13"/>
  <c r="X1618" i="13"/>
  <c r="Y1618" i="13"/>
  <c r="X1619" i="13"/>
  <c r="Y1619" i="13"/>
  <c r="X1620" i="13"/>
  <c r="Y1620" i="13"/>
  <c r="X1621" i="13"/>
  <c r="Y1621" i="13"/>
  <c r="X1622" i="13"/>
  <c r="Y1622" i="13"/>
  <c r="X1623" i="13"/>
  <c r="X1624" i="13"/>
  <c r="Y1623" i="13"/>
  <c r="X1625" i="13"/>
  <c r="Y1624" i="13"/>
  <c r="Y1625" i="13"/>
  <c r="X1626" i="13"/>
  <c r="Y1626" i="13"/>
  <c r="X1627" i="13"/>
  <c r="Y1627" i="13"/>
  <c r="X1628" i="13"/>
  <c r="Y1628" i="13"/>
  <c r="X1629" i="13"/>
  <c r="Y1629" i="13"/>
  <c r="X1630" i="13"/>
  <c r="Y1630" i="13"/>
  <c r="X1631" i="13"/>
  <c r="X1632" i="13"/>
  <c r="Y1631" i="13"/>
  <c r="X1633" i="13"/>
  <c r="Y1632" i="13"/>
  <c r="Y1633" i="13"/>
  <c r="X1634" i="13"/>
  <c r="X1635" i="13"/>
  <c r="Y1634" i="13"/>
  <c r="Y1635" i="13"/>
  <c r="X1636" i="13"/>
  <c r="Y1636" i="13"/>
  <c r="X1637" i="13"/>
  <c r="X1638" i="13"/>
  <c r="Y1637" i="13"/>
  <c r="Y1638" i="13"/>
  <c r="X1639" i="13"/>
  <c r="X1640" i="13"/>
  <c r="Y1639" i="13"/>
  <c r="X1641" i="13"/>
  <c r="Y1640" i="13"/>
  <c r="X1642" i="13"/>
  <c r="Y1641" i="13"/>
  <c r="X1643" i="13"/>
  <c r="Y1642" i="13"/>
  <c r="X1644" i="13"/>
  <c r="Y1643" i="13"/>
  <c r="X1645" i="13"/>
  <c r="Y1644" i="13"/>
  <c r="Y1645" i="13"/>
  <c r="X1646" i="13"/>
  <c r="Y1646" i="13"/>
  <c r="X1647" i="13"/>
  <c r="Y1647" i="13"/>
  <c r="X1648" i="13"/>
  <c r="X1649" i="13"/>
  <c r="Y1648" i="13"/>
  <c r="Y1649" i="13"/>
  <c r="X1650" i="13"/>
  <c r="X1651" i="13"/>
  <c r="Y1650" i="13"/>
  <c r="X1652" i="13"/>
  <c r="Y1651" i="13"/>
  <c r="X1653" i="13"/>
  <c r="Y1652" i="13"/>
  <c r="X1654" i="13"/>
  <c r="Y1653" i="13"/>
  <c r="Y1654" i="13"/>
  <c r="X1655" i="13"/>
  <c r="X1656" i="13"/>
  <c r="Y1655" i="13"/>
  <c r="X1657" i="13"/>
  <c r="Y1656" i="13"/>
  <c r="X1658" i="13"/>
  <c r="Y1657" i="13"/>
  <c r="Y1658" i="13"/>
  <c r="X1659" i="13"/>
  <c r="Y1659" i="13"/>
  <c r="X1660" i="13"/>
  <c r="X1661" i="13"/>
  <c r="Y1660" i="13"/>
  <c r="X1662" i="13"/>
  <c r="Y1661" i="13"/>
  <c r="Y1662" i="13"/>
  <c r="X1663" i="13"/>
  <c r="Y1663" i="13"/>
  <c r="X1664" i="13"/>
  <c r="X1665" i="13"/>
  <c r="Y1664" i="13"/>
  <c r="Y1665" i="13"/>
  <c r="X1666" i="13"/>
  <c r="Y1666" i="13"/>
  <c r="X1667" i="13"/>
  <c r="Y1667" i="13"/>
  <c r="X1668" i="13"/>
  <c r="Y1668" i="13"/>
  <c r="X1669" i="13"/>
  <c r="Y1669" i="13"/>
  <c r="X1670" i="13"/>
  <c r="Y1670" i="13"/>
  <c r="X1671" i="13"/>
  <c r="X1672" i="13"/>
  <c r="Y1671" i="13"/>
  <c r="Y1672" i="13"/>
  <c r="X1673" i="13"/>
  <c r="Y1673" i="13"/>
  <c r="X1674" i="13"/>
  <c r="X1675" i="13"/>
  <c r="Y1674" i="13"/>
  <c r="Y1675" i="13"/>
  <c r="X1676" i="13"/>
  <c r="X1677" i="13"/>
  <c r="Y1676" i="13"/>
  <c r="Y1677" i="13"/>
  <c r="X1678" i="13"/>
  <c r="X1679" i="13"/>
  <c r="Y1678" i="13"/>
  <c r="X1680" i="13"/>
  <c r="Y1679" i="13"/>
  <c r="Y1680" i="13"/>
  <c r="X1681" i="13"/>
  <c r="Y1681" i="13"/>
  <c r="X1682" i="13"/>
  <c r="Y1682" i="13"/>
  <c r="X1683" i="13"/>
  <c r="Y1683" i="13"/>
  <c r="X1684" i="13"/>
  <c r="X1685" i="13"/>
  <c r="Y1684" i="13"/>
  <c r="X1686" i="13"/>
  <c r="Y1685" i="13"/>
  <c r="X1687" i="13"/>
  <c r="Y1686" i="13"/>
  <c r="X1688" i="13"/>
  <c r="Y1687" i="13"/>
  <c r="Y1688" i="13"/>
  <c r="X1689" i="13"/>
  <c r="Y1689" i="13"/>
  <c r="X1690" i="13"/>
  <c r="X1691" i="13"/>
  <c r="Y1690" i="13"/>
  <c r="X1692" i="13"/>
  <c r="Y1691" i="13"/>
  <c r="X1693" i="13"/>
  <c r="Y1692" i="13"/>
  <c r="Y1693" i="13"/>
  <c r="X1694" i="13"/>
  <c r="X1695" i="13"/>
  <c r="Y1694" i="13"/>
  <c r="X1696" i="13"/>
  <c r="Y1695" i="13"/>
  <c r="Y1696" i="13"/>
  <c r="X1697" i="13"/>
  <c r="Y1697" i="13"/>
  <c r="X1698" i="13"/>
  <c r="Y1698" i="13"/>
  <c r="X1699" i="13"/>
  <c r="X1700" i="13"/>
  <c r="Y1699" i="13"/>
  <c r="Y1700" i="13"/>
  <c r="X1701" i="13"/>
  <c r="Y1701" i="13"/>
  <c r="X1702" i="13"/>
  <c r="X1703" i="13"/>
  <c r="Y1702" i="13"/>
  <c r="Y1703" i="13"/>
  <c r="X1704" i="13"/>
  <c r="Y1704" i="13"/>
  <c r="X1705" i="13"/>
  <c r="X1706" i="13"/>
  <c r="Y1705" i="13"/>
  <c r="Y1706" i="13"/>
  <c r="X1707" i="13"/>
  <c r="X1708" i="13"/>
  <c r="Y1707" i="13"/>
  <c r="X1709" i="13"/>
  <c r="Y1708" i="13"/>
  <c r="X1710" i="13"/>
  <c r="Y1709" i="13"/>
  <c r="Y1710" i="13"/>
  <c r="X1711" i="13"/>
  <c r="Y1711" i="13"/>
  <c r="X1712" i="13"/>
  <c r="X1713" i="13"/>
  <c r="Y1712" i="13"/>
  <c r="X1714" i="13"/>
  <c r="Y1713" i="13"/>
  <c r="Y1714" i="13"/>
  <c r="X1715" i="13"/>
  <c r="Y1715" i="13"/>
  <c r="X1716" i="13"/>
  <c r="X1717" i="13"/>
  <c r="Y1716" i="13"/>
  <c r="X1718" i="13"/>
  <c r="Y1717" i="13"/>
  <c r="X1719" i="13"/>
  <c r="Y1718" i="13"/>
  <c r="Y1719" i="13"/>
  <c r="X1720" i="13"/>
  <c r="X1721" i="13"/>
  <c r="Y1720" i="13"/>
  <c r="X1722" i="13"/>
  <c r="Y1721" i="13"/>
  <c r="Y1722" i="13"/>
  <c r="X1723" i="13"/>
  <c r="X1724" i="13"/>
  <c r="Y1723" i="13"/>
  <c r="Y1724" i="13"/>
  <c r="X1725" i="13"/>
  <c r="Y1725" i="13"/>
  <c r="X1726" i="13"/>
  <c r="Y1726" i="13"/>
  <c r="X1727" i="13"/>
  <c r="X1728" i="13"/>
  <c r="Y1727" i="13"/>
  <c r="X1729" i="13"/>
  <c r="Y1728" i="13"/>
  <c r="X1730" i="13"/>
  <c r="Y1729" i="13"/>
  <c r="X1731" i="13"/>
  <c r="Y1730" i="13"/>
  <c r="Y1731" i="13"/>
  <c r="X1732" i="13"/>
  <c r="Y1732" i="13"/>
  <c r="X1733" i="13"/>
  <c r="Y1733" i="13"/>
  <c r="X1734" i="13"/>
  <c r="Y1734" i="13"/>
  <c r="X1735" i="13"/>
  <c r="X1736" i="13"/>
  <c r="Y1735" i="13"/>
  <c r="X1737" i="13"/>
  <c r="Y1736" i="13"/>
  <c r="Y1737" i="13"/>
  <c r="X1738" i="13"/>
  <c r="Y1738" i="13"/>
  <c r="X1739" i="13"/>
  <c r="X1740" i="13"/>
  <c r="Y1739" i="13"/>
  <c r="X1741" i="13"/>
  <c r="Y1740" i="13"/>
  <c r="Y1741" i="13"/>
  <c r="X1742" i="13"/>
  <c r="Y1742" i="13"/>
  <c r="X1743" i="13"/>
  <c r="Y1743" i="13"/>
  <c r="X1744" i="13"/>
  <c r="Y1744" i="13"/>
  <c r="X1745" i="13"/>
  <c r="X1746" i="13"/>
  <c r="Y1745" i="13"/>
  <c r="X1747" i="13"/>
  <c r="Y1746" i="13"/>
  <c r="Y1747" i="13"/>
  <c r="X1748" i="13"/>
  <c r="X1749" i="13"/>
  <c r="Y1748" i="13"/>
  <c r="X1750" i="13"/>
  <c r="Y1749" i="13"/>
  <c r="Y1750" i="13"/>
  <c r="X1751" i="13"/>
  <c r="Y1751" i="13"/>
  <c r="X1752" i="13"/>
  <c r="X1753" i="13"/>
  <c r="Y1752" i="13"/>
  <c r="X1754" i="13"/>
  <c r="Y1753" i="13"/>
  <c r="X1755" i="13"/>
  <c r="Y1754" i="13"/>
  <c r="Y1755" i="13"/>
  <c r="X1756" i="13"/>
  <c r="X1757" i="13"/>
  <c r="Y1756" i="13"/>
  <c r="Y1757" i="13"/>
  <c r="X1758" i="13"/>
  <c r="Y1758" i="13"/>
  <c r="X1759" i="13"/>
  <c r="X1760" i="13"/>
  <c r="Y1759" i="13"/>
  <c r="Y1760" i="13"/>
  <c r="X1761" i="13"/>
  <c r="Y1761" i="13"/>
  <c r="X1762" i="13"/>
  <c r="Y1762" i="13"/>
  <c r="X1763" i="13"/>
  <c r="X1764" i="13"/>
  <c r="Y1763" i="13"/>
  <c r="Y1764" i="13"/>
  <c r="X1765" i="13"/>
  <c r="X1766" i="13"/>
  <c r="Y1765" i="13"/>
  <c r="Y1766" i="13"/>
  <c r="X1767" i="13"/>
  <c r="Y1767" i="13"/>
  <c r="X1768" i="13"/>
  <c r="X1769" i="13"/>
  <c r="Y1768" i="13"/>
  <c r="Y1769" i="13"/>
  <c r="X1770" i="13"/>
  <c r="Y1770" i="13"/>
  <c r="X1771" i="13"/>
  <c r="X1772" i="13"/>
  <c r="Y1771" i="13"/>
  <c r="X1773" i="13"/>
  <c r="Y1772" i="13"/>
  <c r="X1774" i="13"/>
  <c r="Y1773" i="13"/>
  <c r="Y1774" i="13"/>
  <c r="X1775" i="13"/>
  <c r="Y1775" i="13"/>
  <c r="X1776" i="13"/>
  <c r="Y1776" i="13"/>
  <c r="X1777" i="13"/>
  <c r="X1778" i="13"/>
  <c r="Y1777" i="13"/>
  <c r="X1779" i="13"/>
  <c r="Y1778" i="13"/>
  <c r="Y1779" i="13"/>
  <c r="X1780" i="13"/>
  <c r="X1781" i="13"/>
  <c r="Y1780" i="13"/>
  <c r="Y1781" i="13"/>
  <c r="X1782" i="13"/>
  <c r="X1783" i="13"/>
  <c r="Y1782" i="13"/>
  <c r="Y1783" i="13"/>
  <c r="X1784" i="13"/>
  <c r="X1785" i="13"/>
  <c r="Y1784" i="13"/>
  <c r="X1786" i="13"/>
  <c r="Y1785" i="13"/>
  <c r="Y1786" i="13"/>
  <c r="X1787" i="13"/>
  <c r="Y1787" i="13"/>
  <c r="X1788" i="13"/>
  <c r="Y1788" i="13"/>
  <c r="X1789" i="13"/>
  <c r="Y1789" i="13"/>
  <c r="X1790" i="13"/>
  <c r="X1791" i="13"/>
  <c r="Y1790" i="13"/>
  <c r="X1792" i="13"/>
  <c r="Y1791" i="13"/>
  <c r="X1793" i="13"/>
  <c r="Y1792" i="13"/>
  <c r="X1794" i="13"/>
  <c r="Y1793" i="13"/>
  <c r="X1795" i="13"/>
  <c r="Y1794" i="13"/>
  <c r="Y1795" i="13"/>
  <c r="X1796" i="13"/>
  <c r="Y1796" i="13"/>
  <c r="X1797" i="13"/>
  <c r="Y1797" i="13"/>
  <c r="X1798" i="13"/>
  <c r="X1799" i="13"/>
  <c r="Y1798" i="13"/>
  <c r="Y1799" i="13"/>
  <c r="X1800" i="13"/>
  <c r="X1801" i="13"/>
  <c r="Y1800" i="13"/>
  <c r="X1802" i="13"/>
  <c r="Y1801" i="13"/>
  <c r="Y1802" i="13"/>
  <c r="X1803" i="13"/>
  <c r="Y1803" i="13"/>
  <c r="X1804" i="13"/>
  <c r="Y1804" i="13"/>
  <c r="X1805" i="13"/>
  <c r="X1806" i="13"/>
  <c r="Y1805" i="13"/>
  <c r="X1807" i="13"/>
  <c r="Y1806" i="13"/>
  <c r="X1808" i="13"/>
  <c r="Y1807" i="13"/>
  <c r="Y1808" i="13"/>
  <c r="X1809" i="13"/>
  <c r="Y1809" i="13"/>
  <c r="X1810" i="13"/>
  <c r="Y1810" i="13"/>
  <c r="X1811" i="13"/>
  <c r="X1812" i="13"/>
  <c r="Y1811" i="13"/>
  <c r="Y1812" i="13"/>
  <c r="X1813" i="13"/>
  <c r="Y1813" i="13"/>
  <c r="X1814" i="13"/>
  <c r="X1815" i="13"/>
  <c r="Y1814" i="13"/>
  <c r="Y1815" i="13"/>
  <c r="X1816" i="13"/>
  <c r="Y1816" i="13"/>
  <c r="X1817" i="13"/>
  <c r="Y1817" i="13"/>
  <c r="X1818" i="13"/>
  <c r="Y1818" i="13"/>
  <c r="X1819" i="13"/>
  <c r="Y1819" i="13"/>
  <c r="X1820" i="13"/>
  <c r="Y1820" i="13"/>
  <c r="X1821" i="13"/>
  <c r="Y1821" i="13"/>
  <c r="X1822" i="13"/>
  <c r="Y1822" i="13"/>
  <c r="X1823" i="13"/>
  <c r="Y1823" i="13"/>
  <c r="X1824" i="13"/>
  <c r="X1825" i="13"/>
  <c r="Y1824" i="13"/>
  <c r="X1826" i="13"/>
  <c r="Y1825" i="13"/>
  <c r="Y1826" i="13"/>
  <c r="X1827" i="13"/>
  <c r="X1828" i="13"/>
  <c r="Y1827" i="13"/>
  <c r="X1829" i="13"/>
  <c r="Y1828" i="13"/>
  <c r="Y1829" i="13"/>
  <c r="X1830" i="13"/>
  <c r="X1831" i="13"/>
  <c r="Y1830" i="13"/>
  <c r="Y1831" i="13"/>
  <c r="X1832" i="13"/>
  <c r="Y1832" i="13"/>
  <c r="X1833" i="13"/>
  <c r="X1834" i="13"/>
  <c r="Y1833" i="13"/>
  <c r="X1835" i="13"/>
  <c r="Y1834" i="13"/>
  <c r="Y1835" i="13"/>
  <c r="X1836" i="13"/>
  <c r="Y1836" i="13"/>
  <c r="X1837" i="13"/>
  <c r="X1838" i="13"/>
  <c r="Y1837" i="13"/>
  <c r="Y1838" i="13"/>
  <c r="X1839" i="13"/>
  <c r="Y1839" i="13"/>
  <c r="X1840" i="13"/>
  <c r="Y1840" i="13"/>
  <c r="X1841" i="13"/>
  <c r="X1842" i="13"/>
  <c r="Y1841" i="13"/>
  <c r="Y1842" i="13"/>
  <c r="X1843" i="13"/>
  <c r="Y1843" i="13"/>
  <c r="X1844" i="13"/>
  <c r="Y1844" i="13"/>
  <c r="X1845" i="13"/>
  <c r="X1846" i="13"/>
  <c r="Y1845" i="13"/>
  <c r="Y1846" i="13"/>
  <c r="X1847" i="13"/>
  <c r="Y1847" i="13"/>
  <c r="X1848" i="13"/>
  <c r="Y1848" i="13"/>
  <c r="X1849" i="13"/>
  <c r="X1850" i="13"/>
  <c r="Y1849" i="13"/>
  <c r="Y1850" i="13"/>
  <c r="X1851" i="13"/>
  <c r="X1852" i="13"/>
  <c r="Y1851" i="13"/>
  <c r="X1853" i="13"/>
  <c r="Y1852" i="13"/>
  <c r="Y1853" i="13"/>
  <c r="X1854" i="13"/>
  <c r="X1855" i="13"/>
  <c r="Y1854" i="13"/>
  <c r="X1856" i="13"/>
  <c r="Y1855" i="13"/>
  <c r="Y1856" i="13"/>
  <c r="X1857" i="13"/>
  <c r="X1858" i="13"/>
  <c r="Y1857" i="13"/>
  <c r="X1859" i="13"/>
  <c r="Y1858" i="13"/>
  <c r="Y1859" i="13"/>
  <c r="X1860" i="13"/>
  <c r="Y1860" i="13"/>
  <c r="X1861" i="13"/>
  <c r="X1862" i="13"/>
  <c r="Y1861" i="13"/>
  <c r="Y1862" i="13"/>
  <c r="X1863" i="13"/>
  <c r="X1864" i="13"/>
  <c r="Y1863" i="13"/>
  <c r="X1865" i="13"/>
  <c r="Y1864" i="13"/>
  <c r="Y1865" i="13"/>
  <c r="X1866" i="13"/>
  <c r="X1867" i="13"/>
  <c r="Y1866" i="13"/>
  <c r="X1868" i="13"/>
  <c r="Y1867" i="13"/>
  <c r="X1869" i="13"/>
  <c r="Y1868" i="13"/>
  <c r="X1870" i="13"/>
  <c r="Y1869" i="13"/>
  <c r="X1871" i="13"/>
  <c r="Y1870" i="13"/>
  <c r="Y1871" i="13"/>
  <c r="X1872" i="13"/>
  <c r="Y1872" i="13"/>
  <c r="X1873" i="13"/>
  <c r="X1874" i="13"/>
  <c r="Y1873" i="13"/>
  <c r="X1875" i="13"/>
  <c r="Y1874" i="13"/>
  <c r="Y1875" i="13"/>
  <c r="X1876" i="13"/>
  <c r="Y1876" i="13"/>
  <c r="X1877" i="13"/>
  <c r="Y1877" i="13"/>
  <c r="X1878" i="13"/>
  <c r="Y1878" i="13"/>
  <c r="X1879" i="13"/>
  <c r="Y1879" i="13"/>
  <c r="X1880" i="13"/>
  <c r="Y1880" i="13"/>
  <c r="X1881" i="13"/>
  <c r="X1882" i="13"/>
  <c r="Y1881" i="13"/>
  <c r="Y1882" i="13"/>
  <c r="X1883" i="13"/>
  <c r="X1884" i="13"/>
  <c r="Y1883" i="13"/>
  <c r="X1885" i="13"/>
  <c r="Y1884" i="13"/>
  <c r="Y1885" i="13"/>
  <c r="X1886" i="13"/>
  <c r="X1887" i="13"/>
  <c r="Y1886" i="13"/>
  <c r="Y1887" i="13"/>
  <c r="X1888" i="13"/>
  <c r="Y1888" i="13"/>
  <c r="X1889" i="13"/>
  <c r="X1890" i="13"/>
  <c r="Y1889" i="13"/>
  <c r="X1891" i="13"/>
  <c r="Y1890" i="13"/>
  <c r="Y1891" i="13"/>
  <c r="X1892" i="13"/>
  <c r="Y1892" i="13"/>
  <c r="X1893" i="13"/>
  <c r="X1894" i="13"/>
  <c r="Y1893" i="13"/>
  <c r="Y1894" i="13"/>
  <c r="X1895" i="13"/>
  <c r="X1896" i="13"/>
  <c r="Y1895" i="13"/>
  <c r="X1897" i="13"/>
  <c r="Y1896" i="13"/>
  <c r="Y1897" i="13"/>
  <c r="X1898" i="13"/>
  <c r="X1899" i="13"/>
  <c r="Y1898" i="13"/>
  <c r="Y1899" i="13"/>
  <c r="X1900" i="13"/>
  <c r="X1901" i="13"/>
  <c r="Y1900" i="13"/>
  <c r="Y1901" i="13"/>
  <c r="X1902" i="13"/>
  <c r="X1903" i="13"/>
  <c r="Y1902" i="13"/>
  <c r="X1904" i="13"/>
  <c r="Y1903" i="13"/>
  <c r="X1905" i="13"/>
  <c r="Y1904" i="13"/>
  <c r="Y1905" i="13"/>
  <c r="X1906" i="13"/>
  <c r="Y1906" i="13"/>
  <c r="X1907" i="13"/>
  <c r="Y1907" i="13"/>
  <c r="X1908" i="13"/>
  <c r="Y1908" i="13"/>
  <c r="X1909" i="13"/>
  <c r="X1910" i="13"/>
  <c r="Y1909" i="13"/>
  <c r="Y1910" i="13"/>
  <c r="X1911" i="13"/>
  <c r="X1912" i="13"/>
  <c r="Y1911" i="13"/>
  <c r="Y1912" i="13"/>
  <c r="X1913" i="13"/>
  <c r="X1914" i="13"/>
  <c r="Y1913" i="13"/>
  <c r="Y1914" i="13"/>
  <c r="X1915" i="13"/>
  <c r="X1916" i="13"/>
  <c r="Y1915" i="13"/>
  <c r="Y1916" i="13"/>
  <c r="X1917" i="13"/>
  <c r="X1918" i="13"/>
  <c r="Y1917" i="13"/>
  <c r="X1919" i="13"/>
  <c r="Y1918" i="13"/>
  <c r="Y1919" i="13"/>
  <c r="X1920" i="13"/>
  <c r="Y1920" i="13"/>
  <c r="X1921" i="13"/>
  <c r="X1922" i="13"/>
  <c r="Y1921" i="13"/>
  <c r="Y1922" i="13"/>
  <c r="X1923" i="13"/>
  <c r="Y1923" i="13"/>
  <c r="X1924" i="13"/>
  <c r="X1925" i="13"/>
  <c r="Y1924" i="13"/>
  <c r="X1926" i="13"/>
  <c r="Y1925" i="13"/>
  <c r="Y1926" i="13"/>
  <c r="X1927" i="13"/>
  <c r="Y1927" i="13"/>
  <c r="X1928" i="13"/>
  <c r="Y1928" i="13"/>
  <c r="X1929" i="13"/>
  <c r="Y1929" i="13"/>
  <c r="X1930" i="13"/>
  <c r="Y1930" i="13"/>
  <c r="X1931" i="13"/>
  <c r="X1932" i="13"/>
  <c r="Y1931" i="13"/>
  <c r="Y1932" i="13"/>
  <c r="X1933" i="13"/>
  <c r="Y1933" i="13"/>
  <c r="X1934" i="13"/>
  <c r="X1935" i="13"/>
  <c r="Y1934" i="13"/>
  <c r="Y1935" i="13"/>
  <c r="X1936" i="13"/>
  <c r="Y1936" i="13"/>
  <c r="X1937" i="13"/>
  <c r="Y1937" i="13"/>
  <c r="X1938" i="13"/>
  <c r="Y1938" i="13"/>
  <c r="X1939" i="13"/>
  <c r="Y1939" i="13"/>
  <c r="X1940" i="13"/>
  <c r="X1941" i="13"/>
  <c r="Y1940" i="13"/>
  <c r="X1942" i="13"/>
  <c r="Y1941" i="13"/>
  <c r="X1943" i="13"/>
  <c r="Y1942" i="13"/>
  <c r="X1944" i="13"/>
  <c r="Y1943" i="13"/>
  <c r="X1945" i="13"/>
  <c r="Y1944" i="13"/>
  <c r="X1946" i="13"/>
  <c r="Y1945" i="13"/>
  <c r="X1947" i="13"/>
  <c r="Y1946" i="13"/>
  <c r="Y1947" i="13"/>
  <c r="X1948" i="13"/>
  <c r="X1949" i="13"/>
  <c r="Y1948" i="13"/>
  <c r="Y1949" i="13"/>
  <c r="X1950" i="13"/>
  <c r="X1951" i="13"/>
  <c r="Y1950" i="13"/>
  <c r="Y1951" i="13"/>
  <c r="X1952" i="13"/>
  <c r="X1953" i="13"/>
  <c r="Y1952" i="13"/>
  <c r="Y1953" i="13"/>
  <c r="X1954" i="13"/>
  <c r="X1955" i="13"/>
  <c r="Y1954" i="13"/>
  <c r="X1956" i="13"/>
  <c r="Y1955" i="13"/>
  <c r="Y1956" i="13"/>
  <c r="X1957" i="13"/>
  <c r="X1958" i="13"/>
  <c r="Y1957" i="13"/>
  <c r="Y1958" i="13"/>
  <c r="X1959" i="13"/>
  <c r="Y1959" i="13"/>
  <c r="X1960" i="13"/>
  <c r="Y1960" i="13"/>
  <c r="X1961" i="13"/>
  <c r="Y1961" i="13"/>
  <c r="X1962" i="13"/>
  <c r="Y1962" i="13"/>
  <c r="X1963" i="13"/>
  <c r="X1964" i="13"/>
  <c r="Y1963" i="13"/>
  <c r="X1965" i="13"/>
  <c r="Y1964" i="13"/>
  <c r="X1966" i="13"/>
  <c r="Y1965" i="13"/>
  <c r="Y1966" i="13"/>
  <c r="X1967" i="13"/>
  <c r="X1968" i="13"/>
  <c r="Y1967" i="13"/>
  <c r="X1969" i="13"/>
  <c r="Y1968" i="13"/>
  <c r="X1970" i="13"/>
  <c r="Y1969" i="13"/>
  <c r="Y1970" i="13"/>
  <c r="X1971" i="13"/>
  <c r="Y1971" i="13"/>
  <c r="X1972" i="13"/>
  <c r="Y1972" i="13"/>
  <c r="X1973" i="13"/>
  <c r="Y1973" i="13"/>
  <c r="X1974" i="13"/>
  <c r="Y1974" i="13"/>
  <c r="X1975" i="13"/>
  <c r="Y1975" i="13"/>
  <c r="X1976" i="13"/>
  <c r="X1977" i="13"/>
  <c r="Y1976" i="13"/>
  <c r="Y1977" i="13"/>
  <c r="X1978" i="13"/>
  <c r="X1979" i="13"/>
  <c r="Y1978" i="13"/>
  <c r="Y1979" i="13"/>
  <c r="X1980" i="13"/>
  <c r="X1981" i="13"/>
  <c r="Y1980" i="13"/>
  <c r="Y1981" i="13"/>
  <c r="X1982" i="13"/>
  <c r="X1983" i="13"/>
  <c r="Y1982" i="13"/>
  <c r="X1984" i="13"/>
  <c r="Y1983" i="13"/>
  <c r="Y1984" i="13"/>
  <c r="X1985" i="13"/>
  <c r="Y1985" i="13"/>
  <c r="X1986" i="13"/>
  <c r="X1987" i="13"/>
  <c r="Y1986" i="13"/>
  <c r="Y1987" i="13"/>
  <c r="X1988" i="13"/>
  <c r="X1989" i="13"/>
  <c r="Y1988" i="13"/>
  <c r="X1990" i="13"/>
  <c r="Y1989" i="13"/>
  <c r="X1991" i="13"/>
  <c r="Y1990" i="13"/>
  <c r="Y1991" i="13"/>
  <c r="X1992" i="13"/>
  <c r="X1993" i="13"/>
  <c r="Y1992" i="13"/>
  <c r="Y1993" i="13"/>
  <c r="X1994" i="13"/>
  <c r="Y1994" i="13"/>
  <c r="X1995" i="13"/>
  <c r="Y1995" i="13"/>
  <c r="X1996" i="13"/>
  <c r="X1997" i="13"/>
  <c r="Y1996" i="13"/>
  <c r="Y1997" i="13"/>
  <c r="X1998" i="13"/>
  <c r="X1999" i="13"/>
  <c r="Y1998" i="13"/>
  <c r="X2000" i="13"/>
  <c r="Y1999" i="13"/>
  <c r="Y2000" i="13"/>
  <c r="X2001" i="13"/>
  <c r="Y2001" i="13"/>
  <c r="X2002" i="13"/>
  <c r="Y2002" i="13"/>
  <c r="X2003" i="13"/>
  <c r="X2004" i="13"/>
  <c r="Y2003" i="13"/>
  <c r="Y2004" i="13"/>
  <c r="X2005" i="13"/>
  <c r="Y2005" i="13"/>
  <c r="X2006" i="13"/>
  <c r="Y2006" i="13"/>
  <c r="X2007" i="13"/>
  <c r="Y2007" i="13"/>
  <c r="X2008" i="13"/>
  <c r="Y2008" i="13"/>
  <c r="X2009" i="13"/>
  <c r="Y2009" i="13"/>
  <c r="X2010" i="13"/>
  <c r="Y2010" i="13"/>
  <c r="X2011" i="13"/>
  <c r="X2012" i="13"/>
  <c r="Y2011" i="13"/>
  <c r="Y2012" i="13"/>
  <c r="X2013" i="13"/>
  <c r="X2014" i="13"/>
  <c r="Y2013" i="13"/>
  <c r="X2015" i="13"/>
  <c r="Y2014" i="13"/>
  <c r="X2016" i="13"/>
  <c r="Y2015" i="13"/>
  <c r="X2017" i="13"/>
  <c r="Y2016" i="13"/>
  <c r="X2018" i="13"/>
  <c r="Y2017" i="13"/>
  <c r="X2019" i="13"/>
  <c r="Y2018" i="13"/>
  <c r="Y2019" i="13"/>
  <c r="X2020" i="13"/>
  <c r="X2021" i="13"/>
  <c r="Y2020" i="13"/>
  <c r="X2022" i="13"/>
  <c r="Y2021" i="13"/>
  <c r="Y2022" i="13"/>
  <c r="X2023" i="13"/>
  <c r="X2024" i="13"/>
  <c r="Y2023" i="13"/>
  <c r="Y2024" i="13"/>
  <c r="X2025" i="13"/>
  <c r="X2026" i="13"/>
  <c r="Y2025" i="13"/>
  <c r="X2027" i="13"/>
  <c r="Y2026" i="13"/>
  <c r="X2028" i="13"/>
  <c r="Y2027" i="13"/>
  <c r="Y2028" i="13"/>
  <c r="X2029" i="13"/>
  <c r="X2030" i="13"/>
  <c r="Y2029" i="13"/>
  <c r="Y2030" i="13"/>
  <c r="X2031" i="13"/>
  <c r="Y2031" i="13"/>
  <c r="X2032" i="13"/>
  <c r="Y2032" i="13"/>
  <c r="X2033" i="13"/>
  <c r="Y2033" i="13"/>
  <c r="X2034" i="13"/>
  <c r="Y2034" i="13"/>
  <c r="X2035" i="13"/>
  <c r="Y2035" i="13"/>
  <c r="X2036" i="13"/>
  <c r="Y2036" i="13"/>
  <c r="X2037" i="13"/>
  <c r="X2038" i="13"/>
  <c r="Y2037" i="13"/>
  <c r="Y2038" i="13"/>
  <c r="X2039" i="13"/>
  <c r="X2040" i="13"/>
  <c r="Y2039" i="13"/>
  <c r="Y2040" i="13"/>
  <c r="X2041" i="13"/>
  <c r="Y2041" i="13"/>
  <c r="X2042" i="13"/>
  <c r="X2043" i="13"/>
  <c r="Y2042" i="13"/>
  <c r="Y2043" i="13"/>
  <c r="X2044" i="13"/>
  <c r="Y2044" i="13"/>
  <c r="X2045" i="13"/>
  <c r="X2046" i="13"/>
  <c r="Y2045" i="13"/>
  <c r="Y2046" i="13"/>
  <c r="X2047" i="13"/>
  <c r="X2048" i="13"/>
  <c r="Y2047" i="13"/>
  <c r="Y2048" i="13"/>
  <c r="X2049" i="13"/>
  <c r="Y2049" i="13"/>
  <c r="X2050" i="13"/>
  <c r="Y2050" i="13"/>
  <c r="X2051" i="13"/>
  <c r="Y2051" i="13"/>
  <c r="X2052" i="13"/>
  <c r="X2053" i="13"/>
  <c r="Y2052" i="13"/>
  <c r="X2054" i="13"/>
  <c r="Y2053" i="13"/>
  <c r="X2055" i="13"/>
  <c r="Y2054" i="13"/>
  <c r="Y2055" i="13"/>
  <c r="X2056" i="13"/>
  <c r="X2057" i="13"/>
  <c r="Y2056" i="13"/>
  <c r="X2058" i="13"/>
  <c r="Y2057" i="13"/>
  <c r="X2059" i="13"/>
  <c r="Y2058" i="13"/>
  <c r="X2060" i="13"/>
  <c r="Y2059" i="13"/>
  <c r="Y2060" i="13"/>
  <c r="X2061" i="13"/>
  <c r="Y2061" i="13"/>
  <c r="X2062" i="13"/>
  <c r="X2063" i="13"/>
  <c r="Y2062" i="13"/>
  <c r="Y2063" i="13"/>
  <c r="X2064" i="13"/>
  <c r="X2065" i="13"/>
  <c r="Y2064" i="13"/>
  <c r="X2066" i="13"/>
  <c r="Y2065" i="13"/>
  <c r="Y2066" i="13"/>
  <c r="X2067" i="13"/>
  <c r="X2068" i="13"/>
  <c r="Y2067" i="13"/>
  <c r="Y2068" i="13"/>
  <c r="X2069" i="13"/>
  <c r="Y2069" i="13"/>
  <c r="X2070" i="13"/>
  <c r="Y2070" i="13"/>
  <c r="X2071" i="13"/>
  <c r="Y2071" i="13"/>
  <c r="X2072" i="13"/>
  <c r="X2073" i="13"/>
  <c r="Y2072" i="13"/>
  <c r="Y2073" i="13"/>
  <c r="X2074" i="13"/>
  <c r="Y2074" i="13"/>
  <c r="X2075" i="13"/>
  <c r="X2076" i="13"/>
  <c r="Y2075" i="13"/>
  <c r="Y2076" i="13"/>
  <c r="X2077" i="13"/>
  <c r="X2078" i="13"/>
  <c r="Y2077" i="13"/>
  <c r="Y2078" i="13"/>
  <c r="X2079" i="13"/>
  <c r="Y2079" i="13"/>
  <c r="X2080" i="13"/>
  <c r="Y2080" i="13"/>
  <c r="X2081" i="13"/>
  <c r="Y2081" i="13"/>
  <c r="X2082" i="13"/>
  <c r="Y2082" i="13"/>
  <c r="X2083" i="13"/>
  <c r="Y2083" i="13"/>
  <c r="X2084" i="13"/>
  <c r="X2085" i="13"/>
  <c r="Y2084" i="13"/>
  <c r="Y2085" i="13"/>
  <c r="X2086" i="13"/>
  <c r="Y2086" i="13"/>
  <c r="X2087" i="13"/>
  <c r="X2088" i="13"/>
  <c r="Y2087" i="13"/>
  <c r="Y2088" i="13"/>
  <c r="X2089" i="13"/>
  <c r="Y2089" i="13"/>
  <c r="X2090" i="13"/>
  <c r="X2091" i="13"/>
  <c r="Y2090" i="13"/>
  <c r="Y2091" i="13"/>
  <c r="X2092" i="13"/>
  <c r="Y2092" i="13"/>
  <c r="X2093" i="13"/>
  <c r="X2094" i="13"/>
  <c r="Y2093" i="13"/>
  <c r="Y2094" i="13"/>
  <c r="X2095" i="13"/>
  <c r="X2096" i="13"/>
  <c r="Y2095" i="13"/>
  <c r="Y2096" i="13"/>
  <c r="X2097" i="13"/>
  <c r="X2098" i="13"/>
  <c r="Y2097" i="13"/>
  <c r="X2099" i="13"/>
  <c r="Y2098" i="13"/>
  <c r="Y2099" i="13"/>
  <c r="X2100" i="13"/>
  <c r="Y2100" i="13"/>
  <c r="X2101" i="13"/>
  <c r="Y2101" i="13"/>
  <c r="X2102" i="13"/>
  <c r="X2103" i="13"/>
  <c r="Y2102" i="13"/>
  <c r="Y2103" i="13"/>
  <c r="X2104" i="13"/>
  <c r="Y2104" i="13"/>
  <c r="X2105" i="13"/>
  <c r="X2106" i="13"/>
  <c r="Y2105" i="13"/>
  <c r="X2107" i="13"/>
  <c r="Y2106" i="13"/>
  <c r="Y2107" i="13"/>
  <c r="X2108" i="13"/>
  <c r="Y2108" i="13"/>
  <c r="X2109" i="13"/>
  <c r="X2110" i="13"/>
  <c r="Y2109" i="13"/>
  <c r="Y2110" i="13"/>
  <c r="X2111" i="13"/>
  <c r="Y2111" i="13"/>
  <c r="X2112" i="13"/>
  <c r="Y2112" i="13"/>
  <c r="X2113" i="13"/>
  <c r="X2114" i="13"/>
  <c r="Y2113" i="13"/>
  <c r="Y2114" i="13"/>
  <c r="X2115" i="13"/>
  <c r="Y2115" i="13"/>
  <c r="X2116" i="13"/>
  <c r="X2117" i="13"/>
  <c r="Y2116" i="13"/>
  <c r="Y2117" i="13"/>
  <c r="X2118" i="13"/>
  <c r="Y2118" i="13"/>
  <c r="X2119" i="13"/>
  <c r="X2120" i="13"/>
  <c r="Y2119" i="13"/>
  <c r="X2121" i="13"/>
  <c r="Y2120" i="13"/>
  <c r="Y2121" i="13"/>
  <c r="X2122" i="13"/>
  <c r="X2123" i="13"/>
  <c r="Y2122" i="13"/>
  <c r="Y2123" i="13"/>
  <c r="X2124" i="13"/>
  <c r="Y2124" i="13"/>
  <c r="X2125" i="13"/>
  <c r="Y2125" i="13"/>
  <c r="X2126" i="13"/>
  <c r="X2127" i="13"/>
  <c r="Y2126" i="13"/>
  <c r="Y2127" i="13"/>
  <c r="X2128" i="13"/>
  <c r="Y2128" i="13"/>
  <c r="X2129" i="13"/>
  <c r="Y2129" i="13"/>
  <c r="X2130" i="13"/>
  <c r="Y2130" i="13"/>
  <c r="X2131" i="13"/>
  <c r="Y2131" i="13"/>
  <c r="X2132" i="13"/>
  <c r="Y2132" i="13"/>
  <c r="X2133" i="13"/>
  <c r="Y2133" i="13"/>
  <c r="X2134" i="13"/>
  <c r="Y2134" i="13"/>
  <c r="X2135" i="13"/>
  <c r="X2136" i="13"/>
  <c r="Y2135" i="13"/>
  <c r="Y2136" i="13"/>
  <c r="X2137" i="13"/>
  <c r="X2138" i="13"/>
  <c r="Y2137" i="13"/>
  <c r="Y2138" i="13"/>
  <c r="X2139" i="13"/>
  <c r="Y2139" i="13"/>
  <c r="X2140" i="13"/>
  <c r="X2141" i="13"/>
  <c r="Y2140" i="13"/>
  <c r="Y2141" i="13"/>
  <c r="X2142" i="13"/>
  <c r="Y2142" i="13"/>
  <c r="X2143" i="13"/>
  <c r="Y2143" i="13"/>
  <c r="X2144" i="13"/>
  <c r="Y2144" i="13"/>
  <c r="X2145" i="13"/>
  <c r="Y2145" i="13"/>
  <c r="X2146" i="13"/>
  <c r="Y2146" i="13"/>
  <c r="X2147" i="13"/>
  <c r="X2148" i="13"/>
  <c r="Y2147" i="13"/>
  <c r="X2149" i="13"/>
  <c r="Y2148" i="13"/>
  <c r="X2150" i="13"/>
  <c r="Y2149" i="13"/>
  <c r="X2151" i="13"/>
  <c r="Y2150" i="13"/>
  <c r="X2152" i="13"/>
  <c r="Y2151" i="13"/>
  <c r="Y2152" i="13"/>
  <c r="X2153" i="13"/>
  <c r="X2154" i="13"/>
  <c r="Y2153" i="13"/>
  <c r="X2155" i="13"/>
  <c r="Y2154" i="13"/>
  <c r="Y2155" i="13"/>
  <c r="X2156" i="13"/>
  <c r="X2157" i="13"/>
  <c r="Y2156" i="13"/>
  <c r="Y2157" i="13"/>
  <c r="X2158" i="13"/>
  <c r="Y2158" i="13"/>
  <c r="X2159" i="13"/>
  <c r="Y2159" i="13"/>
  <c r="X2160" i="13"/>
  <c r="X2161" i="13"/>
  <c r="Y2160" i="13"/>
  <c r="X2162" i="13"/>
  <c r="Y2161" i="13"/>
  <c r="Y2162" i="13"/>
  <c r="X2163" i="13"/>
  <c r="Y2163" i="13"/>
  <c r="X2164" i="13"/>
  <c r="X2165" i="13"/>
  <c r="Y2164" i="13"/>
  <c r="Y2165" i="13"/>
  <c r="X2166" i="13"/>
  <c r="X2167" i="13"/>
  <c r="Y2166" i="13"/>
  <c r="X2168" i="13"/>
  <c r="Y2167" i="13"/>
  <c r="X2169" i="13"/>
  <c r="Y2168" i="13"/>
  <c r="Y2169" i="13"/>
  <c r="X2170" i="13"/>
  <c r="Y2170" i="13"/>
  <c r="X2171" i="13"/>
  <c r="X2172" i="13"/>
  <c r="Y2171" i="13"/>
  <c r="Y2172" i="13"/>
  <c r="X2173" i="13"/>
  <c r="X2174" i="13"/>
  <c r="Y2173" i="13"/>
  <c r="X2175" i="13"/>
  <c r="Y2174" i="13"/>
  <c r="Y2175" i="13"/>
  <c r="X2176" i="13"/>
  <c r="X2177" i="13"/>
  <c r="Y2176" i="13"/>
  <c r="X2178" i="13"/>
  <c r="Y2177" i="13"/>
  <c r="Y2178" i="13"/>
  <c r="X2179" i="13"/>
  <c r="Y2179" i="13"/>
  <c r="X2180" i="13"/>
  <c r="X2181" i="13"/>
  <c r="Y2180" i="13"/>
  <c r="X2182" i="13"/>
  <c r="Y2181" i="13"/>
  <c r="X2183" i="13"/>
  <c r="Y2182" i="13"/>
  <c r="X2184" i="13"/>
  <c r="Y2183" i="13"/>
  <c r="X2185" i="13"/>
  <c r="Y2184" i="13"/>
  <c r="X2186" i="13"/>
  <c r="Y2185" i="13"/>
  <c r="Y2186" i="13"/>
  <c r="X2187" i="13"/>
  <c r="X2188" i="13"/>
  <c r="Y2187" i="13"/>
  <c r="X2189" i="13"/>
  <c r="Y2188" i="13"/>
  <c r="X2190" i="13"/>
  <c r="Y2189" i="13"/>
  <c r="X2191" i="13"/>
  <c r="Y2190" i="13"/>
  <c r="Y2191" i="13"/>
  <c r="X2192" i="13"/>
  <c r="X2193" i="13"/>
  <c r="Y2192" i="13"/>
  <c r="Y2193" i="13"/>
  <c r="X2194" i="13"/>
  <c r="Y2194" i="13"/>
  <c r="X2195" i="13"/>
  <c r="Y2195" i="13"/>
  <c r="X2196" i="13"/>
  <c r="Y2196" i="13"/>
  <c r="X2197" i="13"/>
  <c r="Y2197" i="13"/>
  <c r="X2198" i="13"/>
  <c r="Y2198" i="13"/>
  <c r="X2199" i="13"/>
  <c r="Y2199" i="13"/>
  <c r="X2200" i="13"/>
  <c r="Y2200" i="13"/>
  <c r="X2201" i="13"/>
  <c r="X2202" i="13"/>
  <c r="Y2201" i="13"/>
  <c r="Y2202" i="13"/>
  <c r="X2203" i="13"/>
  <c r="Y2203" i="13"/>
  <c r="X2204" i="13"/>
  <c r="X2205" i="13"/>
  <c r="Y2204" i="13"/>
  <c r="Y2205" i="13"/>
  <c r="X2206" i="13"/>
  <c r="Y2206" i="13"/>
  <c r="X2207" i="13"/>
  <c r="X2208" i="13"/>
  <c r="Y2207" i="13"/>
  <c r="Y2208" i="13"/>
  <c r="X2209" i="13"/>
  <c r="X2210" i="13"/>
  <c r="Y2209" i="13"/>
  <c r="X2211" i="13"/>
  <c r="Y2210" i="13"/>
  <c r="Y2211" i="13"/>
  <c r="X2212" i="13"/>
  <c r="Y2212" i="13"/>
  <c r="X2213" i="13"/>
  <c r="X2214" i="13"/>
  <c r="Y2213" i="13"/>
  <c r="X2215" i="13"/>
  <c r="Y2214" i="13"/>
  <c r="Y2215" i="13"/>
  <c r="X2216" i="13"/>
  <c r="X2217" i="13"/>
  <c r="Y2216" i="13"/>
  <c r="Y2217" i="13"/>
  <c r="X2218" i="13"/>
  <c r="X2219" i="13"/>
  <c r="Y2218" i="13"/>
  <c r="X2220" i="13"/>
  <c r="Y2219" i="13"/>
  <c r="Y2220" i="13"/>
  <c r="X2221" i="13"/>
  <c r="X2222" i="13"/>
  <c r="Y2221" i="13"/>
  <c r="Y2222" i="13"/>
  <c r="X2223" i="13"/>
  <c r="Y2223" i="13"/>
  <c r="X2224" i="13"/>
  <c r="Y2224" i="13"/>
  <c r="X2225" i="13"/>
  <c r="Y2225" i="13"/>
  <c r="X2226" i="13"/>
  <c r="Y2226" i="13"/>
  <c r="X2227" i="13"/>
  <c r="Y2227" i="13"/>
  <c r="X2228" i="13"/>
  <c r="Y2228" i="13"/>
  <c r="X2229" i="13"/>
  <c r="Y2229" i="13"/>
  <c r="X2230" i="13"/>
  <c r="X2231" i="13"/>
  <c r="Y2230" i="13"/>
  <c r="Y2231" i="13"/>
  <c r="X2232" i="13"/>
  <c r="X2233" i="13"/>
  <c r="Y2232" i="13"/>
  <c r="X2234" i="13"/>
  <c r="Y2233" i="13"/>
  <c r="X2235" i="13"/>
  <c r="Y2234" i="13"/>
  <c r="Y2235" i="13"/>
  <c r="X2236" i="13"/>
  <c r="Y2236" i="13"/>
  <c r="X2237" i="13"/>
  <c r="X2238" i="13"/>
  <c r="Y2237" i="13"/>
  <c r="X2239" i="13"/>
  <c r="Y2238" i="13"/>
  <c r="X2240" i="13"/>
  <c r="Y2239" i="13"/>
  <c r="X2241" i="13"/>
  <c r="Y2240" i="13"/>
  <c r="X2242" i="13"/>
  <c r="Y2241" i="13"/>
  <c r="Y2242" i="13"/>
  <c r="X2243" i="13"/>
  <c r="Y2243" i="13"/>
  <c r="X2244" i="13"/>
  <c r="X2245" i="13"/>
  <c r="Y2244" i="13"/>
  <c r="X2246" i="13"/>
  <c r="Y2245" i="13"/>
  <c r="X2247" i="13"/>
  <c r="Y2246" i="13"/>
  <c r="Y2247" i="13"/>
  <c r="X2248" i="13"/>
  <c r="Y2248" i="13"/>
  <c r="X2249" i="13"/>
  <c r="Y2249" i="13"/>
  <c r="X2250" i="13"/>
  <c r="Y2250" i="13"/>
  <c r="X2251" i="13"/>
  <c r="Y2251" i="13"/>
  <c r="X2252" i="13"/>
  <c r="Y2252" i="13"/>
  <c r="X2253" i="13"/>
  <c r="X2254" i="13"/>
  <c r="Y2253" i="13"/>
  <c r="X2255" i="13"/>
  <c r="Y2254" i="13"/>
  <c r="Y2255" i="13"/>
  <c r="X2256" i="13"/>
  <c r="Y2256" i="13"/>
  <c r="X2257" i="13"/>
  <c r="Y2257" i="13"/>
  <c r="X2258" i="13"/>
  <c r="Y2258" i="13"/>
  <c r="X2259" i="13"/>
  <c r="Y2259" i="13"/>
  <c r="X2260" i="13"/>
  <c r="X2261" i="13"/>
  <c r="Y2260" i="13"/>
  <c r="X2262" i="13"/>
  <c r="Y2261" i="13"/>
  <c r="Y2262" i="13"/>
  <c r="X2263" i="13"/>
  <c r="Y2263" i="13"/>
  <c r="X2264" i="13"/>
  <c r="X2265" i="13"/>
  <c r="Y2264" i="13"/>
  <c r="X2266" i="13"/>
  <c r="Y2265" i="13"/>
  <c r="X2267" i="13"/>
  <c r="Y2266" i="13"/>
  <c r="X2268" i="13"/>
  <c r="Y2267" i="13"/>
  <c r="X2269" i="13"/>
  <c r="Y2268" i="13"/>
  <c r="X2270" i="13"/>
  <c r="Y2269" i="13"/>
  <c r="X2271" i="13"/>
  <c r="Y2270" i="13"/>
  <c r="Y2271" i="13"/>
  <c r="X2272" i="13"/>
  <c r="Y2272" i="13"/>
  <c r="X2273" i="13"/>
  <c r="Y2273" i="13"/>
  <c r="X2274" i="13"/>
  <c r="Y2274" i="13"/>
  <c r="X2275" i="13"/>
  <c r="Y2275" i="13"/>
  <c r="X2276" i="13"/>
  <c r="X2277" i="13"/>
  <c r="Y2276" i="13"/>
  <c r="X2278" i="13"/>
  <c r="Y2277" i="13"/>
  <c r="Y2278" i="13"/>
  <c r="X2279" i="13"/>
  <c r="Y2279" i="13"/>
  <c r="X2280" i="13"/>
  <c r="X2281" i="13"/>
  <c r="Y2280" i="13"/>
  <c r="Y2281" i="13"/>
  <c r="X2282" i="13"/>
  <c r="X2283" i="13"/>
  <c r="Y2282" i="13"/>
  <c r="X2284" i="13"/>
  <c r="Y2283" i="13"/>
  <c r="Y2284" i="13"/>
  <c r="X2285" i="13"/>
  <c r="X2286" i="13"/>
  <c r="Y2285" i="13"/>
  <c r="X2287" i="13"/>
  <c r="Y2286" i="13"/>
  <c r="Y2287" i="13"/>
  <c r="X2288" i="13"/>
  <c r="Y2288" i="13"/>
  <c r="X2289" i="13"/>
  <c r="Y2289" i="13"/>
  <c r="X2290" i="13"/>
  <c r="X2291" i="13"/>
  <c r="Y2290" i="13"/>
  <c r="X2292" i="13"/>
  <c r="Y2291" i="13"/>
  <c r="X2293" i="13"/>
  <c r="Y2292" i="13"/>
  <c r="Y2293" i="13"/>
  <c r="X2294" i="13"/>
  <c r="X2295" i="13"/>
  <c r="Y2294" i="13"/>
  <c r="X2296" i="13"/>
  <c r="Y2295" i="13"/>
  <c r="X2297" i="13"/>
  <c r="Y2296" i="13"/>
  <c r="X2298" i="13"/>
  <c r="Y2297" i="13"/>
  <c r="X2299" i="13"/>
  <c r="Y2298" i="13"/>
  <c r="Y2299" i="13"/>
  <c r="X2300" i="13"/>
  <c r="Y2300" i="13"/>
  <c r="X2301" i="13"/>
  <c r="X2302" i="13"/>
  <c r="Y2301" i="13"/>
  <c r="X2303" i="13"/>
  <c r="Y2302" i="13"/>
  <c r="X2304" i="13"/>
  <c r="Y2303" i="13"/>
  <c r="X2305" i="13"/>
  <c r="Y2304" i="13"/>
  <c r="Y2305" i="13"/>
  <c r="X2306" i="13"/>
  <c r="Y2306" i="13"/>
  <c r="X2307" i="13"/>
  <c r="Y2307" i="13"/>
  <c r="X2308" i="13"/>
  <c r="X2309" i="13"/>
  <c r="Y2308" i="13"/>
  <c r="X2310" i="13"/>
  <c r="Y2309" i="13"/>
  <c r="X2311" i="13"/>
  <c r="Y2310" i="13"/>
  <c r="X2312" i="13"/>
  <c r="Y2311" i="13"/>
  <c r="X2313" i="13"/>
  <c r="Y2312" i="13"/>
  <c r="Y2313" i="13"/>
  <c r="X2314" i="13"/>
  <c r="X2315" i="13"/>
  <c r="Y2314" i="13"/>
  <c r="X2316" i="13"/>
  <c r="Y2315" i="13"/>
  <c r="Y2316" i="13"/>
  <c r="X2317" i="13"/>
  <c r="X2318" i="13"/>
  <c r="Y2317" i="13"/>
  <c r="X2319" i="13"/>
  <c r="Y2318" i="13"/>
  <c r="X2320" i="13"/>
  <c r="Y2319" i="13"/>
  <c r="Y2320" i="13"/>
  <c r="X2321" i="13"/>
  <c r="Y2321" i="13"/>
  <c r="X2322" i="13"/>
  <c r="X2323" i="13"/>
  <c r="Y2322" i="13"/>
  <c r="Y2323" i="13"/>
  <c r="X2324" i="13"/>
  <c r="X2325" i="13"/>
  <c r="Y2324" i="13"/>
  <c r="Y2325" i="13"/>
  <c r="X2326" i="13"/>
  <c r="X2327" i="13"/>
  <c r="Y2326" i="13"/>
  <c r="X2328" i="13"/>
  <c r="Y2327" i="13"/>
  <c r="X2329" i="13"/>
  <c r="Y2328" i="13"/>
  <c r="X2330" i="13"/>
  <c r="Y2329" i="13"/>
  <c r="X2331" i="13"/>
  <c r="Y2330" i="13"/>
  <c r="Y2331" i="13"/>
  <c r="X2332" i="13"/>
  <c r="X2333" i="13"/>
  <c r="Y2332" i="13"/>
  <c r="X2334" i="13"/>
  <c r="Y2333" i="13"/>
  <c r="Y2334" i="13"/>
  <c r="X2335" i="13"/>
  <c r="Y2335" i="13"/>
  <c r="X2336" i="13"/>
  <c r="X2337" i="13"/>
  <c r="Y2336" i="13"/>
  <c r="X2338" i="13"/>
  <c r="Y2337" i="13"/>
  <c r="X2339" i="13"/>
  <c r="Y2338" i="13"/>
  <c r="X2340" i="13"/>
  <c r="Y2339" i="13"/>
  <c r="Y2340" i="13"/>
  <c r="X2341" i="13"/>
  <c r="X2342" i="13"/>
  <c r="Y2341" i="13"/>
  <c r="Y2342" i="13"/>
  <c r="X2343" i="13"/>
  <c r="Y2343" i="13"/>
  <c r="X2344" i="13"/>
  <c r="X2345" i="13"/>
  <c r="Y2344" i="13"/>
  <c r="X2346" i="13"/>
  <c r="Y2345" i="13"/>
  <c r="Y2346" i="13"/>
  <c r="X2347" i="13"/>
  <c r="X2348" i="13"/>
  <c r="Y2347" i="13"/>
  <c r="X2349" i="13"/>
  <c r="Y2348" i="13"/>
  <c r="Y2349" i="13"/>
  <c r="X2350" i="13"/>
  <c r="X2351" i="13"/>
  <c r="Y2350" i="13"/>
  <c r="X2352" i="13"/>
  <c r="Y2351" i="13"/>
  <c r="X2353" i="13"/>
  <c r="Y2352" i="13"/>
  <c r="Y2353" i="13"/>
  <c r="X2354" i="13"/>
  <c r="X2355" i="13"/>
  <c r="Y2354" i="13"/>
  <c r="Y2355" i="13"/>
  <c r="X2356" i="13"/>
  <c r="Y2356" i="13"/>
  <c r="X2357" i="13"/>
  <c r="X2358" i="13"/>
  <c r="Y2357" i="13"/>
  <c r="Y2358" i="13"/>
  <c r="X2359" i="13"/>
  <c r="Y2359" i="13"/>
  <c r="X2360" i="13"/>
  <c r="X2361" i="13"/>
  <c r="Y2360" i="13"/>
  <c r="Y2361" i="13"/>
  <c r="X2362" i="13"/>
  <c r="X2363" i="13"/>
  <c r="Y2362" i="13"/>
  <c r="X2364" i="13"/>
  <c r="Y2363" i="13"/>
  <c r="Y2364" i="13"/>
  <c r="X2365" i="13"/>
  <c r="X2366" i="13"/>
  <c r="Y2365" i="13"/>
  <c r="Y2366" i="13"/>
  <c r="X2367" i="13"/>
  <c r="Y2367" i="13"/>
  <c r="X2368" i="13"/>
  <c r="X2369" i="13"/>
  <c r="Y2368" i="13"/>
  <c r="Y2369" i="13"/>
  <c r="X2370" i="13"/>
  <c r="Y2370" i="13"/>
  <c r="X2371" i="13"/>
  <c r="X2372" i="13"/>
  <c r="Y2371" i="13"/>
  <c r="X2373" i="13"/>
  <c r="Y2372" i="13"/>
  <c r="X2374" i="13"/>
  <c r="Y2373" i="13"/>
  <c r="X2375" i="13"/>
  <c r="Y2374" i="13"/>
  <c r="Y2375" i="13"/>
  <c r="X2376" i="13"/>
  <c r="X2377" i="13"/>
  <c r="Y2376" i="13"/>
  <c r="Y2377" i="13"/>
  <c r="X2378" i="13"/>
  <c r="X2379" i="13"/>
  <c r="Y2378" i="13"/>
  <c r="X2380" i="13"/>
  <c r="Y2379" i="13"/>
  <c r="X2381" i="13"/>
  <c r="Y2380" i="13"/>
  <c r="Y2381" i="13"/>
  <c r="X2382" i="13"/>
  <c r="Y2382" i="13"/>
  <c r="X2383" i="13"/>
  <c r="X2384" i="13"/>
  <c r="Y2383" i="13"/>
  <c r="X2385" i="13"/>
  <c r="Y2384" i="13"/>
  <c r="Y2385" i="13"/>
  <c r="X2386" i="13"/>
  <c r="X2387" i="13"/>
  <c r="Y2386" i="13"/>
  <c r="X2388" i="13"/>
  <c r="Y2387" i="13"/>
  <c r="X2389" i="13"/>
  <c r="Y2388" i="13"/>
  <c r="X2390" i="13"/>
  <c r="Y2389" i="13"/>
  <c r="Y2390" i="13"/>
  <c r="X2391" i="13"/>
  <c r="Y2391" i="13"/>
  <c r="X2392" i="13"/>
  <c r="Y2392" i="13"/>
  <c r="X2393" i="13"/>
  <c r="Y2393" i="13"/>
  <c r="X2394" i="13"/>
  <c r="X2395" i="13"/>
  <c r="Y2394" i="13"/>
  <c r="Y2395" i="13"/>
  <c r="X2396" i="13"/>
  <c r="X2397" i="13"/>
  <c r="Y2396" i="13"/>
  <c r="Y2397" i="13"/>
  <c r="X2398" i="13"/>
  <c r="X2399" i="13"/>
  <c r="Y2398" i="13"/>
  <c r="Y2399" i="13"/>
  <c r="X2400" i="13"/>
  <c r="Y2400" i="13"/>
  <c r="X2401" i="13"/>
  <c r="Y2401" i="13"/>
  <c r="X2402" i="13"/>
  <c r="Y2402" i="13"/>
  <c r="X2403" i="13"/>
  <c r="Y2403" i="13"/>
  <c r="X2404" i="13"/>
  <c r="X2405" i="13"/>
  <c r="Y2404" i="13"/>
  <c r="Y2405" i="13"/>
  <c r="X2406" i="13"/>
  <c r="Y2406" i="13"/>
  <c r="X2407" i="13"/>
  <c r="Y2407" i="13"/>
  <c r="X2408" i="13"/>
  <c r="Y2408" i="13"/>
  <c r="X2409" i="13"/>
  <c r="Y2409" i="13"/>
  <c r="X2410" i="13"/>
  <c r="Y2410" i="13"/>
  <c r="X2411" i="13"/>
  <c r="X2412" i="13"/>
  <c r="Y2411" i="13"/>
  <c r="Y2412" i="13"/>
  <c r="X2413" i="13"/>
  <c r="Y2413" i="13"/>
  <c r="X2414" i="13"/>
  <c r="X2415" i="13"/>
  <c r="Y2414" i="13"/>
  <c r="Y2415" i="13"/>
  <c r="X2416" i="13"/>
  <c r="X2417" i="13"/>
  <c r="Y2416" i="13"/>
  <c r="Y2417" i="13"/>
  <c r="X2418" i="13"/>
  <c r="Y2418" i="13"/>
  <c r="X2419" i="13"/>
  <c r="Y2419" i="13"/>
  <c r="X2420" i="13"/>
  <c r="Y2420" i="13"/>
  <c r="X2421" i="13"/>
  <c r="X2422" i="13"/>
  <c r="Y2421" i="13"/>
  <c r="X2423" i="13"/>
  <c r="Y2422" i="13"/>
  <c r="Y2423" i="13"/>
  <c r="X2424" i="13"/>
  <c r="Y2424" i="13"/>
  <c r="X2425" i="13"/>
  <c r="X2426" i="13"/>
  <c r="Y2425" i="13"/>
  <c r="Y2426" i="13"/>
  <c r="X2427" i="13"/>
  <c r="Y2427" i="13"/>
  <c r="X2428" i="13"/>
  <c r="Y2428" i="13"/>
  <c r="X2429" i="13"/>
  <c r="X2430" i="13"/>
  <c r="Y2429" i="13"/>
  <c r="Y2430" i="13"/>
  <c r="X2431" i="13"/>
  <c r="Y2431" i="13"/>
  <c r="X2432" i="13"/>
  <c r="Y2432" i="13"/>
  <c r="X2433" i="13"/>
  <c r="X2434" i="13"/>
  <c r="Y2433" i="13"/>
  <c r="Y2434" i="13"/>
  <c r="X2435" i="13"/>
  <c r="Y2435" i="13"/>
  <c r="X2436" i="13"/>
  <c r="X2437" i="13"/>
  <c r="Y2436" i="13"/>
  <c r="X2438" i="13"/>
  <c r="Y2437" i="13"/>
  <c r="X2439" i="13"/>
  <c r="Y2438" i="13"/>
  <c r="Y2439" i="13"/>
  <c r="X2440" i="13"/>
  <c r="Y2440" i="13"/>
  <c r="X2441" i="13"/>
  <c r="X2442" i="13"/>
  <c r="Y2441" i="13"/>
  <c r="Y2442" i="13"/>
  <c r="X2443" i="13"/>
  <c r="X2444" i="13"/>
  <c r="Y2443" i="13"/>
  <c r="X2445" i="13"/>
  <c r="Y2444" i="13"/>
  <c r="Y2445" i="13"/>
  <c r="X2446" i="13"/>
  <c r="X2447" i="13"/>
  <c r="Y2446" i="13"/>
  <c r="Y2447" i="13"/>
  <c r="X2448" i="13"/>
  <c r="X2449" i="13"/>
  <c r="Y2448" i="13"/>
  <c r="X2450" i="13"/>
  <c r="Y2449" i="13"/>
  <c r="X2451" i="13"/>
  <c r="Y2450" i="13"/>
  <c r="X2452" i="13"/>
  <c r="Y2451" i="13"/>
  <c r="X2453" i="13"/>
  <c r="Y2452" i="13"/>
  <c r="X2454" i="13"/>
  <c r="Y2453" i="13"/>
  <c r="X2455" i="13"/>
  <c r="Y2454" i="13"/>
  <c r="Y2455" i="13"/>
  <c r="X2456" i="13"/>
  <c r="X2457" i="13"/>
  <c r="Y2456" i="13"/>
  <c r="Y2457" i="13"/>
  <c r="X2458" i="13"/>
  <c r="Y2458" i="13"/>
  <c r="X2459" i="13"/>
  <c r="X2460" i="13"/>
  <c r="Y2459" i="13"/>
  <c r="X2461" i="13"/>
  <c r="Y2460" i="13"/>
  <c r="X2462" i="13"/>
  <c r="Y2461" i="13"/>
  <c r="X2463" i="13"/>
  <c r="Y2462" i="13"/>
  <c r="Y2463" i="13"/>
  <c r="X2464" i="13"/>
  <c r="X2465" i="13"/>
  <c r="Y2464" i="13"/>
  <c r="X2466" i="13"/>
  <c r="Y2465" i="13"/>
  <c r="Y2466" i="13"/>
  <c r="X2467" i="13"/>
  <c r="Y2467" i="13"/>
  <c r="X2468" i="13"/>
  <c r="Y2468" i="13"/>
  <c r="X2469" i="13"/>
  <c r="Y2469" i="13"/>
  <c r="X2470" i="13"/>
  <c r="Y2470" i="13"/>
  <c r="X2471" i="13"/>
  <c r="X2472" i="13"/>
  <c r="Y2471" i="13"/>
  <c r="X2473" i="13"/>
  <c r="Y2472" i="13"/>
  <c r="X2474" i="13"/>
  <c r="Y2473" i="13"/>
  <c r="X2475" i="13"/>
  <c r="Y2474" i="13"/>
  <c r="Y2475" i="13"/>
  <c r="X2476" i="13"/>
  <c r="Y2476" i="13"/>
  <c r="X2477" i="13"/>
  <c r="X2478" i="13"/>
  <c r="Y2477" i="13"/>
  <c r="X2479" i="13"/>
  <c r="Y2478" i="13"/>
  <c r="X2480" i="13"/>
  <c r="Y2479" i="13"/>
  <c r="X2481" i="13"/>
  <c r="Y2480" i="13"/>
  <c r="X2482" i="13"/>
  <c r="Y2481" i="13"/>
  <c r="X2483" i="13"/>
  <c r="Y2482" i="13"/>
  <c r="Y2483" i="13"/>
  <c r="X2484" i="13"/>
  <c r="Y2484" i="13"/>
  <c r="X2485" i="13"/>
  <c r="Y2485" i="13"/>
  <c r="X2486" i="13"/>
  <c r="X2487" i="13"/>
  <c r="Y2486" i="13"/>
  <c r="Y2487" i="13"/>
  <c r="X2488" i="13"/>
  <c r="X2489" i="13"/>
  <c r="Y2488" i="13"/>
  <c r="X2490" i="13"/>
  <c r="Y2489" i="13"/>
  <c r="X2491" i="13"/>
  <c r="Y2490" i="13"/>
  <c r="X2492" i="13"/>
  <c r="Y2491" i="13"/>
  <c r="X2493" i="13"/>
  <c r="Y2492" i="13"/>
  <c r="Y2493" i="13"/>
  <c r="X2494" i="13"/>
  <c r="Y2494" i="13"/>
  <c r="X2495" i="13"/>
  <c r="X2496" i="13"/>
  <c r="Y2495" i="13"/>
  <c r="Y2496" i="13"/>
  <c r="X2497" i="13"/>
  <c r="X2498" i="13"/>
  <c r="Y2497" i="13"/>
  <c r="X2499" i="13"/>
  <c r="Y2498" i="13"/>
  <c r="Y2499" i="13"/>
  <c r="X2500" i="13"/>
  <c r="Y2500" i="13"/>
  <c r="X2501" i="13"/>
  <c r="X2502" i="13"/>
  <c r="Y2501" i="13"/>
  <c r="X2503" i="13"/>
  <c r="Y2502" i="13"/>
  <c r="Y2503" i="13"/>
  <c r="X2504" i="13"/>
  <c r="Y2504" i="13"/>
  <c r="X2505" i="13"/>
  <c r="X2506" i="13"/>
  <c r="Y2505" i="13"/>
  <c r="X2507" i="13"/>
  <c r="Y2506" i="13"/>
  <c r="Y2507" i="13"/>
  <c r="X2508" i="13"/>
  <c r="Y2508" i="13"/>
  <c r="X2509" i="13"/>
  <c r="X2510" i="13"/>
  <c r="Y2509" i="13"/>
  <c r="X2511" i="13"/>
  <c r="Y2510" i="13"/>
  <c r="X2512" i="13"/>
  <c r="Y2511" i="13"/>
  <c r="Y2512" i="13"/>
  <c r="X2513" i="13"/>
  <c r="Y2513" i="13"/>
  <c r="X2514" i="13"/>
  <c r="Y2514" i="13"/>
  <c r="X2515" i="13"/>
  <c r="X2516" i="13"/>
  <c r="Y2515" i="13"/>
  <c r="X2517" i="13"/>
  <c r="Y2516" i="13"/>
  <c r="X2518" i="13"/>
  <c r="Y2517" i="13"/>
  <c r="X2519" i="13"/>
  <c r="Y2518" i="13"/>
  <c r="X2520" i="13"/>
  <c r="Y2519" i="13"/>
  <c r="X2521" i="13"/>
  <c r="Y2520" i="13"/>
  <c r="X2522" i="13"/>
  <c r="Y2521" i="13"/>
  <c r="X2523" i="13"/>
  <c r="Y2522" i="13"/>
  <c r="X2524" i="13"/>
  <c r="Y2523" i="13"/>
  <c r="X2525" i="13"/>
  <c r="Y2524" i="13"/>
  <c r="X2526" i="13"/>
  <c r="Y2525" i="13"/>
  <c r="X2527" i="13"/>
  <c r="Y2526" i="13"/>
  <c r="Y2527" i="13"/>
  <c r="X2528" i="13"/>
  <c r="Y2528" i="13"/>
  <c r="X2529" i="13"/>
  <c r="Y2529" i="13"/>
  <c r="X2530" i="13"/>
  <c r="Y2530" i="13"/>
  <c r="X2531" i="13"/>
  <c r="X2532" i="13"/>
  <c r="Y2531" i="13"/>
  <c r="Y2532" i="13"/>
  <c r="X2533" i="13"/>
  <c r="Y2533" i="13"/>
  <c r="X2534" i="13"/>
  <c r="Y2534" i="13"/>
  <c r="X2535" i="13"/>
  <c r="X2536" i="13"/>
  <c r="Y2535" i="13"/>
  <c r="Y2536" i="13"/>
  <c r="X2537" i="13"/>
  <c r="X2538" i="13"/>
  <c r="Y2537" i="13"/>
  <c r="Y2538" i="13"/>
  <c r="X2539" i="13"/>
  <c r="X2540" i="13"/>
  <c r="Y2539" i="13"/>
  <c r="X2541" i="13"/>
  <c r="Y2540" i="13"/>
  <c r="X2542" i="13"/>
  <c r="Y2541" i="13"/>
  <c r="Y2542" i="13"/>
  <c r="X2543" i="13"/>
  <c r="X2544" i="13"/>
  <c r="Y2543" i="13"/>
  <c r="Y2544" i="13"/>
  <c r="X2545" i="13"/>
  <c r="Y2545" i="13"/>
  <c r="X2546" i="13"/>
  <c r="X2547" i="13"/>
  <c r="Y2546" i="13"/>
  <c r="Y2547" i="13"/>
  <c r="X2548" i="13"/>
  <c r="X2549" i="13"/>
  <c r="Y2548" i="13"/>
  <c r="Y2549" i="13"/>
  <c r="X2550" i="13"/>
  <c r="Y2550" i="13"/>
  <c r="X2551" i="13"/>
  <c r="Y2551" i="13"/>
  <c r="X2552" i="13"/>
  <c r="X2553" i="13"/>
  <c r="Y2552" i="13"/>
  <c r="X2554" i="13"/>
  <c r="Y2553" i="13"/>
  <c r="X2555" i="13"/>
  <c r="Y2554" i="13"/>
  <c r="X2556" i="13"/>
  <c r="Y2555" i="13"/>
  <c r="X2557" i="13"/>
  <c r="Y2556" i="13"/>
  <c r="Y2557" i="13"/>
  <c r="X2558" i="13"/>
  <c r="X2559" i="13"/>
  <c r="Y2558" i="13"/>
  <c r="Y2559" i="13"/>
  <c r="X2560" i="13"/>
  <c r="Y2560" i="13"/>
  <c r="X2561" i="13"/>
  <c r="X2562" i="13"/>
  <c r="Y2561" i="13"/>
  <c r="Y2562" i="13"/>
  <c r="X2563" i="13"/>
  <c r="X2564" i="13"/>
  <c r="Y2563" i="13"/>
  <c r="Y2564" i="13"/>
  <c r="X2565" i="13"/>
  <c r="X2566" i="13"/>
  <c r="Y2565" i="13"/>
  <c r="X2567" i="13"/>
  <c r="Y2566" i="13"/>
  <c r="X2568" i="13"/>
  <c r="Y2567" i="13"/>
  <c r="X2569" i="13"/>
  <c r="Y2568" i="13"/>
  <c r="X2570" i="13"/>
  <c r="Y2569" i="13"/>
  <c r="X2571" i="13"/>
  <c r="Y2570" i="13"/>
  <c r="Y2571" i="13"/>
  <c r="X2572" i="13"/>
  <c r="X2573" i="13"/>
  <c r="Y2572" i="13"/>
  <c r="X2574" i="13"/>
  <c r="Y2573" i="13"/>
  <c r="Y2574" i="13"/>
  <c r="X2575" i="13"/>
  <c r="Y2575" i="13"/>
  <c r="X2576" i="13"/>
  <c r="Y2576" i="13"/>
  <c r="X2577" i="13"/>
  <c r="Y2577" i="13"/>
  <c r="X2578" i="13"/>
  <c r="Y2578" i="13"/>
  <c r="X2579" i="13"/>
  <c r="Y2579" i="13"/>
  <c r="X2580" i="13"/>
  <c r="X2581" i="13"/>
  <c r="Y2580" i="13"/>
  <c r="X2582" i="13"/>
  <c r="Y2581" i="13"/>
  <c r="X2583" i="13"/>
  <c r="Y2582" i="13"/>
  <c r="X2584" i="13"/>
  <c r="Y2583" i="13"/>
  <c r="Y2584" i="13"/>
  <c r="X2585" i="13"/>
  <c r="X2586" i="13"/>
  <c r="Y2585" i="13"/>
  <c r="Y2586" i="13"/>
  <c r="X2587" i="13"/>
  <c r="X2588" i="13"/>
  <c r="Y2587" i="13"/>
  <c r="X2589" i="13"/>
  <c r="Y2588" i="13"/>
  <c r="Y2589" i="13"/>
  <c r="X2590" i="13"/>
  <c r="Y2590" i="13"/>
  <c r="X2591" i="13"/>
  <c r="X2592" i="13"/>
  <c r="Y2591" i="13"/>
  <c r="X2593" i="13"/>
  <c r="Y2592" i="13"/>
  <c r="Y2593" i="13"/>
  <c r="X2594" i="13"/>
  <c r="Y2594" i="13"/>
  <c r="X2595" i="13"/>
  <c r="Y2595" i="13"/>
  <c r="X2596" i="13"/>
  <c r="Y2596" i="13"/>
  <c r="X2597" i="13"/>
  <c r="Y2597" i="13"/>
  <c r="X2598" i="13"/>
  <c r="Y2598" i="13"/>
  <c r="X2599" i="13"/>
  <c r="X2600" i="13"/>
  <c r="Y2599" i="13"/>
  <c r="X2601" i="13"/>
  <c r="Y2600" i="13"/>
  <c r="X2602" i="13"/>
  <c r="Y2601" i="13"/>
  <c r="X2603" i="13"/>
  <c r="Y2602" i="13"/>
  <c r="X2604" i="13"/>
  <c r="Y2603" i="13"/>
  <c r="X2605" i="13"/>
  <c r="Y2604" i="13"/>
  <c r="Y2605" i="13"/>
  <c r="X2606" i="13"/>
  <c r="Y2606" i="13"/>
  <c r="X2607" i="13"/>
  <c r="X2608" i="13"/>
  <c r="Y2607" i="13"/>
  <c r="X2609" i="13"/>
  <c r="Y2608" i="13"/>
  <c r="Y2609" i="13"/>
  <c r="X2610" i="13"/>
  <c r="X2611" i="13"/>
  <c r="Y2610" i="13"/>
  <c r="Y2611" i="13"/>
  <c r="X2612" i="13"/>
  <c r="X2613" i="13"/>
  <c r="Y2612" i="13"/>
  <c r="Y2613" i="13"/>
  <c r="X2614" i="13"/>
  <c r="Y2614" i="13"/>
  <c r="X2615" i="13"/>
  <c r="X2616" i="13"/>
  <c r="Y2615" i="13"/>
  <c r="X2617" i="13"/>
  <c r="Y2616" i="13"/>
  <c r="X2618" i="13"/>
  <c r="Y2617" i="13"/>
  <c r="X2619" i="13"/>
  <c r="Y2618" i="13"/>
  <c r="Y2619" i="13"/>
  <c r="X2620" i="13"/>
  <c r="X2621" i="13"/>
  <c r="Y2620" i="13"/>
  <c r="Y2621" i="13"/>
  <c r="X2622" i="13"/>
  <c r="Y2622" i="13"/>
  <c r="X2623" i="13"/>
  <c r="X2624" i="13"/>
  <c r="Y2623" i="13"/>
  <c r="Y2624" i="13"/>
  <c r="X2625" i="13"/>
  <c r="X2626" i="13"/>
  <c r="Y2625" i="13"/>
  <c r="Y2626" i="13"/>
  <c r="X2627" i="13"/>
  <c r="Y2627" i="13"/>
  <c r="X2628" i="13"/>
  <c r="X2629" i="13"/>
  <c r="Y2628" i="13"/>
  <c r="Y2629" i="13"/>
  <c r="X2630" i="13"/>
  <c r="Y2630" i="13"/>
  <c r="X2631" i="13"/>
  <c r="X2632" i="13"/>
  <c r="Y2631" i="13"/>
  <c r="X2633" i="13"/>
  <c r="Y2632" i="13"/>
  <c r="X2634" i="13"/>
  <c r="Y2633" i="13"/>
  <c r="Y2634" i="13"/>
  <c r="X2635" i="13"/>
  <c r="Y2635" i="13"/>
  <c r="X2636" i="13"/>
  <c r="Y2636" i="13"/>
  <c r="X2637" i="13"/>
  <c r="X2638" i="13"/>
  <c r="Y2637" i="13"/>
  <c r="X2639" i="13"/>
  <c r="Y2638" i="13"/>
  <c r="X2640" i="13"/>
  <c r="Y2639" i="13"/>
  <c r="X2641" i="13"/>
  <c r="Y2640" i="13"/>
  <c r="Y2641" i="13"/>
  <c r="X2642" i="13"/>
  <c r="Y2642" i="13"/>
  <c r="X2643" i="13"/>
  <c r="Y2643" i="13"/>
  <c r="X2644" i="13"/>
  <c r="X2645" i="13"/>
  <c r="Y2644" i="13"/>
  <c r="Y2645" i="13"/>
  <c r="X2646" i="13"/>
  <c r="Y2646" i="13"/>
  <c r="X2647" i="13"/>
  <c r="X2648" i="13"/>
  <c r="Y2647" i="13"/>
  <c r="X2649" i="13"/>
  <c r="Y2648" i="13"/>
  <c r="X2650" i="13"/>
  <c r="Y2649" i="13"/>
  <c r="X2651" i="13"/>
  <c r="Y2650" i="13"/>
  <c r="Y2651" i="13"/>
  <c r="X2652" i="13"/>
  <c r="X2653" i="13"/>
  <c r="Y2652" i="13"/>
  <c r="X2654" i="13"/>
  <c r="Y2653" i="13"/>
  <c r="Y2654" i="13"/>
  <c r="X2655" i="13"/>
  <c r="X2656" i="13"/>
  <c r="Y2655" i="13"/>
  <c r="X2657" i="13"/>
  <c r="Y2656" i="13"/>
  <c r="Y2657" i="13"/>
  <c r="X2658" i="13"/>
  <c r="X2659" i="13"/>
  <c r="Y2658" i="13"/>
  <c r="Y2659" i="13"/>
  <c r="X2660" i="13"/>
  <c r="X2661" i="13"/>
  <c r="Y2660" i="13"/>
  <c r="Y2661" i="13"/>
  <c r="X2662" i="13"/>
  <c r="X2663" i="13"/>
  <c r="Y2662" i="13"/>
  <c r="X2664" i="13"/>
  <c r="Y2663" i="13"/>
  <c r="Y2664" i="13"/>
  <c r="X2665" i="13"/>
  <c r="X2666" i="13"/>
  <c r="Y2665" i="13"/>
  <c r="Y2666" i="13"/>
  <c r="X2667" i="13"/>
  <c r="Y2667" i="13"/>
  <c r="X2668" i="13"/>
  <c r="Y2668" i="13"/>
  <c r="X2669" i="13"/>
  <c r="Y2669" i="13"/>
  <c r="X2670" i="13"/>
  <c r="Y2670" i="13"/>
  <c r="X2671" i="13"/>
  <c r="X2672" i="13"/>
  <c r="Y2671" i="13"/>
  <c r="X2673" i="13"/>
  <c r="Y2672" i="13"/>
  <c r="Y2673" i="13"/>
  <c r="X2674" i="13"/>
  <c r="Y2674" i="13"/>
  <c r="X2675" i="13"/>
  <c r="Y2675" i="13"/>
  <c r="X2676" i="13"/>
  <c r="X2677" i="13"/>
  <c r="Y2676" i="13"/>
  <c r="X2678" i="13"/>
  <c r="Y2677" i="13"/>
  <c r="Y2678" i="13"/>
  <c r="X2679" i="13"/>
  <c r="Y2679" i="13"/>
  <c r="X2680" i="13"/>
  <c r="X2681" i="13"/>
  <c r="Y2680" i="13"/>
  <c r="Y2681" i="13"/>
  <c r="X2682" i="13"/>
  <c r="X2683" i="13"/>
  <c r="Y2682" i="13"/>
  <c r="Y2683" i="13"/>
  <c r="X2684" i="13"/>
  <c r="Y2684" i="13"/>
  <c r="X2685" i="13"/>
  <c r="Y2685" i="13"/>
  <c r="X2686" i="13"/>
  <c r="X2687" i="13"/>
  <c r="Y2686" i="13"/>
  <c r="Y2687" i="13"/>
  <c r="X2688" i="13"/>
  <c r="Y2688" i="13"/>
  <c r="X2689" i="13"/>
  <c r="X2690" i="13"/>
  <c r="Y2689" i="13"/>
  <c r="Y2690" i="13"/>
  <c r="X2691" i="13"/>
  <c r="X2692" i="13"/>
  <c r="Y2691" i="13"/>
  <c r="Y2692" i="13"/>
  <c r="X2693" i="13"/>
  <c r="Y2693" i="13"/>
  <c r="X2694" i="13"/>
  <c r="Y2694" i="13"/>
  <c r="X2695" i="13"/>
  <c r="X2696" i="13"/>
  <c r="Y2695" i="13"/>
  <c r="X2697" i="13"/>
  <c r="Y2696" i="13"/>
  <c r="X2698" i="13"/>
  <c r="Y2697" i="13"/>
  <c r="X2699" i="13"/>
  <c r="Y2698" i="13"/>
  <c r="Y2699" i="13"/>
  <c r="X2700" i="13"/>
  <c r="Y2700" i="13"/>
  <c r="X2701" i="13"/>
  <c r="X2702" i="13"/>
  <c r="Y2701" i="13"/>
  <c r="X2703" i="13"/>
  <c r="Y2702" i="13"/>
  <c r="X2704" i="13"/>
  <c r="Y2703" i="13"/>
  <c r="Y2704" i="13"/>
  <c r="X2705" i="13"/>
  <c r="X2706" i="13"/>
  <c r="Y2705" i="13"/>
  <c r="X2707" i="13"/>
  <c r="Y2706" i="13"/>
  <c r="Y2707" i="13"/>
  <c r="X2708" i="13"/>
  <c r="X2709" i="13"/>
  <c r="Y2708" i="13"/>
  <c r="X2710" i="13"/>
  <c r="Y2709" i="13"/>
  <c r="Y2710" i="13"/>
  <c r="X2711" i="13"/>
  <c r="X2712" i="13"/>
  <c r="Y2711" i="13"/>
  <c r="Y2712" i="13"/>
  <c r="X2713" i="13"/>
  <c r="Y2713" i="13"/>
  <c r="X2714" i="13"/>
  <c r="Y2714" i="13"/>
  <c r="X2715" i="13"/>
  <c r="Y2715" i="13"/>
  <c r="X2716" i="13"/>
  <c r="X2717" i="13"/>
  <c r="Y2716" i="13"/>
  <c r="Y2717" i="13"/>
  <c r="X2718" i="13"/>
  <c r="Y2718" i="13"/>
  <c r="X2719" i="13"/>
  <c r="X2720" i="13"/>
  <c r="Y2719" i="13"/>
  <c r="X2721" i="13"/>
  <c r="Y2720" i="13"/>
  <c r="X2722" i="13"/>
  <c r="Y2721" i="13"/>
  <c r="Y2722" i="13"/>
  <c r="X2723" i="13"/>
  <c r="Y2723" i="13"/>
  <c r="X2724" i="13"/>
  <c r="Y2724" i="13"/>
  <c r="X2725" i="13"/>
  <c r="Y2725" i="13"/>
  <c r="X2726" i="13"/>
  <c r="Y2726" i="13"/>
  <c r="X2727" i="13"/>
  <c r="Y2727" i="13"/>
  <c r="X2728" i="13"/>
  <c r="Y2728" i="13"/>
  <c r="X2729" i="13"/>
  <c r="X2730" i="13"/>
  <c r="Y2729" i="13"/>
  <c r="X2731" i="13"/>
  <c r="Y2730" i="13"/>
  <c r="X2732" i="13"/>
  <c r="Y2731" i="13"/>
  <c r="X2733" i="13"/>
  <c r="Y2732" i="13"/>
  <c r="Y2733" i="13"/>
  <c r="X2734" i="13"/>
  <c r="X2735" i="13"/>
  <c r="Y2734" i="13"/>
  <c r="Y2735" i="13"/>
  <c r="X2736" i="13"/>
  <c r="Y2736" i="13"/>
  <c r="X2737" i="13"/>
  <c r="Y2737" i="13"/>
  <c r="X2738" i="13"/>
  <c r="Y2738" i="13"/>
  <c r="X2739" i="13"/>
  <c r="Y2739" i="13"/>
  <c r="X2740" i="13"/>
  <c r="X2741" i="13"/>
  <c r="Y2740" i="13"/>
  <c r="Y2741" i="13"/>
  <c r="X2742" i="13"/>
  <c r="X2743" i="13"/>
  <c r="Y2742" i="13"/>
  <c r="X2744" i="13"/>
  <c r="Y2743" i="13"/>
  <c r="Y2744" i="13"/>
  <c r="X2745" i="13"/>
  <c r="X2746" i="13"/>
  <c r="Y2745" i="13"/>
  <c r="Y2746" i="13"/>
  <c r="X2747" i="13"/>
  <c r="Y2747" i="13"/>
  <c r="X2748" i="13"/>
  <c r="X2749" i="13"/>
  <c r="Y2748" i="13"/>
  <c r="X2750" i="13"/>
  <c r="Y2749" i="13"/>
  <c r="X2751" i="13"/>
  <c r="Y2750" i="13"/>
  <c r="X2752" i="13"/>
  <c r="Y2751" i="13"/>
  <c r="X2753" i="13"/>
  <c r="Y2752" i="13"/>
  <c r="Y2753" i="13"/>
  <c r="X2754" i="13"/>
  <c r="Y2754" i="13"/>
  <c r="X2755" i="13"/>
  <c r="X2756" i="13"/>
  <c r="Y2755" i="13"/>
  <c r="Y2756" i="13"/>
  <c r="X2757" i="13"/>
  <c r="X2758" i="13"/>
  <c r="Y2757" i="13"/>
  <c r="Y2758" i="13"/>
  <c r="X2759" i="13"/>
  <c r="X2760" i="13"/>
  <c r="Y2759" i="13"/>
  <c r="Y2760" i="13"/>
  <c r="X2761" i="13"/>
  <c r="X2762" i="13"/>
  <c r="Y2761" i="13"/>
  <c r="X2763" i="13"/>
  <c r="Y2762" i="13"/>
  <c r="X2764" i="13"/>
  <c r="Y2763" i="13"/>
  <c r="X2765" i="13"/>
  <c r="Y2764" i="13"/>
  <c r="Y2765" i="13"/>
  <c r="X2766" i="13"/>
  <c r="X2767" i="13"/>
  <c r="Y2766" i="13"/>
  <c r="Y2767" i="13"/>
  <c r="X2768" i="13"/>
  <c r="Y2768" i="13"/>
  <c r="X2769" i="13"/>
  <c r="Y2769" i="13"/>
  <c r="X2770" i="13"/>
  <c r="Y2770" i="13"/>
  <c r="X2771" i="13"/>
  <c r="Y2771" i="13"/>
  <c r="X2772" i="13"/>
  <c r="Y2772" i="13"/>
  <c r="X2773" i="13"/>
  <c r="Y2773" i="13"/>
  <c r="X2774" i="13"/>
  <c r="Y2774" i="13"/>
  <c r="X2775" i="13"/>
  <c r="X2776" i="13"/>
  <c r="Y2775" i="13"/>
  <c r="Y2776" i="13"/>
  <c r="X2777" i="13"/>
  <c r="Y2777" i="13"/>
  <c r="X2778" i="13"/>
  <c r="Y2778" i="13"/>
  <c r="X2779" i="13"/>
  <c r="X2780" i="13"/>
  <c r="Y2779" i="13"/>
  <c r="X2781" i="13"/>
  <c r="Y2780" i="13"/>
  <c r="Y2781" i="13"/>
  <c r="X2782" i="13"/>
  <c r="X2783" i="13"/>
  <c r="Y2782" i="13"/>
  <c r="Y2783" i="13"/>
  <c r="X2784" i="13"/>
  <c r="Y2784" i="13"/>
  <c r="X2785" i="13"/>
  <c r="X2786" i="13"/>
  <c r="Y2785" i="13"/>
  <c r="Y2786" i="13"/>
  <c r="X2787" i="13"/>
  <c r="X2788" i="13"/>
  <c r="Y2787" i="13"/>
  <c r="X2789" i="13"/>
  <c r="Y2788" i="13"/>
  <c r="Y2789" i="13"/>
  <c r="X2790" i="13"/>
  <c r="X2791" i="13"/>
  <c r="Y2790" i="13"/>
  <c r="Y2791" i="13"/>
  <c r="X2792" i="13"/>
  <c r="Y2792" i="13"/>
  <c r="X2793" i="13"/>
  <c r="Y2793" i="13"/>
  <c r="X2794" i="13"/>
  <c r="X2795" i="13"/>
  <c r="Y2794" i="13"/>
  <c r="X2796" i="13"/>
  <c r="Y2795" i="13"/>
  <c r="Y2796" i="13"/>
  <c r="X2797" i="13"/>
  <c r="Y2797" i="13"/>
  <c r="X2798" i="13"/>
  <c r="X2799" i="13"/>
  <c r="Y2798" i="13"/>
  <c r="X2800" i="13"/>
  <c r="Y2799" i="13"/>
  <c r="Y2800" i="13"/>
  <c r="X2801" i="13"/>
  <c r="X2802" i="13"/>
  <c r="Y2801" i="13"/>
  <c r="Y2802" i="13"/>
  <c r="X2803" i="13"/>
  <c r="Y2803" i="13"/>
  <c r="X2804" i="13"/>
  <c r="X2805" i="13"/>
  <c r="Y2804" i="13"/>
  <c r="Y2805" i="13"/>
  <c r="X2806" i="13"/>
  <c r="Y2806" i="13"/>
  <c r="X2807" i="13"/>
  <c r="Y2807" i="13"/>
  <c r="X2808" i="13"/>
  <c r="X2809" i="13"/>
  <c r="Y2808" i="13"/>
  <c r="Y2809" i="13"/>
  <c r="X2810" i="13"/>
  <c r="X2811" i="13"/>
  <c r="Y2810" i="13"/>
  <c r="Y2811" i="13"/>
  <c r="X2812" i="13"/>
  <c r="Y2812" i="13"/>
  <c r="X2813" i="13"/>
  <c r="Y2813" i="13"/>
  <c r="X2814" i="13"/>
  <c r="Y2814" i="13"/>
  <c r="X2815" i="13"/>
  <c r="X2816" i="13"/>
  <c r="Y2815" i="13"/>
  <c r="X2817" i="13"/>
  <c r="Y2816" i="13"/>
  <c r="X2818" i="13"/>
  <c r="Y2817" i="13"/>
  <c r="X2819" i="13"/>
  <c r="Y2818" i="13"/>
  <c r="X2820" i="13"/>
  <c r="Y2819" i="13"/>
  <c r="X2821" i="13"/>
  <c r="Y2820" i="13"/>
  <c r="X2822" i="13"/>
  <c r="Y2821" i="13"/>
  <c r="X2823" i="13"/>
  <c r="Y2822" i="13"/>
  <c r="X2824" i="13"/>
  <c r="Y2823" i="13"/>
  <c r="X2825" i="13"/>
  <c r="Y2824" i="13"/>
  <c r="X2826" i="13"/>
  <c r="Y2825" i="13"/>
  <c r="X2827" i="13"/>
  <c r="Y2826" i="13"/>
  <c r="Y2827" i="13"/>
  <c r="X2828" i="13"/>
  <c r="Y2828" i="13"/>
  <c r="X2829" i="13"/>
  <c r="Y2829" i="13"/>
  <c r="X2830" i="13"/>
  <c r="X2831" i="13"/>
  <c r="Y2830" i="13"/>
  <c r="X2832" i="13"/>
  <c r="Y2831" i="13"/>
  <c r="Y2832" i="13"/>
  <c r="X2833" i="13"/>
  <c r="X2834" i="13"/>
  <c r="Y2833" i="13"/>
  <c r="Y2834" i="13"/>
  <c r="X2835" i="13"/>
  <c r="X2836" i="13"/>
  <c r="Y2835" i="13"/>
  <c r="X2837" i="13"/>
  <c r="Y2836" i="13"/>
  <c r="Y2837" i="13"/>
  <c r="X2838" i="13"/>
  <c r="Y2838" i="13"/>
  <c r="X2839" i="13"/>
  <c r="X2840" i="13"/>
  <c r="Y2839" i="13"/>
  <c r="Y2840" i="13"/>
  <c r="X2841" i="13"/>
  <c r="X2842" i="13"/>
  <c r="Y2841" i="13"/>
  <c r="X2843" i="13"/>
  <c r="Y2842" i="13"/>
  <c r="X2844" i="13"/>
  <c r="Y2843" i="13"/>
  <c r="X2845" i="13"/>
  <c r="Y2844" i="13"/>
  <c r="Y2845" i="13"/>
  <c r="X2846" i="13"/>
  <c r="Y2846" i="13"/>
  <c r="X2847" i="13"/>
  <c r="X2848" i="13"/>
  <c r="Y2847" i="13"/>
  <c r="Y2848" i="13"/>
  <c r="X2849" i="13"/>
  <c r="Y2849" i="13"/>
  <c r="X2850" i="13"/>
  <c r="X2851" i="13"/>
  <c r="Y2850" i="13"/>
  <c r="X2852" i="13"/>
  <c r="Y2851" i="13"/>
  <c r="X2853" i="13"/>
  <c r="Y2852" i="13"/>
  <c r="Y2853" i="13"/>
  <c r="X2854" i="13"/>
  <c r="X2855" i="13"/>
  <c r="Y2854" i="13"/>
  <c r="X2856" i="13"/>
  <c r="Y2855" i="13"/>
  <c r="X2857" i="13"/>
  <c r="Y2856" i="13"/>
  <c r="X2858" i="13"/>
  <c r="Y2857" i="13"/>
  <c r="Y2858" i="13"/>
  <c r="X2859" i="13"/>
  <c r="X2860" i="13"/>
  <c r="Y2859" i="13"/>
  <c r="X2861" i="13"/>
  <c r="Y2860" i="13"/>
  <c r="Y2861" i="13"/>
  <c r="X2862" i="13"/>
  <c r="Y2862" i="13"/>
  <c r="X2863" i="13"/>
  <c r="X2864" i="13"/>
  <c r="Y2863" i="13"/>
  <c r="X2865" i="13"/>
  <c r="Y2864" i="13"/>
  <c r="X2866" i="13"/>
  <c r="Y2865" i="13"/>
  <c r="Y2866" i="13"/>
  <c r="X2867" i="13"/>
  <c r="Y2867" i="13"/>
  <c r="X2868" i="13"/>
  <c r="X2869" i="13"/>
  <c r="Y2868" i="13"/>
  <c r="X2870" i="13"/>
  <c r="Y2869" i="13"/>
  <c r="Y2870" i="13"/>
  <c r="X2871" i="13"/>
  <c r="X2872" i="13"/>
  <c r="Y2871" i="13"/>
  <c r="X2873" i="13"/>
  <c r="Y2872" i="13"/>
  <c r="Y2873" i="13"/>
  <c r="X2874" i="13"/>
  <c r="X2875" i="13"/>
  <c r="Y2874" i="13"/>
  <c r="X2876" i="13"/>
  <c r="Y2875" i="13"/>
  <c r="Y2876" i="13"/>
  <c r="X2877" i="13"/>
  <c r="X2878" i="13"/>
  <c r="Y2877" i="13"/>
  <c r="X2879" i="13"/>
  <c r="Y2878" i="13"/>
  <c r="Y2879" i="13"/>
  <c r="X2880" i="13"/>
  <c r="Y2880" i="13"/>
  <c r="X2881" i="13"/>
  <c r="X2882" i="13"/>
  <c r="Y2881" i="13"/>
  <c r="Y2882" i="13"/>
  <c r="X2883" i="13"/>
  <c r="Y2883" i="13"/>
  <c r="X2884" i="13"/>
  <c r="Y2884" i="13"/>
  <c r="X2885" i="13"/>
  <c r="Y2885" i="13"/>
  <c r="X2886" i="13"/>
  <c r="Y2886" i="13"/>
  <c r="X2887" i="13"/>
  <c r="X2888" i="13"/>
  <c r="Y2887" i="13"/>
  <c r="X2889" i="13"/>
  <c r="Y2888" i="13"/>
  <c r="X2890" i="13"/>
  <c r="Y2889" i="13"/>
  <c r="X2891" i="13"/>
  <c r="Y2890" i="13"/>
  <c r="Y2891" i="13"/>
  <c r="X2892" i="13"/>
  <c r="Y2892" i="13"/>
  <c r="X2893" i="13"/>
  <c r="Y2893" i="13"/>
  <c r="X2894" i="13"/>
  <c r="Y2894" i="13"/>
  <c r="X2895" i="13"/>
  <c r="Y2895" i="13"/>
  <c r="X2896" i="13"/>
  <c r="Y2896" i="13"/>
  <c r="X2897" i="13"/>
  <c r="X2898" i="13"/>
  <c r="Y2897" i="13"/>
  <c r="X2899" i="13"/>
  <c r="Y2898" i="13"/>
  <c r="X2900" i="13"/>
  <c r="Y2899" i="13"/>
  <c r="Y2900" i="13"/>
  <c r="X2901" i="13"/>
  <c r="X2902" i="13"/>
  <c r="Y2901" i="13"/>
  <c r="X2903" i="13"/>
  <c r="Y2902" i="13"/>
  <c r="X2904" i="13"/>
  <c r="Y2903" i="13"/>
  <c r="Y2904" i="13"/>
  <c r="X2905" i="13"/>
  <c r="Y2905" i="13"/>
  <c r="X2906" i="13"/>
  <c r="X2907" i="13"/>
  <c r="Y2906" i="13"/>
  <c r="Y2907" i="13"/>
  <c r="X2908" i="13"/>
  <c r="Y2908" i="13"/>
  <c r="X2909" i="13"/>
  <c r="X2910" i="13"/>
  <c r="Y2909" i="13"/>
  <c r="Y2910" i="13"/>
  <c r="X2911" i="13"/>
  <c r="Y2911" i="13"/>
  <c r="X2912" i="13"/>
  <c r="X2913" i="13"/>
  <c r="Y2912" i="13"/>
  <c r="Y2913" i="13"/>
  <c r="X2914" i="13"/>
  <c r="Y2914" i="13"/>
  <c r="X2915" i="13"/>
  <c r="Y2915" i="13"/>
  <c r="X2916" i="13"/>
  <c r="X2917" i="13"/>
  <c r="Y2916" i="13"/>
  <c r="Y2917" i="13"/>
  <c r="X2918" i="13"/>
  <c r="Y2918" i="13"/>
  <c r="X2919" i="13"/>
  <c r="X2920" i="13"/>
  <c r="Y2919" i="13"/>
  <c r="Y2920" i="13"/>
  <c r="X2921" i="13"/>
  <c r="X2922" i="13"/>
  <c r="Y2921" i="13"/>
  <c r="Y2922" i="13"/>
  <c r="X2923" i="13"/>
  <c r="Y2923" i="13"/>
  <c r="X2924" i="13"/>
  <c r="Y2924" i="13"/>
  <c r="X2925" i="13"/>
  <c r="Y2925" i="13"/>
  <c r="X2926" i="13"/>
  <c r="Y2926" i="13"/>
  <c r="X2927" i="13"/>
  <c r="X2928" i="13"/>
  <c r="Y2927" i="13"/>
  <c r="Y2928" i="13"/>
  <c r="X2929" i="13"/>
  <c r="Y2929" i="13"/>
  <c r="X2930" i="13"/>
  <c r="X2931" i="13"/>
  <c r="Y2930" i="13"/>
  <c r="X2932" i="13"/>
  <c r="Y2931" i="13"/>
  <c r="Y2932" i="13"/>
  <c r="X2933" i="13"/>
  <c r="X2934" i="13"/>
  <c r="Y2933" i="13"/>
  <c r="X2935" i="13"/>
  <c r="Y2934" i="13"/>
  <c r="Y2935" i="13"/>
  <c r="X2936" i="13"/>
  <c r="X2937" i="13"/>
  <c r="Y2936" i="13"/>
  <c r="Y2937" i="13"/>
  <c r="X2938" i="13"/>
  <c r="X2939" i="13"/>
  <c r="Y2938" i="13"/>
  <c r="X2940" i="13"/>
  <c r="Y2939" i="13"/>
  <c r="X2941" i="13"/>
  <c r="Y2940" i="13"/>
  <c r="Y2941" i="13"/>
  <c r="X2942" i="13"/>
  <c r="Y2942" i="13"/>
  <c r="X2943" i="13"/>
  <c r="X2944" i="13"/>
  <c r="Y2943" i="13"/>
  <c r="X2945" i="13"/>
  <c r="Y2944" i="13"/>
  <c r="X2946" i="13"/>
  <c r="Y2945" i="13"/>
  <c r="Y2946" i="13"/>
  <c r="X2947" i="13"/>
  <c r="X2948" i="13"/>
  <c r="Y2947" i="13"/>
  <c r="X2949" i="13"/>
  <c r="Y2948" i="13"/>
  <c r="Y2949" i="13"/>
  <c r="X2950" i="13"/>
  <c r="Y2950" i="13"/>
  <c r="X2951" i="13"/>
  <c r="X2952" i="13"/>
  <c r="Y2951" i="13"/>
  <c r="X2953" i="13"/>
  <c r="Y2952" i="13"/>
  <c r="Y2953" i="13"/>
  <c r="X2954" i="13"/>
  <c r="X2955" i="13"/>
  <c r="Y2954" i="13"/>
  <c r="Y2955" i="13"/>
  <c r="X2956" i="13"/>
  <c r="X2957" i="13"/>
  <c r="Y2956" i="13"/>
  <c r="X2958" i="13"/>
  <c r="Y2957" i="13"/>
  <c r="X2959" i="13"/>
  <c r="Y2958" i="13"/>
  <c r="Y2959" i="13"/>
  <c r="X2960" i="13"/>
  <c r="X2961" i="13"/>
  <c r="Y2960" i="13"/>
  <c r="X2962" i="13"/>
  <c r="Y2961" i="13"/>
  <c r="X2963" i="13"/>
  <c r="Y2962" i="13"/>
  <c r="Y2963" i="13"/>
  <c r="X2964" i="13"/>
  <c r="Y2964" i="13"/>
  <c r="X2965" i="13"/>
  <c r="X2966" i="13"/>
  <c r="Y2965" i="13"/>
  <c r="Y2966" i="13"/>
  <c r="X2967" i="13"/>
  <c r="X2968" i="13"/>
  <c r="Y2967" i="13"/>
  <c r="X2969" i="13"/>
  <c r="Y2968" i="13"/>
  <c r="Y2969" i="13"/>
  <c r="X2970" i="13"/>
  <c r="X2971" i="13"/>
  <c r="Y2970" i="13"/>
  <c r="Y2971" i="13"/>
  <c r="X2972" i="13"/>
  <c r="Y2972" i="13"/>
  <c r="X2973" i="13"/>
  <c r="X2974" i="13"/>
  <c r="Y2973" i="13"/>
  <c r="Y2974" i="13"/>
  <c r="X2975" i="13"/>
  <c r="Y2975" i="13"/>
  <c r="X2976" i="13"/>
  <c r="Y2976" i="13"/>
  <c r="X2977" i="13"/>
  <c r="Y2977" i="13"/>
  <c r="X2978" i="13"/>
  <c r="Y2978" i="13"/>
  <c r="X2979" i="13"/>
  <c r="X2980" i="13"/>
  <c r="Y2979" i="13"/>
  <c r="Y2980" i="13"/>
  <c r="X2981" i="13"/>
  <c r="Y2981" i="13"/>
  <c r="X2982" i="13"/>
  <c r="X2983" i="13"/>
  <c r="Y2982" i="13"/>
  <c r="X2984" i="13"/>
  <c r="Y2983" i="13"/>
  <c r="X2985" i="13"/>
  <c r="Y2984" i="13"/>
  <c r="X2986" i="13"/>
  <c r="Y2985" i="13"/>
  <c r="X2987" i="13"/>
  <c r="Y2986" i="13"/>
  <c r="X2988" i="13"/>
  <c r="Y2987" i="13"/>
  <c r="X2989" i="13"/>
  <c r="Y2988" i="13"/>
  <c r="X2990" i="13"/>
  <c r="Y2989" i="13"/>
  <c r="X2991" i="13"/>
  <c r="Y2990" i="13"/>
  <c r="X2992" i="13"/>
  <c r="Y2991" i="13"/>
  <c r="X2993" i="13"/>
  <c r="Y2992" i="13"/>
  <c r="Y2993" i="13"/>
  <c r="X2994" i="13"/>
  <c r="Y2994" i="13"/>
  <c r="X2995" i="13"/>
  <c r="Y2995" i="13"/>
  <c r="X2996" i="13"/>
  <c r="Y2996" i="13"/>
  <c r="X2997" i="13"/>
  <c r="X2998" i="13"/>
  <c r="Y2997" i="13"/>
  <c r="Y2998" i="13"/>
  <c r="X2999" i="13"/>
  <c r="Y2999" i="13"/>
  <c r="X3000" i="13"/>
  <c r="Y3000" i="13"/>
  <c r="X3001" i="13"/>
  <c r="Y3001" i="13"/>
  <c r="X3002" i="13"/>
  <c r="X3003" i="13"/>
  <c r="Y3002" i="13"/>
  <c r="X3004" i="13"/>
  <c r="Y3003" i="13"/>
  <c r="Y3004" i="13"/>
  <c r="X3005" i="13"/>
  <c r="X3006" i="13"/>
  <c r="Y3005" i="13"/>
  <c r="X3007" i="13"/>
  <c r="Y3006" i="13"/>
  <c r="Y3007" i="13"/>
  <c r="X3008" i="13"/>
  <c r="X3009" i="13"/>
  <c r="Y3008" i="13"/>
  <c r="Y3009" i="13"/>
  <c r="X3010" i="13"/>
  <c r="X3011" i="13"/>
  <c r="Y3010" i="13"/>
  <c r="X3012" i="13"/>
  <c r="Y3011" i="13"/>
  <c r="Y3012" i="13"/>
  <c r="X3013" i="13"/>
  <c r="Y3013" i="13"/>
  <c r="X3014" i="13"/>
  <c r="Y3014" i="13"/>
  <c r="X3015" i="13"/>
  <c r="Y3015" i="13"/>
  <c r="X3016" i="13"/>
  <c r="Y3016" i="13"/>
  <c r="X3017" i="13"/>
  <c r="Y3017" i="13"/>
  <c r="X3018" i="13"/>
  <c r="Y3018" i="13"/>
  <c r="X3019" i="13"/>
  <c r="Y3019" i="13"/>
  <c r="X3020" i="13"/>
  <c r="Y3020" i="13"/>
  <c r="X3021" i="13"/>
  <c r="Y3021" i="13"/>
  <c r="X3022" i="13"/>
  <c r="X3023" i="13"/>
  <c r="Y3022" i="13"/>
  <c r="X3024" i="13"/>
  <c r="Y3023" i="13"/>
  <c r="X3025" i="13"/>
  <c r="Y3024" i="13"/>
  <c r="X3026" i="13"/>
  <c r="Y3025" i="13"/>
  <c r="Y3026" i="13"/>
  <c r="X3027" i="13"/>
  <c r="X3028" i="13"/>
  <c r="Y3027" i="13"/>
  <c r="Y3028" i="13"/>
  <c r="X3029" i="13"/>
  <c r="Y3029" i="13"/>
  <c r="X3030" i="13"/>
  <c r="Y3030" i="13"/>
  <c r="X3031" i="13"/>
  <c r="Y3031" i="13"/>
  <c r="X3032" i="13"/>
  <c r="X3033" i="13"/>
  <c r="Y3032" i="13"/>
  <c r="X3034" i="13"/>
  <c r="Y3033" i="13"/>
  <c r="X3035" i="13"/>
  <c r="Y3034" i="13"/>
  <c r="Y3035" i="13"/>
  <c r="X3036" i="13"/>
  <c r="Y3036" i="13"/>
  <c r="X3037" i="13"/>
  <c r="Y3037" i="13"/>
  <c r="X3038" i="13"/>
  <c r="Y3038" i="13"/>
  <c r="X3039" i="13"/>
  <c r="X3040" i="13"/>
  <c r="Y3039" i="13"/>
  <c r="Y3040" i="13"/>
  <c r="X3041" i="13"/>
  <c r="X3042" i="13"/>
  <c r="Y3041" i="13"/>
  <c r="Y3042" i="13"/>
  <c r="X3043" i="13"/>
  <c r="X3044" i="13"/>
  <c r="Y3043" i="13"/>
  <c r="X3045" i="13"/>
  <c r="Y3044" i="13"/>
  <c r="Y3045" i="13"/>
  <c r="X3046" i="13"/>
  <c r="Y3046" i="13"/>
  <c r="X3047" i="13"/>
  <c r="X3048" i="13"/>
  <c r="Y3047" i="13"/>
  <c r="Y3048" i="13"/>
  <c r="X3049" i="13"/>
  <c r="X3050" i="13"/>
  <c r="Y3049" i="13"/>
  <c r="X3051" i="13"/>
  <c r="Y3050" i="13"/>
  <c r="Y3051" i="13"/>
  <c r="X3052" i="13"/>
  <c r="X3053" i="13"/>
  <c r="Y3052" i="13"/>
  <c r="Y3053" i="13"/>
  <c r="X3054" i="13"/>
  <c r="Y3054" i="13"/>
  <c r="X3055" i="13"/>
  <c r="Y3055" i="13"/>
  <c r="X3056" i="13"/>
  <c r="Y3056" i="13"/>
  <c r="X3057" i="13"/>
  <c r="Y3057" i="13"/>
  <c r="X3058" i="13"/>
  <c r="Y3058" i="13"/>
  <c r="X3059" i="13"/>
  <c r="X3060" i="13"/>
  <c r="Y3059" i="13"/>
  <c r="Y3060" i="13"/>
  <c r="X3061" i="13"/>
  <c r="Y3061" i="13"/>
  <c r="X3062" i="13"/>
  <c r="X3063" i="13"/>
  <c r="Y3062" i="13"/>
  <c r="Y3063" i="13"/>
  <c r="X3064" i="13"/>
  <c r="X3065" i="13"/>
  <c r="Y3064" i="13"/>
  <c r="Y3065" i="13"/>
  <c r="X3066" i="13"/>
  <c r="Y3066" i="13"/>
  <c r="X3067" i="13"/>
  <c r="X3068" i="13"/>
  <c r="Y3067" i="13"/>
  <c r="Y3068" i="13"/>
  <c r="X3069" i="13"/>
  <c r="Y3069" i="13"/>
  <c r="X3070" i="13"/>
  <c r="X3071" i="13"/>
  <c r="Y3070" i="13"/>
  <c r="Y3071" i="13"/>
  <c r="X3072" i="13"/>
  <c r="X3073" i="13"/>
  <c r="Y3072" i="13"/>
  <c r="Y3073" i="13"/>
  <c r="X3074" i="13"/>
  <c r="X3075" i="13"/>
  <c r="Y3074" i="13"/>
  <c r="Y3075" i="13"/>
  <c r="X3076" i="13"/>
  <c r="Y3076" i="13"/>
  <c r="X3077" i="13"/>
  <c r="X3078" i="13"/>
  <c r="Y3077" i="13"/>
  <c r="Y3078" i="13"/>
  <c r="X3079" i="13"/>
  <c r="X3080" i="13"/>
  <c r="Y3079" i="13"/>
  <c r="X3081" i="13"/>
  <c r="Y3080" i="13"/>
  <c r="Y3081" i="13"/>
  <c r="X3082" i="13"/>
  <c r="X3083" i="13"/>
  <c r="Y3082" i="13"/>
  <c r="X3084" i="13"/>
  <c r="Y3083" i="13"/>
  <c r="Y3084" i="13"/>
  <c r="X3085" i="13"/>
  <c r="X3086" i="13"/>
  <c r="Y3085" i="13"/>
  <c r="X3087" i="13"/>
  <c r="Y3086" i="13"/>
  <c r="X3088" i="13"/>
  <c r="Y3087" i="13"/>
  <c r="Y3088" i="13"/>
  <c r="X3089" i="13"/>
  <c r="X3090" i="13"/>
  <c r="Y3089" i="13"/>
  <c r="X3091" i="13"/>
  <c r="Y3090" i="13"/>
  <c r="X3092" i="13"/>
  <c r="Y3091" i="13"/>
  <c r="Y3092" i="13"/>
  <c r="X3093" i="13"/>
  <c r="X3094" i="13"/>
  <c r="Y3093" i="13"/>
  <c r="X3095" i="13"/>
  <c r="Y3094" i="13"/>
  <c r="Y3095" i="13"/>
  <c r="X3096" i="13"/>
  <c r="X3097" i="13"/>
  <c r="Y3096" i="13"/>
  <c r="X3098" i="13"/>
  <c r="Y3097" i="13"/>
  <c r="X3099" i="13"/>
  <c r="Y3098" i="13"/>
  <c r="X3100" i="13"/>
  <c r="Y3099" i="13"/>
  <c r="X3101" i="13"/>
  <c r="Y3100" i="13"/>
  <c r="Y3101" i="13"/>
  <c r="X3102" i="13"/>
  <c r="Y3102" i="13"/>
  <c r="X3103" i="13"/>
  <c r="Y3103" i="13"/>
  <c r="X3104" i="13"/>
  <c r="Y3104" i="13"/>
  <c r="X3105" i="13"/>
  <c r="Y3105" i="13"/>
  <c r="X3106" i="13"/>
  <c r="X3107" i="13"/>
  <c r="Y3106" i="13"/>
  <c r="X3108" i="13"/>
  <c r="Y3107" i="13"/>
  <c r="X3109" i="13"/>
  <c r="Y3108" i="13"/>
  <c r="Y3109" i="13"/>
  <c r="X3110" i="13"/>
  <c r="X3111" i="13"/>
  <c r="Y3110" i="13"/>
  <c r="X3112" i="13"/>
  <c r="Y3111" i="13"/>
  <c r="X3113" i="13"/>
  <c r="Y3112" i="13"/>
  <c r="X3114" i="13"/>
  <c r="Y3113" i="13"/>
  <c r="X3115" i="13"/>
  <c r="Y3114" i="13"/>
  <c r="X3116" i="13"/>
  <c r="Y3115" i="13"/>
  <c r="X3117" i="13"/>
  <c r="Y3116" i="13"/>
  <c r="X3118" i="13"/>
  <c r="Y3117" i="13"/>
  <c r="X3119" i="13"/>
  <c r="Y3118" i="13"/>
  <c r="Y3119" i="13"/>
  <c r="X3120" i="13"/>
  <c r="X3121" i="13"/>
  <c r="Y3120" i="13"/>
  <c r="X3122" i="13"/>
  <c r="Y3121" i="13"/>
  <c r="X3123" i="13"/>
  <c r="Y3122" i="13"/>
  <c r="Y3123" i="13"/>
  <c r="X3124" i="13"/>
  <c r="Y3124" i="13"/>
  <c r="X3125" i="13"/>
  <c r="X3126" i="13"/>
  <c r="Y3125" i="13"/>
  <c r="X3127" i="13"/>
  <c r="Y3126" i="13"/>
  <c r="Y3127" i="13"/>
  <c r="X3128" i="13"/>
  <c r="Y3128" i="13"/>
  <c r="X3129" i="13"/>
  <c r="Y3129" i="13"/>
  <c r="X3130" i="13"/>
  <c r="Y3130" i="13"/>
  <c r="X3131" i="13"/>
  <c r="X3132" i="13"/>
  <c r="Y3131" i="13"/>
  <c r="Y3132" i="13"/>
  <c r="X3133" i="13"/>
  <c r="Y3133" i="13"/>
  <c r="X3134" i="13"/>
  <c r="Y3134" i="13"/>
  <c r="X3135" i="13"/>
  <c r="Y3135" i="13"/>
  <c r="X3136" i="13"/>
  <c r="X3137" i="13"/>
  <c r="Y3136" i="13"/>
  <c r="X3138" i="13"/>
  <c r="Y3137" i="13"/>
  <c r="X3139" i="13"/>
  <c r="Y3138" i="13"/>
  <c r="X3140" i="13"/>
  <c r="Y3139" i="13"/>
  <c r="Y3140" i="13"/>
  <c r="X3141" i="13"/>
  <c r="X3142" i="13"/>
  <c r="Y3141" i="13"/>
  <c r="Y3142" i="13"/>
  <c r="X3143" i="13"/>
  <c r="X3144" i="13"/>
  <c r="Y3143" i="13"/>
  <c r="X3145" i="13"/>
  <c r="Y3144" i="13"/>
  <c r="Y3145" i="13"/>
  <c r="X3146" i="13"/>
  <c r="X3147" i="13"/>
  <c r="Y3146" i="13"/>
  <c r="X3148" i="13"/>
  <c r="Y3147" i="13"/>
  <c r="X3149" i="13"/>
  <c r="Y3148" i="13"/>
  <c r="X3150" i="13"/>
  <c r="Y3149" i="13"/>
  <c r="Y3150" i="13"/>
  <c r="X3151" i="13"/>
  <c r="X3152" i="13"/>
  <c r="Y3151" i="13"/>
  <c r="X3153" i="13"/>
  <c r="Y3152" i="13"/>
  <c r="X3154" i="13"/>
  <c r="Y3153" i="13"/>
  <c r="Y3154" i="13"/>
  <c r="X3155" i="13"/>
  <c r="X3156" i="13"/>
  <c r="Y3155" i="13"/>
  <c r="Y3156" i="13"/>
  <c r="X3157" i="13"/>
  <c r="X3158" i="13"/>
  <c r="Y3157" i="13"/>
  <c r="Y3158" i="13"/>
  <c r="X3159" i="13"/>
  <c r="X3160" i="13"/>
  <c r="Y3159" i="13"/>
  <c r="Y3160" i="13"/>
  <c r="X3161" i="13"/>
  <c r="X3162" i="13"/>
  <c r="Y3161" i="13"/>
  <c r="Y3162" i="13"/>
  <c r="X3163" i="13"/>
  <c r="Y3163" i="13"/>
  <c r="X3164" i="13"/>
  <c r="Y3164" i="13"/>
  <c r="X3165" i="13"/>
  <c r="Y3165" i="13"/>
  <c r="X3166" i="13"/>
  <c r="Y3166" i="13"/>
  <c r="X3167" i="13"/>
  <c r="Y3167" i="13"/>
  <c r="X3168" i="13"/>
  <c r="Y3168" i="13"/>
  <c r="X3169" i="13"/>
  <c r="Y3169" i="13"/>
  <c r="X3170" i="13"/>
  <c r="Y3170" i="13"/>
  <c r="X3171" i="13"/>
  <c r="X3172" i="13"/>
  <c r="Y3171" i="13"/>
  <c r="Y3172" i="13"/>
  <c r="X3173" i="13"/>
  <c r="Y3173" i="13"/>
  <c r="X3174" i="13"/>
  <c r="X3175" i="13"/>
  <c r="Y3174" i="13"/>
  <c r="Y3175" i="13"/>
  <c r="X3176" i="13"/>
  <c r="X3177" i="13"/>
  <c r="Y3176" i="13"/>
  <c r="X3178" i="13"/>
  <c r="Y3177" i="13"/>
  <c r="X3179" i="13"/>
  <c r="Y3178" i="13"/>
  <c r="X3180" i="13"/>
  <c r="Y3179" i="13"/>
  <c r="Y3180" i="13"/>
  <c r="X3181" i="13"/>
  <c r="Y3181" i="13"/>
  <c r="X3182" i="13"/>
  <c r="X3183" i="13"/>
  <c r="Y3182" i="13"/>
  <c r="X3184" i="13"/>
  <c r="Y3183" i="13"/>
  <c r="Y3184" i="13"/>
  <c r="X3185" i="13"/>
  <c r="X3186" i="13"/>
  <c r="Y3185" i="13"/>
  <c r="X3187" i="13"/>
  <c r="Y3186" i="13"/>
  <c r="Y3187" i="13"/>
  <c r="X3188" i="13"/>
  <c r="X3189" i="13"/>
  <c r="Y3188" i="13"/>
  <c r="X3190" i="13"/>
  <c r="Y3189" i="13"/>
  <c r="X3191" i="13"/>
  <c r="Y3190" i="13"/>
  <c r="X3192" i="13"/>
  <c r="Y3191" i="13"/>
  <c r="Y3192" i="13"/>
  <c r="X3193" i="13"/>
  <c r="Y3193" i="13"/>
  <c r="X3194" i="13"/>
  <c r="Y3194" i="13"/>
  <c r="X3195" i="13"/>
  <c r="X3196" i="13"/>
  <c r="Y3195" i="13"/>
  <c r="Y3196" i="13"/>
  <c r="X3197" i="13"/>
  <c r="X3198" i="13"/>
  <c r="Y3197" i="13"/>
  <c r="X3199" i="13"/>
  <c r="Y3198" i="13"/>
  <c r="Y3199" i="13"/>
  <c r="X3200" i="13"/>
  <c r="Y3200" i="13"/>
  <c r="X3201" i="13"/>
  <c r="X3202" i="13"/>
  <c r="Y3201" i="13"/>
  <c r="Y3202" i="13"/>
  <c r="X3203" i="13"/>
  <c r="X3204" i="13"/>
  <c r="Y3203" i="13"/>
  <c r="X3205" i="13"/>
  <c r="Y3204" i="13"/>
  <c r="X3206" i="13"/>
  <c r="Y3205" i="13"/>
  <c r="X3207" i="13"/>
  <c r="Y3206" i="13"/>
  <c r="X3208" i="13"/>
  <c r="Y3207" i="13"/>
  <c r="Y3208" i="13"/>
  <c r="X3209" i="13"/>
  <c r="Y3209" i="13"/>
  <c r="X3210" i="13"/>
  <c r="Y3210" i="13"/>
  <c r="X3211" i="13"/>
  <c r="X3212" i="13"/>
  <c r="Y3211" i="13"/>
  <c r="Y3212" i="13"/>
  <c r="X3213" i="13"/>
  <c r="X3214" i="13"/>
  <c r="Y3213" i="13"/>
  <c r="X3215" i="13"/>
  <c r="Y3214" i="13"/>
  <c r="Y3215" i="13"/>
  <c r="X3216" i="13"/>
  <c r="Y3216" i="13"/>
  <c r="X3217" i="13"/>
  <c r="Y3217" i="13"/>
  <c r="X3218" i="13"/>
  <c r="Y3218" i="13"/>
  <c r="X3219" i="13"/>
  <c r="Y3219" i="13"/>
  <c r="X3220" i="13"/>
  <c r="Y3220" i="13"/>
  <c r="X3221" i="13"/>
  <c r="X3222" i="13"/>
  <c r="Y3221" i="13"/>
  <c r="Y3222" i="13"/>
  <c r="X3223" i="13"/>
  <c r="Y3223" i="13"/>
  <c r="X3224" i="13"/>
  <c r="Y3224" i="13"/>
  <c r="X3225" i="13"/>
  <c r="X3226" i="13"/>
  <c r="Y3225" i="13"/>
  <c r="Y3226" i="13"/>
  <c r="X3227" i="13"/>
  <c r="X3228" i="13"/>
  <c r="Y3227" i="13"/>
  <c r="X3229" i="13"/>
  <c r="Y3228" i="13"/>
  <c r="Y3229" i="13"/>
  <c r="X3230" i="13"/>
  <c r="Y3230" i="13"/>
  <c r="X3231" i="13"/>
  <c r="Y3231" i="13"/>
  <c r="X3232" i="13"/>
  <c r="X3233" i="13"/>
  <c r="Y3232" i="13"/>
  <c r="Y3233" i="13"/>
  <c r="X3234" i="13"/>
  <c r="Y3234" i="13"/>
  <c r="X3235" i="13"/>
  <c r="Y3235" i="13"/>
  <c r="X3236" i="13"/>
  <c r="Y3236" i="13"/>
  <c r="X3237" i="13"/>
  <c r="Y3237" i="13"/>
  <c r="X3238" i="13"/>
  <c r="Y3238" i="13"/>
  <c r="X3239" i="13"/>
  <c r="Y3239" i="13"/>
  <c r="X3240" i="13"/>
  <c r="Y3240" i="13"/>
  <c r="X3241" i="13"/>
  <c r="Y3241" i="13"/>
  <c r="X3242" i="13"/>
  <c r="Y3242" i="13"/>
  <c r="X3243" i="13"/>
  <c r="Y3243" i="13"/>
  <c r="X3244" i="13"/>
  <c r="X3245" i="13"/>
  <c r="Y3244" i="13"/>
  <c r="Y3245" i="13"/>
  <c r="X3246" i="13"/>
  <c r="X3247" i="13"/>
  <c r="Y3246" i="13"/>
  <c r="X3248" i="13"/>
  <c r="Y3247" i="13"/>
  <c r="X3249" i="13"/>
  <c r="Y3248" i="13"/>
  <c r="X3250" i="13"/>
  <c r="Y3249" i="13"/>
  <c r="X3251" i="13"/>
  <c r="Y3250" i="13"/>
  <c r="X3252" i="13"/>
  <c r="Y3251" i="13"/>
  <c r="X3253" i="13"/>
  <c r="Y3252" i="13"/>
  <c r="Y3253" i="13"/>
  <c r="X3254" i="13"/>
  <c r="X3255" i="13"/>
  <c r="Y3254" i="13"/>
  <c r="X3256" i="13"/>
  <c r="Y3255" i="13"/>
  <c r="Y3256" i="13"/>
  <c r="X3257" i="13"/>
  <c r="X3258" i="13"/>
  <c r="Y3257" i="13"/>
  <c r="X3259" i="13"/>
  <c r="Y3258" i="13"/>
  <c r="Y3259" i="13"/>
  <c r="X3260" i="13"/>
  <c r="Y3260" i="13"/>
  <c r="X3261" i="13"/>
  <c r="X3262" i="13"/>
  <c r="Y3261" i="13"/>
  <c r="Y3262" i="13"/>
  <c r="X3263" i="13"/>
  <c r="Y3263" i="13"/>
  <c r="X3264" i="13"/>
  <c r="X3265" i="13"/>
  <c r="Y3264" i="13"/>
  <c r="X3266" i="13"/>
  <c r="Y3265" i="13"/>
  <c r="Y3266" i="13"/>
  <c r="X3267" i="13"/>
  <c r="Y3267" i="13"/>
  <c r="X3268" i="13"/>
  <c r="X3269" i="13"/>
  <c r="Y3268" i="13"/>
  <c r="Y3269" i="13"/>
  <c r="X3270" i="13"/>
  <c r="Y3270" i="13"/>
  <c r="X3271" i="13"/>
  <c r="X3272" i="13"/>
  <c r="Y3271" i="13"/>
  <c r="Y3272" i="13"/>
  <c r="X3273" i="13"/>
  <c r="X3274" i="13"/>
  <c r="Y3273" i="13"/>
  <c r="X3275" i="13"/>
  <c r="Y3274" i="13"/>
  <c r="Y3275" i="13"/>
  <c r="X3276" i="13"/>
  <c r="Y3276" i="13"/>
  <c r="X3277" i="13"/>
  <c r="Y3277" i="13"/>
  <c r="X3278" i="13"/>
  <c r="Y3278" i="13"/>
  <c r="X3279" i="13"/>
  <c r="X3280" i="13"/>
  <c r="Y3279" i="13"/>
  <c r="X3281" i="13"/>
  <c r="Y3280" i="13"/>
  <c r="Y3281" i="13"/>
  <c r="X3282" i="13"/>
  <c r="X3283" i="13"/>
  <c r="Y3282" i="13"/>
  <c r="X3284" i="13"/>
  <c r="Y3283" i="13"/>
  <c r="X3285" i="13"/>
  <c r="Y3284" i="13"/>
  <c r="Y3285" i="13"/>
  <c r="X3286" i="13"/>
  <c r="X3287" i="13"/>
  <c r="Y3286" i="13"/>
  <c r="X3288" i="13"/>
  <c r="Y3287" i="13"/>
  <c r="X3289" i="13"/>
  <c r="Y3288" i="13"/>
  <c r="X3290" i="13"/>
  <c r="Y3289" i="13"/>
  <c r="X3291" i="13"/>
  <c r="Y3290" i="13"/>
  <c r="X3292" i="13"/>
  <c r="Y3291" i="13"/>
  <c r="X3293" i="13"/>
  <c r="Y3292" i="13"/>
  <c r="X3294" i="13"/>
  <c r="Y3293" i="13"/>
  <c r="X3295" i="13"/>
  <c r="Y3294" i="13"/>
  <c r="Y3295" i="13"/>
  <c r="X3296" i="13"/>
  <c r="X3297" i="13"/>
  <c r="Y3296" i="13"/>
  <c r="Y3297" i="13"/>
  <c r="X3298" i="13"/>
  <c r="X3299" i="13"/>
  <c r="Y3298" i="13"/>
  <c r="Y3299" i="13"/>
  <c r="X3300" i="13"/>
  <c r="Y3300" i="13"/>
  <c r="X3301" i="13"/>
  <c r="X3302" i="13"/>
  <c r="Y3301" i="13"/>
  <c r="Y3302" i="13"/>
  <c r="X3303" i="13"/>
  <c r="X3304" i="13"/>
  <c r="Y3303" i="13"/>
  <c r="X3305" i="13"/>
  <c r="Y3304" i="13"/>
  <c r="Y3305" i="13"/>
  <c r="X3306" i="13"/>
  <c r="Y3306" i="13"/>
  <c r="X3307" i="13"/>
  <c r="Y3307" i="13"/>
  <c r="X3308" i="13"/>
  <c r="X3309" i="13"/>
  <c r="Y3308" i="13"/>
  <c r="Y3309" i="13"/>
  <c r="X3310" i="13"/>
  <c r="Y3310" i="13"/>
  <c r="X3311" i="13"/>
  <c r="X3312" i="13"/>
  <c r="Y3311" i="13"/>
  <c r="Y3312" i="13"/>
  <c r="X3313" i="13"/>
  <c r="X3314" i="13"/>
  <c r="Y3313" i="13"/>
  <c r="Y3314" i="13"/>
  <c r="X3315" i="13"/>
  <c r="X3316" i="13"/>
  <c r="Y3315" i="13"/>
  <c r="Y3316" i="13"/>
  <c r="X3317" i="13"/>
  <c r="X3318" i="13"/>
  <c r="Y3317" i="13"/>
  <c r="Y3318" i="13"/>
  <c r="X3319" i="13"/>
  <c r="Y3319" i="13"/>
  <c r="X3320" i="13"/>
  <c r="X3321" i="13"/>
  <c r="Y3320" i="13"/>
  <c r="Y3321" i="13"/>
  <c r="X3322" i="13"/>
  <c r="Y3322" i="13"/>
  <c r="X3323" i="13"/>
  <c r="X3324" i="13"/>
  <c r="Y3323" i="13"/>
  <c r="Y3324" i="13"/>
  <c r="X3325" i="13"/>
  <c r="Y3325" i="13"/>
  <c r="X3326" i="13"/>
  <c r="X3327" i="13"/>
  <c r="Y3326" i="13"/>
  <c r="Y3327" i="13"/>
  <c r="X3328" i="13"/>
  <c r="Y3328" i="13"/>
  <c r="X3329" i="13"/>
  <c r="X3330" i="13"/>
  <c r="Y3329" i="13"/>
  <c r="X3331" i="13"/>
  <c r="Y3330" i="13"/>
  <c r="Y3331" i="13"/>
  <c r="X3332" i="13"/>
  <c r="Y3332" i="13"/>
  <c r="X3333" i="13"/>
  <c r="X3334" i="13"/>
  <c r="Y3333" i="13"/>
  <c r="X3335" i="13"/>
  <c r="Y3334" i="13"/>
  <c r="X3336" i="13"/>
  <c r="Y3335" i="13"/>
  <c r="Y3336" i="13"/>
  <c r="X3337" i="13"/>
  <c r="X3338" i="13"/>
  <c r="Y3337" i="13"/>
  <c r="Y3338" i="13"/>
  <c r="X3339" i="13"/>
  <c r="Y3339" i="13"/>
  <c r="X3340" i="13"/>
  <c r="Y3340" i="13"/>
  <c r="X3341" i="13"/>
  <c r="X3342" i="13"/>
  <c r="Y3341" i="13"/>
  <c r="Y3342" i="13"/>
  <c r="X3343" i="13"/>
  <c r="Y3343" i="13"/>
  <c r="X3344" i="13"/>
  <c r="Y3344" i="13"/>
  <c r="X3345" i="13"/>
  <c r="Y3345" i="13"/>
  <c r="X3346" i="13"/>
  <c r="Y3346" i="13"/>
  <c r="X3347" i="13"/>
  <c r="Y3347" i="13"/>
  <c r="X3348" i="13"/>
  <c r="X3349" i="13"/>
  <c r="Y3348" i="13"/>
  <c r="Y3349" i="13"/>
  <c r="X3350" i="13"/>
  <c r="Y3350" i="13"/>
  <c r="X3351" i="13"/>
  <c r="Y3351" i="13"/>
  <c r="X3352" i="13"/>
  <c r="X3353" i="13"/>
  <c r="Y3352" i="13"/>
  <c r="Y3353" i="13"/>
  <c r="X3354" i="13"/>
  <c r="X3355" i="13"/>
  <c r="Y3354" i="13"/>
  <c r="Y3355" i="13"/>
  <c r="X3356" i="13"/>
  <c r="Y3356" i="13"/>
  <c r="X3357" i="13"/>
  <c r="X3358" i="13"/>
  <c r="Y3357" i="13"/>
  <c r="Y3358" i="13"/>
  <c r="X3359" i="13"/>
  <c r="Y3359" i="13"/>
  <c r="X3360" i="13"/>
  <c r="X3361" i="13"/>
  <c r="Y3360" i="13"/>
  <c r="Y3361" i="13"/>
  <c r="X3362" i="13"/>
  <c r="Y3362" i="13"/>
  <c r="X3363" i="13"/>
  <c r="X3364" i="13"/>
  <c r="Y3363" i="13"/>
  <c r="Y3364" i="13"/>
  <c r="X3365" i="13"/>
  <c r="X3366" i="13"/>
  <c r="Y3365" i="13"/>
  <c r="X3367" i="13"/>
  <c r="Y3366" i="13"/>
  <c r="Y3367" i="13"/>
  <c r="X3368" i="13"/>
  <c r="X3369" i="13"/>
  <c r="Y3368" i="13"/>
  <c r="X3370" i="13"/>
  <c r="Y3369" i="13"/>
  <c r="Y3370" i="13"/>
  <c r="X3371" i="13"/>
  <c r="Y3371" i="13"/>
  <c r="X3372" i="13"/>
  <c r="Y3372" i="13"/>
  <c r="X3373" i="13"/>
  <c r="X3374" i="13"/>
  <c r="Y3373" i="13"/>
  <c r="Y3374" i="13"/>
  <c r="X3375" i="13"/>
  <c r="Y3375" i="13"/>
  <c r="X3376" i="13"/>
  <c r="Y3376" i="13"/>
  <c r="X3377" i="13"/>
  <c r="Y3377" i="13"/>
  <c r="X3378" i="13"/>
  <c r="X3379" i="13"/>
  <c r="Y3378" i="13"/>
  <c r="Y3379" i="13"/>
  <c r="X3380" i="13"/>
  <c r="X3381" i="13"/>
  <c r="Y3380" i="13"/>
  <c r="X3382" i="13"/>
  <c r="Y3381" i="13"/>
  <c r="Y3382" i="13"/>
  <c r="X3383" i="13"/>
  <c r="Y3383" i="13"/>
  <c r="X3384" i="13"/>
  <c r="Y3384" i="13"/>
  <c r="X3385" i="13"/>
  <c r="Y3385" i="13"/>
  <c r="X3386" i="13"/>
  <c r="X3387" i="13"/>
  <c r="Y3386" i="13"/>
  <c r="Y3387" i="13"/>
  <c r="X3388" i="13"/>
  <c r="X3389" i="13"/>
  <c r="Y3388" i="13"/>
  <c r="Y3389" i="13"/>
  <c r="X3390" i="13"/>
  <c r="X3391" i="13"/>
  <c r="Y3390" i="13"/>
  <c r="X3392" i="13"/>
  <c r="Y3391" i="13"/>
  <c r="X3393" i="13"/>
  <c r="Y3392" i="13"/>
  <c r="X3394" i="13"/>
  <c r="Y3393" i="13"/>
  <c r="X3395" i="13"/>
  <c r="Y3394" i="13"/>
  <c r="Y3395" i="13"/>
  <c r="X3396" i="13"/>
  <c r="X3397" i="13"/>
  <c r="Y3396" i="13"/>
  <c r="X3398" i="13"/>
  <c r="Y3397" i="13"/>
  <c r="X3399" i="13"/>
  <c r="Y3398" i="13"/>
  <c r="Y3399" i="13"/>
  <c r="X3400" i="13"/>
  <c r="Y3400" i="13"/>
  <c r="X3401" i="13"/>
  <c r="Y3401" i="13"/>
  <c r="X3402" i="13"/>
  <c r="X3403" i="13"/>
  <c r="Y3402" i="13"/>
  <c r="X3404" i="13"/>
  <c r="Y3403" i="13"/>
  <c r="Y3404" i="13"/>
  <c r="X3405" i="13"/>
  <c r="Y3405" i="13"/>
  <c r="X3406" i="13"/>
  <c r="Y3406" i="13"/>
  <c r="X3407" i="13"/>
  <c r="X3408" i="13"/>
  <c r="Y3407" i="13"/>
  <c r="Y3408" i="13"/>
  <c r="X3409" i="13"/>
  <c r="X3410" i="13"/>
  <c r="Y3409" i="13"/>
  <c r="Y3410" i="13"/>
  <c r="X3411" i="13"/>
  <c r="Y3411" i="13"/>
  <c r="X3412" i="13"/>
  <c r="X3413" i="13"/>
  <c r="Y3412" i="13"/>
  <c r="Y3413" i="13"/>
  <c r="X3414" i="13"/>
  <c r="Y3414" i="13"/>
  <c r="X3415" i="13"/>
  <c r="Y3415" i="13"/>
  <c r="X3416" i="13"/>
  <c r="Y3416" i="13"/>
  <c r="X3417" i="13"/>
  <c r="X3418" i="13"/>
  <c r="Y3417" i="13"/>
  <c r="X3419" i="13"/>
  <c r="Y3418" i="13"/>
  <c r="X3420" i="13"/>
  <c r="Y3419" i="13"/>
  <c r="Y3420" i="13"/>
  <c r="X3421" i="13"/>
  <c r="X3422" i="13"/>
  <c r="Y3421" i="13"/>
  <c r="X3423" i="13"/>
  <c r="Y3422" i="13"/>
  <c r="Y3423" i="13"/>
  <c r="X3424" i="13"/>
  <c r="X3425" i="13"/>
  <c r="Y3424" i="13"/>
  <c r="Y3425" i="13"/>
  <c r="X3426" i="13"/>
  <c r="X3427" i="13"/>
  <c r="Y3426" i="13"/>
  <c r="X3428" i="13"/>
  <c r="Y3427" i="13"/>
  <c r="Y3428" i="13"/>
  <c r="X3429" i="13"/>
  <c r="X3430" i="13"/>
  <c r="Y3429" i="13"/>
  <c r="Y3430" i="13"/>
  <c r="X3431" i="13"/>
  <c r="Y3431" i="13"/>
  <c r="X3432" i="13"/>
  <c r="X3433" i="13"/>
  <c r="Y3432" i="13"/>
  <c r="X3434" i="13"/>
  <c r="Y3433" i="13"/>
  <c r="Y3434" i="13"/>
  <c r="X3435" i="13"/>
  <c r="X3436" i="13"/>
  <c r="Y3435" i="13"/>
  <c r="Y3436" i="13"/>
  <c r="X3437" i="13"/>
  <c r="X3438" i="13"/>
  <c r="Y3437" i="13"/>
  <c r="X3439" i="13"/>
  <c r="Y3438" i="13"/>
  <c r="X3440" i="13"/>
  <c r="Y3439" i="13"/>
  <c r="X3441" i="13"/>
  <c r="Y3440" i="13"/>
  <c r="Y3441" i="13"/>
  <c r="X3442" i="13"/>
  <c r="Y3442" i="13"/>
  <c r="X3443" i="13"/>
  <c r="X3444" i="13"/>
  <c r="Y3443" i="13"/>
  <c r="Y3444" i="13"/>
  <c r="X3445" i="13"/>
  <c r="Y3445" i="13"/>
  <c r="X3446" i="13"/>
  <c r="Y3446" i="13"/>
  <c r="X3447" i="13"/>
  <c r="Y3447" i="13"/>
  <c r="X3448" i="13"/>
  <c r="Y3448" i="13"/>
  <c r="X3449" i="13"/>
  <c r="Y3449" i="13"/>
  <c r="X3450" i="13"/>
  <c r="X3451" i="13"/>
  <c r="Y3450" i="13"/>
  <c r="Y3451" i="13"/>
  <c r="X3452" i="13"/>
  <c r="Y3452" i="13"/>
  <c r="X3453" i="13"/>
  <c r="Y3453" i="13"/>
  <c r="X3454" i="13"/>
  <c r="X3455" i="13"/>
  <c r="Y3454" i="13"/>
  <c r="Y3455" i="13"/>
  <c r="X3456" i="13"/>
  <c r="Y3456" i="13"/>
  <c r="X3457" i="13"/>
  <c r="X3458" i="13"/>
  <c r="Y3457" i="13"/>
  <c r="Y3458" i="13"/>
  <c r="X3459" i="13"/>
  <c r="X3460" i="13"/>
  <c r="Y3459" i="13"/>
  <c r="Y3460" i="13"/>
  <c r="X3461" i="13"/>
  <c r="Y3461" i="13"/>
  <c r="X3462" i="13"/>
  <c r="Y3462" i="13"/>
  <c r="X3463" i="13"/>
  <c r="Y3463" i="13"/>
  <c r="X3464" i="13"/>
  <c r="X3465" i="13"/>
  <c r="Y3464" i="13"/>
  <c r="Y3465" i="13"/>
  <c r="X3466" i="13"/>
  <c r="Y3466" i="13"/>
  <c r="X3467" i="13"/>
  <c r="X3468" i="13"/>
  <c r="Y3467" i="13"/>
  <c r="X3469" i="13"/>
  <c r="Y3468" i="13"/>
  <c r="Y3469" i="13"/>
  <c r="X3470" i="13"/>
  <c r="X3471" i="13"/>
  <c r="Y3470" i="13"/>
  <c r="Y3471" i="13"/>
  <c r="X3472" i="13"/>
  <c r="X3473" i="13"/>
  <c r="Y3472" i="13"/>
  <c r="X3474" i="13"/>
  <c r="Y3473" i="13"/>
  <c r="X3475" i="13"/>
  <c r="Y3474" i="13"/>
  <c r="Y3475" i="13"/>
  <c r="X3476" i="13"/>
  <c r="X3477" i="13"/>
  <c r="Y3476" i="13"/>
  <c r="X3478" i="13"/>
  <c r="Y3477" i="13"/>
  <c r="Y3478" i="13"/>
  <c r="X3479" i="13"/>
  <c r="X3480" i="13"/>
  <c r="Y3479" i="13"/>
  <c r="Y3480" i="13"/>
  <c r="X3481" i="13"/>
  <c r="X3482" i="13"/>
  <c r="Y3481" i="13"/>
  <c r="Y3482" i="13"/>
  <c r="X3483" i="13"/>
  <c r="X3484" i="13"/>
  <c r="Y3483" i="13"/>
  <c r="X3485" i="13"/>
  <c r="Y3484" i="13"/>
  <c r="Y3485" i="13"/>
  <c r="X3486" i="13"/>
  <c r="Y3486" i="13"/>
  <c r="X3487" i="13"/>
  <c r="Y3487" i="13"/>
  <c r="X3488" i="13"/>
  <c r="Y3488" i="13"/>
  <c r="X3489" i="13"/>
  <c r="X3490" i="13"/>
  <c r="Y3489" i="13"/>
  <c r="Y3490" i="13"/>
  <c r="X3491" i="13"/>
  <c r="X3492" i="13"/>
  <c r="Y3491" i="13"/>
  <c r="X3493" i="13"/>
  <c r="Y3492" i="13"/>
  <c r="X3494" i="13"/>
  <c r="Y3493" i="13"/>
  <c r="X3495" i="13"/>
  <c r="Y3494" i="13"/>
  <c r="X3496" i="13"/>
  <c r="Y3495" i="13"/>
  <c r="Y3496" i="13"/>
  <c r="X3497" i="13"/>
  <c r="Y3497" i="13"/>
  <c r="X3498" i="13"/>
  <c r="X3499" i="13"/>
  <c r="Y3498" i="13"/>
  <c r="Y3499" i="13"/>
  <c r="X3500" i="13"/>
  <c r="Y3500" i="13"/>
  <c r="X3501" i="13"/>
  <c r="X3502" i="13"/>
  <c r="Y3501" i="13"/>
  <c r="X3503" i="13"/>
  <c r="Y3502" i="13"/>
  <c r="Y3503" i="13"/>
  <c r="X3504" i="13"/>
  <c r="Y3504" i="13"/>
  <c r="X3505" i="13"/>
  <c r="Y3505" i="13"/>
  <c r="X3506" i="13"/>
  <c r="X3507" i="13"/>
  <c r="Y3506" i="13"/>
  <c r="Y3507" i="13"/>
  <c r="X3508" i="13"/>
  <c r="X3509" i="13"/>
  <c r="Y3508" i="13"/>
  <c r="X3510" i="13"/>
  <c r="Y3509" i="13"/>
  <c r="X3511" i="13"/>
  <c r="Y3510" i="13"/>
  <c r="X3512" i="13"/>
  <c r="Y3511" i="13"/>
  <c r="X3513" i="13"/>
  <c r="Y3512" i="13"/>
  <c r="Y3513" i="13"/>
  <c r="X3514" i="13"/>
  <c r="X3515" i="13"/>
  <c r="Y3514" i="13"/>
  <c r="X3516" i="13"/>
  <c r="Y3515" i="13"/>
  <c r="Y3516" i="13"/>
  <c r="X3517" i="13"/>
  <c r="X3518" i="13"/>
  <c r="Y3517" i="13"/>
  <c r="Y3518" i="13"/>
  <c r="X3519" i="13"/>
  <c r="Y3519" i="13"/>
  <c r="X3520" i="13"/>
  <c r="X3521" i="13"/>
  <c r="Y3520" i="13"/>
  <c r="Y3521" i="13"/>
  <c r="X3522" i="13"/>
  <c r="X3523" i="13"/>
  <c r="Y3522" i="13"/>
  <c r="X3524" i="13"/>
  <c r="Y3523" i="13"/>
  <c r="X3525" i="13"/>
  <c r="Y3524" i="13"/>
  <c r="Y3525" i="13"/>
  <c r="X3526" i="13"/>
  <c r="X3527" i="13"/>
  <c r="Y3526" i="13"/>
  <c r="X3528" i="13"/>
  <c r="Y3527" i="13"/>
  <c r="X3529" i="13"/>
  <c r="Y3528" i="13"/>
  <c r="Y3529" i="13"/>
  <c r="X3530" i="13"/>
  <c r="Y3530" i="13"/>
  <c r="X3531" i="13"/>
  <c r="Y3531" i="13"/>
  <c r="X3532" i="13"/>
  <c r="Y3532" i="13"/>
  <c r="X3533" i="13"/>
  <c r="Y3533" i="13"/>
  <c r="X3534" i="13"/>
  <c r="X3535" i="13"/>
  <c r="Y3534" i="13"/>
  <c r="X3536" i="13"/>
  <c r="Y3535" i="13"/>
  <c r="Y3536" i="13"/>
  <c r="X3537" i="13"/>
  <c r="X3538" i="13"/>
  <c r="Y3537" i="13"/>
  <c r="Y3538" i="13"/>
  <c r="X3539" i="13"/>
  <c r="X3540" i="13"/>
  <c r="Y3539" i="13"/>
  <c r="X3541" i="13"/>
  <c r="Y3540" i="13"/>
  <c r="Y3541" i="13"/>
  <c r="X3542" i="13"/>
  <c r="X3543" i="13"/>
  <c r="Y3542" i="13"/>
  <c r="X3544" i="13"/>
  <c r="Y3543" i="13"/>
  <c r="Y3544" i="13"/>
  <c r="X3545" i="13"/>
  <c r="Y3545" i="13"/>
  <c r="X3546" i="13"/>
  <c r="X3547" i="13"/>
  <c r="Y3546" i="13"/>
  <c r="X3548" i="13"/>
  <c r="Y3547" i="13"/>
  <c r="X3549" i="13"/>
  <c r="Y3548" i="13"/>
  <c r="X3550" i="13"/>
  <c r="Y3549" i="13"/>
  <c r="X3551" i="13"/>
  <c r="Y3550" i="13"/>
  <c r="Y3551" i="13"/>
  <c r="X3552" i="13"/>
  <c r="Y3552" i="13" s="1"/>
  <c r="C10" i="13" l="1"/>
  <c r="C11" i="13"/>
  <c r="C6" i="13"/>
  <c r="C13" i="13" s="1"/>
  <c r="C12" i="13"/>
  <c r="E7" i="13"/>
  <c r="E10" i="13"/>
  <c r="E6" i="13"/>
  <c r="E4" i="13"/>
  <c r="E15" i="13"/>
  <c r="E9" i="13"/>
  <c r="E13" i="13"/>
  <c r="E16" i="13"/>
  <c r="E8" i="13"/>
  <c r="E12" i="13"/>
  <c r="E11" i="13"/>
  <c r="E14" i="13"/>
  <c r="E5" i="13"/>
  <c r="E3" i="13"/>
  <c r="E1" i="12"/>
  <c r="I1" i="11"/>
  <c r="F1" i="9"/>
  <c r="C30" i="6"/>
  <c r="D9" i="6"/>
  <c r="D16" i="6"/>
  <c r="D20" i="6"/>
  <c r="E20" i="6"/>
  <c r="D22" i="6"/>
  <c r="E22" i="6"/>
  <c r="Y24" i="13"/>
  <c r="K26" i="11"/>
  <c r="K41" i="11"/>
  <c r="K29" i="11"/>
  <c r="K16" i="11"/>
  <c r="K18" i="11"/>
  <c r="L18" i="11" s="1"/>
  <c r="L16" i="11"/>
  <c r="K15" i="11"/>
  <c r="K14" i="11"/>
  <c r="K22" i="11"/>
  <c r="K11" i="11"/>
  <c r="K13" i="11"/>
  <c r="K17" i="11"/>
  <c r="K38" i="11"/>
  <c r="K35" i="11"/>
  <c r="K36" i="11"/>
  <c r="K33" i="11"/>
  <c r="K25" i="11"/>
  <c r="K40" i="11"/>
  <c r="K20" i="11"/>
  <c r="K37" i="11"/>
  <c r="K19" i="11"/>
  <c r="K39" i="11"/>
  <c r="K23" i="11"/>
  <c r="L3" i="11"/>
  <c r="K30" i="11"/>
  <c r="K31" i="11"/>
  <c r="K12" i="11"/>
  <c r="K27" i="11"/>
  <c r="K32" i="11"/>
  <c r="K24" i="11"/>
  <c r="D3" i="9" a="1"/>
  <c r="K34" i="11"/>
  <c r="K21" i="11"/>
  <c r="K28" i="11"/>
  <c r="L28" i="11" s="1"/>
  <c r="D21" i="6"/>
  <c r="B1" i="6"/>
  <c r="C7" i="13" l="1"/>
  <c r="B54" i="4"/>
  <c r="B56" i="4"/>
  <c r="B55" i="4"/>
  <c r="B59" i="4"/>
  <c r="B58" i="4"/>
  <c r="B60" i="4"/>
  <c r="B57" i="4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B65" i="4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G5" i="9" s="1"/>
  <c r="D19" i="9"/>
  <c r="G19" i="9" s="1"/>
  <c r="D33" i="9"/>
  <c r="G33" i="9" s="1"/>
  <c r="D11" i="9"/>
  <c r="G11" i="9" s="1"/>
  <c r="D40" i="9"/>
  <c r="G40" i="9" s="1"/>
  <c r="D35" i="9"/>
  <c r="G35" i="9" s="1"/>
  <c r="D41" i="9"/>
  <c r="G41" i="9" s="1"/>
  <c r="D17" i="9"/>
  <c r="G17" i="9" s="1"/>
  <c r="D3" i="9"/>
  <c r="G3" i="9" s="1"/>
  <c r="D30" i="9"/>
  <c r="G30" i="9" s="1"/>
  <c r="D36" i="9"/>
  <c r="G36" i="9" s="1"/>
  <c r="D24" i="9"/>
  <c r="G24" i="9" s="1"/>
  <c r="D6" i="9"/>
  <c r="G6" i="9" s="1"/>
  <c r="D4" i="9"/>
  <c r="G4" i="9" s="1"/>
  <c r="D26" i="9"/>
  <c r="G26" i="9" s="1"/>
  <c r="D27" i="9"/>
  <c r="G27" i="9" s="1"/>
  <c r="D31" i="9"/>
  <c r="G31" i="9" s="1"/>
  <c r="D44" i="9"/>
  <c r="G44" i="9" s="1"/>
  <c r="D20" i="9"/>
  <c r="G20" i="9" s="1"/>
  <c r="D15" i="9"/>
  <c r="G15" i="9" s="1"/>
  <c r="D25" i="9"/>
  <c r="G25" i="9" s="1"/>
  <c r="D38" i="9"/>
  <c r="G38" i="9" s="1"/>
  <c r="D43" i="9"/>
  <c r="G43" i="9" s="1"/>
  <c r="D18" i="9"/>
  <c r="G18" i="9" s="1"/>
  <c r="D29" i="9"/>
  <c r="G29" i="9" s="1"/>
  <c r="D12" i="9"/>
  <c r="G12" i="9" s="1"/>
  <c r="D14" i="9"/>
  <c r="G14" i="9" s="1"/>
  <c r="D22" i="9"/>
  <c r="G22" i="9" s="1"/>
  <c r="D23" i="9"/>
  <c r="G23" i="9" s="1"/>
  <c r="D21" i="9"/>
  <c r="G21" i="9" s="1"/>
  <c r="D34" i="9"/>
  <c r="G34" i="9" s="1"/>
  <c r="D39" i="9"/>
  <c r="G39" i="9" s="1"/>
  <c r="D13" i="9"/>
  <c r="G13" i="9" s="1"/>
  <c r="D42" i="9"/>
  <c r="G42" i="9" s="1"/>
  <c r="D16" i="9"/>
  <c r="G16" i="9" s="1"/>
  <c r="D28" i="9"/>
  <c r="G28" i="9" s="1"/>
  <c r="D10" i="9"/>
  <c r="G10" i="9" s="1"/>
  <c r="D32" i="9"/>
  <c r="G32" i="9" s="1"/>
  <c r="D9" i="9"/>
  <c r="G9" i="9" s="1"/>
  <c r="D37" i="9"/>
  <c r="G37" i="9" s="1"/>
  <c r="D8" i="9"/>
  <c r="G8" i="9" s="1"/>
  <c r="D7" i="9"/>
  <c r="G7" i="9" s="1"/>
  <c r="C54" i="4"/>
  <c r="C58" i="4"/>
  <c r="C56" i="4"/>
  <c r="C60" i="4"/>
  <c r="C55" i="4"/>
  <c r="C59" i="4"/>
  <c r="C57" i="4"/>
  <c r="K5" i="7"/>
  <c r="K3" i="7"/>
  <c r="K4" i="7"/>
  <c r="L7" i="11"/>
  <c r="G9" i="12"/>
  <c r="C95" i="4"/>
  <c r="D64" i="4"/>
  <c r="I84" i="4"/>
  <c r="C73" i="4"/>
  <c r="E85" i="4"/>
  <c r="E59" i="4"/>
  <c r="C89" i="4"/>
  <c r="C72" i="4"/>
  <c r="L10" i="11"/>
  <c r="I97" i="4"/>
  <c r="L11" i="11"/>
  <c r="J59" i="4"/>
  <c r="C74" i="4"/>
  <c r="E56" i="4"/>
  <c r="E71" i="4"/>
  <c r="I86" i="4"/>
  <c r="J84" i="4"/>
  <c r="J81" i="4"/>
  <c r="I93" i="4"/>
  <c r="I79" i="4"/>
  <c r="I68" i="4"/>
  <c r="E75" i="4"/>
  <c r="J63" i="4"/>
  <c r="E78" i="4"/>
  <c r="C94" i="4"/>
  <c r="L26" i="11"/>
  <c r="J67" i="4"/>
  <c r="C79" i="4"/>
  <c r="G6" i="12"/>
  <c r="C83" i="4"/>
  <c r="E66" i="4"/>
  <c r="E83" i="4"/>
  <c r="J96" i="4"/>
  <c r="C76" i="4"/>
  <c r="C96" i="4"/>
  <c r="I72" i="4"/>
  <c r="D60" i="4"/>
  <c r="E89" i="4"/>
  <c r="D71" i="4"/>
  <c r="E80" i="4"/>
  <c r="C63" i="4"/>
  <c r="D78" i="4"/>
  <c r="E87" i="4"/>
  <c r="E63" i="4"/>
  <c r="I74" i="4"/>
  <c r="G3" i="12"/>
  <c r="I88" i="4"/>
  <c r="D70" i="4"/>
  <c r="L38" i="11"/>
  <c r="E88" i="4"/>
  <c r="C62" i="4"/>
  <c r="C67" i="4"/>
  <c r="J76" i="4"/>
  <c r="I96" i="4"/>
  <c r="I63" i="4"/>
  <c r="L36" i="11"/>
  <c r="D95" i="4"/>
  <c r="L17" i="11"/>
  <c r="L6" i="11"/>
  <c r="C71" i="4"/>
  <c r="E73" i="4"/>
  <c r="G7" i="12"/>
  <c r="L30" i="11"/>
  <c r="J87" i="4"/>
  <c r="D85" i="4"/>
  <c r="J88" i="4"/>
  <c r="D56" i="4"/>
  <c r="D74" i="4"/>
  <c r="C93" i="4"/>
  <c r="E62" i="4"/>
  <c r="L24" i="11"/>
  <c r="E54" i="4"/>
  <c r="J80" i="4"/>
  <c r="E95" i="4"/>
  <c r="C87" i="4"/>
  <c r="I55" i="4"/>
  <c r="D79" i="4"/>
  <c r="E86" i="4"/>
  <c r="I61" i="4"/>
  <c r="J68" i="4"/>
  <c r="L41" i="11"/>
  <c r="E91" i="4"/>
  <c r="J60" i="4"/>
  <c r="D55" i="4"/>
  <c r="I54" i="4"/>
  <c r="J77" i="4"/>
  <c r="J54" i="4"/>
  <c r="E68" i="4"/>
  <c r="L21" i="11"/>
  <c r="D75" i="4"/>
  <c r="I77" i="4"/>
  <c r="L22" i="11"/>
  <c r="I70" i="4"/>
  <c r="C68" i="4"/>
  <c r="D93" i="4"/>
  <c r="I92" i="4"/>
  <c r="D57" i="4"/>
  <c r="I82" i="4"/>
  <c r="E93" i="4"/>
  <c r="J58" i="4"/>
  <c r="E81" i="4"/>
  <c r="L33" i="11"/>
  <c r="L12" i="11"/>
  <c r="J56" i="4"/>
  <c r="I59" i="4"/>
  <c r="E58" i="4"/>
  <c r="L5" i="11"/>
  <c r="L13" i="11"/>
  <c r="I76" i="4"/>
  <c r="I95" i="4"/>
  <c r="E90" i="4"/>
  <c r="L23" i="11"/>
  <c r="J89" i="4"/>
  <c r="D91" i="4"/>
  <c r="I66" i="4"/>
  <c r="J91" i="4"/>
  <c r="D81" i="4"/>
  <c r="J97" i="4"/>
  <c r="E55" i="4"/>
  <c r="D88" i="4"/>
  <c r="C82" i="4"/>
  <c r="L9" i="11"/>
  <c r="I57" i="4"/>
  <c r="D82" i="4"/>
  <c r="L8" i="11"/>
  <c r="I56" i="4"/>
  <c r="D94" i="4"/>
  <c r="J65" i="4"/>
  <c r="C64" i="4"/>
  <c r="J82" i="4"/>
  <c r="L14" i="11"/>
  <c r="E64" i="4"/>
  <c r="D92" i="4"/>
  <c r="I65" i="4"/>
  <c r="I60" i="4"/>
  <c r="D77" i="4"/>
  <c r="I73" i="4"/>
  <c r="C97" i="4"/>
  <c r="I58" i="4"/>
  <c r="J94" i="4"/>
  <c r="D62" i="4"/>
  <c r="I81" i="4"/>
  <c r="D59" i="4"/>
  <c r="I90" i="4"/>
  <c r="J86" i="4"/>
  <c r="I80" i="4"/>
  <c r="C81" i="4"/>
  <c r="J90" i="4"/>
  <c r="E74" i="4"/>
  <c r="E96" i="4"/>
  <c r="E77" i="4"/>
  <c r="L25" i="11"/>
  <c r="D58" i="4"/>
  <c r="E69" i="4"/>
  <c r="D96" i="4"/>
  <c r="G8" i="12"/>
  <c r="J72" i="4"/>
  <c r="D69" i="4"/>
  <c r="K6" i="7"/>
  <c r="L27" i="11"/>
  <c r="J55" i="4"/>
  <c r="D97" i="4"/>
  <c r="I64" i="4"/>
  <c r="E84" i="4"/>
  <c r="C75" i="4"/>
  <c r="I94" i="4"/>
  <c r="L15" i="11"/>
  <c r="I87" i="4"/>
  <c r="J61" i="4"/>
  <c r="J62" i="4"/>
  <c r="I78" i="4"/>
  <c r="D90" i="4"/>
  <c r="I62" i="4"/>
  <c r="J75" i="4"/>
  <c r="D83" i="4"/>
  <c r="E92" i="4"/>
  <c r="J83" i="4"/>
  <c r="E76" i="4"/>
  <c r="L37" i="11"/>
  <c r="C65" i="4"/>
  <c r="L35" i="11"/>
  <c r="D68" i="4"/>
  <c r="J73" i="4"/>
  <c r="D80" i="4"/>
  <c r="C84" i="4"/>
  <c r="L32" i="11"/>
  <c r="C80" i="4"/>
  <c r="D86" i="4"/>
  <c r="D54" i="4"/>
  <c r="E79" i="4"/>
  <c r="E94" i="4"/>
  <c r="L39" i="11"/>
  <c r="C69" i="4"/>
  <c r="J69" i="4"/>
  <c r="D89" i="4"/>
  <c r="J66" i="4"/>
  <c r="E70" i="4"/>
  <c r="C61" i="4"/>
  <c r="I69" i="4"/>
  <c r="E57" i="4"/>
  <c r="E67" i="4"/>
  <c r="D87" i="4"/>
  <c r="D63" i="4"/>
  <c r="D84" i="4"/>
  <c r="J78" i="4"/>
  <c r="E60" i="4"/>
  <c r="L20" i="11"/>
  <c r="D73" i="4"/>
  <c r="J74" i="4"/>
  <c r="C92" i="4"/>
  <c r="J92" i="4"/>
  <c r="G5" i="12"/>
  <c r="E97" i="4"/>
  <c r="J57" i="4"/>
  <c r="D61" i="4"/>
  <c r="C77" i="4"/>
  <c r="L34" i="11"/>
  <c r="C88" i="4"/>
  <c r="D67" i="4"/>
  <c r="I85" i="4"/>
  <c r="J71" i="4"/>
  <c r="E82" i="4"/>
  <c r="L29" i="11"/>
  <c r="J64" i="4"/>
  <c r="D65" i="4"/>
  <c r="I89" i="4"/>
  <c r="C91" i="4"/>
  <c r="C90" i="4"/>
  <c r="E65" i="4"/>
  <c r="D72" i="4"/>
  <c r="C66" i="4"/>
  <c r="J85" i="4"/>
  <c r="C86" i="4"/>
  <c r="L31" i="11"/>
  <c r="E61" i="4"/>
  <c r="C78" i="4"/>
  <c r="D76" i="4"/>
  <c r="L40" i="11"/>
  <c r="J79" i="4"/>
  <c r="I67" i="4"/>
  <c r="I91" i="4"/>
  <c r="I71" i="4"/>
  <c r="C70" i="4"/>
  <c r="E72" i="4"/>
  <c r="L19" i="11"/>
  <c r="J93" i="4"/>
  <c r="D66" i="4"/>
  <c r="J95" i="4"/>
  <c r="C85" i="4"/>
  <c r="I75" i="4"/>
  <c r="I83" i="4"/>
  <c r="J70" i="4"/>
  <c r="C14" i="13" l="1"/>
  <c r="C8" i="13"/>
  <c r="B5" i="4"/>
  <c r="B3" i="4"/>
  <c r="B6" i="4"/>
  <c r="B2" i="4"/>
  <c r="B11" i="4"/>
  <c r="B8" i="4"/>
  <c r="B7" i="4"/>
  <c r="B9" i="4"/>
  <c r="B4" i="4"/>
  <c r="B10" i="4"/>
  <c r="F9" i="9"/>
  <c r="F16" i="9"/>
  <c r="F14" i="9"/>
  <c r="F43" i="9"/>
  <c r="F20" i="9"/>
  <c r="F26" i="9"/>
  <c r="F36" i="9"/>
  <c r="F33" i="9"/>
  <c r="F7" i="9"/>
  <c r="F32" i="9"/>
  <c r="F42" i="9"/>
  <c r="F21" i="9"/>
  <c r="F12" i="9"/>
  <c r="F38" i="9"/>
  <c r="F44" i="9"/>
  <c r="F4" i="9"/>
  <c r="F30" i="9"/>
  <c r="F35" i="9"/>
  <c r="F19" i="9"/>
  <c r="F8" i="9"/>
  <c r="F10" i="9"/>
  <c r="F13" i="9"/>
  <c r="F23" i="9"/>
  <c r="F29" i="9"/>
  <c r="F25" i="9"/>
  <c r="F31" i="9"/>
  <c r="F6" i="9"/>
  <c r="F3" i="9"/>
  <c r="F40" i="9"/>
  <c r="F5" i="9"/>
  <c r="F37" i="9"/>
  <c r="F28" i="9"/>
  <c r="F39" i="9"/>
  <c r="F22" i="9"/>
  <c r="F18" i="9"/>
  <c r="F15" i="9"/>
  <c r="F27" i="9"/>
  <c r="F24" i="9"/>
  <c r="F17" i="9"/>
  <c r="F11" i="9"/>
  <c r="F34" i="9"/>
  <c r="F41" i="9"/>
  <c r="C3" i="4"/>
  <c r="C2" i="4"/>
  <c r="C4" i="4"/>
  <c r="M73" i="13" a="1"/>
  <c r="H37" i="9"/>
  <c r="H20" i="9"/>
  <c r="H24" i="9"/>
  <c r="C9" i="4"/>
  <c r="I11" i="4"/>
  <c r="H41" i="9"/>
  <c r="C6" i="4"/>
  <c r="J2" i="4"/>
  <c r="H27" i="9"/>
  <c r="C5" i="4"/>
  <c r="D5" i="4"/>
  <c r="H35" i="9"/>
  <c r="J11" i="4"/>
  <c r="I5" i="4"/>
  <c r="D11" i="4"/>
  <c r="H14" i="9"/>
  <c r="H13" i="9"/>
  <c r="D8" i="4"/>
  <c r="H9" i="9"/>
  <c r="H5" i="9"/>
  <c r="D7" i="4"/>
  <c r="J5" i="4"/>
  <c r="H7" i="9"/>
  <c r="H44" i="9"/>
  <c r="H18" i="9"/>
  <c r="H17" i="9"/>
  <c r="H6" i="9"/>
  <c r="I4" i="4"/>
  <c r="D3" i="4"/>
  <c r="H15" i="9"/>
  <c r="C10" i="4"/>
  <c r="C8" i="4"/>
  <c r="I8" i="4"/>
  <c r="H23" i="9"/>
  <c r="H22" i="9"/>
  <c r="H34" i="9"/>
  <c r="I3" i="4"/>
  <c r="H36" i="9"/>
  <c r="H31" i="9"/>
  <c r="I31" i="9" s="1"/>
  <c r="I10" i="4"/>
  <c r="H32" i="9"/>
  <c r="H21" i="9"/>
  <c r="H16" i="9"/>
  <c r="D10" i="4"/>
  <c r="H40" i="9"/>
  <c r="I6" i="4"/>
  <c r="H4" i="9"/>
  <c r="H11" i="9"/>
  <c r="C11" i="4"/>
  <c r="H8" i="9"/>
  <c r="J9" i="4"/>
  <c r="H43" i="9"/>
  <c r="J6" i="4"/>
  <c r="J10" i="4"/>
  <c r="H19" i="9"/>
  <c r="H12" i="9"/>
  <c r="D9" i="4"/>
  <c r="H25" i="9"/>
  <c r="J8" i="4"/>
  <c r="D4" i="4"/>
  <c r="I7" i="4"/>
  <c r="I2" i="4"/>
  <c r="H30" i="9"/>
  <c r="H29" i="9"/>
  <c r="J7" i="4"/>
  <c r="H39" i="9"/>
  <c r="J4" i="4"/>
  <c r="D6" i="4"/>
  <c r="D2" i="4"/>
  <c r="H26" i="9"/>
  <c r="H42" i="9"/>
  <c r="H28" i="9"/>
  <c r="H10" i="9"/>
  <c r="H38" i="9"/>
  <c r="I25" i="9"/>
  <c r="C7" i="4"/>
  <c r="H33" i="9"/>
  <c r="H3" i="9"/>
  <c r="J3" i="4"/>
  <c r="I9" i="4"/>
  <c r="C15" i="13" l="1"/>
  <c r="C9" i="13"/>
  <c r="C16" i="13" s="1"/>
  <c r="B28" i="4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77" i="13"/>
  <c r="M73" i="13"/>
  <c r="M78" i="13"/>
  <c r="M74" i="13"/>
  <c r="M76" i="13"/>
  <c r="M75" i="13"/>
  <c r="I38" i="9"/>
  <c r="D27" i="4"/>
  <c r="C19" i="4"/>
  <c r="C20" i="4"/>
  <c r="J50" i="4"/>
  <c r="C45" i="4"/>
  <c r="J14" i="4"/>
  <c r="J27" i="4"/>
  <c r="E41" i="4"/>
  <c r="J12" i="4"/>
  <c r="C33" i="4"/>
  <c r="E12" i="4"/>
  <c r="I22" i="4"/>
  <c r="D39" i="4"/>
  <c r="C53" i="4"/>
  <c r="D28" i="4"/>
  <c r="N75" i="13"/>
  <c r="I15" i="9"/>
  <c r="C35" i="4"/>
  <c r="I47" i="4"/>
  <c r="I41" i="4"/>
  <c r="D2" i="5" a="1"/>
  <c r="I26" i="9"/>
  <c r="I16" i="9"/>
  <c r="I4" i="9"/>
  <c r="I50" i="4"/>
  <c r="I22" i="9"/>
  <c r="J25" i="4"/>
  <c r="E51" i="4"/>
  <c r="I19" i="4"/>
  <c r="E29" i="4"/>
  <c r="O77" i="13"/>
  <c r="I21" i="9"/>
  <c r="I7" i="9"/>
  <c r="D20" i="4"/>
  <c r="J37" i="4"/>
  <c r="J19" i="4"/>
  <c r="I23" i="4"/>
  <c r="I20" i="9"/>
  <c r="J20" i="4"/>
  <c r="I36" i="4"/>
  <c r="E18" i="4"/>
  <c r="J30" i="4"/>
  <c r="J21" i="4"/>
  <c r="C47" i="4"/>
  <c r="E21" i="4"/>
  <c r="E19" i="4"/>
  <c r="J17" i="4"/>
  <c r="I26" i="4"/>
  <c r="J47" i="4"/>
  <c r="J22" i="4"/>
  <c r="I10" i="9"/>
  <c r="E15" i="4"/>
  <c r="J43" i="4"/>
  <c r="J45" i="4"/>
  <c r="E23" i="4"/>
  <c r="I38" i="4"/>
  <c r="E38" i="4"/>
  <c r="N76" i="13"/>
  <c r="E13" i="4"/>
  <c r="C40" i="4"/>
  <c r="D12" i="4"/>
  <c r="I43" i="9"/>
  <c r="J15" i="4"/>
  <c r="I28" i="9"/>
  <c r="E33" i="4"/>
  <c r="D53" i="4"/>
  <c r="C17" i="4"/>
  <c r="I13" i="9"/>
  <c r="C29" i="4"/>
  <c r="I42" i="4"/>
  <c r="E52" i="4"/>
  <c r="I18" i="4"/>
  <c r="I20" i="4"/>
  <c r="E30" i="4"/>
  <c r="C24" i="4"/>
  <c r="I27" i="4"/>
  <c r="I21" i="4"/>
  <c r="J32" i="4"/>
  <c r="J48" i="4"/>
  <c r="C18" i="4"/>
  <c r="D35" i="4"/>
  <c r="I3" i="9"/>
  <c r="C50" i="4"/>
  <c r="E45" i="4"/>
  <c r="D43" i="4"/>
  <c r="D16" i="4"/>
  <c r="I24" i="9"/>
  <c r="C37" i="4"/>
  <c r="D29" i="4"/>
  <c r="I30" i="9"/>
  <c r="C15" i="4"/>
  <c r="I30" i="4"/>
  <c r="E37" i="4"/>
  <c r="I44" i="9"/>
  <c r="I28" i="4"/>
  <c r="O78" i="13"/>
  <c r="I8" i="9"/>
  <c r="J53" i="4"/>
  <c r="D42" i="4"/>
  <c r="D52" i="4"/>
  <c r="I14" i="9"/>
  <c r="I48" i="4"/>
  <c r="E34" i="4"/>
  <c r="E22" i="4"/>
  <c r="J28" i="4"/>
  <c r="C36" i="4"/>
  <c r="D51" i="4"/>
  <c r="C34" i="4"/>
  <c r="J42" i="4"/>
  <c r="J46" i="4"/>
  <c r="I51" i="4"/>
  <c r="I36" i="9"/>
  <c r="I53" i="4"/>
  <c r="D26" i="4"/>
  <c r="C14" i="4"/>
  <c r="D21" i="4"/>
  <c r="C16" i="4"/>
  <c r="J41" i="4"/>
  <c r="D44" i="4"/>
  <c r="N73" i="13"/>
  <c r="E50" i="4"/>
  <c r="I18" i="9"/>
  <c r="C26" i="4"/>
  <c r="E36" i="4"/>
  <c r="I40" i="4"/>
  <c r="D49" i="4"/>
  <c r="D50" i="4"/>
  <c r="I40" i="9"/>
  <c r="C52" i="4"/>
  <c r="D31" i="4"/>
  <c r="I15" i="4"/>
  <c r="D19" i="4"/>
  <c r="E43" i="4"/>
  <c r="C46" i="4"/>
  <c r="I16" i="4"/>
  <c r="E14" i="4"/>
  <c r="D30" i="4"/>
  <c r="I5" i="9"/>
  <c r="I31" i="4"/>
  <c r="C48" i="4"/>
  <c r="J24" i="4"/>
  <c r="J33" i="4"/>
  <c r="C12" i="4"/>
  <c r="D18" i="4"/>
  <c r="C41" i="4"/>
  <c r="D33" i="4"/>
  <c r="E47" i="4"/>
  <c r="D48" i="4"/>
  <c r="I44" i="4"/>
  <c r="J31" i="4"/>
  <c r="C25" i="4"/>
  <c r="I34" i="4"/>
  <c r="I9" i="9"/>
  <c r="J13" i="4"/>
  <c r="E31" i="4"/>
  <c r="I29" i="9"/>
  <c r="C38" i="4"/>
  <c r="I12" i="4"/>
  <c r="E26" i="4"/>
  <c r="C31" i="4"/>
  <c r="D22" i="4"/>
  <c r="C43" i="4"/>
  <c r="I37" i="9"/>
  <c r="J29" i="4"/>
  <c r="E20" i="4"/>
  <c r="O74" i="13"/>
  <c r="E35" i="4"/>
  <c r="D24" i="4"/>
  <c r="I52" i="4"/>
  <c r="C42" i="4"/>
  <c r="N74" i="13"/>
  <c r="E44" i="4"/>
  <c r="N78" i="13"/>
  <c r="E16" i="4"/>
  <c r="I23" i="9"/>
  <c r="I45" i="4"/>
  <c r="E32" i="4"/>
  <c r="C13" i="4"/>
  <c r="I37" i="4"/>
  <c r="J23" i="4"/>
  <c r="I32" i="4"/>
  <c r="I6" i="9"/>
  <c r="N77" i="13"/>
  <c r="J16" i="4"/>
  <c r="I17" i="4"/>
  <c r="E28" i="4"/>
  <c r="I35" i="4"/>
  <c r="J35" i="4"/>
  <c r="I27" i="9"/>
  <c r="C28" i="4"/>
  <c r="D38" i="4"/>
  <c r="J36" i="4"/>
  <c r="C23" i="4"/>
  <c r="E42" i="4"/>
  <c r="J18" i="4"/>
  <c r="I42" i="9"/>
  <c r="I33" i="4"/>
  <c r="J26" i="4"/>
  <c r="D41" i="4"/>
  <c r="E53" i="4"/>
  <c r="J39" i="4"/>
  <c r="I43" i="4"/>
  <c r="J34" i="4"/>
  <c r="I14" i="4"/>
  <c r="I13" i="4"/>
  <c r="C22" i="4"/>
  <c r="C49" i="4"/>
  <c r="D45" i="4"/>
  <c r="I46" i="4"/>
  <c r="E24" i="4"/>
  <c r="I33" i="9"/>
  <c r="J44" i="4"/>
  <c r="E48" i="4"/>
  <c r="C30" i="4"/>
  <c r="E39" i="4"/>
  <c r="O76" i="13"/>
  <c r="I39" i="9"/>
  <c r="I12" i="9"/>
  <c r="D25" i="4"/>
  <c r="J51" i="4"/>
  <c r="C27" i="4"/>
  <c r="E27" i="4"/>
  <c r="D37" i="4"/>
  <c r="J38" i="4"/>
  <c r="E46" i="4"/>
  <c r="J52" i="4"/>
  <c r="J49" i="4"/>
  <c r="D32" i="4"/>
  <c r="D46" i="4"/>
  <c r="D36" i="4"/>
  <c r="I32" i="9"/>
  <c r="E40" i="4"/>
  <c r="D47" i="4"/>
  <c r="O73" i="13"/>
  <c r="E17" i="4"/>
  <c r="D13" i="4"/>
  <c r="C39" i="4"/>
  <c r="I25" i="4"/>
  <c r="D40" i="4"/>
  <c r="I24" i="4"/>
  <c r="I17" i="9"/>
  <c r="I34" i="9"/>
  <c r="I29" i="4"/>
  <c r="J40" i="4"/>
  <c r="D15" i="4"/>
  <c r="C21" i="4"/>
  <c r="D34" i="4"/>
  <c r="O75" i="13"/>
  <c r="I35" i="9"/>
  <c r="D14" i="4"/>
  <c r="D17" i="4"/>
  <c r="I39" i="4"/>
  <c r="I41" i="9"/>
  <c r="C32" i="4"/>
  <c r="E49" i="4"/>
  <c r="I11" i="9"/>
  <c r="C51" i="4"/>
  <c r="I19" i="9"/>
  <c r="C44" i="4"/>
  <c r="E25" i="4"/>
  <c r="I49" i="4"/>
  <c r="D23" i="4"/>
  <c r="Q75" i="13" l="1"/>
  <c r="Q76" i="13"/>
  <c r="Q74" i="13"/>
  <c r="Q73" i="13"/>
  <c r="Q77" i="13"/>
  <c r="Q78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R76" i="13"/>
  <c r="R77" i="13"/>
  <c r="R78" i="13"/>
  <c r="H95" i="5"/>
  <c r="E74" i="5"/>
  <c r="H99" i="5"/>
  <c r="G103" i="5"/>
  <c r="M27" i="4"/>
  <c r="I33" i="5"/>
  <c r="H91" i="5"/>
  <c r="F22" i="5"/>
  <c r="H93" i="5"/>
  <c r="E126" i="5"/>
  <c r="I35" i="5"/>
  <c r="F18" i="5"/>
  <c r="F90" i="5"/>
  <c r="M38" i="4"/>
  <c r="I77" i="5"/>
  <c r="F118" i="5"/>
  <c r="G95" i="5"/>
  <c r="G51" i="5"/>
  <c r="F33" i="5"/>
  <c r="F31" i="5"/>
  <c r="H63" i="5"/>
  <c r="E17" i="5"/>
  <c r="H22" i="5"/>
  <c r="I93" i="5"/>
  <c r="N34" i="4"/>
  <c r="M40" i="4"/>
  <c r="E15" i="5"/>
  <c r="N26" i="4"/>
  <c r="I72" i="5"/>
  <c r="I17" i="5"/>
  <c r="E40" i="5"/>
  <c r="I122" i="5"/>
  <c r="E119" i="5"/>
  <c r="I36" i="5"/>
  <c r="I15" i="5"/>
  <c r="N35" i="4"/>
  <c r="H53" i="5"/>
  <c r="G117" i="5"/>
  <c r="G69" i="5"/>
  <c r="H39" i="5"/>
  <c r="I90" i="5"/>
  <c r="M45" i="4"/>
  <c r="G86" i="5"/>
  <c r="H38" i="5"/>
  <c r="E122" i="5"/>
  <c r="E72" i="5"/>
  <c r="F107" i="5"/>
  <c r="F84" i="5"/>
  <c r="G15" i="5"/>
  <c r="G77" i="5"/>
  <c r="F65" i="5"/>
  <c r="H125" i="5"/>
  <c r="F23" i="5"/>
  <c r="G46" i="5"/>
  <c r="H58" i="5"/>
  <c r="E66" i="5"/>
  <c r="M47" i="4"/>
  <c r="I18" i="5"/>
  <c r="E81" i="5"/>
  <c r="M36" i="4"/>
  <c r="E28" i="5"/>
  <c r="M14" i="4"/>
  <c r="H117" i="5"/>
  <c r="E124" i="5"/>
  <c r="G3" i="5"/>
  <c r="M24" i="4"/>
  <c r="F109" i="5"/>
  <c r="I19" i="5"/>
  <c r="F64" i="5"/>
  <c r="G96" i="5"/>
  <c r="M19" i="4"/>
  <c r="G62" i="5"/>
  <c r="I104" i="5"/>
  <c r="H111" i="5"/>
  <c r="E14" i="5"/>
  <c r="F96" i="5"/>
  <c r="E84" i="5"/>
  <c r="F21" i="5"/>
  <c r="G17" i="5"/>
  <c r="F63" i="5"/>
  <c r="E4" i="5"/>
  <c r="H87" i="5"/>
  <c r="I80" i="5"/>
  <c r="I6" i="5"/>
  <c r="H26" i="5"/>
  <c r="M51" i="4"/>
  <c r="G80" i="5"/>
  <c r="G24" i="5"/>
  <c r="H57" i="5"/>
  <c r="F86" i="5"/>
  <c r="E29" i="5"/>
  <c r="G12" i="5"/>
  <c r="I111" i="5"/>
  <c r="G93" i="5"/>
  <c r="F110" i="5"/>
  <c r="I49" i="5"/>
  <c r="E114" i="5"/>
  <c r="G113" i="5"/>
  <c r="F30" i="5"/>
  <c r="F56" i="5"/>
  <c r="F124" i="5"/>
  <c r="F99" i="5"/>
  <c r="M31" i="4"/>
  <c r="H100" i="5"/>
  <c r="E62" i="5"/>
  <c r="H126" i="5"/>
  <c r="I28" i="5"/>
  <c r="G115" i="5"/>
  <c r="I89" i="5"/>
  <c r="E102" i="5"/>
  <c r="G90" i="5"/>
  <c r="E68" i="5"/>
  <c r="G89" i="5"/>
  <c r="E115" i="5"/>
  <c r="G39" i="5"/>
  <c r="H34" i="5"/>
  <c r="H122" i="5"/>
  <c r="E120" i="5"/>
  <c r="F79" i="5"/>
  <c r="M52" i="4"/>
  <c r="I26" i="5"/>
  <c r="G109" i="5"/>
  <c r="N31" i="4"/>
  <c r="G65" i="5"/>
  <c r="H103" i="5"/>
  <c r="E67" i="5"/>
  <c r="N50" i="4"/>
  <c r="M23" i="4"/>
  <c r="I55" i="5"/>
  <c r="F81" i="5"/>
  <c r="H84" i="5"/>
  <c r="N29" i="4"/>
  <c r="E76" i="5"/>
  <c r="G11" i="5"/>
  <c r="M42" i="4"/>
  <c r="E45" i="5"/>
  <c r="G106" i="5"/>
  <c r="M44" i="4"/>
  <c r="I58" i="5"/>
  <c r="I91" i="5"/>
  <c r="E22" i="5"/>
  <c r="H70" i="5"/>
  <c r="E117" i="5"/>
  <c r="G76" i="5"/>
  <c r="F6" i="5"/>
  <c r="I4" i="5"/>
  <c r="I116" i="5"/>
  <c r="E101" i="5"/>
  <c r="H55" i="5"/>
  <c r="I3" i="5"/>
  <c r="E64" i="5"/>
  <c r="F38" i="5"/>
  <c r="H80" i="5"/>
  <c r="F108" i="5"/>
  <c r="E104" i="5"/>
  <c r="E37" i="5"/>
  <c r="E71" i="5"/>
  <c r="I43" i="5"/>
  <c r="F32" i="5"/>
  <c r="N25" i="4"/>
  <c r="H92" i="5"/>
  <c r="G100" i="5"/>
  <c r="I62" i="5"/>
  <c r="F80" i="5"/>
  <c r="G28" i="5"/>
  <c r="I123" i="5"/>
  <c r="E24" i="5"/>
  <c r="F116" i="5"/>
  <c r="H7" i="5"/>
  <c r="H19" i="5"/>
  <c r="I88" i="5"/>
  <c r="I126" i="5"/>
  <c r="I81" i="5"/>
  <c r="G116" i="5"/>
  <c r="H42" i="5"/>
  <c r="H51" i="5"/>
  <c r="H106" i="5"/>
  <c r="F87" i="5"/>
  <c r="F40" i="5"/>
  <c r="F24" i="5"/>
  <c r="F53" i="5"/>
  <c r="F83" i="5"/>
  <c r="F122" i="5"/>
  <c r="F102" i="5"/>
  <c r="N27" i="4"/>
  <c r="G68" i="5"/>
  <c r="F27" i="5"/>
  <c r="F34" i="5"/>
  <c r="H109" i="5"/>
  <c r="I41" i="5"/>
  <c r="H105" i="5"/>
  <c r="I125" i="5"/>
  <c r="F29" i="5"/>
  <c r="F72" i="5"/>
  <c r="E27" i="5"/>
  <c r="E42" i="5"/>
  <c r="I42" i="5"/>
  <c r="F10" i="5"/>
  <c r="M15" i="4"/>
  <c r="F4" i="5"/>
  <c r="M28" i="4"/>
  <c r="H56" i="5"/>
  <c r="H86" i="5"/>
  <c r="I40" i="5"/>
  <c r="G81" i="5"/>
  <c r="F123" i="5"/>
  <c r="I102" i="5"/>
  <c r="F15" i="5"/>
  <c r="G107" i="5"/>
  <c r="H61" i="5"/>
  <c r="F54" i="5"/>
  <c r="E86" i="5"/>
  <c r="H35" i="5"/>
  <c r="I13" i="5"/>
  <c r="M46" i="4"/>
  <c r="H112" i="5"/>
  <c r="F104" i="5"/>
  <c r="M41" i="4"/>
  <c r="I115" i="5"/>
  <c r="I38" i="5"/>
  <c r="G111" i="5"/>
  <c r="G47" i="5"/>
  <c r="F91" i="5"/>
  <c r="H31" i="5"/>
  <c r="I94" i="5"/>
  <c r="G16" i="5"/>
  <c r="H107" i="5"/>
  <c r="F48" i="5"/>
  <c r="I83" i="5"/>
  <c r="I24" i="5"/>
  <c r="F11" i="5"/>
  <c r="H45" i="5"/>
  <c r="E59" i="5"/>
  <c r="G74" i="5"/>
  <c r="G99" i="5"/>
  <c r="H47" i="5"/>
  <c r="H60" i="5"/>
  <c r="G60" i="5"/>
  <c r="E77" i="5"/>
  <c r="N33" i="4"/>
  <c r="E80" i="5"/>
  <c r="G32" i="5"/>
  <c r="M25" i="4"/>
  <c r="M35" i="4"/>
  <c r="H24" i="5"/>
  <c r="H89" i="5"/>
  <c r="F82" i="5"/>
  <c r="G118" i="5"/>
  <c r="G98" i="5"/>
  <c r="E121" i="5"/>
  <c r="H21" i="5"/>
  <c r="E8" i="5"/>
  <c r="E35" i="5"/>
  <c r="G30" i="5"/>
  <c r="E11" i="5"/>
  <c r="N53" i="4"/>
  <c r="G67" i="5"/>
  <c r="M48" i="4"/>
  <c r="F42" i="5"/>
  <c r="F121" i="5"/>
  <c r="N20" i="4"/>
  <c r="F16" i="5"/>
  <c r="I46" i="5"/>
  <c r="G29" i="5"/>
  <c r="I29" i="5"/>
  <c r="H32" i="5"/>
  <c r="E16" i="5"/>
  <c r="F78" i="5"/>
  <c r="H40" i="5"/>
  <c r="E57" i="5"/>
  <c r="G126" i="5"/>
  <c r="N45" i="4"/>
  <c r="G5" i="5"/>
  <c r="E70" i="5"/>
  <c r="G41" i="5"/>
  <c r="G87" i="5"/>
  <c r="I74" i="5"/>
  <c r="F68" i="5"/>
  <c r="F46" i="5"/>
  <c r="F9" i="5"/>
  <c r="F43" i="5"/>
  <c r="E118" i="5"/>
  <c r="F39" i="5"/>
  <c r="E38" i="5"/>
  <c r="E109" i="5"/>
  <c r="E41" i="5"/>
  <c r="N42" i="4"/>
  <c r="I30" i="5"/>
  <c r="M29" i="4"/>
  <c r="E18" i="5"/>
  <c r="H2" i="5"/>
  <c r="G37" i="5"/>
  <c r="F58" i="5"/>
  <c r="M26" i="4"/>
  <c r="E9" i="5"/>
  <c r="I105" i="5"/>
  <c r="H29" i="5"/>
  <c r="G53" i="5"/>
  <c r="G34" i="5"/>
  <c r="G97" i="5"/>
  <c r="F51" i="5"/>
  <c r="F112" i="5"/>
  <c r="H120" i="5"/>
  <c r="G105" i="5"/>
  <c r="E3" i="5"/>
  <c r="G88" i="5"/>
  <c r="E107" i="5"/>
  <c r="F44" i="5"/>
  <c r="G20" i="5"/>
  <c r="H27" i="5"/>
  <c r="H77" i="5"/>
  <c r="H62" i="5"/>
  <c r="I63" i="5"/>
  <c r="G14" i="5"/>
  <c r="G110" i="5"/>
  <c r="H41" i="5"/>
  <c r="I117" i="5"/>
  <c r="I31" i="5"/>
  <c r="H85" i="5"/>
  <c r="N16" i="4"/>
  <c r="E123" i="5"/>
  <c r="E83" i="5"/>
  <c r="I98" i="5"/>
  <c r="G124" i="5"/>
  <c r="G57" i="5"/>
  <c r="E69" i="5"/>
  <c r="I7" i="5"/>
  <c r="F20" i="5"/>
  <c r="N47" i="4"/>
  <c r="N44" i="4"/>
  <c r="I45" i="5"/>
  <c r="E21" i="5"/>
  <c r="I97" i="5"/>
  <c r="E106" i="5"/>
  <c r="H116" i="5"/>
  <c r="G79" i="5"/>
  <c r="H14" i="5"/>
  <c r="E30" i="5"/>
  <c r="N37" i="4"/>
  <c r="E20" i="5"/>
  <c r="G120" i="5"/>
  <c r="H76" i="5"/>
  <c r="M13" i="4"/>
  <c r="I107" i="5"/>
  <c r="F73" i="5"/>
  <c r="H78" i="5"/>
  <c r="M18" i="4"/>
  <c r="E103" i="5"/>
  <c r="F37" i="5"/>
  <c r="E78" i="5"/>
  <c r="I54" i="5"/>
  <c r="I66" i="5"/>
  <c r="G102" i="5"/>
  <c r="G83" i="5"/>
  <c r="N22" i="4"/>
  <c r="G52" i="5"/>
  <c r="I87" i="5"/>
  <c r="I2" i="5"/>
  <c r="I59" i="5"/>
  <c r="G33" i="5"/>
  <c r="E111" i="5"/>
  <c r="G44" i="5"/>
  <c r="G48" i="5"/>
  <c r="H48" i="5"/>
  <c r="N23" i="4"/>
  <c r="H72" i="5"/>
  <c r="G13" i="5"/>
  <c r="E116" i="5"/>
  <c r="N15" i="4"/>
  <c r="I23" i="5"/>
  <c r="G70" i="5"/>
  <c r="H96" i="5"/>
  <c r="E97" i="5"/>
  <c r="N39" i="4"/>
  <c r="E58" i="5"/>
  <c r="H119" i="5"/>
  <c r="I67" i="5"/>
  <c r="H8" i="5"/>
  <c r="I118" i="5"/>
  <c r="I71" i="5"/>
  <c r="E110" i="5"/>
  <c r="E51" i="5"/>
  <c r="I39" i="5"/>
  <c r="F25" i="5"/>
  <c r="G84" i="5"/>
  <c r="I56" i="5"/>
  <c r="G6" i="5"/>
  <c r="H64" i="5"/>
  <c r="E23" i="5"/>
  <c r="F111" i="5"/>
  <c r="F98" i="5"/>
  <c r="F85" i="5"/>
  <c r="I103" i="5"/>
  <c r="N32" i="4"/>
  <c r="F2" i="5"/>
  <c r="F55" i="5"/>
  <c r="F69" i="5"/>
  <c r="H28" i="5"/>
  <c r="I61" i="5"/>
  <c r="I50" i="5"/>
  <c r="H59" i="5"/>
  <c r="F5" i="5"/>
  <c r="I51" i="5"/>
  <c r="G82" i="5"/>
  <c r="H97" i="5"/>
  <c r="F13" i="5"/>
  <c r="F14" i="5"/>
  <c r="F3" i="5"/>
  <c r="G4" i="5"/>
  <c r="E61" i="5"/>
  <c r="E34" i="5"/>
  <c r="N36" i="4"/>
  <c r="G71" i="5"/>
  <c r="N40" i="4"/>
  <c r="I27" i="5"/>
  <c r="H67" i="5"/>
  <c r="I110" i="5"/>
  <c r="E43" i="5"/>
  <c r="G85" i="5"/>
  <c r="H102" i="5"/>
  <c r="F88" i="5"/>
  <c r="E94" i="5"/>
  <c r="H121" i="5"/>
  <c r="G10" i="5"/>
  <c r="F50" i="5"/>
  <c r="F59" i="5"/>
  <c r="H114" i="5"/>
  <c r="H82" i="5"/>
  <c r="H30" i="5"/>
  <c r="H37" i="5"/>
  <c r="M33" i="4"/>
  <c r="F113" i="5"/>
  <c r="G63" i="5"/>
  <c r="I60" i="5"/>
  <c r="G2" i="5"/>
  <c r="H11" i="5"/>
  <c r="E93" i="5"/>
  <c r="M50" i="4"/>
  <c r="N30" i="4"/>
  <c r="G22" i="5"/>
  <c r="G123" i="5"/>
  <c r="E95" i="5"/>
  <c r="F106" i="5"/>
  <c r="G38" i="5"/>
  <c r="H44" i="5"/>
  <c r="N51" i="4"/>
  <c r="H3" i="5"/>
  <c r="E26" i="5"/>
  <c r="E89" i="5"/>
  <c r="H10" i="5"/>
  <c r="G56" i="5"/>
  <c r="I64" i="5"/>
  <c r="I96" i="5"/>
  <c r="N52" i="4"/>
  <c r="E6" i="5"/>
  <c r="G66" i="5"/>
  <c r="F100" i="5"/>
  <c r="I69" i="5"/>
  <c r="H4" i="5"/>
  <c r="H49" i="5"/>
  <c r="F61" i="5"/>
  <c r="I53" i="5"/>
  <c r="H74" i="5"/>
  <c r="I121" i="5"/>
  <c r="F28" i="5"/>
  <c r="N43" i="4"/>
  <c r="F36" i="5"/>
  <c r="I101" i="5"/>
  <c r="I21" i="5"/>
  <c r="E91" i="5"/>
  <c r="I82" i="5"/>
  <c r="G7" i="5"/>
  <c r="M16" i="4"/>
  <c r="E65" i="5"/>
  <c r="E108" i="5"/>
  <c r="H52" i="5"/>
  <c r="F93" i="5"/>
  <c r="H9" i="5"/>
  <c r="F66" i="5"/>
  <c r="H81" i="5"/>
  <c r="H104" i="5"/>
  <c r="E44" i="5"/>
  <c r="I65" i="5"/>
  <c r="F125" i="5"/>
  <c r="G25" i="5"/>
  <c r="E49" i="5"/>
  <c r="F75" i="5"/>
  <c r="H88" i="5"/>
  <c r="E90" i="5"/>
  <c r="G72" i="5"/>
  <c r="H6" i="5"/>
  <c r="I48" i="5"/>
  <c r="H118" i="5"/>
  <c r="G54" i="5"/>
  <c r="F101" i="5"/>
  <c r="G59" i="5"/>
  <c r="F77" i="5"/>
  <c r="H98" i="5"/>
  <c r="I78" i="5"/>
  <c r="G40" i="5"/>
  <c r="H43" i="5"/>
  <c r="M21" i="4"/>
  <c r="H108" i="5"/>
  <c r="E98" i="5"/>
  <c r="E125" i="5"/>
  <c r="N49" i="4"/>
  <c r="I57" i="5"/>
  <c r="M22" i="4"/>
  <c r="I95" i="5"/>
  <c r="I8" i="5"/>
  <c r="N48" i="4"/>
  <c r="G27" i="5"/>
  <c r="I100" i="5"/>
  <c r="H33" i="5"/>
  <c r="G23" i="5"/>
  <c r="F115" i="5"/>
  <c r="M39" i="4"/>
  <c r="F120" i="5"/>
  <c r="F67" i="5"/>
  <c r="E39" i="5"/>
  <c r="E36" i="5"/>
  <c r="F45" i="5"/>
  <c r="G19" i="5"/>
  <c r="F8" i="5"/>
  <c r="I12" i="5"/>
  <c r="G45" i="5"/>
  <c r="I70" i="5"/>
  <c r="H115" i="5"/>
  <c r="H15" i="5"/>
  <c r="G8" i="5"/>
  <c r="M32" i="4"/>
  <c r="F70" i="5"/>
  <c r="I25" i="5"/>
  <c r="E47" i="5"/>
  <c r="G122" i="5"/>
  <c r="F47" i="5"/>
  <c r="H90" i="5"/>
  <c r="E113" i="5"/>
  <c r="H83" i="5"/>
  <c r="I112" i="5"/>
  <c r="G18" i="5"/>
  <c r="G9" i="5"/>
  <c r="G42" i="5"/>
  <c r="F89" i="5"/>
  <c r="H17" i="5"/>
  <c r="G55" i="5"/>
  <c r="G61" i="5"/>
  <c r="H124" i="5"/>
  <c r="H50" i="5"/>
  <c r="H54" i="5"/>
  <c r="E53" i="5"/>
  <c r="H65" i="5"/>
  <c r="I34" i="5"/>
  <c r="E32" i="5"/>
  <c r="M12" i="4"/>
  <c r="I16" i="5"/>
  <c r="I120" i="5"/>
  <c r="H66" i="5"/>
  <c r="H18" i="5"/>
  <c r="I114" i="5"/>
  <c r="E100" i="5"/>
  <c r="E55" i="5"/>
  <c r="I85" i="5"/>
  <c r="M34" i="4"/>
  <c r="G94" i="5"/>
  <c r="E46" i="5"/>
  <c r="F97" i="5"/>
  <c r="M20" i="4"/>
  <c r="G31" i="5"/>
  <c r="F19" i="5"/>
  <c r="E112" i="5"/>
  <c r="I106" i="5"/>
  <c r="F76" i="5"/>
  <c r="H12" i="5"/>
  <c r="E52" i="5"/>
  <c r="G112" i="5"/>
  <c r="E54" i="5"/>
  <c r="F74" i="5"/>
  <c r="M53" i="4"/>
  <c r="E33" i="5"/>
  <c r="M43" i="4"/>
  <c r="M37" i="4"/>
  <c r="I124" i="5"/>
  <c r="G75" i="5"/>
  <c r="G49" i="5"/>
  <c r="E12" i="5"/>
  <c r="G36" i="5"/>
  <c r="G119" i="5"/>
  <c r="I68" i="5"/>
  <c r="F57" i="5"/>
  <c r="I86" i="5"/>
  <c r="F7" i="5"/>
  <c r="I113" i="5"/>
  <c r="I52" i="5"/>
  <c r="I73" i="5"/>
  <c r="F49" i="5"/>
  <c r="I37" i="5"/>
  <c r="I10" i="5"/>
  <c r="E75" i="5"/>
  <c r="I14" i="5"/>
  <c r="F26" i="5"/>
  <c r="E10" i="5"/>
  <c r="N41" i="4"/>
  <c r="G125" i="5"/>
  <c r="F94" i="5"/>
  <c r="H69" i="5"/>
  <c r="E2" i="5"/>
  <c r="I22" i="5"/>
  <c r="F119" i="5"/>
  <c r="E79" i="5"/>
  <c r="F41" i="5"/>
  <c r="I92" i="5"/>
  <c r="N14" i="4"/>
  <c r="E7" i="5"/>
  <c r="I44" i="5"/>
  <c r="F103" i="5"/>
  <c r="F105" i="5"/>
  <c r="F17" i="5"/>
  <c r="E92" i="5"/>
  <c r="E105" i="5"/>
  <c r="G21" i="5"/>
  <c r="N24" i="4"/>
  <c r="H94" i="5"/>
  <c r="F92" i="5"/>
  <c r="E5" i="5"/>
  <c r="F12" i="5"/>
  <c r="F117" i="5"/>
  <c r="H68" i="5"/>
  <c r="M49" i="4"/>
  <c r="I76" i="5"/>
  <c r="I79" i="5"/>
  <c r="E63" i="5"/>
  <c r="G91" i="5"/>
  <c r="N46" i="4"/>
  <c r="G50" i="5"/>
  <c r="E19" i="5"/>
  <c r="G108" i="5"/>
  <c r="F71" i="5"/>
  <c r="G64" i="5"/>
  <c r="E82" i="5"/>
  <c r="H101" i="5"/>
  <c r="H113" i="5"/>
  <c r="M30" i="4"/>
  <c r="E88" i="5"/>
  <c r="I99" i="5"/>
  <c r="H20" i="5"/>
  <c r="E25" i="5"/>
  <c r="I9" i="5"/>
  <c r="N28" i="4"/>
  <c r="I32" i="5"/>
  <c r="N38" i="4"/>
  <c r="F95" i="5"/>
  <c r="G104" i="5"/>
  <c r="G101" i="5"/>
  <c r="E13" i="5"/>
  <c r="N21" i="4"/>
  <c r="E48" i="5"/>
  <c r="H79" i="5"/>
  <c r="G92" i="5"/>
  <c r="I47" i="5"/>
  <c r="N19" i="4"/>
  <c r="I84" i="5"/>
  <c r="H75" i="5"/>
  <c r="H5" i="5"/>
  <c r="H71" i="5"/>
  <c r="N13" i="4"/>
  <c r="H23" i="5"/>
  <c r="G43" i="5"/>
  <c r="H16" i="5"/>
  <c r="I75" i="5"/>
  <c r="H13" i="5"/>
  <c r="G121" i="5"/>
  <c r="E60" i="5"/>
  <c r="H36" i="5"/>
  <c r="E96" i="5"/>
  <c r="N18" i="4"/>
  <c r="G26" i="5"/>
  <c r="F126" i="5"/>
  <c r="H123" i="5"/>
  <c r="F114" i="5"/>
  <c r="H25" i="5"/>
  <c r="G114" i="5"/>
  <c r="G35" i="5"/>
  <c r="I20" i="5"/>
  <c r="E56" i="5"/>
  <c r="E87" i="5"/>
  <c r="N17" i="4"/>
  <c r="G78" i="5"/>
  <c r="M17" i="4"/>
  <c r="I5" i="5"/>
  <c r="E85" i="5"/>
  <c r="F52" i="5"/>
  <c r="I119" i="5"/>
  <c r="E31" i="5"/>
  <c r="I108" i="5"/>
  <c r="H73" i="5"/>
  <c r="E50" i="5"/>
  <c r="F60" i="5"/>
  <c r="G73" i="5"/>
  <c r="G58" i="5"/>
  <c r="H110" i="5"/>
  <c r="I109" i="5"/>
  <c r="I11" i="5"/>
  <c r="E73" i="5"/>
  <c r="F35" i="5"/>
  <c r="H46" i="5"/>
  <c r="E99" i="5"/>
  <c r="F62" i="5"/>
  <c r="N12" i="4"/>
  <c r="U19" i="13" l="1" a="1"/>
  <c r="C28" i="6"/>
  <c r="M63" i="13" a="1"/>
  <c r="D14" i="6"/>
  <c r="Z17" i="13" s="1"/>
  <c r="P74" i="13"/>
  <c r="M27" i="13" a="1"/>
  <c r="P73" i="13"/>
  <c r="P77" i="13"/>
  <c r="P78" i="13"/>
  <c r="AA17" i="13"/>
  <c r="D30" i="6"/>
  <c r="J1" i="5" a="1"/>
  <c r="P76" i="13"/>
  <c r="C27" i="6"/>
  <c r="D15" i="6"/>
  <c r="P75" i="13"/>
  <c r="R73" i="13"/>
  <c r="S73" i="13" s="1"/>
  <c r="R74" i="13"/>
  <c r="R75" i="13"/>
  <c r="J111" i="5" l="1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N39" i="13"/>
  <c r="N57" i="13"/>
  <c r="P34" i="13"/>
  <c r="O57" i="13"/>
  <c r="N67" i="13"/>
  <c r="O58" i="13"/>
  <c r="P45" i="13"/>
  <c r="N33" i="13"/>
  <c r="O70" i="13"/>
  <c r="N58" i="13"/>
  <c r="N69" i="13"/>
  <c r="N41" i="13"/>
  <c r="N55" i="13"/>
  <c r="O43" i="13"/>
  <c r="P43" i="13"/>
  <c r="P39" i="13"/>
  <c r="N60" i="13"/>
  <c r="P40" i="13"/>
  <c r="N65" i="13"/>
  <c r="P44" i="13"/>
  <c r="P28" i="13"/>
  <c r="P29" i="13"/>
  <c r="N50" i="13"/>
  <c r="N40" i="13"/>
  <c r="N44" i="13"/>
  <c r="N48" i="13"/>
  <c r="N42" i="13"/>
  <c r="P69" i="13"/>
  <c r="P52" i="13"/>
  <c r="N49" i="13"/>
  <c r="O28" i="13"/>
  <c r="P64" i="13"/>
  <c r="P32" i="13"/>
  <c r="N59" i="13"/>
  <c r="O60" i="13"/>
  <c r="N36" i="13"/>
  <c r="O27" i="13"/>
  <c r="O38" i="13"/>
  <c r="O55" i="13"/>
  <c r="P57" i="13"/>
  <c r="P63" i="13"/>
  <c r="P54" i="13"/>
  <c r="P68" i="13"/>
  <c r="N66" i="13"/>
  <c r="P67" i="13"/>
  <c r="O49" i="13"/>
  <c r="O29" i="13"/>
  <c r="P59" i="13"/>
  <c r="N43" i="13"/>
  <c r="N37" i="13"/>
  <c r="O45" i="13"/>
  <c r="O44" i="13"/>
  <c r="N68" i="13"/>
  <c r="O34" i="13"/>
  <c r="O64" i="13"/>
  <c r="O65" i="13"/>
  <c r="O41" i="13"/>
  <c r="P49" i="13"/>
  <c r="P41" i="13"/>
  <c r="P30" i="13"/>
  <c r="D29" i="6"/>
  <c r="N29" i="13"/>
  <c r="O46" i="13"/>
  <c r="P70" i="13"/>
  <c r="N70" i="13"/>
  <c r="P33" i="13"/>
  <c r="Z19" i="13" a="1"/>
  <c r="P36" i="13"/>
  <c r="N64" i="13"/>
  <c r="N47" i="13"/>
  <c r="P46" i="13"/>
  <c r="O32" i="13"/>
  <c r="N46" i="13"/>
  <c r="P65" i="13"/>
  <c r="O31" i="13"/>
  <c r="P37" i="13"/>
  <c r="O48" i="13"/>
  <c r="N53" i="13"/>
  <c r="O47" i="13"/>
  <c r="P66" i="13"/>
  <c r="O63" i="13"/>
  <c r="P48" i="13"/>
  <c r="N56" i="13"/>
  <c r="P53" i="13"/>
  <c r="O67" i="13"/>
  <c r="O66" i="13"/>
  <c r="N30" i="13"/>
  <c r="N27" i="13"/>
  <c r="P38" i="13"/>
  <c r="N63" i="13"/>
  <c r="P27" i="13"/>
  <c r="O54" i="13"/>
  <c r="O52" i="13"/>
  <c r="O59" i="13"/>
  <c r="O36" i="13"/>
  <c r="O39" i="13"/>
  <c r="P42" i="13"/>
  <c r="P55" i="13"/>
  <c r="P50" i="13"/>
  <c r="N51" i="13"/>
  <c r="N54" i="13"/>
  <c r="O69" i="13"/>
  <c r="O33" i="13"/>
  <c r="O68" i="13"/>
  <c r="N45" i="13"/>
  <c r="P51" i="13"/>
  <c r="O56" i="13"/>
  <c r="O42" i="13"/>
  <c r="P47" i="13"/>
  <c r="N32" i="13"/>
  <c r="P31" i="13"/>
  <c r="O35" i="13"/>
  <c r="P56" i="13"/>
  <c r="N35" i="13"/>
  <c r="O40" i="13"/>
  <c r="O30" i="13"/>
  <c r="N52" i="13"/>
  <c r="N34" i="13"/>
  <c r="O51" i="13"/>
  <c r="N38" i="13"/>
  <c r="N31" i="13"/>
  <c r="P58" i="13"/>
  <c r="O50" i="13"/>
  <c r="AA19" i="13" a="1"/>
  <c r="O37" i="13"/>
  <c r="N28" i="13"/>
  <c r="O53" i="13"/>
  <c r="P35" i="13"/>
  <c r="P60" i="13"/>
  <c r="Z1195" i="13" l="1"/>
  <c r="Z1447" i="13"/>
  <c r="Z716" i="13"/>
  <c r="Z1236" i="13"/>
  <c r="Z1240" i="13"/>
  <c r="Z2809" i="13"/>
  <c r="Z147" i="13"/>
  <c r="Z2016" i="13"/>
  <c r="Z69" i="13"/>
  <c r="Z828" i="13"/>
  <c r="Z727" i="13"/>
  <c r="Z3519" i="13"/>
  <c r="Z1700" i="13"/>
  <c r="Z1403" i="13"/>
  <c r="Z1480" i="13"/>
  <c r="Z947" i="13"/>
  <c r="Z161" i="13"/>
  <c r="Z436" i="13"/>
  <c r="Z2424" i="13"/>
  <c r="Z684" i="13"/>
  <c r="Z751" i="13"/>
  <c r="Z1688" i="13"/>
  <c r="Z1669" i="13"/>
  <c r="Z1880" i="13"/>
  <c r="Z356" i="13"/>
  <c r="Z3379" i="13"/>
  <c r="Z323" i="13"/>
  <c r="Z1291" i="13"/>
  <c r="Z1420" i="13"/>
  <c r="Z2963" i="13"/>
  <c r="Z1376" i="13"/>
  <c r="Z1411" i="13"/>
  <c r="Z1845" i="13"/>
  <c r="Z1640" i="13"/>
  <c r="Z1153" i="13"/>
  <c r="Z55" i="13"/>
  <c r="Z2067" i="13"/>
  <c r="Z717" i="13"/>
  <c r="Z574" i="13"/>
  <c r="Z2017" i="13"/>
  <c r="Z118" i="13"/>
  <c r="Z2471" i="13"/>
  <c r="Z603" i="13"/>
  <c r="Z3430" i="13"/>
  <c r="Z1879" i="13"/>
  <c r="Z115" i="13"/>
  <c r="Z120" i="13"/>
  <c r="Z1828" i="13"/>
  <c r="Z177" i="13"/>
  <c r="Z919" i="13"/>
  <c r="Z2995" i="13"/>
  <c r="Z1536" i="13"/>
  <c r="Z2376" i="13"/>
  <c r="Z1936" i="13"/>
  <c r="Z385" i="13"/>
  <c r="Z754" i="13"/>
  <c r="Z2514" i="13"/>
  <c r="Z74" i="13"/>
  <c r="Z102" i="13"/>
  <c r="Z858" i="13"/>
  <c r="Z3089" i="13"/>
  <c r="Z366" i="13"/>
  <c r="Z142" i="13"/>
  <c r="Z2335" i="13"/>
  <c r="Z2559" i="13"/>
  <c r="Z2863" i="13"/>
  <c r="Z1016" i="13"/>
  <c r="Z2281" i="13"/>
  <c r="Z561" i="13"/>
  <c r="Z1469" i="13"/>
  <c r="Z1813" i="13"/>
  <c r="Z1079" i="13"/>
  <c r="Z1165" i="13"/>
  <c r="Z449" i="13"/>
  <c r="Z381" i="13"/>
  <c r="Z1202" i="13"/>
  <c r="Z1622" i="13"/>
  <c r="Z82" i="13"/>
  <c r="Z399" i="13"/>
  <c r="Z3365" i="13"/>
  <c r="Z1871" i="13"/>
  <c r="Z202" i="13"/>
  <c r="Z747" i="13"/>
  <c r="Z3014" i="13"/>
  <c r="Z1788" i="13"/>
  <c r="Z3390" i="13"/>
  <c r="Z923" i="13"/>
  <c r="Z2612" i="13"/>
  <c r="Z1984" i="13"/>
  <c r="Z1160" i="13"/>
  <c r="Z663" i="13"/>
  <c r="Z1406" i="13"/>
  <c r="Z917" i="13"/>
  <c r="Z1491" i="13"/>
  <c r="Z1905" i="13"/>
  <c r="Z1818" i="13"/>
  <c r="Z2635" i="13"/>
  <c r="Z3531" i="13"/>
  <c r="Z3056" i="13"/>
  <c r="Z3325" i="13"/>
  <c r="Z2955" i="13"/>
  <c r="Z3096" i="13"/>
  <c r="Z2126" i="13"/>
  <c r="Z283" i="13"/>
  <c r="Z1021" i="13"/>
  <c r="Z3310" i="13"/>
  <c r="Z672" i="13"/>
  <c r="Z2336" i="13"/>
  <c r="Z826" i="13"/>
  <c r="Z2565" i="13"/>
  <c r="Z1134" i="13"/>
  <c r="Z2598" i="13"/>
  <c r="Z1350" i="13"/>
  <c r="Z2365" i="13"/>
  <c r="Z3464" i="13"/>
  <c r="Z3266" i="13"/>
  <c r="Z1230" i="13"/>
  <c r="Z2776" i="13"/>
  <c r="Z3444" i="13"/>
  <c r="Z337" i="13"/>
  <c r="Z1208" i="13"/>
  <c r="Z2133" i="13"/>
  <c r="Z419" i="13"/>
  <c r="Z1184" i="13"/>
  <c r="Z777" i="13"/>
  <c r="Z162" i="13"/>
  <c r="Z2253" i="13"/>
  <c r="Z2092" i="13"/>
  <c r="Z3087" i="13"/>
  <c r="Z2589" i="13"/>
  <c r="Z1506" i="13"/>
  <c r="Z3303" i="13"/>
  <c r="Z2964" i="13"/>
  <c r="Z2348" i="13"/>
  <c r="Z3032" i="13"/>
  <c r="Z2891" i="13"/>
  <c r="Z76" i="13"/>
  <c r="Z1929" i="13"/>
  <c r="Z1755" i="13"/>
  <c r="Z183" i="13"/>
  <c r="Z91" i="13"/>
  <c r="Z1553" i="13"/>
  <c r="Z1297" i="13"/>
  <c r="Z3292" i="13"/>
  <c r="Z2988" i="13"/>
  <c r="Z3319" i="13"/>
  <c r="Z188" i="13"/>
  <c r="Z68" i="13"/>
  <c r="Z95" i="13"/>
  <c r="Z2530" i="13"/>
  <c r="Z757" i="13"/>
  <c r="Z291" i="13"/>
  <c r="Z2367" i="13"/>
  <c r="Z2239" i="13"/>
  <c r="Z3239" i="13"/>
  <c r="Z1434" i="13"/>
  <c r="Z3500" i="13"/>
  <c r="Z1708" i="13"/>
  <c r="Z564" i="13"/>
  <c r="Z3157" i="13"/>
  <c r="Z2850" i="13"/>
  <c r="Z2498" i="13"/>
  <c r="Z591" i="13"/>
  <c r="Z1541" i="13"/>
  <c r="Z245" i="13"/>
  <c r="Z1089" i="13"/>
  <c r="Z1365" i="13"/>
  <c r="Z2134" i="13"/>
  <c r="Z1944" i="13"/>
  <c r="Z3155" i="13"/>
  <c r="Z1414" i="13"/>
  <c r="Z2575" i="13"/>
  <c r="Z1809" i="13"/>
  <c r="Z3494" i="13"/>
  <c r="Z2996" i="13"/>
  <c r="Z56" i="13"/>
  <c r="Z2222" i="13"/>
  <c r="Z1914" i="13"/>
  <c r="Z1270" i="13"/>
  <c r="Z2535" i="13"/>
  <c r="Z3414" i="13"/>
  <c r="Z2999" i="13"/>
  <c r="Z1674" i="13"/>
  <c r="Z875" i="13"/>
  <c r="Z165" i="13"/>
  <c r="Z2282" i="13"/>
  <c r="Z2812" i="13"/>
  <c r="Z890" i="13"/>
  <c r="Z3282" i="13"/>
  <c r="Z1482" i="13"/>
  <c r="Z899" i="13"/>
  <c r="Z907" i="13"/>
  <c r="Z1009" i="13"/>
  <c r="Z1991" i="13"/>
  <c r="Z2727" i="13"/>
  <c r="Z2480" i="13"/>
  <c r="Z2532" i="13"/>
  <c r="Z2746" i="13"/>
  <c r="Z2161" i="13"/>
  <c r="Z3114" i="13"/>
  <c r="Z1852" i="13"/>
  <c r="Z2859" i="13"/>
  <c r="Z1430" i="13"/>
  <c r="Z2992" i="13"/>
  <c r="Z1540" i="13"/>
  <c r="Z1401" i="13"/>
  <c r="Z3371" i="13"/>
  <c r="Z1015" i="13"/>
  <c r="Z2099" i="13"/>
  <c r="Z3514" i="13"/>
  <c r="Z1947" i="13"/>
  <c r="Z2554" i="13"/>
  <c r="Z743" i="13"/>
  <c r="Z3361" i="13"/>
  <c r="Z1546" i="13"/>
  <c r="Z2422" i="13"/>
  <c r="Z1846" i="13"/>
  <c r="Z3220" i="13"/>
  <c r="Z2980" i="13"/>
  <c r="Z494" i="13"/>
  <c r="Z123" i="13"/>
  <c r="Z439" i="13"/>
  <c r="Z1748" i="13"/>
  <c r="Z1591" i="13"/>
  <c r="Z2866" i="13"/>
  <c r="Z1189" i="13"/>
  <c r="Z1200" i="13"/>
  <c r="Z1632" i="13"/>
  <c r="Z2701" i="13"/>
  <c r="Z3507" i="13"/>
  <c r="Z773" i="13"/>
  <c r="Z2014" i="13"/>
  <c r="Z972" i="13"/>
  <c r="Z335" i="13"/>
  <c r="Z2232" i="13"/>
  <c r="Z2084" i="13"/>
  <c r="Z1295" i="13"/>
  <c r="Z379" i="13"/>
  <c r="Z764" i="13"/>
  <c r="Z1684" i="13"/>
  <c r="Z1998" i="13"/>
  <c r="Z739" i="13"/>
  <c r="Z2264" i="13"/>
  <c r="Z2206" i="13"/>
  <c r="Z2834" i="13"/>
  <c r="Z508" i="13"/>
  <c r="Z3242" i="13"/>
  <c r="Z2783" i="13"/>
  <c r="Z1415" i="13"/>
  <c r="Z824" i="13"/>
  <c r="Z781" i="13"/>
  <c r="Z2759" i="13"/>
  <c r="Z2578" i="13"/>
  <c r="Z2862" i="13"/>
  <c r="Z2152" i="13"/>
  <c r="Z178" i="13"/>
  <c r="Z2234" i="13"/>
  <c r="Z3470" i="13"/>
  <c r="Z2674" i="13"/>
  <c r="Z1730" i="13"/>
  <c r="Z1926" i="13"/>
  <c r="Z2802" i="13"/>
  <c r="Z2381" i="13"/>
  <c r="Z2247" i="13"/>
  <c r="Z2331" i="13"/>
  <c r="Z1531" i="13"/>
  <c r="Z1029" i="13"/>
  <c r="Z816" i="13"/>
  <c r="Z1392" i="13"/>
  <c r="Z2585" i="13"/>
  <c r="Z3251" i="13"/>
  <c r="Z2456" i="13"/>
  <c r="Z2350" i="13"/>
  <c r="Z1025" i="13"/>
  <c r="Z64" i="13"/>
  <c r="Z2416" i="13"/>
  <c r="Z661" i="13"/>
  <c r="Z1638" i="13"/>
  <c r="Z3427" i="13"/>
  <c r="Z975" i="13"/>
  <c r="Z2119" i="13"/>
  <c r="Z1422" i="13"/>
  <c r="Z2059" i="13"/>
  <c r="Z2214" i="13"/>
  <c r="Z2897" i="13"/>
  <c r="Z348" i="13"/>
  <c r="Z1003" i="13"/>
  <c r="Z2743" i="13"/>
  <c r="Z295" i="13"/>
  <c r="Z2414" i="13"/>
  <c r="Z809" i="13"/>
  <c r="Z2292" i="13"/>
  <c r="Z1227" i="13"/>
  <c r="Z2248" i="13"/>
  <c r="Z1810" i="13"/>
  <c r="Z3107" i="13"/>
  <c r="Z2121" i="13"/>
  <c r="Z715" i="13"/>
  <c r="Z418" i="13"/>
  <c r="Z2125" i="13"/>
  <c r="Z3461" i="13"/>
  <c r="Z639" i="13"/>
  <c r="Z2486" i="13"/>
  <c r="Z3164" i="13"/>
  <c r="Z2720" i="13"/>
  <c r="Z1528" i="13"/>
  <c r="Z2622" i="13"/>
  <c r="Z305" i="13"/>
  <c r="Z685" i="13"/>
  <c r="Z160" i="13"/>
  <c r="Z1173" i="13"/>
  <c r="Z314" i="13"/>
  <c r="Z1840" i="13"/>
  <c r="Z546" i="13"/>
  <c r="Z2257" i="13"/>
  <c r="Z290" i="13"/>
  <c r="Z1971" i="13"/>
  <c r="Z3208" i="13"/>
  <c r="Z3212" i="13"/>
  <c r="Z718" i="13"/>
  <c r="Z3357" i="13"/>
  <c r="Z2916" i="13"/>
  <c r="Z3465" i="13"/>
  <c r="Z1917" i="13"/>
  <c r="Z1997" i="13"/>
  <c r="Z2405" i="13"/>
  <c r="Z1449" i="13"/>
  <c r="Z929" i="13"/>
  <c r="Z1630" i="13"/>
  <c r="Z2000" i="13"/>
  <c r="Z2483" i="13"/>
  <c r="Z3428" i="13"/>
  <c r="Z2682" i="13"/>
  <c r="Z3077" i="13"/>
  <c r="Z3467" i="13"/>
  <c r="Z2983" i="13"/>
  <c r="Z2307" i="13"/>
  <c r="Z3328" i="13"/>
  <c r="Z3293" i="13"/>
  <c r="Z1976" i="13"/>
  <c r="Z196" i="13"/>
  <c r="Z236" i="13"/>
  <c r="Z3385" i="13"/>
  <c r="Z2717" i="13"/>
  <c r="Z410" i="13"/>
  <c r="Z2262" i="13"/>
  <c r="Z2341" i="13"/>
  <c r="Z2646" i="13"/>
  <c r="Z3543" i="13"/>
  <c r="Z2305" i="13"/>
  <c r="Z1969" i="13"/>
  <c r="Z3426" i="13"/>
  <c r="Z2752" i="13"/>
  <c r="Z2438" i="13"/>
  <c r="Z3508" i="13"/>
  <c r="Z2728" i="13"/>
  <c r="Z1115" i="13"/>
  <c r="Z1051" i="13"/>
  <c r="Z2148" i="13"/>
  <c r="Z2346" i="13"/>
  <c r="Z3177" i="13"/>
  <c r="Z238" i="13"/>
  <c r="Z2291" i="13"/>
  <c r="Z1650" i="13"/>
  <c r="Z3517" i="13"/>
  <c r="Z3421" i="13"/>
  <c r="Z1459" i="13"/>
  <c r="Z432" i="13"/>
  <c r="Z3097" i="13"/>
  <c r="Z2266" i="13"/>
  <c r="Z1635" i="13"/>
  <c r="Z1286" i="13"/>
  <c r="Z3067" i="13"/>
  <c r="Z3179" i="13"/>
  <c r="Z3124" i="13"/>
  <c r="Z2539" i="13"/>
  <c r="Z2435" i="13"/>
  <c r="Z1660" i="13"/>
  <c r="Z480" i="13"/>
  <c r="Z2176" i="13"/>
  <c r="Z448" i="13"/>
  <c r="Z641" i="13"/>
  <c r="Z2182" i="13"/>
  <c r="Z1020" i="13"/>
  <c r="Z1368" i="13"/>
  <c r="Z3123" i="13"/>
  <c r="Z130" i="13"/>
  <c r="Z1567" i="13"/>
  <c r="Z2382" i="13"/>
  <c r="Z1121" i="13"/>
  <c r="Z2605" i="13"/>
  <c r="Z999" i="13"/>
  <c r="Z3364" i="13"/>
  <c r="Z1030" i="13"/>
  <c r="Z3511" i="13"/>
  <c r="Z2146" i="13"/>
  <c r="Z1569" i="13"/>
  <c r="Z1041" i="13"/>
  <c r="Z2803" i="13"/>
  <c r="Z3313" i="13"/>
  <c r="Z3336" i="13"/>
  <c r="Z3552" i="13"/>
  <c r="Z3019" i="13"/>
  <c r="Z1211" i="13"/>
  <c r="Z1043" i="13"/>
  <c r="Z2462" i="13"/>
  <c r="Z3345" i="13"/>
  <c r="Z2115" i="13"/>
  <c r="Z1999" i="13"/>
  <c r="Z3132" i="13"/>
  <c r="Z1727" i="13"/>
  <c r="Z79" i="13"/>
  <c r="Z1654" i="13"/>
  <c r="Z2028" i="13"/>
  <c r="Z1072" i="13"/>
  <c r="Z2180" i="13"/>
  <c r="Z2911" i="13"/>
  <c r="Z1017" i="13"/>
  <c r="Z3201" i="13"/>
  <c r="Z989" i="13"/>
  <c r="Z1529" i="13"/>
  <c r="Z2167" i="13"/>
  <c r="Z2867" i="13"/>
  <c r="Z3314" i="13"/>
  <c r="Z979" i="13"/>
  <c r="Z2043" i="13"/>
  <c r="Z2131" i="13"/>
  <c r="Z601" i="13"/>
  <c r="Z2086" i="13"/>
  <c r="Z3506" i="13"/>
  <c r="Z1306" i="13"/>
  <c r="Z155" i="13"/>
  <c r="Z3071" i="13"/>
  <c r="Z3284" i="13"/>
  <c r="Z1778" i="13"/>
  <c r="Z1362" i="13"/>
  <c r="Z1487" i="13"/>
  <c r="Z2546" i="13"/>
  <c r="Z590" i="13"/>
  <c r="Z2455" i="13"/>
  <c r="Z892" i="13"/>
  <c r="Z2196" i="13"/>
  <c r="Z2168" i="13"/>
  <c r="Z2552" i="13"/>
  <c r="Z1349" i="13"/>
  <c r="Z2229" i="13"/>
  <c r="Z1248" i="13"/>
  <c r="Z1495" i="13"/>
  <c r="Z2841" i="13"/>
  <c r="Z93" i="13"/>
  <c r="Z2050" i="13"/>
  <c r="Z3433" i="13"/>
  <c r="Z1228" i="13"/>
  <c r="Z2420" i="13"/>
  <c r="Z1752" i="13"/>
  <c r="Z99" i="13"/>
  <c r="Z1699" i="13"/>
  <c r="Z2709" i="13"/>
  <c r="Z581" i="13"/>
  <c r="Z1876" i="13"/>
  <c r="Z2418" i="13"/>
  <c r="Z1507" i="13"/>
  <c r="Z2356" i="13"/>
  <c r="Z2328" i="13"/>
  <c r="Z1736" i="13"/>
  <c r="Z2741" i="13"/>
  <c r="Z2226" i="13"/>
  <c r="Z247" i="13"/>
  <c r="Z1464" i="13"/>
  <c r="Z341" i="13"/>
  <c r="Z1232" i="13"/>
  <c r="Z1237" i="13"/>
  <c r="Z1140" i="13"/>
  <c r="Z1193" i="13"/>
  <c r="Z599" i="13"/>
  <c r="Z2490" i="13"/>
  <c r="Z2032" i="13"/>
  <c r="Z3539" i="13"/>
  <c r="Z1389" i="13"/>
  <c r="Z939" i="13"/>
  <c r="Z119" i="13"/>
  <c r="Z2219" i="13"/>
  <c r="Z1649" i="13"/>
  <c r="Z1758" i="13"/>
  <c r="Z3521" i="13"/>
  <c r="Z3536" i="13"/>
  <c r="Z1284" i="13"/>
  <c r="Z803" i="13"/>
  <c r="Z796" i="13"/>
  <c r="Z200" i="13"/>
  <c r="Z3166" i="13"/>
  <c r="Z789" i="13"/>
  <c r="Z275" i="13"/>
  <c r="Z2472" i="13"/>
  <c r="Z553" i="13"/>
  <c r="Z409" i="13"/>
  <c r="Z318" i="13"/>
  <c r="Z298" i="13"/>
  <c r="Z255" i="13"/>
  <c r="Z1946" i="13"/>
  <c r="Z1262" i="13"/>
  <c r="Z3350" i="13"/>
  <c r="Z1399" i="13"/>
  <c r="Z902" i="13"/>
  <c r="Z2491" i="13"/>
  <c r="Z2519" i="13"/>
  <c r="Z3199" i="13"/>
  <c r="Z403" i="13"/>
  <c r="Z3305" i="13"/>
  <c r="Z3059" i="13"/>
  <c r="Z1164" i="13"/>
  <c r="Z2053" i="13"/>
  <c r="Z1768" i="13"/>
  <c r="Z813" i="13"/>
  <c r="Z128" i="13"/>
  <c r="Z3022" i="13"/>
  <c r="Z766" i="13"/>
  <c r="Z3209" i="13"/>
  <c r="Z1673" i="13"/>
  <c r="Z1070" i="13"/>
  <c r="Z771" i="13"/>
  <c r="Z1851" i="13"/>
  <c r="Z629" i="13"/>
  <c r="Z3206" i="13"/>
  <c r="Z1943" i="13"/>
  <c r="Z1694" i="13"/>
  <c r="Z3178" i="13"/>
  <c r="Z359" i="13"/>
  <c r="Z1692" i="13"/>
  <c r="Z1737" i="13"/>
  <c r="Z2794" i="13"/>
  <c r="Z1170" i="13"/>
  <c r="Z1198" i="13"/>
  <c r="Z921" i="13"/>
  <c r="Z2063" i="13"/>
  <c r="Z2908" i="13"/>
  <c r="Z1985" i="13"/>
  <c r="Z2241" i="13"/>
  <c r="Z2785" i="13"/>
  <c r="Z3480" i="13"/>
  <c r="Z1787" i="13"/>
  <c r="Z3072" i="13"/>
  <c r="Z2951" i="13"/>
  <c r="Z1139" i="13"/>
  <c r="Z3203" i="13"/>
  <c r="Z1413" i="13"/>
  <c r="Z1759" i="13"/>
  <c r="Z1453" i="13"/>
  <c r="Z841" i="13"/>
  <c r="Z2337" i="13"/>
  <c r="Z2349" i="13"/>
  <c r="Z2950" i="13"/>
  <c r="Z3227" i="13"/>
  <c r="Z2225" i="13"/>
  <c r="Z3505" i="13"/>
  <c r="Z3160" i="13"/>
  <c r="Z3403" i="13"/>
  <c r="Z518" i="13"/>
  <c r="Z3138" i="13"/>
  <c r="Z3024" i="13"/>
  <c r="Z732" i="13"/>
  <c r="Z464" i="13"/>
  <c r="Z2656" i="13"/>
  <c r="Z2798" i="13"/>
  <c r="Z815" i="13"/>
  <c r="Z1893" i="13"/>
  <c r="Z2179" i="13"/>
  <c r="Z434" i="13"/>
  <c r="Z2705" i="13"/>
  <c r="Z2945" i="13"/>
  <c r="Z3023" i="13"/>
  <c r="Z3259" i="13"/>
  <c r="Z3416" i="13"/>
  <c r="Z3298" i="13"/>
  <c r="Z1614" i="13"/>
  <c r="Z2868" i="13"/>
  <c r="Z3280" i="13"/>
  <c r="Z1584" i="13"/>
  <c r="Z1763" i="13"/>
  <c r="Z2933" i="13"/>
  <c r="Z2250" i="13"/>
  <c r="Z253" i="13"/>
  <c r="Z1884" i="13"/>
  <c r="Z2095" i="13"/>
  <c r="Z3153" i="13"/>
  <c r="Z2808" i="13"/>
  <c r="Z2627" i="13"/>
  <c r="Z437" i="13"/>
  <c r="Z1488" i="13"/>
  <c r="Z1705" i="13"/>
  <c r="Z287" i="13"/>
  <c r="Z222" i="13"/>
  <c r="Z1606" i="13"/>
  <c r="Z3063" i="13"/>
  <c r="Z3457" i="13"/>
  <c r="Z2913" i="13"/>
  <c r="Z1526" i="13"/>
  <c r="Z3287" i="13"/>
  <c r="Z516" i="13"/>
  <c r="Z1217" i="13"/>
  <c r="Z2137" i="13"/>
  <c r="Z621" i="13"/>
  <c r="Z2887" i="13"/>
  <c r="Z378" i="13"/>
  <c r="Z2366" i="13"/>
  <c r="Z2404" i="13"/>
  <c r="Z232" i="13"/>
  <c r="Z424" i="13"/>
  <c r="Z192" i="13"/>
  <c r="Z216" i="13"/>
  <c r="Z293" i="13"/>
  <c r="Z1082" i="13"/>
  <c r="Z522" i="13"/>
  <c r="Z3268" i="13"/>
  <c r="Z1418" i="13"/>
  <c r="Z943" i="13"/>
  <c r="Z1821" i="13"/>
  <c r="Z1718" i="13"/>
  <c r="Z3183" i="13"/>
  <c r="Z2347" i="13"/>
  <c r="Z3060" i="13"/>
  <c r="Z3015" i="13"/>
  <c r="Z2876" i="13"/>
  <c r="Z3120" i="13"/>
  <c r="Z2169" i="13"/>
  <c r="Z1056" i="13"/>
  <c r="Z489" i="13"/>
  <c r="Z1242" i="13"/>
  <c r="Z2108" i="13"/>
  <c r="Z2294" i="13"/>
  <c r="Z3516" i="13"/>
  <c r="Z868" i="13"/>
  <c r="Z1717" i="13"/>
  <c r="Z1346" i="13"/>
  <c r="Z1831" i="13"/>
  <c r="Z1519" i="13"/>
  <c r="Z136" i="13"/>
  <c r="Z1098" i="13"/>
  <c r="Z34" i="13"/>
  <c r="Z2407" i="13"/>
  <c r="Z3315" i="13"/>
  <c r="Z3086" i="13"/>
  <c r="Z3376" i="13"/>
  <c r="Z461" i="13"/>
  <c r="Z3501" i="13"/>
  <c r="Z1108" i="13"/>
  <c r="Z1815" i="13"/>
  <c r="Z3542" i="13"/>
  <c r="Z1061" i="13"/>
  <c r="Z994" i="13"/>
  <c r="Z3411" i="13"/>
  <c r="Z2944" i="13"/>
  <c r="Z50" i="13"/>
  <c r="Z393" i="13"/>
  <c r="Z2699" i="13"/>
  <c r="Z3368" i="13"/>
  <c r="Z2479" i="13"/>
  <c r="Z537" i="13"/>
  <c r="Z893" i="13"/>
  <c r="Z1527" i="13"/>
  <c r="Z2903" i="13"/>
  <c r="Z2388" i="13"/>
  <c r="Z888" i="13"/>
  <c r="Z1960" i="13"/>
  <c r="Z1888" i="13"/>
  <c r="Z1667" i="13"/>
  <c r="Z2345" i="13"/>
  <c r="Z1439" i="13"/>
  <c r="Z2452" i="13"/>
  <c r="Z575" i="13"/>
  <c r="Z2224" i="13"/>
  <c r="Z887" i="13"/>
  <c r="Z2040" i="13"/>
  <c r="Z3413" i="13"/>
  <c r="Z113" i="13"/>
  <c r="Z935" i="13"/>
  <c r="Z1701" i="13"/>
  <c r="Z2372" i="13"/>
  <c r="Z1924" i="13"/>
  <c r="Z463" i="13"/>
  <c r="Z476" i="13"/>
  <c r="Z1802" i="13"/>
  <c r="Z2707" i="13"/>
  <c r="Z1484" i="13"/>
  <c r="Z1711" i="13"/>
  <c r="Z33" i="13"/>
  <c r="Z2799" i="13"/>
  <c r="Z132" i="13"/>
  <c r="Z956" i="13"/>
  <c r="Z2185" i="13"/>
  <c r="Z2765" i="13"/>
  <c r="Z140" i="13"/>
  <c r="Z210" i="13"/>
  <c r="Z1256" i="13"/>
  <c r="Z201" i="13"/>
  <c r="Z2101" i="13"/>
  <c r="Z1441" i="13"/>
  <c r="Z1671" i="13"/>
  <c r="Z3295" i="13"/>
  <c r="Z649" i="13"/>
  <c r="Z558" i="13"/>
  <c r="Z2445" i="13"/>
  <c r="Z1062" i="13"/>
  <c r="Z542" i="13"/>
  <c r="Z1841" i="13"/>
  <c r="Z2718" i="13"/>
  <c r="Z462" i="13"/>
  <c r="Z2344" i="13"/>
  <c r="Z1100" i="13"/>
  <c r="Z595" i="13"/>
  <c r="Z587" i="13"/>
  <c r="Z1624" i="13"/>
  <c r="Z392" i="13"/>
  <c r="Z1129" i="13"/>
  <c r="Z1601" i="13"/>
  <c r="Z1609" i="13"/>
  <c r="Z2448" i="13"/>
  <c r="Z2501" i="13"/>
  <c r="Z927" i="13"/>
  <c r="Z1022" i="13"/>
  <c r="Z1054" i="13"/>
  <c r="Z1314" i="13"/>
  <c r="Z2534" i="13"/>
  <c r="Z2761" i="13"/>
  <c r="Z2127" i="13"/>
  <c r="Z334" i="13"/>
  <c r="Z2970" i="13"/>
  <c r="Z1816" i="13"/>
  <c r="Z971" i="13"/>
  <c r="Z152" i="13"/>
  <c r="Z2056" i="13"/>
  <c r="Z635" i="13"/>
  <c r="Z180" i="13"/>
  <c r="Z65" i="13"/>
  <c r="Z45" i="13"/>
  <c r="Z2308" i="13"/>
  <c r="Z2990" i="13"/>
  <c r="Z429" i="13"/>
  <c r="Z2272" i="13"/>
  <c r="Z801" i="13"/>
  <c r="Z1351" i="13"/>
  <c r="Z66" i="13"/>
  <c r="Z2875" i="13"/>
  <c r="Z266" i="13"/>
  <c r="Z2081" i="13"/>
  <c r="Z3115" i="13"/>
  <c r="Z1247" i="13"/>
  <c r="Z1877" i="13"/>
  <c r="Z823" i="13"/>
  <c r="Z103" i="13"/>
  <c r="Z1833" i="13"/>
  <c r="Z748" i="13"/>
  <c r="Z2894" i="13"/>
  <c r="Z701" i="13"/>
  <c r="Z1321" i="13"/>
  <c r="Z1961" i="13"/>
  <c r="Z2965" i="13"/>
  <c r="Z316" i="13"/>
  <c r="Z369" i="13"/>
  <c r="Z2570" i="13"/>
  <c r="Z688" i="13"/>
  <c r="Z1504" i="13"/>
  <c r="Z3475" i="13"/>
  <c r="Z185" i="13"/>
  <c r="Z1493" i="13"/>
  <c r="Z3145" i="13"/>
  <c r="Z1483" i="13"/>
  <c r="Z1740" i="13"/>
  <c r="Z280" i="13"/>
  <c r="Z2425" i="13"/>
  <c r="Z883" i="13"/>
  <c r="Z149" i="13"/>
  <c r="Z2722" i="13"/>
  <c r="Z527" i="13"/>
  <c r="Z980" i="13"/>
  <c r="Z2389" i="13"/>
  <c r="Z472" i="13"/>
  <c r="Z2392" i="13"/>
  <c r="Z1455" i="13"/>
  <c r="Z1407" i="13"/>
  <c r="Z1664" i="13"/>
  <c r="Z1589" i="13"/>
  <c r="Z1182" i="13"/>
  <c r="Z357" i="13"/>
  <c r="Z2221" i="13"/>
  <c r="Z2657" i="13"/>
  <c r="Z3449" i="13"/>
  <c r="Z2287" i="13"/>
  <c r="Z2858" i="13"/>
  <c r="Z998" i="13"/>
  <c r="Z3281" i="13"/>
  <c r="Z1814" i="13"/>
  <c r="Z209" i="13"/>
  <c r="Z435" i="13"/>
  <c r="Z28" i="13"/>
  <c r="Z133" i="13"/>
  <c r="Z624" i="13"/>
  <c r="Z3477" i="13"/>
  <c r="Z850" i="13"/>
  <c r="Z2723" i="13"/>
  <c r="Z2536" i="13"/>
  <c r="Z877" i="13"/>
  <c r="Z555" i="13"/>
  <c r="Z131" i="13"/>
  <c r="Z557" i="13"/>
  <c r="Z3513" i="13"/>
  <c r="Z550" i="13"/>
  <c r="Z2939" i="13"/>
  <c r="Z1263" i="13"/>
  <c r="Z2003" i="13"/>
  <c r="Z1294" i="13"/>
  <c r="Z2563" i="13"/>
  <c r="Z3011" i="13"/>
  <c r="Z59" i="13"/>
  <c r="Z1817" i="13"/>
  <c r="Z1764" i="13"/>
  <c r="Z1093" i="13"/>
  <c r="Z97" i="13"/>
  <c r="Z983" i="13"/>
  <c r="Z3454" i="13"/>
  <c r="Z473" i="13"/>
  <c r="Z993" i="13"/>
  <c r="Z1337" i="13"/>
  <c r="Z25" i="13"/>
  <c r="Z949" i="13"/>
  <c r="Z3247" i="13"/>
  <c r="Z2634" i="13"/>
  <c r="Z2124" i="13"/>
  <c r="Z831" i="13"/>
  <c r="Z1354" i="13"/>
  <c r="Z1454" i="13"/>
  <c r="Z3337" i="13"/>
  <c r="Z912" i="13"/>
  <c r="Z2878" i="13"/>
  <c r="Z2174" i="13"/>
  <c r="Z1092" i="13"/>
  <c r="Z2664" i="13"/>
  <c r="Z3417" i="13"/>
  <c r="Z336" i="13"/>
  <c r="Z1234" i="13"/>
  <c r="Z779" i="13"/>
  <c r="Z1400" i="13"/>
  <c r="Z3027" i="13"/>
  <c r="Z48" i="13"/>
  <c r="Z483" i="13"/>
  <c r="Z731" i="13"/>
  <c r="Z2322" i="13"/>
  <c r="Z1219" i="13"/>
  <c r="Z1359" i="13"/>
  <c r="Z1050" i="13"/>
  <c r="Z1651" i="13"/>
  <c r="Z252" i="13"/>
  <c r="Z536" i="13"/>
  <c r="Z637" i="13"/>
  <c r="Z2685" i="13"/>
  <c r="Z2357" i="13"/>
  <c r="Z1307" i="13"/>
  <c r="Z3509" i="13"/>
  <c r="Z1756" i="13"/>
  <c r="Z2434" i="13"/>
  <c r="Z3061" i="13"/>
  <c r="Z1733" i="13"/>
  <c r="Z3551" i="13"/>
  <c r="Z2926" i="13"/>
  <c r="Z1475" i="13"/>
  <c r="Z2974" i="13"/>
  <c r="Z938" i="13"/>
  <c r="Z825" i="13"/>
  <c r="Z3359" i="13"/>
  <c r="Z269" i="13"/>
  <c r="Z2326" i="13"/>
  <c r="Z493" i="13"/>
  <c r="Z2839" i="13"/>
  <c r="Z1681" i="13"/>
  <c r="Z2623" i="13"/>
  <c r="Z854" i="13"/>
  <c r="Z1695" i="13"/>
  <c r="Z407" i="13"/>
  <c r="Z932" i="13"/>
  <c r="Z2729" i="13"/>
  <c r="Z2094" i="13"/>
  <c r="Z820" i="13"/>
  <c r="Z2072" i="13"/>
  <c r="Z169" i="13"/>
  <c r="Z2909" i="13"/>
  <c r="Z2714" i="13"/>
  <c r="Z2681" i="13"/>
  <c r="Z430" i="13"/>
  <c r="Z1505" i="13"/>
  <c r="Z1465" i="13"/>
  <c r="Z1989" i="13"/>
  <c r="Z2351" i="13"/>
  <c r="Z726" i="13"/>
  <c r="Z1842" i="13"/>
  <c r="Z1910" i="13"/>
  <c r="Z1299" i="13"/>
  <c r="Z2966" i="13"/>
  <c r="Z683" i="13"/>
  <c r="Z300" i="13"/>
  <c r="Z2068" i="13"/>
  <c r="Z2893" i="13"/>
  <c r="Z415" i="13"/>
  <c r="Z1838" i="13"/>
  <c r="Z2442" i="13"/>
  <c r="Z3210" i="13"/>
  <c r="Z2338" i="13"/>
  <c r="Z552" i="13"/>
  <c r="Z2189" i="13"/>
  <c r="Z1513" i="13"/>
  <c r="Z1689" i="13"/>
  <c r="Z2476" i="13"/>
  <c r="Z867" i="13"/>
  <c r="Z3066" i="13"/>
  <c r="Z3406" i="13"/>
  <c r="Z455" i="13"/>
  <c r="Z1586" i="13"/>
  <c r="Z1918" i="13"/>
  <c r="Z2296" i="13"/>
  <c r="Z1854" i="13"/>
  <c r="Z1348" i="13"/>
  <c r="Z364" i="13"/>
  <c r="Z1973" i="13"/>
  <c r="Z1539" i="13"/>
  <c r="Z996" i="13"/>
  <c r="Z496" i="13"/>
  <c r="Z3219" i="13"/>
  <c r="Z3434" i="13"/>
  <c r="Z1595" i="13"/>
  <c r="Z859" i="13"/>
  <c r="Z2516" i="13"/>
  <c r="Z1772" i="13"/>
  <c r="Z179" i="13"/>
  <c r="Z1725" i="13"/>
  <c r="Z1850" i="13"/>
  <c r="Z307" i="13"/>
  <c r="Z655" i="13"/>
  <c r="Z1340" i="13"/>
  <c r="Z1149" i="13"/>
  <c r="Z304" i="13"/>
  <c r="Z1712" i="13"/>
  <c r="Z1760" i="13"/>
  <c r="Z964" i="13"/>
  <c r="Z1148" i="13"/>
  <c r="Z2130" i="13"/>
  <c r="Z2450" i="13"/>
  <c r="Z1548" i="13"/>
  <c r="Z3263" i="13"/>
  <c r="Z2528" i="13"/>
  <c r="Z1253" i="13"/>
  <c r="Z1672" i="13"/>
  <c r="Z667" i="13"/>
  <c r="Z1780" i="13"/>
  <c r="Z143" i="13"/>
  <c r="Z605" i="13"/>
  <c r="Z1177" i="13"/>
  <c r="Z2355" i="13"/>
  <c r="Z2777" i="13"/>
  <c r="Z2246" i="13"/>
  <c r="Z606" i="13"/>
  <c r="Z762" i="13"/>
  <c r="Z1955" i="13"/>
  <c r="Z822" i="13"/>
  <c r="Z2942" i="13"/>
  <c r="Z1127" i="13"/>
  <c r="Z1516" i="13"/>
  <c r="Z1549" i="13"/>
  <c r="Z2233" i="13"/>
  <c r="Z467" i="13"/>
  <c r="Z1315" i="13"/>
  <c r="Z1099" i="13"/>
  <c r="Z101" i="13"/>
  <c r="Z915" i="13"/>
  <c r="Z2316" i="13"/>
  <c r="Z808" i="13"/>
  <c r="Z138" i="13"/>
  <c r="Z1118" i="13"/>
  <c r="Z506" i="13"/>
  <c r="Z3333" i="13"/>
  <c r="Z1090" i="13"/>
  <c r="Z1290" i="13"/>
  <c r="Z694" i="13"/>
  <c r="Z2150" i="13"/>
  <c r="Z1643" i="13"/>
  <c r="Z2297" i="13"/>
  <c r="Z2510" i="13"/>
  <c r="Z765" i="13"/>
  <c r="Z145" i="13"/>
  <c r="Z981" i="13"/>
  <c r="Z1796" i="13"/>
  <c r="Z325" i="13"/>
  <c r="Z2618" i="13"/>
  <c r="Z1181" i="13"/>
  <c r="Z1266" i="13"/>
  <c r="Z361" i="13"/>
  <c r="Z586" i="13"/>
  <c r="Z358" i="13"/>
  <c r="Z194" i="13"/>
  <c r="Z1370" i="13"/>
  <c r="Z878" i="13"/>
  <c r="Z398" i="13"/>
  <c r="Z2591" i="13"/>
  <c r="Z1156" i="13"/>
  <c r="Z700" i="13"/>
  <c r="Z632" i="13"/>
  <c r="Z620" i="13"/>
  <c r="Z1044" i="13"/>
  <c r="Z228" i="13"/>
  <c r="Z2898" i="13"/>
  <c r="Z268" i="13"/>
  <c r="Z264" i="13"/>
  <c r="Z571" i="13"/>
  <c r="Z1424" i="13"/>
  <c r="Z507" i="13"/>
  <c r="Z2922" i="13"/>
  <c r="Z1604" i="13"/>
  <c r="Z401" i="13"/>
  <c r="Z1065" i="13"/>
  <c r="Z848" i="13"/>
  <c r="Z961" i="13"/>
  <c r="Z2504" i="13"/>
  <c r="Z1956" i="13"/>
  <c r="Z220" i="13"/>
  <c r="Z560" i="13"/>
  <c r="Z1231" i="13"/>
  <c r="Z2440" i="13"/>
  <c r="Z57" i="13"/>
  <c r="Z788" i="13"/>
  <c r="Z1790" i="13"/>
  <c r="Z1993" i="13"/>
  <c r="Z1304" i="13"/>
  <c r="Z1913" i="13"/>
  <c r="Z2212" i="13"/>
  <c r="Z1171" i="13"/>
  <c r="Z1280" i="13"/>
  <c r="Z691" i="13"/>
  <c r="Z1385" i="13"/>
  <c r="Z2616" i="13"/>
  <c r="Z242" i="13"/>
  <c r="Z735" i="13"/>
  <c r="Z1179" i="13"/>
  <c r="Z2045" i="13"/>
  <c r="Z75" i="13"/>
  <c r="Z2531" i="13"/>
  <c r="Z2077" i="13"/>
  <c r="Z2205" i="13"/>
  <c r="Z2079" i="13"/>
  <c r="Z2047" i="13"/>
  <c r="Z60" i="13"/>
  <c r="Z2304" i="13"/>
  <c r="Z51" i="13"/>
  <c r="Z2958" i="13"/>
  <c r="Z1245" i="13"/>
  <c r="Z1709" i="13"/>
  <c r="Z3327" i="13"/>
  <c r="Z611" i="13"/>
  <c r="Z2757" i="13"/>
  <c r="Z258" i="13"/>
  <c r="Z1678" i="13"/>
  <c r="Z1693" i="13"/>
  <c r="Z1766" i="13"/>
  <c r="Z110" i="13"/>
  <c r="Z1719" i="13"/>
  <c r="Z1951" i="13"/>
  <c r="Z633" i="13"/>
  <c r="Z2465" i="13"/>
  <c r="Z1919" i="13"/>
  <c r="Z2443" i="13"/>
  <c r="Z988" i="13"/>
  <c r="Z2144" i="13"/>
  <c r="Z1328" i="13"/>
  <c r="Z1945" i="13"/>
  <c r="Z211" i="13"/>
  <c r="Z329" i="13"/>
  <c r="Z89" i="13"/>
  <c r="Z3274" i="13"/>
  <c r="Z1537" i="13"/>
  <c r="Z576" i="13"/>
  <c r="Z3278" i="13"/>
  <c r="Z1685" i="13"/>
  <c r="Z817" i="13"/>
  <c r="Z1515" i="13"/>
  <c r="Z442" i="13"/>
  <c r="Z2375" i="13"/>
  <c r="Z1996" i="13"/>
  <c r="Z2230" i="13"/>
  <c r="Z2556" i="13"/>
  <c r="Z2691" i="13"/>
  <c r="Z2793" i="13"/>
  <c r="Z901" i="13"/>
  <c r="Z417" i="13"/>
  <c r="Z2871" i="13"/>
  <c r="Z797" i="13"/>
  <c r="Z2873" i="13"/>
  <c r="Z704" i="13"/>
  <c r="Z498" i="13"/>
  <c r="Z1026" i="13"/>
  <c r="Z1226" i="13"/>
  <c r="Z1963" i="13"/>
  <c r="Z3035" i="13"/>
  <c r="Z2764" i="13"/>
  <c r="Z3453" i="13"/>
  <c r="Z2263" i="13"/>
  <c r="Z2912" i="13"/>
  <c r="Z2826" i="13"/>
  <c r="Z2985" i="13"/>
  <c r="Z563" i="13"/>
  <c r="Z864" i="13"/>
  <c r="Z2855" i="13"/>
  <c r="Z1509" i="13"/>
  <c r="Z2661" i="13"/>
  <c r="Z2830" i="13"/>
  <c r="Z1670" i="13"/>
  <c r="Z3546" i="13"/>
  <c r="Z1542" i="13"/>
  <c r="Z2874" i="13"/>
  <c r="Z1953" i="13"/>
  <c r="Z3512" i="13"/>
  <c r="Z482" i="13"/>
  <c r="Z2075" i="13"/>
  <c r="Z2015" i="13"/>
  <c r="Z695" i="13"/>
  <c r="Z204" i="13"/>
  <c r="Z2590" i="13"/>
  <c r="Z1120" i="13"/>
  <c r="Z221" i="13"/>
  <c r="Z384" i="13"/>
  <c r="Z375" i="13"/>
  <c r="Z234" i="13"/>
  <c r="Z62" i="13"/>
  <c r="Z1986" i="13"/>
  <c r="Z1653" i="13"/>
  <c r="Z2031" i="13"/>
  <c r="Z1891" i="13"/>
  <c r="Z3026" i="13"/>
  <c r="Z1734" i="13"/>
  <c r="Z2991" i="13"/>
  <c r="Z2527" i="13"/>
  <c r="Z1011" i="13"/>
  <c r="Z3338" i="13"/>
  <c r="Z2489" i="13"/>
  <c r="Z1633" i="13"/>
  <c r="Z675" i="13"/>
  <c r="Z987" i="13"/>
  <c r="Z2523" i="13"/>
  <c r="Z2838" i="13"/>
  <c r="Z3479" i="13"/>
  <c r="Z2715" i="13"/>
  <c r="Z1522" i="13"/>
  <c r="Z636" i="13"/>
  <c r="Z224" i="13"/>
  <c r="Z321" i="13"/>
  <c r="Z3118" i="13"/>
  <c r="Z1191" i="13"/>
  <c r="Z1923" i="13"/>
  <c r="Z2938" i="13"/>
  <c r="Z1326" i="13"/>
  <c r="Z3308" i="13"/>
  <c r="Z1394" i="13"/>
  <c r="Z3309" i="13"/>
  <c r="Z535" i="13"/>
  <c r="Z2286" i="13"/>
  <c r="Z619" i="13"/>
  <c r="Z1574" i="13"/>
  <c r="Z665" i="13"/>
  <c r="Z1310" i="13"/>
  <c r="Z1048" i="13"/>
  <c r="Z1260" i="13"/>
  <c r="Z2261" i="13"/>
  <c r="Z1600" i="13"/>
  <c r="Z1769" i="13"/>
  <c r="Z3082" i="13"/>
  <c r="Z509" i="13"/>
  <c r="Z2640" i="13"/>
  <c r="Z2428" i="13"/>
  <c r="Z2359" i="13"/>
  <c r="Z3080" i="13"/>
  <c r="Z3231" i="13"/>
  <c r="Z3129" i="13"/>
  <c r="Z2677" i="13"/>
  <c r="Z2663" i="13"/>
  <c r="Z3055" i="13"/>
  <c r="Z2497" i="13"/>
  <c r="Z3490" i="13"/>
  <c r="Z3232" i="13"/>
  <c r="Z2775" i="13"/>
  <c r="Z3523" i="13"/>
  <c r="Z127" i="13"/>
  <c r="Z1811" i="13"/>
  <c r="Z3290" i="13"/>
  <c r="Z3127" i="13"/>
  <c r="Z2449" i="13"/>
  <c r="Z1068" i="13"/>
  <c r="Z928" i="13"/>
  <c r="Z3246" i="13"/>
  <c r="Z2385" i="13"/>
  <c r="Z1895" i="13"/>
  <c r="Z2719" i="13"/>
  <c r="Z1001" i="13"/>
  <c r="Z1138" i="13"/>
  <c r="Z3034" i="13"/>
  <c r="Z3028" i="13"/>
  <c r="Z2098" i="13"/>
  <c r="Z2684" i="13"/>
  <c r="Z2103" i="13"/>
  <c r="Z2259" i="13"/>
  <c r="Z2779" i="13"/>
  <c r="Z1345" i="13"/>
  <c r="Z2343" i="13"/>
  <c r="Z3446" i="13"/>
  <c r="Z205" i="13"/>
  <c r="Z3264" i="13"/>
  <c r="Z73" i="13"/>
  <c r="Z2806" i="13"/>
  <c r="Z3304" i="13"/>
  <c r="Z2853" i="13"/>
  <c r="Z1481" i="13"/>
  <c r="Z3041" i="13"/>
  <c r="Z3484" i="13"/>
  <c r="Z1358" i="13"/>
  <c r="Z579" i="13"/>
  <c r="Z1343" i="13"/>
  <c r="Z3173" i="13"/>
  <c r="Z428" i="13"/>
  <c r="Z1341" i="13"/>
  <c r="Z1327" i="13"/>
  <c r="Z412" i="13"/>
  <c r="Z609" i="13"/>
  <c r="Z380" i="13"/>
  <c r="Z1886" i="13"/>
  <c r="Z80" i="13"/>
  <c r="Z1508" i="13"/>
  <c r="Z911" i="13"/>
  <c r="Z2562" i="13"/>
  <c r="Z167" i="13"/>
  <c r="Z959" i="13"/>
  <c r="Z767" i="13"/>
  <c r="Z469" i="13"/>
  <c r="Z1902" i="13"/>
  <c r="Z1523" i="13"/>
  <c r="Z1446" i="13"/>
  <c r="Z2074" i="13"/>
  <c r="Z946" i="13"/>
  <c r="Z3065" i="13"/>
  <c r="Z470" i="13"/>
  <c r="Z1873" i="13"/>
  <c r="Z3093" i="13"/>
  <c r="Z1124" i="13"/>
  <c r="Z933" i="13"/>
  <c r="Z353" i="13"/>
  <c r="Z125" i="13"/>
  <c r="Z2865" i="13"/>
  <c r="Z443" i="13"/>
  <c r="Z2518" i="13"/>
  <c r="Z2093" i="13"/>
  <c r="Z2587" i="13"/>
  <c r="Z1801" i="13"/>
  <c r="Z1308" i="13"/>
  <c r="Z1812" i="13"/>
  <c r="Z1059" i="13"/>
  <c r="Z1005" i="13"/>
  <c r="Z830" i="13"/>
  <c r="Z2509" i="13"/>
  <c r="Z2433" i="13"/>
  <c r="Z166" i="13"/>
  <c r="Z2982" i="13"/>
  <c r="Z2484" i="13"/>
  <c r="Z957" i="13"/>
  <c r="Z608" i="13"/>
  <c r="Z1869" i="13"/>
  <c r="Z985" i="13"/>
  <c r="Z2594" i="13"/>
  <c r="Z2447" i="13"/>
  <c r="Z1172" i="13"/>
  <c r="Z656" i="13"/>
  <c r="Z3422" i="13"/>
  <c r="Z1555" i="13"/>
  <c r="Z288" i="13"/>
  <c r="Z1724" i="13"/>
  <c r="Z1132" i="13"/>
  <c r="Z740" i="13"/>
  <c r="Z780" i="13"/>
  <c r="Z1331" i="13"/>
  <c r="Z1259" i="13"/>
  <c r="Z2228" i="13"/>
  <c r="Z1577" i="13"/>
  <c r="Z772" i="13"/>
  <c r="Z284" i="13"/>
  <c r="Z2066" i="13"/>
  <c r="Z3054" i="13"/>
  <c r="Z297" i="13"/>
  <c r="Z1890" i="13"/>
  <c r="Z2608" i="13"/>
  <c r="Z750" i="13"/>
  <c r="Z2711" i="13"/>
  <c r="Z3270" i="13"/>
  <c r="Z1075" i="13"/>
  <c r="Z1982" i="13"/>
  <c r="Z2265" i="13"/>
  <c r="Z83" i="13"/>
  <c r="Z2309" i="13"/>
  <c r="Z1599" i="13"/>
  <c r="Z1086" i="13"/>
  <c r="Z374" i="13"/>
  <c r="Z1218" i="13"/>
  <c r="Z2391" i="13"/>
  <c r="Z404" i="13"/>
  <c r="Z1355" i="13"/>
  <c r="Z2254" i="13"/>
  <c r="Z1641" i="13"/>
  <c r="Z3043" i="13"/>
  <c r="Z2901" i="13"/>
  <c r="Z1793" i="13"/>
  <c r="Z2524" i="13"/>
  <c r="Z1967" i="13"/>
  <c r="Z846" i="13"/>
  <c r="Z2638" i="13"/>
  <c r="Z3401" i="13"/>
  <c r="Z2496" i="13"/>
  <c r="Z2325" i="13"/>
  <c r="Z1499" i="13"/>
  <c r="Z3545" i="13"/>
  <c r="Z791" i="13"/>
  <c r="Z1870" i="13"/>
  <c r="Z653" i="13"/>
  <c r="Z495" i="13"/>
  <c r="Z2906" i="13"/>
  <c r="Z24" i="13"/>
  <c r="Z1908" i="13"/>
  <c r="Z263" i="13"/>
  <c r="Z191" i="13"/>
  <c r="Z1388" i="13"/>
  <c r="Z705" i="13"/>
  <c r="Z1580" i="13"/>
  <c r="Z3029" i="13"/>
  <c r="Z1112" i="13"/>
  <c r="Z617" i="13"/>
  <c r="Z47" i="13"/>
  <c r="Z1246" i="13"/>
  <c r="Z510" i="13"/>
  <c r="Z1915" i="13"/>
  <c r="Z2054" i="13"/>
  <c r="Z1954" i="13"/>
  <c r="Z504" i="13"/>
  <c r="Z49" i="13"/>
  <c r="Z1293" i="13"/>
  <c r="Z377" i="13"/>
  <c r="Z3273" i="13"/>
  <c r="Z951" i="13"/>
  <c r="Z3235" i="13"/>
  <c r="Z2609" i="13"/>
  <c r="Z954" i="13"/>
  <c r="Z2118" i="13"/>
  <c r="Z829" i="13"/>
  <c r="Z696" i="13"/>
  <c r="Z1136" i="13"/>
  <c r="Z769" i="13"/>
  <c r="Z500" i="13"/>
  <c r="Z1387" i="13"/>
  <c r="Z1013" i="13"/>
  <c r="Z1742" i="13"/>
  <c r="Z122" i="13"/>
  <c r="Z2299" i="13"/>
  <c r="Z623" i="13"/>
  <c r="Z1533" i="13"/>
  <c r="Z874" i="13"/>
  <c r="Z2650" i="13"/>
  <c r="Z1992" i="13"/>
  <c r="Z1339" i="13"/>
  <c r="Z218" i="13"/>
  <c r="Z2733" i="13"/>
  <c r="Z2993" i="13"/>
  <c r="Z1783" i="13"/>
  <c r="Z3408" i="13"/>
  <c r="Z2710" i="13"/>
  <c r="Z3218" i="13"/>
  <c r="Z1844" i="13"/>
  <c r="Z1655" i="13"/>
  <c r="Z861" i="13"/>
  <c r="Z1128" i="13"/>
  <c r="Z945" i="13"/>
  <c r="Z1968" i="13"/>
  <c r="Z370" i="13"/>
  <c r="Z2035" i="13"/>
  <c r="Z1338" i="13"/>
  <c r="Z3088" i="13"/>
  <c r="Z1285" i="13"/>
  <c r="Z175" i="13"/>
  <c r="Z1336" i="13"/>
  <c r="Z373" i="13"/>
  <c r="Z2370" i="13"/>
  <c r="Z2238" i="13"/>
  <c r="Z117" i="13"/>
  <c r="Z3402" i="13"/>
  <c r="Z1187" i="13"/>
  <c r="Z920" i="13"/>
  <c r="Z2786" i="13"/>
  <c r="Z3283" i="13"/>
  <c r="Z1962" i="13"/>
  <c r="Z643" i="13"/>
  <c r="Z583" i="13"/>
  <c r="Z2162" i="13"/>
  <c r="Z2210" i="13"/>
  <c r="Z1023" i="13"/>
  <c r="Z1668" i="13"/>
  <c r="Z1144" i="13"/>
  <c r="Z2164" i="13"/>
  <c r="Z597" i="13"/>
  <c r="Z776" i="13"/>
  <c r="Z1988" i="13"/>
  <c r="Z539" i="13"/>
  <c r="Z1213" i="13"/>
  <c r="Z1360" i="13"/>
  <c r="Z804" i="13"/>
  <c r="Z2986" i="13"/>
  <c r="Z1771" i="13"/>
  <c r="Z763" i="13"/>
  <c r="Z2698" i="13"/>
  <c r="Z759" i="13"/>
  <c r="Z1393" i="13"/>
  <c r="Z3009" i="13"/>
  <c r="Z502" i="13"/>
  <c r="Z1853" i="13"/>
  <c r="Z2184" i="13"/>
  <c r="Z708" i="13"/>
  <c r="Z682" i="13"/>
  <c r="Z1934" i="13"/>
  <c r="Z807" i="13"/>
  <c r="Z1741" i="13"/>
  <c r="Z1939" i="13"/>
  <c r="Z2929" i="13"/>
  <c r="Z1498" i="13"/>
  <c r="Z3223" i="13"/>
  <c r="Z1612" i="13"/>
  <c r="Z289" i="13"/>
  <c r="Z904" i="13"/>
  <c r="Z351" i="13"/>
  <c r="Z1611" i="13"/>
  <c r="Z1590" i="13"/>
  <c r="Z365" i="13"/>
  <c r="Z2959" i="13"/>
  <c r="Z2694" i="13"/>
  <c r="Z934" i="13"/>
  <c r="Z2914" i="13"/>
  <c r="Z1749" i="13"/>
  <c r="Z744" i="13"/>
  <c r="Z3189" i="13"/>
  <c r="Z1269" i="13"/>
  <c r="Z986" i="13"/>
  <c r="Z2358" i="13"/>
  <c r="Z2730" i="13"/>
  <c r="Z2788" i="13"/>
  <c r="Z3526" i="13"/>
  <c r="Z2001" i="13"/>
  <c r="Z3432" i="13"/>
  <c r="Z444" i="13"/>
  <c r="Z2778" i="13"/>
  <c r="Z2178" i="13"/>
  <c r="Z1773" i="13"/>
  <c r="Z925" i="13"/>
  <c r="Z1249" i="13"/>
  <c r="Z302" i="13"/>
  <c r="Z582" i="13"/>
  <c r="Z1566" i="13"/>
  <c r="Z2007" i="13"/>
  <c r="Z2934" i="13"/>
  <c r="Z3163" i="13"/>
  <c r="Z2065" i="13"/>
  <c r="Z1063" i="13"/>
  <c r="Z1221" i="13"/>
  <c r="Z3193" i="13"/>
  <c r="Z1325" i="13"/>
  <c r="Z869" i="13"/>
  <c r="Z673" i="13"/>
  <c r="Z1275" i="13"/>
  <c r="Z2907" i="13"/>
  <c r="Z2747" i="13"/>
  <c r="Z2295" i="13"/>
  <c r="Z2659" i="13"/>
  <c r="Z3478" i="13"/>
  <c r="Z2928" i="13"/>
  <c r="Z3497" i="13"/>
  <c r="Z1460" i="13"/>
  <c r="Z1637" i="13"/>
  <c r="Z1073" i="13"/>
  <c r="Z2482" i="13"/>
  <c r="Z2665" i="13"/>
  <c r="Z2734" i="13"/>
  <c r="Z900" i="13"/>
  <c r="Z85" i="13"/>
  <c r="Z1395" i="13"/>
  <c r="Z248" i="13"/>
  <c r="Z2569" i="13"/>
  <c r="Z1789" i="13"/>
  <c r="Z1095" i="13"/>
  <c r="Z3381" i="13"/>
  <c r="Z1197" i="13"/>
  <c r="Z1559" i="13"/>
  <c r="Z2352" i="13"/>
  <c r="Z1889" i="13"/>
  <c r="Z411" i="13"/>
  <c r="Z1532" i="13"/>
  <c r="Z784" i="13"/>
  <c r="Z1885" i="13"/>
  <c r="Z193" i="13"/>
  <c r="Z1081" i="13"/>
  <c r="Z1907" i="13"/>
  <c r="Z615" i="13"/>
  <c r="Z1110" i="13"/>
  <c r="Z1084" i="13"/>
  <c r="Z389" i="13"/>
  <c r="Z2165" i="13"/>
  <c r="Z559" i="13"/>
  <c r="Z857" i="13"/>
  <c r="Z2669" i="13"/>
  <c r="Z1145" i="13"/>
  <c r="Z2625" i="13"/>
  <c r="Z1511" i="13"/>
  <c r="Z2477" i="13"/>
  <c r="Z3455" i="13"/>
  <c r="Z2027" i="13"/>
  <c r="Z2070" i="13"/>
  <c r="Z1150" i="13"/>
  <c r="Z2739" i="13"/>
  <c r="Z3256" i="13"/>
  <c r="Z2940" i="13"/>
  <c r="Z3099" i="13"/>
  <c r="Z1972" i="13"/>
  <c r="Z968" i="13"/>
  <c r="Z1000" i="13"/>
  <c r="Z819" i="13"/>
  <c r="Z2188" i="13"/>
  <c r="Z3525" i="13"/>
  <c r="Z2463" i="13"/>
  <c r="Z2364" i="13"/>
  <c r="Z3378" i="13"/>
  <c r="Z1682" i="13"/>
  <c r="Z3548" i="13"/>
  <c r="Z1468" i="13"/>
  <c r="Z2953" i="13"/>
  <c r="Z3438" i="13"/>
  <c r="Z1965" i="13"/>
  <c r="Z2088" i="13"/>
  <c r="Z1268" i="13"/>
  <c r="Z306" i="13"/>
  <c r="Z698" i="13"/>
  <c r="Z1594" i="13"/>
  <c r="Z3351" i="13"/>
  <c r="Z1927" i="13"/>
  <c r="Z3425" i="13"/>
  <c r="Z2679" i="13"/>
  <c r="Z2110" i="13"/>
  <c r="Z3125" i="13"/>
  <c r="Z863" i="13"/>
  <c r="Z1798" i="13"/>
  <c r="Z2607" i="13"/>
  <c r="Z2800" i="13"/>
  <c r="Z3472" i="13"/>
  <c r="Z2466" i="13"/>
  <c r="Z187" i="13"/>
  <c r="Z3534" i="13"/>
  <c r="Z1639" i="13"/>
  <c r="Z1378" i="13"/>
  <c r="Z1835" i="13"/>
  <c r="Z2967" i="13"/>
  <c r="Z3207" i="13"/>
  <c r="Z724" i="13"/>
  <c r="Z2061" i="13"/>
  <c r="Z2581" i="13"/>
  <c r="Z745" i="13"/>
  <c r="Z2655" i="13"/>
  <c r="Z2270" i="13"/>
  <c r="Z2277" i="13"/>
  <c r="Z330" i="13"/>
  <c r="Z2500" i="13"/>
  <c r="Z1808" i="13"/>
  <c r="Z1922" i="13"/>
  <c r="Z2923" i="13"/>
  <c r="Z3100" i="13"/>
  <c r="Z1860" i="13"/>
  <c r="Z973" i="13"/>
  <c r="Z1626" i="13"/>
  <c r="Z2492" i="13"/>
  <c r="Z2630" i="13"/>
  <c r="Z3252" i="13"/>
  <c r="Z2880" i="13"/>
  <c r="Z416" i="13"/>
  <c r="Z1904" i="13"/>
  <c r="Z1774" i="13"/>
  <c r="Z2740" i="13"/>
  <c r="Z2680" i="13"/>
  <c r="Z1797" i="13"/>
  <c r="Z114" i="13"/>
  <c r="Z651" i="13"/>
  <c r="Z1096" i="13"/>
  <c r="Z1437" i="13"/>
  <c r="Z2586" i="13"/>
  <c r="Z3388" i="13"/>
  <c r="Z889" i="13"/>
  <c r="Z3105" i="13"/>
  <c r="Z1091" i="13"/>
  <c r="Z2732" i="13"/>
  <c r="Z687" i="13"/>
  <c r="Z36" i="13"/>
  <c r="Z1302" i="13"/>
  <c r="Z1296" i="13"/>
  <c r="Z2879" i="13"/>
  <c r="Z3510" i="13"/>
  <c r="Z2290" i="13"/>
  <c r="Z709" i="13"/>
  <c r="Z1207" i="13"/>
  <c r="Z2116" i="13"/>
  <c r="Z279" i="13"/>
  <c r="Z1039" i="13"/>
  <c r="Z2132" i="13"/>
  <c r="Z2584" i="13"/>
  <c r="Z491" i="13"/>
  <c r="Z172" i="13"/>
  <c r="Z924" i="13"/>
  <c r="Z1800" i="13"/>
  <c r="Z593" i="13"/>
  <c r="Z1644" i="13"/>
  <c r="Z1477" i="13"/>
  <c r="Z1675" i="13"/>
  <c r="Z2632" i="13"/>
  <c r="Z317" i="13"/>
  <c r="Z2052" i="13"/>
  <c r="Z2549" i="13"/>
  <c r="Z214" i="13"/>
  <c r="Z1952" i="13"/>
  <c r="Z3326" i="13"/>
  <c r="Z3486" i="13"/>
  <c r="Z1547" i="13"/>
  <c r="Z1379" i="13"/>
  <c r="Z903" i="13"/>
  <c r="Z2171" i="13"/>
  <c r="Z2288" i="13"/>
  <c r="Z1330" i="13"/>
  <c r="Z631" i="13"/>
  <c r="Z2436" i="13"/>
  <c r="Z339" i="13"/>
  <c r="Z1621" i="13"/>
  <c r="Z3363" i="13"/>
  <c r="Z2301" i="13"/>
  <c r="Z882" i="13"/>
  <c r="Z2467" i="13"/>
  <c r="Z3182" i="13"/>
  <c r="Z752" i="13"/>
  <c r="Z1002" i="13"/>
  <c r="Z786" i="13"/>
  <c r="Z1273" i="13"/>
  <c r="Z1239" i="13"/>
  <c r="Z3003" i="13"/>
  <c r="Z2833" i="13"/>
  <c r="Z2713" i="13"/>
  <c r="Z1738" i="13"/>
  <c r="Z812" i="13"/>
  <c r="Z659" i="13"/>
  <c r="Z1053" i="13"/>
  <c r="Z2112" i="13"/>
  <c r="Z2361" i="13"/>
  <c r="Z1241" i="13"/>
  <c r="Z1959" i="13"/>
  <c r="Z3068" i="13"/>
  <c r="Z3276" i="13"/>
  <c r="Z2690" i="13"/>
  <c r="Z3083" i="13"/>
  <c r="Z100" i="13"/>
  <c r="Z2706" i="13"/>
  <c r="Z2216" i="13"/>
  <c r="Z1264" i="13"/>
  <c r="Z3498" i="13"/>
  <c r="Z3038" i="13"/>
  <c r="Z286" i="13"/>
  <c r="Z2493" i="13"/>
  <c r="Z267" i="13"/>
  <c r="Z1819" i="13"/>
  <c r="Z3130" i="13"/>
  <c r="Z2872" i="13"/>
  <c r="Z3518" i="13"/>
  <c r="Z1277" i="13"/>
  <c r="Z549" i="13"/>
  <c r="Z1545" i="13"/>
  <c r="Z1618" i="13"/>
  <c r="Z3473" i="13"/>
  <c r="Z2712" i="13"/>
  <c r="Z3384" i="13"/>
  <c r="Z2409" i="13"/>
  <c r="Z3103" i="13"/>
  <c r="Z737" i="13"/>
  <c r="Z1109" i="13"/>
  <c r="Z2481" i="13"/>
  <c r="Z2342" i="13"/>
  <c r="Z2896" i="13"/>
  <c r="Z3204" i="13"/>
  <c r="Z32" i="13"/>
  <c r="Z1087" i="13"/>
  <c r="Z794" i="13"/>
  <c r="Z1135" i="13"/>
  <c r="Z2667" i="13"/>
  <c r="Z240" i="13"/>
  <c r="Z3481" i="13"/>
  <c r="Z474" i="13"/>
  <c r="Z1747" i="13"/>
  <c r="Z871" i="13"/>
  <c r="Z3334" i="13"/>
  <c r="Z3151" i="13"/>
  <c r="Z3073" i="13"/>
  <c r="Z2082" i="13"/>
  <c r="Z333" i="13"/>
  <c r="Z2327" i="13"/>
  <c r="Z2849" i="13"/>
  <c r="Z3117" i="13"/>
  <c r="Z2892" i="13"/>
  <c r="Z3496" i="13"/>
  <c r="Z865" i="13"/>
  <c r="Z1921" i="13"/>
  <c r="Z3429" i="13"/>
  <c r="Z3170" i="13"/>
  <c r="Z2468" i="13"/>
  <c r="Z1568" i="13"/>
  <c r="Z422" i="13"/>
  <c r="Z2310" i="13"/>
  <c r="Z413" i="13"/>
  <c r="Z1033" i="13"/>
  <c r="Z294" i="13"/>
  <c r="Z3047" i="13"/>
  <c r="Z2029" i="13"/>
  <c r="Z3136" i="13"/>
  <c r="Z1647" i="13"/>
  <c r="Z3049" i="13"/>
  <c r="Z2495" i="13"/>
  <c r="Z1419" i="13"/>
  <c r="Z3171" i="13"/>
  <c r="Z2771" i="13"/>
  <c r="Z836" i="13"/>
  <c r="Z400" i="13"/>
  <c r="Z1223" i="13"/>
  <c r="Z488" i="13"/>
  <c r="Z2446" i="13"/>
  <c r="Z873" i="13"/>
  <c r="Z1872" i="13"/>
  <c r="Z272" i="13"/>
  <c r="Z1116" i="13"/>
  <c r="Z2596" i="13"/>
  <c r="Z3299" i="13"/>
  <c r="Z660" i="13"/>
  <c r="Z2520" i="13"/>
  <c r="Z2805" i="13"/>
  <c r="Z251" i="13"/>
  <c r="Z440" i="13"/>
  <c r="Z3033" i="13"/>
  <c r="Z604" i="13"/>
  <c r="Z992" i="13"/>
  <c r="Z1970" i="13"/>
  <c r="Z1631" i="13"/>
  <c r="Z1318" i="13"/>
  <c r="Z38" i="13"/>
  <c r="Z1825" i="13"/>
  <c r="Z644" i="13"/>
  <c r="Z3317" i="13"/>
  <c r="Z1312" i="13"/>
  <c r="Z2823" i="13"/>
  <c r="Z1012" i="13"/>
  <c r="Z3302" i="13"/>
  <c r="Z1878" i="13"/>
  <c r="Z3229" i="13"/>
  <c r="Z1864" i="13"/>
  <c r="Z2154" i="13"/>
  <c r="Z425" i="13"/>
  <c r="Z1334" i="13"/>
  <c r="Z1320" i="13"/>
  <c r="Z3291" i="13"/>
  <c r="Z446" i="13"/>
  <c r="Z1784" i="13"/>
  <c r="Z452" i="13"/>
  <c r="Z225" i="13"/>
  <c r="Z1517" i="13"/>
  <c r="Z1704" i="13"/>
  <c r="Z2223" i="13"/>
  <c r="Z1804" i="13"/>
  <c r="Z1990" i="13"/>
  <c r="Z3393" i="13"/>
  <c r="Z1078" i="13"/>
  <c r="Z2971" i="13"/>
  <c r="Z465" i="13"/>
  <c r="Z362" i="13"/>
  <c r="Z3459" i="13"/>
  <c r="Z1363" i="13"/>
  <c r="Z1216" i="13"/>
  <c r="Z1167" i="13"/>
  <c r="Z1143" i="13"/>
  <c r="Z1862" i="13"/>
  <c r="Z2692" i="13"/>
  <c r="Z2278" i="13"/>
  <c r="Z3485" i="13"/>
  <c r="Z44" i="13"/>
  <c r="Z908" i="13"/>
  <c r="Z1806" i="13"/>
  <c r="Z3017" i="13"/>
  <c r="Z1205" i="13"/>
  <c r="Z153" i="13"/>
  <c r="Z1510" i="13"/>
  <c r="Z2235" i="13"/>
  <c r="Z2620" i="13"/>
  <c r="Z2129" i="13"/>
  <c r="Z1857" i="13"/>
  <c r="Z3424" i="13"/>
  <c r="Z2312" i="13"/>
  <c r="Z3039" i="13"/>
  <c r="Z1357" i="13"/>
  <c r="Z1353" i="13"/>
  <c r="Z3286" i="13"/>
  <c r="Z1690" i="13"/>
  <c r="Z1146" i="13"/>
  <c r="Z3228" i="13"/>
  <c r="Z2610" i="13"/>
  <c r="Z1416" i="13"/>
  <c r="Z105" i="13"/>
  <c r="Z3214" i="13"/>
  <c r="Z2374" i="13"/>
  <c r="Z54" i="13"/>
  <c r="Z3064" i="13"/>
  <c r="Z3158" i="13"/>
  <c r="Z497" i="13"/>
  <c r="Z1581" i="13"/>
  <c r="Z146" i="13"/>
  <c r="Z1585" i="13"/>
  <c r="Z811" i="13"/>
  <c r="Z736" i="13"/>
  <c r="Z2080" i="13"/>
  <c r="Z1593" i="13"/>
  <c r="Z835" i="13"/>
  <c r="Z1435" i="13"/>
  <c r="Z2071" i="13"/>
  <c r="Z3456" i="13"/>
  <c r="Z3092" i="13"/>
  <c r="Z1832" i="13"/>
  <c r="Z1203" i="13"/>
  <c r="Z1137" i="13"/>
  <c r="Z3084" i="13"/>
  <c r="Z3469" i="13"/>
  <c r="Z1875" i="13"/>
  <c r="Z2936" i="13"/>
  <c r="Z948" i="13"/>
  <c r="Z487" i="13"/>
  <c r="Z2820" i="13"/>
  <c r="Z3031" i="13"/>
  <c r="Z92" i="13"/>
  <c r="Z2036" i="13"/>
  <c r="Z1158" i="13"/>
  <c r="Z2551" i="13"/>
  <c r="Z3225" i="13"/>
  <c r="Z697" i="13"/>
  <c r="Z198" i="13"/>
  <c r="Z3224" i="13"/>
  <c r="Z3491" i="13"/>
  <c r="Z3285" i="13"/>
  <c r="Z1450" i="13"/>
  <c r="Z2394" i="13"/>
  <c r="Z3234" i="13"/>
  <c r="Z420" i="13"/>
  <c r="Z2401" i="13"/>
  <c r="Z1083" i="13"/>
  <c r="Z545" i="13"/>
  <c r="Z1255" i="13"/>
  <c r="Z2190" i="13"/>
  <c r="Z170" i="13"/>
  <c r="Z523" i="13"/>
  <c r="Z2613" i="13"/>
  <c r="Z1881" i="13"/>
  <c r="Z388" i="13"/>
  <c r="Z21" i="13"/>
  <c r="Z585" i="13"/>
  <c r="Z2537" i="13"/>
  <c r="Z2553" i="13"/>
  <c r="Z2058" i="13"/>
  <c r="Z1427" i="13"/>
  <c r="Z1552" i="13"/>
  <c r="Z2693" i="13"/>
  <c r="Z309" i="13"/>
  <c r="Z1037" i="13"/>
  <c r="Z2762" i="13"/>
  <c r="Z1930" i="13"/>
  <c r="Z296" i="13"/>
  <c r="Z1839" i="13"/>
  <c r="Z2927" i="13"/>
  <c r="Z383" i="13"/>
  <c r="Z1159" i="13"/>
  <c r="Z1045" i="13"/>
  <c r="Z1966" i="13"/>
  <c r="Z1279" i="13"/>
  <c r="Z838" i="13"/>
  <c r="Z711" i="13"/>
  <c r="Z974" i="13"/>
  <c r="Z676" i="13"/>
  <c r="Z855" i="13"/>
  <c r="Z1008" i="13"/>
  <c r="Z1229" i="13"/>
  <c r="Z3267" i="13"/>
  <c r="Z1018" i="13"/>
  <c r="Z1550" i="13"/>
  <c r="Z760" i="13"/>
  <c r="Z1036" i="13"/>
  <c r="Z991" i="13"/>
  <c r="Z1761" i="13"/>
  <c r="Z319" i="13"/>
  <c r="Z2597" i="13"/>
  <c r="Z2145" i="13"/>
  <c r="Z2716" i="13"/>
  <c r="Z2577" i="13"/>
  <c r="Z2303" i="13"/>
  <c r="Z3159" i="13"/>
  <c r="Z408" i="13"/>
  <c r="Z2360" i="13"/>
  <c r="Z3530" i="13"/>
  <c r="Z2200" i="13"/>
  <c r="Z1679" i="13"/>
  <c r="Z1786" i="13"/>
  <c r="Z626" i="13"/>
  <c r="Z634" i="13"/>
  <c r="Z1530" i="13"/>
  <c r="Z1046" i="13"/>
  <c r="Z3168" i="13"/>
  <c r="Z53" i="13"/>
  <c r="Z3187" i="13"/>
  <c r="Z67" i="13"/>
  <c r="Z567" i="13"/>
  <c r="Z2915" i="13"/>
  <c r="Z282" i="13"/>
  <c r="Z1470" i="13"/>
  <c r="Z1625" i="13"/>
  <c r="Z3053" i="13"/>
  <c r="Z2972" i="13"/>
  <c r="Z3436" i="13"/>
  <c r="Z2881" i="13"/>
  <c r="Z2813" i="13"/>
  <c r="Z352" i="13"/>
  <c r="Z2138" i="13"/>
  <c r="Z2037" i="13"/>
  <c r="Z2033" i="13"/>
  <c r="Z2905" i="13"/>
  <c r="Z2628" i="13"/>
  <c r="Z2791" i="13"/>
  <c r="Z2560" i="13"/>
  <c r="Z645" i="13"/>
  <c r="Z515" i="13"/>
  <c r="Z1404" i="13"/>
  <c r="Z1303" i="13"/>
  <c r="Z1004" i="13"/>
  <c r="Z588" i="13"/>
  <c r="Z2192" i="13"/>
  <c r="Z519" i="13"/>
  <c r="Z1257" i="13"/>
  <c r="Z669" i="13"/>
  <c r="Z2637" i="13"/>
  <c r="Z3109" i="13"/>
  <c r="Z1597" i="13"/>
  <c r="Z447" i="13"/>
  <c r="Z154" i="13"/>
  <c r="Z217" i="13"/>
  <c r="Z1125" i="13"/>
  <c r="Z2396" i="13"/>
  <c r="Z2330" i="13"/>
  <c r="Z2508" i="13"/>
  <c r="Z2034" i="13"/>
  <c r="Z944" i="13"/>
  <c r="Z520" i="13"/>
  <c r="Z1941" i="13"/>
  <c r="Z1344" i="13"/>
  <c r="Z2877" i="13"/>
  <c r="Z1503" i="13"/>
  <c r="Z124" i="13"/>
  <c r="Z1335" i="13"/>
  <c r="Z577" i="13"/>
  <c r="Z257" i="13"/>
  <c r="Z1333" i="13"/>
  <c r="Z894" i="13"/>
  <c r="Z742" i="13"/>
  <c r="Z1250" i="13"/>
  <c r="Z2651" i="13"/>
  <c r="Z2459" i="13"/>
  <c r="Z2804" i="13"/>
  <c r="Z1933" i="13"/>
  <c r="Z839" i="13"/>
  <c r="Z1750" i="13"/>
  <c r="Z1258" i="13"/>
  <c r="Z658" i="13"/>
  <c r="Z1479" i="13"/>
  <c r="Z1463" i="13"/>
  <c r="Z1937" i="13"/>
  <c r="Z3277" i="13"/>
  <c r="Z3152" i="13"/>
  <c r="Z2811" i="13"/>
  <c r="Z955" i="13"/>
  <c r="Z1616" i="13"/>
  <c r="Z1882" i="13"/>
  <c r="Z3369" i="13"/>
  <c r="Z1201" i="13"/>
  <c r="Z2320" i="13"/>
  <c r="Z1979" i="13"/>
  <c r="Z2458" i="13"/>
  <c r="Z3269" i="13"/>
  <c r="Z1847" i="13"/>
  <c r="Z1883" i="13"/>
  <c r="Z2406" i="13"/>
  <c r="Z1244" i="13"/>
  <c r="Z2533" i="13"/>
  <c r="Z1731" i="13"/>
  <c r="Z2269" i="13"/>
  <c r="Z3323" i="13"/>
  <c r="Z2847" i="13"/>
  <c r="Z1076" i="13"/>
  <c r="Z2408" i="13"/>
  <c r="Z1168" i="13"/>
  <c r="Z607" i="13"/>
  <c r="Z2548" i="13"/>
  <c r="Z3349" i="13"/>
  <c r="Z239" i="13"/>
  <c r="Z3347" i="13"/>
  <c r="Z2686" i="13"/>
  <c r="Z1111" i="13"/>
  <c r="Z1716" i="13"/>
  <c r="Z233" i="13"/>
  <c r="Z320" i="13"/>
  <c r="Z1478" i="13"/>
  <c r="Z2825" i="13"/>
  <c r="Z2302" i="13"/>
  <c r="Z995" i="13"/>
  <c r="Z1652" i="13"/>
  <c r="Z1443" i="13"/>
  <c r="Z1347" i="13"/>
  <c r="Z879" i="13"/>
  <c r="Z2049" i="13"/>
  <c r="Z262" i="13"/>
  <c r="Z371" i="13"/>
  <c r="Z1732" i="13"/>
  <c r="Z1117" i="13"/>
  <c r="Z905" i="13"/>
  <c r="Z3395" i="13"/>
  <c r="Z1803" i="13"/>
  <c r="Z1859" i="13"/>
  <c r="Z215" i="13"/>
  <c r="Z712" i="13"/>
  <c r="Z741" i="13"/>
  <c r="Z1472" i="13"/>
  <c r="Z2024" i="13"/>
  <c r="Z327" i="13"/>
  <c r="Z1265" i="13"/>
  <c r="Z2579" i="13"/>
  <c r="Z2611" i="13"/>
  <c r="Z2198" i="13"/>
  <c r="Z3382" i="13"/>
  <c r="Z1052" i="13"/>
  <c r="Z271" i="13"/>
  <c r="Z1032" i="13"/>
  <c r="Z1064" i="13"/>
  <c r="Z1866" i="13"/>
  <c r="Z231" i="13"/>
  <c r="Z2412" i="13"/>
  <c r="Z2379" i="13"/>
  <c r="Z3045" i="13"/>
  <c r="Z1942" i="13"/>
  <c r="Z2683" i="13"/>
  <c r="Z2654" i="13"/>
  <c r="Z368" i="13"/>
  <c r="Z3487" i="13"/>
  <c r="Z1384" i="13"/>
  <c r="Z1278" i="13"/>
  <c r="Z322" i="13"/>
  <c r="Z303" i="13"/>
  <c r="Z2298" i="13"/>
  <c r="Z2091" i="13"/>
  <c r="Z3329" i="13"/>
  <c r="Z2918" i="13"/>
  <c r="Z3366" i="13"/>
  <c r="Z3167" i="13"/>
  <c r="Z681" i="13"/>
  <c r="Z2106" i="13"/>
  <c r="Z1162" i="13"/>
  <c r="Z126" i="13"/>
  <c r="Z2857" i="13"/>
  <c r="Z1224" i="13"/>
  <c r="Z2660" i="13"/>
  <c r="Z1040" i="13"/>
  <c r="Z340" i="13"/>
  <c r="Z1892" i="13"/>
  <c r="Z2114" i="13"/>
  <c r="Z184" i="13"/>
  <c r="Z2314" i="13"/>
  <c r="Z1571" i="13"/>
  <c r="Z277" i="13"/>
  <c r="Z2488" i="13"/>
  <c r="Z1429" i="13"/>
  <c r="Z301" i="13"/>
  <c r="Z1836" i="13"/>
  <c r="Z2582" i="13"/>
  <c r="Z1805" i="13"/>
  <c r="Z2153" i="13"/>
  <c r="Z1512" i="13"/>
  <c r="Z23" i="13"/>
  <c r="Z3075" i="13"/>
  <c r="Z970" i="13"/>
  <c r="Z3439" i="13"/>
  <c r="Z1390" i="13"/>
  <c r="Z3006" i="13"/>
  <c r="Z1332" i="13"/>
  <c r="Z544" i="13"/>
  <c r="Z402" i="13"/>
  <c r="Z1721" i="13"/>
  <c r="Z646" i="13"/>
  <c r="Z758" i="13"/>
  <c r="Z151" i="13"/>
  <c r="Z2090" i="13"/>
  <c r="Z1837" i="13"/>
  <c r="Z756" i="13"/>
  <c r="Z129" i="13"/>
  <c r="Z2251" i="13"/>
  <c r="Z885" i="13"/>
  <c r="Z2513" i="13"/>
  <c r="Z2994" i="13"/>
  <c r="Z3419" i="13"/>
  <c r="Z2768" i="13"/>
  <c r="Z847" i="13"/>
  <c r="Z139" i="13"/>
  <c r="Z197" i="13"/>
  <c r="Z229" i="13"/>
  <c r="Z244" i="13"/>
  <c r="Z898" i="13"/>
  <c r="Z3321" i="13"/>
  <c r="Z2461" i="13"/>
  <c r="Z2987" i="13"/>
  <c r="Z2603" i="13"/>
  <c r="Z2948" i="13"/>
  <c r="Z1324" i="13"/>
  <c r="Z2062" i="13"/>
  <c r="Z1573" i="13"/>
  <c r="Z1834" i="13"/>
  <c r="Z2464" i="13"/>
  <c r="Z1525" i="13"/>
  <c r="Z526" i="13"/>
  <c r="Z2002" i="13"/>
  <c r="Z2311" i="13"/>
  <c r="Z3275" i="13"/>
  <c r="Z3265" i="13"/>
  <c r="Z3236" i="13"/>
  <c r="Z532" i="13"/>
  <c r="Z909" i="13"/>
  <c r="Z810" i="13"/>
  <c r="Z930" i="13"/>
  <c r="Z706" i="13"/>
  <c r="Z181" i="13"/>
  <c r="Z1367" i="13"/>
  <c r="Z2601" i="13"/>
  <c r="Z931" i="13"/>
  <c r="Z235" i="13"/>
  <c r="Z1520" i="13"/>
  <c r="Z203" i="13"/>
  <c r="Z1605" i="13"/>
  <c r="Z3353" i="13"/>
  <c r="Z3391" i="13"/>
  <c r="Z308" i="13"/>
  <c r="Z1696" i="13"/>
  <c r="Z1066" i="13"/>
  <c r="Z1209" i="13"/>
  <c r="Z1863" i="13"/>
  <c r="Z2451" i="13"/>
  <c r="Z2046" i="13"/>
  <c r="Z1868" i="13"/>
  <c r="Z2354" i="13"/>
  <c r="Z2010" i="13"/>
  <c r="Z832" i="13"/>
  <c r="Z730" i="13"/>
  <c r="Z1807" i="13"/>
  <c r="Z3330" i="13"/>
  <c r="Z343" i="13"/>
  <c r="Z2574" i="13"/>
  <c r="Z541" i="13"/>
  <c r="Z397" i="13"/>
  <c r="Z650" i="13"/>
  <c r="Z3191" i="13"/>
  <c r="Z3503" i="13"/>
  <c r="Z395" i="13"/>
  <c r="Z3445" i="13"/>
  <c r="Z490" i="13"/>
  <c r="Z2410" i="13"/>
  <c r="Z159" i="13"/>
  <c r="Z2629" i="13"/>
  <c r="Z1602" i="13"/>
  <c r="Z2831" i="13"/>
  <c r="Z3062" i="13"/>
  <c r="Z1980" i="13"/>
  <c r="Z3148" i="13"/>
  <c r="Z1572" i="13"/>
  <c r="Z584" i="13"/>
  <c r="Z367" i="13"/>
  <c r="Z475" i="13"/>
  <c r="Z1199" i="13"/>
  <c r="Z350" i="13"/>
  <c r="Z1777" i="13"/>
  <c r="Z2220" i="13"/>
  <c r="Z3335" i="13"/>
  <c r="Z3057" i="13"/>
  <c r="Z3316" i="13"/>
  <c r="Z2306" i="13"/>
  <c r="Z677" i="13"/>
  <c r="Z1535" i="13"/>
  <c r="Z1163" i="13"/>
  <c r="Z906" i="13"/>
  <c r="Z3342" i="13"/>
  <c r="Z2109" i="13"/>
  <c r="Z98" i="13"/>
  <c r="Z2411" i="13"/>
  <c r="Z3016" i="13"/>
  <c r="Z2769" i="13"/>
  <c r="Z3165" i="13"/>
  <c r="Z212" i="13"/>
  <c r="Z3091" i="13"/>
  <c r="Z1417" i="13"/>
  <c r="Z1222" i="13"/>
  <c r="Z1570" i="13"/>
  <c r="Z3190" i="13"/>
  <c r="Z1858" i="13"/>
  <c r="Z3244" i="13"/>
  <c r="Z1592" i="13"/>
  <c r="Z853" i="13"/>
  <c r="Z42" i="13"/>
  <c r="Z1126" i="13"/>
  <c r="Z1767" i="13"/>
  <c r="Z2854" i="13"/>
  <c r="Z1666" i="13"/>
  <c r="Z3448" i="13"/>
  <c r="Z2400" i="13"/>
  <c r="Z749" i="13"/>
  <c r="Z1019" i="13"/>
  <c r="Z2012" i="13"/>
  <c r="Z1028" i="13"/>
  <c r="Z3146" i="13"/>
  <c r="Z884" i="13"/>
  <c r="Z1185" i="13"/>
  <c r="Z1204" i="13"/>
  <c r="Z821" i="13"/>
  <c r="Z1659" i="13"/>
  <c r="Z2919" i="13"/>
  <c r="Z3499" i="13"/>
  <c r="Z2947" i="13"/>
  <c r="Z2687" i="13"/>
  <c r="Z2155" i="13"/>
  <c r="Z2721" i="13"/>
  <c r="Z3442" i="13"/>
  <c r="Z1820" i="13"/>
  <c r="Z2542" i="13"/>
  <c r="Z589" i="13"/>
  <c r="Z2572" i="13"/>
  <c r="Z2889" i="13"/>
  <c r="Z2884" i="13"/>
  <c r="Z111" i="13"/>
  <c r="Z219" i="13"/>
  <c r="Z363" i="13"/>
  <c r="Z1428" i="13"/>
  <c r="Z2617" i="13"/>
  <c r="Z1521" i="13"/>
  <c r="Z678" i="13"/>
  <c r="Z2829" i="13"/>
  <c r="Z3420" i="13"/>
  <c r="Z1101" i="13"/>
  <c r="Z3111" i="13"/>
  <c r="Z3139" i="13"/>
  <c r="Z3008" i="13"/>
  <c r="Z1119" i="13"/>
  <c r="Z1190" i="13"/>
  <c r="Z1782" i="13"/>
  <c r="Z1987" i="13"/>
  <c r="Z2621" i="13"/>
  <c r="Z2810" i="13"/>
  <c r="Z2139" i="13"/>
  <c r="Z3260" i="13"/>
  <c r="Z1706" i="13"/>
  <c r="Z3042" i="13"/>
  <c r="Z1444" i="13"/>
  <c r="Z940" i="13"/>
  <c r="Z533" i="13"/>
  <c r="Z2260" i="13"/>
  <c r="Z2100" i="13"/>
  <c r="Z1352" i="13"/>
  <c r="Z922" i="13"/>
  <c r="Z2193" i="13"/>
  <c r="Z2558" i="13"/>
  <c r="Z199" i="13"/>
  <c r="Z746" i="13"/>
  <c r="Z2782" i="13"/>
  <c r="Z895" i="13"/>
  <c r="Z35" i="13"/>
  <c r="Z849" i="13"/>
  <c r="Z1983" i="13"/>
  <c r="Z671" i="13"/>
  <c r="Z1978" i="13"/>
  <c r="Z866" i="13"/>
  <c r="Z1582" i="13"/>
  <c r="Z3483" i="13"/>
  <c r="Z1235" i="13"/>
  <c r="Z891" i="13"/>
  <c r="Z1715" i="13"/>
  <c r="Z1657" i="13"/>
  <c r="Z3312" i="13"/>
  <c r="Z2672" i="13"/>
  <c r="Z313" i="13"/>
  <c r="Z477" i="13"/>
  <c r="Z1361" i="13"/>
  <c r="Z2177" i="13"/>
  <c r="Z3492" i="13"/>
  <c r="Z2925" i="13"/>
  <c r="Z116" i="13"/>
  <c r="Z614" i="13"/>
  <c r="Z3547" i="13"/>
  <c r="Z2252" i="13"/>
  <c r="Z1583" i="13"/>
  <c r="Z937" i="13"/>
  <c r="Z1561" i="13"/>
  <c r="Z2160" i="13"/>
  <c r="Z1554" i="13"/>
  <c r="Z1791" i="13"/>
  <c r="Z565" i="13"/>
  <c r="Z1977" i="13"/>
  <c r="Z3502" i="13"/>
  <c r="Z1094" i="13"/>
  <c r="Z1729" i="13"/>
  <c r="Z1848" i="13"/>
  <c r="Z1283" i="13"/>
  <c r="Z1558" i="13"/>
  <c r="Z246" i="13"/>
  <c r="Z1646" i="13"/>
  <c r="Z1792" i="13"/>
  <c r="Z2653" i="13"/>
  <c r="Z1426" i="13"/>
  <c r="Z3020" i="13"/>
  <c r="Z3471" i="13"/>
  <c r="Z1080" i="13"/>
  <c r="Z2882" i="13"/>
  <c r="Z3476" i="13"/>
  <c r="Z3010" i="13"/>
  <c r="Z265" i="13"/>
  <c r="Z3418" i="13"/>
  <c r="Z1822" i="13"/>
  <c r="Z1114" i="13"/>
  <c r="Z3036" i="13"/>
  <c r="Z1485" i="13"/>
  <c r="Z2244" i="13"/>
  <c r="Z2107" i="13"/>
  <c r="Z990" i="13"/>
  <c r="Z2249" i="13"/>
  <c r="Z2550" i="13"/>
  <c r="Z2187" i="13"/>
  <c r="Z230" i="13"/>
  <c r="Z454" i="13"/>
  <c r="Z2924" i="13"/>
  <c r="Z1974" i="13"/>
  <c r="Z1102" i="13"/>
  <c r="Z468" i="13"/>
  <c r="Z1615" i="13"/>
  <c r="Z1375" i="13"/>
  <c r="Z2696" i="13"/>
  <c r="Z2731" i="13"/>
  <c r="Z2801" i="13"/>
  <c r="Z2172" i="13"/>
  <c r="Z1975" i="13"/>
  <c r="Z1556" i="13"/>
  <c r="Z2334" i="13"/>
  <c r="Z311" i="13"/>
  <c r="Z1412" i="13"/>
  <c r="Z1292" i="13"/>
  <c r="Z733" i="13"/>
  <c r="Z793" i="13"/>
  <c r="Z2475" i="13"/>
  <c r="Z2430" i="13"/>
  <c r="Z1765" i="13"/>
  <c r="Z2624" i="13"/>
  <c r="Z2515" i="13"/>
  <c r="Z3294" i="13"/>
  <c r="Z969" i="13"/>
  <c r="Z90" i="13"/>
  <c r="Z1754" i="13"/>
  <c r="Z2751" i="13"/>
  <c r="Z163" i="13"/>
  <c r="Z1843" i="13"/>
  <c r="Z1402" i="13"/>
  <c r="Z2989" i="13"/>
  <c r="Z1151" i="13"/>
  <c r="Z2506" i="13"/>
  <c r="Z1994" i="13"/>
  <c r="Z2522" i="13"/>
  <c r="Z2856" i="13"/>
  <c r="Z2956" i="13"/>
  <c r="Z1494" i="13"/>
  <c r="Z338" i="13"/>
  <c r="Z570" i="13"/>
  <c r="Z2051" i="13"/>
  <c r="Z3112" i="13"/>
  <c r="Z3468" i="13"/>
  <c r="Z679" i="13"/>
  <c r="Z386" i="13"/>
  <c r="Z2227" i="13"/>
  <c r="Z2502" i="13"/>
  <c r="Z1196" i="13"/>
  <c r="Z713" i="13"/>
  <c r="Z1713" i="13"/>
  <c r="Z342" i="13"/>
  <c r="Z1514" i="13"/>
  <c r="Z1770" i="13"/>
  <c r="Z3550" i="13"/>
  <c r="Z466" i="13"/>
  <c r="Z721" i="13"/>
  <c r="Z3046" i="13"/>
  <c r="Z2505" i="13"/>
  <c r="Z1152" i="13"/>
  <c r="Z2890" i="13"/>
  <c r="Z1186" i="13"/>
  <c r="Z1014" i="13"/>
  <c r="Z3094" i="13"/>
  <c r="Z2814" i="13"/>
  <c r="Z1617" i="13"/>
  <c r="Z3233" i="13"/>
  <c r="Z790" i="13"/>
  <c r="Z2399" i="13"/>
  <c r="Z3262" i="13"/>
  <c r="Z1382" i="13"/>
  <c r="Z3095" i="13"/>
  <c r="Z2540" i="13"/>
  <c r="Z616" i="13"/>
  <c r="Z1563" i="13"/>
  <c r="Z1663" i="13"/>
  <c r="Z1867" i="13"/>
  <c r="Z226" i="13"/>
  <c r="Z1313" i="13"/>
  <c r="Z503" i="13"/>
  <c r="Z2271" i="13"/>
  <c r="Z881" i="13"/>
  <c r="Z2030" i="13"/>
  <c r="Z3194" i="13"/>
  <c r="Z2555" i="13"/>
  <c r="Z2202" i="13"/>
  <c r="Z2284" i="13"/>
  <c r="Z3197" i="13"/>
  <c r="Z1623" i="13"/>
  <c r="Z206" i="13"/>
  <c r="Z3535" i="13"/>
  <c r="Z3400" i="13"/>
  <c r="Z3296" i="13"/>
  <c r="Z3134" i="13"/>
  <c r="Z1074" i="13"/>
  <c r="Z237" i="13"/>
  <c r="Z3169" i="13"/>
  <c r="Z1720" i="13"/>
  <c r="Z2943" i="13"/>
  <c r="Z81" i="13"/>
  <c r="Z1588" i="13"/>
  <c r="Z1656" i="13"/>
  <c r="Z88" i="13"/>
  <c r="Z517" i="13"/>
  <c r="Z1398" i="13"/>
  <c r="Z3415" i="13"/>
  <c r="Z3241" i="13"/>
  <c r="Z2362" i="13"/>
  <c r="Z1161" i="13"/>
  <c r="Z1274" i="13"/>
  <c r="Z2136" i="13"/>
  <c r="Z530" i="13"/>
  <c r="Z1964" i="13"/>
  <c r="Z134" i="13"/>
  <c r="Z501" i="13"/>
  <c r="Z2170" i="13"/>
  <c r="Z2383" i="13"/>
  <c r="Z3106" i="13"/>
  <c r="Z3460" i="13"/>
  <c r="Z1691" i="13"/>
  <c r="Z1183" i="13"/>
  <c r="Z795" i="13"/>
  <c r="Z1215" i="13"/>
  <c r="Z3076" i="13"/>
  <c r="Z3352" i="13"/>
  <c r="Z1107" i="13"/>
  <c r="Z2837" i="13"/>
  <c r="Z1374" i="13"/>
  <c r="Z2429" i="13"/>
  <c r="Z3058" i="13"/>
  <c r="Z2900" i="13"/>
  <c r="Z768" i="13"/>
  <c r="Z346" i="13"/>
  <c r="Z2159" i="13"/>
  <c r="Z3373" i="13"/>
  <c r="Z20" i="13"/>
  <c r="Z628" i="13"/>
  <c r="Z2333" i="13"/>
  <c r="Z2566" i="13"/>
  <c r="Z2289" i="13"/>
  <c r="Z2758" i="13"/>
  <c r="Z144" i="13"/>
  <c r="Z1225" i="13"/>
  <c r="Z734" i="13"/>
  <c r="Z2390" i="13"/>
  <c r="Z1620" i="13"/>
  <c r="Z960" i="13"/>
  <c r="Z2218" i="13"/>
  <c r="Z870" i="13"/>
  <c r="Z2886" i="13"/>
  <c r="Z2567" i="13"/>
  <c r="Z208" i="13"/>
  <c r="Z171" i="13"/>
  <c r="Z3021" i="13"/>
  <c r="Z2935" i="13"/>
  <c r="Z3544" i="13"/>
  <c r="Z441" i="13"/>
  <c r="Z958" i="13"/>
  <c r="Z3254" i="13"/>
  <c r="Z3495" i="13"/>
  <c r="Z1949" i="13"/>
  <c r="Z862" i="13"/>
  <c r="Z1380" i="13"/>
  <c r="Z387" i="13"/>
  <c r="Z3537" i="13"/>
  <c r="Z478" i="13"/>
  <c r="Z3230" i="13"/>
  <c r="Z662" i="13"/>
  <c r="Z2128" i="13"/>
  <c r="Z2120" i="13"/>
  <c r="Z3196" i="13"/>
  <c r="Z2231" i="13"/>
  <c r="Z1210" i="13"/>
  <c r="Z2822" i="13"/>
  <c r="Z2708" i="13"/>
  <c r="Z1714" i="13"/>
  <c r="Z3300" i="13"/>
  <c r="Z942" i="13"/>
  <c r="Z2920" i="13"/>
  <c r="Z3240" i="13"/>
  <c r="Z1254" i="13"/>
  <c r="Z137" i="13"/>
  <c r="Z37" i="13"/>
  <c r="Z1502" i="13"/>
  <c r="Z207" i="13"/>
  <c r="Z1897" i="13"/>
  <c r="Z2485" i="13"/>
  <c r="Z722" i="13"/>
  <c r="Z647" i="13"/>
  <c r="Z433" i="13"/>
  <c r="Z26" i="13"/>
  <c r="Z174" i="13"/>
  <c r="Z2380" i="13"/>
  <c r="Z2975" i="13"/>
  <c r="Z457" i="13"/>
  <c r="Z914" i="13"/>
  <c r="Z3407" i="13"/>
  <c r="Z2835" i="13"/>
  <c r="Z1371" i="13"/>
  <c r="Z2815" i="13"/>
  <c r="Z1206" i="13"/>
  <c r="Z2494" i="13"/>
  <c r="Z689" i="13"/>
  <c r="Z326" i="13"/>
  <c r="Z3243" i="13"/>
  <c r="Z3452" i="13"/>
  <c r="Z396" i="13"/>
  <c r="Z2773" i="13"/>
  <c r="Z1598" i="13"/>
  <c r="Z2166" i="13"/>
  <c r="Z3156" i="13"/>
  <c r="Z3181" i="13"/>
  <c r="Z2568" i="13"/>
  <c r="Z1524" i="13"/>
  <c r="Z710" i="13"/>
  <c r="Z1490" i="13"/>
  <c r="Z3104" i="13"/>
  <c r="Z3488" i="13"/>
  <c r="Z2240" i="13"/>
  <c r="Z1551" i="13"/>
  <c r="Z3142" i="13"/>
  <c r="Z1174" i="13"/>
  <c r="Z1131" i="13"/>
  <c r="Z1024" i="13"/>
  <c r="Z2353" i="13"/>
  <c r="Z1038" i="13"/>
  <c r="Z3307" i="13"/>
  <c r="Z1911" i="13"/>
  <c r="Z1909" i="13"/>
  <c r="Z459" i="13"/>
  <c r="Z1645" i="13"/>
  <c r="Z916" i="13"/>
  <c r="Z2781" i="13"/>
  <c r="Z3249" i="13"/>
  <c r="Z1948" i="13"/>
  <c r="Z453" i="13"/>
  <c r="Z2529" i="13"/>
  <c r="Z2143" i="13"/>
  <c r="Z2797" i="13"/>
  <c r="Z1794" i="13"/>
  <c r="Z664" i="13"/>
  <c r="Z719" i="13"/>
  <c r="Z1436" i="13"/>
  <c r="Z1680" i="13"/>
  <c r="Z112" i="13"/>
  <c r="Z2735" i="13"/>
  <c r="Z2123" i="13"/>
  <c r="Z3322" i="13"/>
  <c r="Z108" i="13"/>
  <c r="Z2274" i="13"/>
  <c r="Z525" i="13"/>
  <c r="Z2503" i="13"/>
  <c r="Z1603" i="13"/>
  <c r="Z104" i="13"/>
  <c r="Z1707" i="13"/>
  <c r="Z2431" i="13"/>
  <c r="Z547" i="13"/>
  <c r="Z1906" i="13"/>
  <c r="Z886" i="13"/>
  <c r="Z2904" i="13"/>
  <c r="Z3116" i="13"/>
  <c r="Z405" i="13"/>
  <c r="Z2280" i="13"/>
  <c r="Z2745" i="13"/>
  <c r="Z2102" i="13"/>
  <c r="Z2848" i="13"/>
  <c r="Z2976" i="13"/>
  <c r="Z1676" i="13"/>
  <c r="Z2005" i="13"/>
  <c r="Z2283" i="13"/>
  <c r="Z3409" i="13"/>
  <c r="Z182" i="13"/>
  <c r="Z1901" i="13"/>
  <c r="Z2538" i="13"/>
  <c r="Z2544" i="13"/>
  <c r="Z3248" i="13"/>
  <c r="Z2151" i="13"/>
  <c r="Z952" i="13"/>
  <c r="Z511" i="13"/>
  <c r="Z1097" i="13"/>
  <c r="Z2795" i="13"/>
  <c r="Z2932" i="13"/>
  <c r="Z3004" i="13"/>
  <c r="Z43" i="13"/>
  <c r="Z775" i="13"/>
  <c r="Z3279" i="13"/>
  <c r="Z3443" i="13"/>
  <c r="Z1739" i="13"/>
  <c r="Z1683" i="13"/>
  <c r="Z1501" i="13"/>
  <c r="Z1267" i="13"/>
  <c r="Z2697" i="13"/>
  <c r="Z3489" i="13"/>
  <c r="Z1042" i="13"/>
  <c r="Z761" i="13"/>
  <c r="Z3318" i="13"/>
  <c r="Z2984" i="13"/>
  <c r="Z2772" i="13"/>
  <c r="Z2642" i="13"/>
  <c r="Z1282" i="13"/>
  <c r="Z2427" i="13"/>
  <c r="Z2626" i="13"/>
  <c r="Z22" i="13"/>
  <c r="Z1323" i="13"/>
  <c r="Z1440" i="13"/>
  <c r="Z1779" i="13"/>
  <c r="Z3348" i="13"/>
  <c r="Z2076" i="13"/>
  <c r="Z2186" i="13"/>
  <c r="Z3437" i="13"/>
  <c r="Z1405" i="13"/>
  <c r="Z3102" i="13"/>
  <c r="Z3529" i="13"/>
  <c r="Z2158" i="13"/>
  <c r="Z1271" i="13"/>
  <c r="Z1920" i="13"/>
  <c r="Z966" i="13"/>
  <c r="Z1466" i="13"/>
  <c r="Z2041" i="13"/>
  <c r="Z1471" i="13"/>
  <c r="Z1433" i="13"/>
  <c r="Z3533" i="13"/>
  <c r="Z1636" i="13"/>
  <c r="Z2276" i="13"/>
  <c r="Z2937" i="13"/>
  <c r="Z2753" i="13"/>
  <c r="Z328" i="13"/>
  <c r="Z3001" i="13"/>
  <c r="Z2583" i="13"/>
  <c r="Z3044" i="13"/>
  <c r="Z2742" i="13"/>
  <c r="Z1476" i="13"/>
  <c r="Z1309" i="13"/>
  <c r="Z1105" i="13"/>
  <c r="Z2275" i="13"/>
  <c r="Z1451" i="13"/>
  <c r="Z1383" i="13"/>
  <c r="Z1319" i="13"/>
  <c r="Z281" i="13"/>
  <c r="Z1753" i="13"/>
  <c r="Z2199" i="13"/>
  <c r="Z1932" i="13"/>
  <c r="Z3007" i="13"/>
  <c r="Z648" i="13"/>
  <c r="Z2117" i="13"/>
  <c r="Z3532" i="13"/>
  <c r="Z3215" i="13"/>
  <c r="Z2340" i="13"/>
  <c r="Z2885" i="13"/>
  <c r="Z787" i="13"/>
  <c r="Z3161" i="13"/>
  <c r="Z3504" i="13"/>
  <c r="Z2824" i="13"/>
  <c r="Z580" i="13"/>
  <c r="Z285" i="13"/>
  <c r="Z315" i="13"/>
  <c r="Z2750" i="13"/>
  <c r="Z1047" i="13"/>
  <c r="Z1175" i="13"/>
  <c r="Z3370" i="13"/>
  <c r="Z1461" i="13"/>
  <c r="Z3162" i="13"/>
  <c r="Z3341" i="13"/>
  <c r="Z2749" i="13"/>
  <c r="Z1995" i="13"/>
  <c r="Z3524" i="13"/>
  <c r="Z3412" i="13"/>
  <c r="Z1827" i="13"/>
  <c r="Z360" i="13"/>
  <c r="Z1916" i="13"/>
  <c r="Z3149" i="13"/>
  <c r="Z292" i="13"/>
  <c r="Z1192" i="13"/>
  <c r="Z2754" i="13"/>
  <c r="Z1925" i="13"/>
  <c r="Z1067" i="13"/>
  <c r="Z3048" i="13"/>
  <c r="Z2545" i="13"/>
  <c r="Z1289" i="13"/>
  <c r="Z3216" i="13"/>
  <c r="Z1188" i="13"/>
  <c r="Z2242" i="13"/>
  <c r="Z135" i="13"/>
  <c r="Z1703" i="13"/>
  <c r="Z1912" i="13"/>
  <c r="Z2009" i="13"/>
  <c r="Z2191" i="13"/>
  <c r="Z499" i="13"/>
  <c r="Z2194" i="13"/>
  <c r="Z2318" i="13"/>
  <c r="Z2285" i="13"/>
  <c r="Z3301" i="13"/>
  <c r="Z84" i="13"/>
  <c r="Z479" i="13"/>
  <c r="Z2787" i="13"/>
  <c r="Z3398" i="13"/>
  <c r="Z2377" i="13"/>
  <c r="Z1233" i="13"/>
  <c r="Z1710" i="13"/>
  <c r="Z3037" i="13"/>
  <c r="Z3143" i="13"/>
  <c r="Z1104" i="13"/>
  <c r="Z355" i="13"/>
  <c r="Z58" i="13"/>
  <c r="Z2403" i="13"/>
  <c r="Z2561" i="13"/>
  <c r="Z1596" i="13"/>
  <c r="Z1648" i="13"/>
  <c r="Z594" i="13"/>
  <c r="Z778" i="13"/>
  <c r="Z3074" i="13"/>
  <c r="Z2415" i="13"/>
  <c r="Z2819" i="13"/>
  <c r="Z505" i="13"/>
  <c r="Z782" i="13"/>
  <c r="Z2595" i="13"/>
  <c r="Z3069" i="13"/>
  <c r="Z792" i="13"/>
  <c r="Z851" i="13"/>
  <c r="Z2149" i="13"/>
  <c r="Z190" i="13"/>
  <c r="Z3367" i="13"/>
  <c r="Z2828" i="13"/>
  <c r="Z1431" i="13"/>
  <c r="Z1373" i="13"/>
  <c r="Z2317" i="13"/>
  <c r="Z451" i="13"/>
  <c r="Z538" i="13"/>
  <c r="Z1409" i="13"/>
  <c r="Z176" i="13"/>
  <c r="Z1935" i="13"/>
  <c r="Z3255" i="13"/>
  <c r="Z2843" i="13"/>
  <c r="Z299" i="13"/>
  <c r="Z2315" i="13"/>
  <c r="Z3040" i="13"/>
  <c r="Z1077" i="13"/>
  <c r="Z2763" i="13"/>
  <c r="Z2649" i="13"/>
  <c r="Z1214" i="13"/>
  <c r="Z3272" i="13"/>
  <c r="Z837" i="13"/>
  <c r="Z1849" i="13"/>
  <c r="Z2511" i="13"/>
  <c r="Z512" i="13"/>
  <c r="Z2156" i="13"/>
  <c r="Z2339" i="13"/>
  <c r="Z3030" i="13"/>
  <c r="Z1861" i="13"/>
  <c r="Z2279" i="13"/>
  <c r="Z460" i="13"/>
  <c r="Z1628" i="13"/>
  <c r="Z1157" i="13"/>
  <c r="Z1627" i="13"/>
  <c r="Z2671" i="13"/>
  <c r="Z2021" i="13"/>
  <c r="Z141" i="13"/>
  <c r="Z1686" i="13"/>
  <c r="Z2078" i="13"/>
  <c r="Z2633" i="13"/>
  <c r="Z814" i="13"/>
  <c r="Z2774" i="13"/>
  <c r="Z456" i="13"/>
  <c r="Z613" i="13"/>
  <c r="Z622" i="13"/>
  <c r="Z1762" i="13"/>
  <c r="Z1317" i="13"/>
  <c r="Z534" i="13"/>
  <c r="Z3343" i="13"/>
  <c r="Z2832" i="13"/>
  <c r="Z2846" i="13"/>
  <c r="Z2766" i="13"/>
  <c r="Z61" i="13"/>
  <c r="Z406" i="13"/>
  <c r="Z2726" i="13"/>
  <c r="Z2652" i="13"/>
  <c r="Z1785" i="13"/>
  <c r="Z840" i="13"/>
  <c r="Z1576" i="13"/>
  <c r="Z702" i="13"/>
  <c r="Z2204" i="13"/>
  <c r="Z2332" i="13"/>
  <c r="Z1500" i="13"/>
  <c r="Z1579" i="13"/>
  <c r="Z2910" i="13"/>
  <c r="Z3000" i="13"/>
  <c r="Z3380" i="13"/>
  <c r="Z3423" i="13"/>
  <c r="Z107" i="13"/>
  <c r="Z2576" i="13"/>
  <c r="Z3387" i="13"/>
  <c r="Z3493" i="13"/>
  <c r="Z3410" i="13"/>
  <c r="Z2073" i="13"/>
  <c r="Z2666" i="13"/>
  <c r="Z485" i="13"/>
  <c r="Z1276" i="13"/>
  <c r="Z2883" i="13"/>
  <c r="Z1057" i="13"/>
  <c r="Z96" i="13"/>
  <c r="Z638" i="13"/>
  <c r="Z3119" i="13"/>
  <c r="Z3222" i="13"/>
  <c r="Z2457" i="13"/>
  <c r="Z70" i="13"/>
  <c r="Z2700" i="13"/>
  <c r="Z2454" i="13"/>
  <c r="Z3184" i="13"/>
  <c r="Z2069" i="13"/>
  <c r="Z1899" i="13"/>
  <c r="Z2930" i="13"/>
  <c r="Z1356" i="13"/>
  <c r="Z1896" i="13"/>
  <c r="Z3435" i="13"/>
  <c r="Z521" i="13"/>
  <c r="Z2113" i="13"/>
  <c r="Z1610" i="13"/>
  <c r="Z2852" i="13"/>
  <c r="Z2604" i="13"/>
  <c r="Z2888" i="13"/>
  <c r="Z2236" i="13"/>
  <c r="Z1726" i="13"/>
  <c r="Z860" i="13"/>
  <c r="Z2085" i="13"/>
  <c r="Z3122" i="13"/>
  <c r="Z1940" i="13"/>
  <c r="Z3110" i="13"/>
  <c r="Z2816" i="13"/>
  <c r="Z71" i="13"/>
  <c r="Z1027" i="13"/>
  <c r="Z3050" i="13"/>
  <c r="Z1629" i="13"/>
  <c r="Z2004" i="13"/>
  <c r="Z827" i="13"/>
  <c r="Z1702" i="13"/>
  <c r="Z1311" i="13"/>
  <c r="Z2267" i="13"/>
  <c r="Z529" i="13"/>
  <c r="Z2208" i="13"/>
  <c r="Z1397" i="13"/>
  <c r="Z2962" i="13"/>
  <c r="Z1757" i="13"/>
  <c r="Z1305" i="13"/>
  <c r="Z2619" i="13"/>
  <c r="Z2142" i="13"/>
  <c r="Z1261" i="13"/>
  <c r="Z897" i="13"/>
  <c r="Z250" i="13"/>
  <c r="Z3463" i="13"/>
  <c r="Z2941" i="13"/>
  <c r="Z2432" i="13"/>
  <c r="Z1287" i="13"/>
  <c r="Z2195" i="13"/>
  <c r="Z1799" i="13"/>
  <c r="Z3174" i="13"/>
  <c r="Z2526" i="13"/>
  <c r="Z2105" i="13"/>
  <c r="Z1745" i="13"/>
  <c r="Z3131" i="13"/>
  <c r="Z2083" i="13"/>
  <c r="Z1658" i="13"/>
  <c r="Z3198" i="13"/>
  <c r="Z3331" i="13"/>
  <c r="Z2387" i="13"/>
  <c r="Z2460" i="13"/>
  <c r="Z2817" i="13"/>
  <c r="Z344" i="13"/>
  <c r="Z481" i="13"/>
  <c r="Z2738" i="13"/>
  <c r="Z1662" i="13"/>
  <c r="Z2724" i="13"/>
  <c r="Z3052" i="13"/>
  <c r="Z2997" i="13"/>
  <c r="Z109" i="13"/>
  <c r="Z2122" i="13"/>
  <c r="Z2329" i="13"/>
  <c r="Z2197" i="13"/>
  <c r="Z977" i="13"/>
  <c r="Z707" i="13"/>
  <c r="Z1123" i="13"/>
  <c r="Z3431" i="13"/>
  <c r="Z3144" i="13"/>
  <c r="Z1007" i="13"/>
  <c r="Z1462" i="13"/>
  <c r="Z3339" i="13"/>
  <c r="Z3451" i="13"/>
  <c r="Z148" i="13"/>
  <c r="Z3018" i="13"/>
  <c r="Z753" i="13"/>
  <c r="Z1587" i="13"/>
  <c r="Z312" i="13"/>
  <c r="Z423" i="13"/>
  <c r="Z3250" i="13"/>
  <c r="Z845" i="13"/>
  <c r="Z3355" i="13"/>
  <c r="Z1147" i="13"/>
  <c r="Z1894" i="13"/>
  <c r="Z186" i="13"/>
  <c r="Z600" i="13"/>
  <c r="Z3399" i="13"/>
  <c r="Z913" i="13"/>
  <c r="Z936" i="13"/>
  <c r="Z2038" i="13"/>
  <c r="Z2175" i="13"/>
  <c r="Z2954" i="13"/>
  <c r="Z2861" i="13"/>
  <c r="Z3386" i="13"/>
  <c r="Z3221" i="13"/>
  <c r="Z618" i="13"/>
  <c r="Z2048" i="13"/>
  <c r="Z94" i="13"/>
  <c r="Z40" i="13"/>
  <c r="Z3372" i="13"/>
  <c r="Z2557" i="13"/>
  <c r="Z692" i="13"/>
  <c r="Z2140" i="13"/>
  <c r="Z331" i="13"/>
  <c r="Z770" i="13"/>
  <c r="Z2321" i="13"/>
  <c r="Z1281" i="13"/>
  <c r="Z562" i="13"/>
  <c r="Z976" i="13"/>
  <c r="Z2268" i="13"/>
  <c r="Z3192" i="13"/>
  <c r="Z431" i="13"/>
  <c r="Z3396" i="13"/>
  <c r="Z668" i="13"/>
  <c r="Z1342" i="13"/>
  <c r="Z39" i="13"/>
  <c r="Z354" i="13"/>
  <c r="Z2473" i="13"/>
  <c r="Z2060" i="13"/>
  <c r="Z2755" i="13"/>
  <c r="Z3002" i="13"/>
  <c r="Z1377" i="13"/>
  <c r="Z426" i="13"/>
  <c r="Z2969" i="13"/>
  <c r="Z566" i="13"/>
  <c r="Z2704" i="13"/>
  <c r="Z2592" i="13"/>
  <c r="Z3147" i="13"/>
  <c r="Z2042" i="13"/>
  <c r="Z3450" i="13"/>
  <c r="Z2737" i="13"/>
  <c r="Z3005" i="13"/>
  <c r="Z1496" i="13"/>
  <c r="Z1069" i="13"/>
  <c r="Z612" i="13"/>
  <c r="Z2789" i="13"/>
  <c r="Z1049" i="13"/>
  <c r="Z347" i="13"/>
  <c r="Z1366" i="13"/>
  <c r="Z1301" i="13"/>
  <c r="Z3482" i="13"/>
  <c r="Z2644" i="13"/>
  <c r="Z3150" i="13"/>
  <c r="Z2571" i="13"/>
  <c r="Z2453" i="13"/>
  <c r="Z657" i="13"/>
  <c r="Z728" i="13"/>
  <c r="Z1538" i="13"/>
  <c r="Z2089" i="13"/>
  <c r="Z1329" i="13"/>
  <c r="Z2968" i="13"/>
  <c r="Z2821" i="13"/>
  <c r="Z2397" i="13"/>
  <c r="Z3098" i="13"/>
  <c r="Z2371" i="13"/>
  <c r="Z1560" i="13"/>
  <c r="Z3540" i="13"/>
  <c r="Z844" i="13"/>
  <c r="Z2818" i="13"/>
  <c r="Z421" i="13"/>
  <c r="Z729" i="13"/>
  <c r="Z978" i="13"/>
  <c r="Z3441" i="13"/>
  <c r="Z2470" i="13"/>
  <c r="Z2213" i="13"/>
  <c r="Z2487" i="13"/>
  <c r="Z806" i="13"/>
  <c r="Z3186" i="13"/>
  <c r="Z3362" i="13"/>
  <c r="Z852" i="13"/>
  <c r="Z189" i="13"/>
  <c r="Z880" i="13"/>
  <c r="Z438" i="13"/>
  <c r="Z690" i="13"/>
  <c r="Z2008" i="13"/>
  <c r="Z982" i="13"/>
  <c r="Z941" i="13"/>
  <c r="Z2395" i="13"/>
  <c r="Z2217" i="13"/>
  <c r="Z270" i="13"/>
  <c r="Z2756" i="13"/>
  <c r="Z1544" i="13"/>
  <c r="Z2641" i="13"/>
  <c r="Z568" i="13"/>
  <c r="Z2417" i="13"/>
  <c r="Z376" i="13"/>
  <c r="Z414" i="13"/>
  <c r="Z78" i="13"/>
  <c r="Z967" i="13"/>
  <c r="Z1492" i="13"/>
  <c r="Z1665" i="13"/>
  <c r="Z625" i="13"/>
  <c r="Z164" i="13"/>
  <c r="Z3141" i="13"/>
  <c r="Z1300" i="13"/>
  <c r="Z3258" i="13"/>
  <c r="Z2851" i="13"/>
  <c r="Z349" i="13"/>
  <c r="Z2517" i="13"/>
  <c r="Z3520" i="13"/>
  <c r="Z3392" i="13"/>
  <c r="Z2564" i="13"/>
  <c r="Z1903" i="13"/>
  <c r="Z2902" i="13"/>
  <c r="Z2300" i="13"/>
  <c r="Z2245" i="13"/>
  <c r="Z3078" i="13"/>
  <c r="Z965" i="13"/>
  <c r="Z2313" i="13"/>
  <c r="Z2026" i="13"/>
  <c r="Z2614" i="13"/>
  <c r="Z2373" i="13"/>
  <c r="Z1543" i="13"/>
  <c r="Z2211" i="13"/>
  <c r="Z2064" i="13"/>
  <c r="Z2022" i="13"/>
  <c r="Z31" i="13"/>
  <c r="Z1251" i="13"/>
  <c r="Z2676" i="13"/>
  <c r="Z805" i="13"/>
  <c r="Z3356" i="13"/>
  <c r="Z1607" i="13"/>
  <c r="Z2615" i="13"/>
  <c r="Z52" i="13"/>
  <c r="Z1442" i="13"/>
  <c r="Z2097" i="13"/>
  <c r="Z259" i="13"/>
  <c r="Z324" i="13"/>
  <c r="Z723" i="13"/>
  <c r="Z1169" i="13"/>
  <c r="Z1396" i="13"/>
  <c r="Z156" i="13"/>
  <c r="Z2378" i="13"/>
  <c r="Z2402" i="13"/>
  <c r="Z223" i="13"/>
  <c r="Z2957" i="13"/>
  <c r="Z2703" i="13"/>
  <c r="Z3458" i="13"/>
  <c r="Z1103" i="13"/>
  <c r="Z1452" i="13"/>
  <c r="Z1557" i="13"/>
  <c r="Z3462" i="13"/>
  <c r="Z254" i="13"/>
  <c r="Z1445" i="13"/>
  <c r="Z2207" i="13"/>
  <c r="Z543" i="13"/>
  <c r="Z3405" i="13"/>
  <c r="Z627" i="13"/>
  <c r="Z3377" i="13"/>
  <c r="Z3133" i="13"/>
  <c r="Z1575" i="13"/>
  <c r="Z2748" i="13"/>
  <c r="Z2670" i="13"/>
  <c r="Z2981" i="13"/>
  <c r="Z725" i="13"/>
  <c r="Z1141" i="13"/>
  <c r="Z950" i="13"/>
  <c r="Z372" i="13"/>
  <c r="Z2899" i="13"/>
  <c r="Z1381" i="13"/>
  <c r="Z598" i="13"/>
  <c r="Z1408" i="13"/>
  <c r="Z2639" i="13"/>
  <c r="Z569" i="13"/>
  <c r="Z2790" i="13"/>
  <c r="Z2323" i="13"/>
  <c r="Z158" i="13"/>
  <c r="Z783" i="13"/>
  <c r="Z345" i="13"/>
  <c r="Z842" i="13"/>
  <c r="Z1497" i="13"/>
  <c r="Z2744" i="13"/>
  <c r="Z2439" i="13"/>
  <c r="Z2157" i="13"/>
  <c r="Z1865" i="13"/>
  <c r="Z492" i="13"/>
  <c r="Z1194" i="13"/>
  <c r="Z2675" i="13"/>
  <c r="Z173" i="13"/>
  <c r="Z2606" i="13"/>
  <c r="Z2044" i="13"/>
  <c r="Z872" i="13"/>
  <c r="Z3522" i="13"/>
  <c r="Z1288" i="13"/>
  <c r="Z1142" i="13"/>
  <c r="Z3297" i="13"/>
  <c r="Z2949" i="13"/>
  <c r="Z3180" i="13"/>
  <c r="Z3289" i="13"/>
  <c r="Z2946" i="13"/>
  <c r="Z471" i="13"/>
  <c r="Z514" i="13"/>
  <c r="Z310" i="13"/>
  <c r="Z1071" i="13"/>
  <c r="Z27" i="13"/>
  <c r="Z554" i="13"/>
  <c r="Z2784" i="13"/>
  <c r="Z41" i="13"/>
  <c r="Z2255" i="13"/>
  <c r="Z720" i="13"/>
  <c r="Z1298" i="13"/>
  <c r="Z630" i="13"/>
  <c r="Z2413" i="13"/>
  <c r="Z3211" i="13"/>
  <c r="Z63" i="13"/>
  <c r="Z674" i="13"/>
  <c r="Z1006" i="13"/>
  <c r="Z1562" i="13"/>
  <c r="Z2917" i="13"/>
  <c r="Z703" i="13"/>
  <c r="Z1608" i="13"/>
  <c r="Z1687" i="13"/>
  <c r="Z1178" i="13"/>
  <c r="Z2183" i="13"/>
  <c r="Z1034" i="13"/>
  <c r="Z1824" i="13"/>
  <c r="Z2363" i="13"/>
  <c r="Z997" i="13"/>
  <c r="Z1031" i="13"/>
  <c r="Z2521" i="13"/>
  <c r="Z1855" i="13"/>
  <c r="Z241" i="13"/>
  <c r="Z2437" i="13"/>
  <c r="Z2977" i="13"/>
  <c r="Z157" i="13"/>
  <c r="Z2507" i="13"/>
  <c r="Z2324" i="13"/>
  <c r="Z2979" i="13"/>
  <c r="Z3140" i="13"/>
  <c r="Z896" i="13"/>
  <c r="Z1661" i="13"/>
  <c r="Z1372" i="13"/>
  <c r="Z2023" i="13"/>
  <c r="Z2163" i="13"/>
  <c r="Z2636" i="13"/>
  <c r="Z2181" i="13"/>
  <c r="Z1887" i="13"/>
  <c r="Z2673" i="13"/>
  <c r="Z278" i="13"/>
  <c r="Z3404" i="13"/>
  <c r="Z77" i="13"/>
  <c r="Z195" i="13"/>
  <c r="Z3389" i="13"/>
  <c r="Z548" i="13"/>
  <c r="Z2243" i="13"/>
  <c r="Z2237" i="13"/>
  <c r="Z1432" i="13"/>
  <c r="Z87" i="13"/>
  <c r="Z1950" i="13"/>
  <c r="Z3185" i="13"/>
  <c r="Z2444" i="13"/>
  <c r="Z1467" i="13"/>
  <c r="Z818" i="13"/>
  <c r="Z963" i="13"/>
  <c r="Z2767" i="13"/>
  <c r="Z833" i="13"/>
  <c r="Z2369" i="13"/>
  <c r="Z213" i="13"/>
  <c r="Z513" i="13"/>
  <c r="Z2792" i="13"/>
  <c r="Z1457" i="13"/>
  <c r="Z2796" i="13"/>
  <c r="Z2869" i="13"/>
  <c r="Z2141" i="13"/>
  <c r="Z3154" i="13"/>
  <c r="Z666" i="13"/>
  <c r="Z2258" i="13"/>
  <c r="Z2018" i="13"/>
  <c r="Z3394" i="13"/>
  <c r="Z168" i="13"/>
  <c r="Z2780" i="13"/>
  <c r="Z642" i="13"/>
  <c r="Z2678" i="13"/>
  <c r="Z3324" i="13"/>
  <c r="Z1238" i="13"/>
  <c r="Z2173" i="13"/>
  <c r="Z1874" i="13"/>
  <c r="Z1957" i="13"/>
  <c r="Z2006" i="13"/>
  <c r="Z3358" i="13"/>
  <c r="Z1578" i="13"/>
  <c r="Z2319" i="13"/>
  <c r="Z528" i="13"/>
  <c r="Z592" i="13"/>
  <c r="Z799" i="13"/>
  <c r="Z1744" i="13"/>
  <c r="Z1900" i="13"/>
  <c r="Z249" i="13"/>
  <c r="Z382" i="13"/>
  <c r="Z926" i="13"/>
  <c r="Z2419" i="13"/>
  <c r="Z1776" i="13"/>
  <c r="Z2209" i="13"/>
  <c r="Z1564" i="13"/>
  <c r="Z1728" i="13"/>
  <c r="Z3344" i="13"/>
  <c r="Z670" i="13"/>
  <c r="Z1795" i="13"/>
  <c r="Z484" i="13"/>
  <c r="Z86" i="13"/>
  <c r="Z2827" i="13"/>
  <c r="Z1088" i="13"/>
  <c r="Z1220" i="13"/>
  <c r="Z3466" i="13"/>
  <c r="Z3172" i="13"/>
  <c r="Z1133" i="13"/>
  <c r="Z2836" i="13"/>
  <c r="Z602" i="13"/>
  <c r="Z2864" i="13"/>
  <c r="Z578" i="13"/>
  <c r="Z1474" i="13"/>
  <c r="Z2689" i="13"/>
  <c r="Z1697" i="13"/>
  <c r="Z3354" i="13"/>
  <c r="Z2842" i="13"/>
  <c r="Z486" i="13"/>
  <c r="Z2256" i="13"/>
  <c r="Z2647" i="13"/>
  <c r="Z551" i="13"/>
  <c r="Z1252" i="13"/>
  <c r="Z2020" i="13"/>
  <c r="Z652" i="13"/>
  <c r="Z3121" i="13"/>
  <c r="Z1130" i="13"/>
  <c r="Z2931" i="13"/>
  <c r="Z2384" i="13"/>
  <c r="Z1410" i="13"/>
  <c r="Z3541" i="13"/>
  <c r="Z1958" i="13"/>
  <c r="Z2600" i="13"/>
  <c r="Z2658" i="13"/>
  <c r="Z2662" i="13"/>
  <c r="Z962" i="13"/>
  <c r="Z3217" i="13"/>
  <c r="Z2474" i="13"/>
  <c r="Z2845" i="13"/>
  <c r="Z1212" i="13"/>
  <c r="Z1106" i="13"/>
  <c r="Z1981" i="13"/>
  <c r="Z1613" i="13"/>
  <c r="Z2998" i="13"/>
  <c r="Z3070" i="13"/>
  <c r="Z3528" i="13"/>
  <c r="Z1743" i="13"/>
  <c r="Z3288" i="13"/>
  <c r="Z2860" i="13"/>
  <c r="Z798" i="13"/>
  <c r="Z2273" i="13"/>
  <c r="Z699" i="13"/>
  <c r="Z2203" i="13"/>
  <c r="Z243" i="13"/>
  <c r="Z953" i="13"/>
  <c r="Z3175" i="13"/>
  <c r="Z2688" i="13"/>
  <c r="Z2580" i="13"/>
  <c r="Z524" i="13"/>
  <c r="Z1010" i="13"/>
  <c r="Z984" i="13"/>
  <c r="Z2011" i="13"/>
  <c r="Z2368" i="13"/>
  <c r="Z1316" i="13"/>
  <c r="Z450" i="13"/>
  <c r="Z2147" i="13"/>
  <c r="Z693" i="13"/>
  <c r="Z2844" i="13"/>
  <c r="Z332" i="13"/>
  <c r="Z1113" i="13"/>
  <c r="Z3195" i="13"/>
  <c r="Z1423" i="13"/>
  <c r="Z2599" i="13"/>
  <c r="Z1421" i="13"/>
  <c r="Z910" i="13"/>
  <c r="Z2386" i="13"/>
  <c r="Z1829" i="13"/>
  <c r="Z1751" i="13"/>
  <c r="Z2921" i="13"/>
  <c r="Z3360" i="13"/>
  <c r="Z1322" i="13"/>
  <c r="Z3271" i="13"/>
  <c r="Z680" i="13"/>
  <c r="Z3549" i="13"/>
  <c r="Z3051" i="13"/>
  <c r="Z1746" i="13"/>
  <c r="Z3176" i="13"/>
  <c r="Z3245" i="13"/>
  <c r="Z918" i="13"/>
  <c r="Z1448" i="13"/>
  <c r="Z3397" i="13"/>
  <c r="Z3238" i="13"/>
  <c r="Z3346" i="13"/>
  <c r="Z1176" i="13"/>
  <c r="Z2057" i="13"/>
  <c r="Z3135" i="13"/>
  <c r="Z394" i="13"/>
  <c r="Z2215" i="13"/>
  <c r="Z640" i="13"/>
  <c r="Z2525" i="13"/>
  <c r="Z2025" i="13"/>
  <c r="Z1122" i="13"/>
  <c r="Z227" i="13"/>
  <c r="Z1830" i="13"/>
  <c r="Z3081" i="13"/>
  <c r="Z458" i="13"/>
  <c r="Z3375" i="13"/>
  <c r="Z3226" i="13"/>
  <c r="Z3202" i="13"/>
  <c r="Z2631" i="13"/>
  <c r="Z3440" i="13"/>
  <c r="Z2961" i="13"/>
  <c r="Z3320" i="13"/>
  <c r="Z2111" i="13"/>
  <c r="Z2840" i="13"/>
  <c r="Z2087" i="13"/>
  <c r="Z3374" i="13"/>
  <c r="Z843" i="13"/>
  <c r="Z2645" i="13"/>
  <c r="Z2421" i="13"/>
  <c r="Z1060" i="13"/>
  <c r="Z1489" i="13"/>
  <c r="Z3108" i="13"/>
  <c r="Z1898" i="13"/>
  <c r="Z1826" i="13"/>
  <c r="Z260" i="13"/>
  <c r="Z1386" i="13"/>
  <c r="Z3515" i="13"/>
  <c r="Z2870" i="13"/>
  <c r="Z2096" i="13"/>
  <c r="Z30" i="13"/>
  <c r="Z3538" i="13"/>
  <c r="Z1518" i="13"/>
  <c r="Z3257" i="13"/>
  <c r="Z1928" i="13"/>
  <c r="Z596" i="13"/>
  <c r="Z3340" i="13"/>
  <c r="Z3311" i="13"/>
  <c r="Z3332" i="13"/>
  <c r="Z3101" i="13"/>
  <c r="Z2960" i="13"/>
  <c r="Z876" i="13"/>
  <c r="Z1473" i="13"/>
  <c r="Z3253" i="13"/>
  <c r="Z2039" i="13"/>
  <c r="Z3188" i="13"/>
  <c r="Z531" i="13"/>
  <c r="Z714" i="13"/>
  <c r="Z1723" i="13"/>
  <c r="Z1180" i="13"/>
  <c r="Z802" i="13"/>
  <c r="Z1931" i="13"/>
  <c r="Z2293" i="13"/>
  <c r="Z1458" i="13"/>
  <c r="Z2648" i="13"/>
  <c r="Z3383" i="13"/>
  <c r="Z856" i="13"/>
  <c r="Z1369" i="13"/>
  <c r="Z556" i="13"/>
  <c r="Z2973" i="13"/>
  <c r="Z2469" i="13"/>
  <c r="Z276" i="13"/>
  <c r="Z2441" i="13"/>
  <c r="Z834" i="13"/>
  <c r="Z774" i="13"/>
  <c r="Z261" i="13"/>
  <c r="Z1781" i="13"/>
  <c r="Z1055" i="13"/>
  <c r="Z1085" i="13"/>
  <c r="Z800" i="13"/>
  <c r="Z274" i="13"/>
  <c r="Z1155" i="13"/>
  <c r="Z2978" i="13"/>
  <c r="Z3474" i="13"/>
  <c r="Z1243" i="13"/>
  <c r="Z1677" i="13"/>
  <c r="Z2588" i="13"/>
  <c r="Z46" i="13"/>
  <c r="Z2668" i="13"/>
  <c r="Z3085" i="13"/>
  <c r="Z391" i="13"/>
  <c r="Z2478" i="13"/>
  <c r="Z785" i="13"/>
  <c r="Z72" i="13"/>
  <c r="Z1058" i="13"/>
  <c r="Z3447" i="13"/>
  <c r="Z1364" i="13"/>
  <c r="Z1722" i="13"/>
  <c r="Z150" i="13"/>
  <c r="Z2643" i="13"/>
  <c r="Z3261" i="13"/>
  <c r="Z2547" i="13"/>
  <c r="Z445" i="13"/>
  <c r="Z610" i="13"/>
  <c r="Z29" i="13"/>
  <c r="Z1438" i="13"/>
  <c r="Z2019" i="13"/>
  <c r="Z2201" i="13"/>
  <c r="Z3126" i="13"/>
  <c r="Z1166" i="13"/>
  <c r="Z3137" i="13"/>
  <c r="Z1698" i="13"/>
  <c r="Z2543" i="13"/>
  <c r="Z2602" i="13"/>
  <c r="Z1634" i="13"/>
  <c r="Z121" i="13"/>
  <c r="Z2952" i="13"/>
  <c r="Z3213" i="13"/>
  <c r="Z1619" i="13"/>
  <c r="Z3527" i="13"/>
  <c r="Z2895" i="13"/>
  <c r="Z3113" i="13"/>
  <c r="Z1486" i="13"/>
  <c r="Z1823" i="13"/>
  <c r="Z106" i="13"/>
  <c r="Z2499" i="13"/>
  <c r="Z1035" i="13"/>
  <c r="Z3090" i="13"/>
  <c r="Z3128" i="13"/>
  <c r="Z1456" i="13"/>
  <c r="Z3200" i="13"/>
  <c r="Z1642" i="13"/>
  <c r="Z427" i="13"/>
  <c r="Z2695" i="13"/>
  <c r="Z2541" i="13"/>
  <c r="Z573" i="13"/>
  <c r="Z3237" i="13"/>
  <c r="Z1391" i="13"/>
  <c r="Z390" i="13"/>
  <c r="Z3306" i="13"/>
  <c r="Z2398" i="13"/>
  <c r="Z1938" i="13"/>
  <c r="Z572" i="13"/>
  <c r="Z1565" i="13"/>
  <c r="Z1534" i="13"/>
  <c r="Z3025" i="13"/>
  <c r="Z1856" i="13"/>
  <c r="Z2135" i="13"/>
  <c r="Z2770" i="13"/>
  <c r="Z2423" i="13"/>
  <c r="Z2393" i="13"/>
  <c r="Z2702" i="13"/>
  <c r="Z686" i="13"/>
  <c r="Z1272" i="13"/>
  <c r="Z256" i="13"/>
  <c r="Z654" i="13"/>
  <c r="Z1775" i="13"/>
  <c r="Z2573" i="13"/>
  <c r="Z738" i="13"/>
  <c r="Z2104" i="13"/>
  <c r="Z3012" i="13"/>
  <c r="Z2055" i="13"/>
  <c r="Z2426" i="13"/>
  <c r="Z3205" i="13"/>
  <c r="Z1735" i="13"/>
  <c r="Z755" i="13"/>
  <c r="Z2760" i="13"/>
  <c r="Z2807" i="13"/>
  <c r="Z19" i="13"/>
  <c r="Z3013" i="13"/>
  <c r="Z273" i="13"/>
  <c r="Z2736" i="13"/>
  <c r="Z3079" i="13"/>
  <c r="Z2593" i="13"/>
  <c r="Z2512" i="13"/>
  <c r="Z2725" i="13"/>
  <c r="Z1425" i="13"/>
  <c r="Z1154" i="13"/>
  <c r="Z540" i="13"/>
  <c r="Z2013" i="13"/>
  <c r="AA637" i="13"/>
  <c r="AA3174" i="13"/>
  <c r="AA39" i="13"/>
  <c r="AA2788" i="13"/>
  <c r="AA2148" i="13"/>
  <c r="AA2146" i="13"/>
  <c r="AA663" i="13"/>
  <c r="AA1298" i="13"/>
  <c r="AA3186" i="13"/>
  <c r="AA1798" i="13"/>
  <c r="AA338" i="13"/>
  <c r="AA2566" i="13"/>
  <c r="AA1546" i="13"/>
  <c r="AA850" i="13"/>
  <c r="AA1800" i="13"/>
  <c r="AA846" i="13"/>
  <c r="AA271" i="13"/>
  <c r="AA3090" i="13"/>
  <c r="AA249" i="13"/>
  <c r="AA3305" i="13"/>
  <c r="AA3428" i="13"/>
  <c r="AA2109" i="13"/>
  <c r="AA3478" i="13"/>
  <c r="AA941" i="13"/>
  <c r="AA3147" i="13"/>
  <c r="AA2966" i="13"/>
  <c r="AA3165" i="13"/>
  <c r="AA172" i="13"/>
  <c r="AA582" i="13"/>
  <c r="AA715" i="13"/>
  <c r="AA1467" i="13"/>
  <c r="AA2634" i="13"/>
  <c r="AA674" i="13"/>
  <c r="AA231" i="13"/>
  <c r="AA1148" i="13"/>
  <c r="AA1247" i="13"/>
  <c r="AA888" i="13"/>
  <c r="AA1031" i="13"/>
  <c r="AA1400" i="13"/>
  <c r="AA2222" i="13"/>
  <c r="AA370" i="13"/>
  <c r="AA2478" i="13"/>
  <c r="AA136" i="13"/>
  <c r="AA882" i="13"/>
  <c r="AA2224" i="13"/>
  <c r="AA2949" i="13"/>
  <c r="AA2005" i="13"/>
  <c r="AA238" i="13"/>
  <c r="AA2980" i="13"/>
  <c r="AA1137" i="13"/>
  <c r="AA2511" i="13"/>
  <c r="AA3111" i="13"/>
  <c r="AA945" i="13"/>
  <c r="AA3491" i="13"/>
  <c r="AA759" i="13"/>
  <c r="AA1396" i="13"/>
  <c r="AA2666" i="13"/>
  <c r="AA2722" i="13"/>
  <c r="AA2834" i="13"/>
  <c r="AA2128" i="13"/>
  <c r="AA2498" i="13"/>
  <c r="AA3300" i="13"/>
  <c r="AA1352" i="13"/>
  <c r="AA2300" i="13"/>
  <c r="AA741" i="13"/>
  <c r="AA3102" i="13"/>
  <c r="AA387" i="13"/>
  <c r="AA2152" i="13"/>
  <c r="AA558" i="13"/>
  <c r="AA1239" i="13"/>
  <c r="AA2920" i="13"/>
  <c r="AA1726" i="13"/>
  <c r="AA3416" i="13"/>
  <c r="AA1233" i="13"/>
  <c r="AA2831" i="13"/>
  <c r="AA1369" i="13"/>
  <c r="AA1774" i="13"/>
  <c r="AA2367" i="13"/>
  <c r="AA2247" i="13"/>
  <c r="AA1443" i="13"/>
  <c r="AA3546" i="13"/>
  <c r="AA123" i="13"/>
  <c r="AA763" i="13"/>
  <c r="AA1698" i="13"/>
  <c r="AA1154" i="13"/>
  <c r="AA560" i="13"/>
  <c r="AA996" i="13"/>
  <c r="AA69" i="13"/>
  <c r="AA1420" i="13"/>
  <c r="AA429" i="13"/>
  <c r="AA1654" i="13"/>
  <c r="AA2550" i="13"/>
  <c r="AA1572" i="13"/>
  <c r="AA2806" i="13"/>
  <c r="AA3208" i="13"/>
  <c r="AA2340" i="13"/>
  <c r="AA2552" i="13"/>
  <c r="AA867" i="13"/>
  <c r="AA3460" i="13"/>
  <c r="AA293" i="13"/>
  <c r="AA664" i="13"/>
  <c r="AA1741" i="13"/>
  <c r="AA1457" i="13"/>
  <c r="AA2497" i="13"/>
  <c r="AA1817" i="13"/>
  <c r="AA1568" i="13"/>
  <c r="AA1176" i="13"/>
  <c r="AA585" i="13"/>
  <c r="AA847" i="13"/>
  <c r="AA1596" i="13"/>
  <c r="AA956" i="13"/>
  <c r="AA428" i="13"/>
  <c r="AA522" i="13"/>
  <c r="AA1335" i="13"/>
  <c r="AA3502" i="13"/>
  <c r="AA1648" i="13"/>
  <c r="AA843" i="13"/>
  <c r="AA86" i="13"/>
  <c r="AA3380" i="13"/>
  <c r="AA497" i="13"/>
  <c r="AA2412" i="13"/>
  <c r="AA3402" i="13"/>
  <c r="AA1887" i="13"/>
  <c r="AA2072" i="13"/>
  <c r="AA129" i="13"/>
  <c r="AA2025" i="13"/>
  <c r="AA2433" i="13"/>
  <c r="AA1952" i="13"/>
  <c r="AA3503" i="13"/>
  <c r="AA2157" i="13"/>
  <c r="AA3441" i="13"/>
  <c r="AA363" i="13"/>
  <c r="AA400" i="13"/>
  <c r="AA1986" i="13"/>
  <c r="AA2644" i="13"/>
  <c r="AA1068" i="13"/>
  <c r="AA2708" i="13"/>
  <c r="AA2394" i="13"/>
  <c r="AA3057" i="13"/>
  <c r="AA2792" i="13"/>
  <c r="AA2594" i="13"/>
  <c r="AA346" i="13"/>
  <c r="AA396" i="13"/>
  <c r="AA1063" i="13"/>
  <c r="AA2762" i="13"/>
  <c r="AA1404" i="13"/>
  <c r="AA2117" i="13"/>
  <c r="AA3130" i="13"/>
  <c r="AA1565" i="13"/>
  <c r="AA2453" i="13"/>
  <c r="AA3520" i="13"/>
  <c r="AA3060" i="13"/>
  <c r="AA2311" i="13"/>
  <c r="AA193" i="13"/>
  <c r="AA2621" i="13"/>
  <c r="AA3417" i="13"/>
  <c r="AA3363" i="13"/>
  <c r="AA1129" i="13"/>
  <c r="AA282" i="13"/>
  <c r="AA295" i="13"/>
  <c r="AA1576" i="13"/>
  <c r="AA2088" i="13"/>
  <c r="AA375" i="13"/>
  <c r="AA83" i="13"/>
  <c r="AA811" i="13"/>
  <c r="AA1910" i="13"/>
  <c r="AA1191" i="13"/>
  <c r="AA766" i="13"/>
  <c r="AA2596" i="13"/>
  <c r="AA2934" i="13"/>
  <c r="AA3282" i="13"/>
  <c r="AA2615" i="13"/>
  <c r="AA2513" i="13"/>
  <c r="AA2053" i="13"/>
  <c r="AA2078" i="13"/>
  <c r="AA2309" i="13"/>
  <c r="AA3026" i="13"/>
  <c r="AA2189" i="13"/>
  <c r="AA1947" i="13"/>
  <c r="AA1439" i="13"/>
  <c r="AA2386" i="13"/>
  <c r="AA1906" i="13"/>
  <c r="AA180" i="13"/>
  <c r="AA699" i="13"/>
  <c r="AA1117" i="13"/>
  <c r="AA762" i="13"/>
  <c r="AA440" i="13"/>
  <c r="AA3216" i="13"/>
  <c r="AA1399" i="13"/>
  <c r="AA1344" i="13"/>
  <c r="AA1934" i="13"/>
  <c r="AA2487" i="13"/>
  <c r="AA881" i="13"/>
  <c r="AA2979" i="13"/>
  <c r="AA1353" i="13"/>
  <c r="AA1567" i="13"/>
  <c r="AA3497" i="13"/>
  <c r="AA2079" i="13"/>
  <c r="AA2515" i="13"/>
  <c r="AA3254" i="13"/>
  <c r="AA1225" i="13"/>
  <c r="AA1750" i="13"/>
  <c r="AA1347" i="13"/>
  <c r="AA317" i="13"/>
  <c r="AA2329" i="13"/>
  <c r="AA757" i="13"/>
  <c r="AA2139" i="13"/>
  <c r="AA1620" i="13"/>
  <c r="AA367" i="13"/>
  <c r="AA156" i="13"/>
  <c r="AA1574" i="13"/>
  <c r="AA2388" i="13"/>
  <c r="AA1794" i="13"/>
  <c r="AA92" i="13"/>
  <c r="AA832" i="13"/>
  <c r="AA509" i="13"/>
  <c r="AA775" i="13"/>
  <c r="AA93" i="13"/>
  <c r="AA3388" i="13"/>
  <c r="AA964" i="13"/>
  <c r="AA486" i="13"/>
  <c r="AA289" i="13"/>
  <c r="AA2502" i="13"/>
  <c r="AA2159" i="13"/>
  <c r="AA1660" i="13"/>
  <c r="AA2740" i="13"/>
  <c r="AA960" i="13"/>
  <c r="AA2081" i="13"/>
  <c r="AA3276" i="13"/>
  <c r="AA1161" i="13"/>
  <c r="AA2414" i="13"/>
  <c r="AA57" i="13"/>
  <c r="AA3505" i="13"/>
  <c r="AA1925" i="13"/>
  <c r="AA3063" i="13"/>
  <c r="AA2907" i="13"/>
  <c r="AA2262" i="13"/>
  <c r="AA3003" i="13"/>
  <c r="AA1908" i="13"/>
  <c r="AA1338" i="13"/>
  <c r="AA203" i="13"/>
  <c r="AA1099" i="13"/>
  <c r="AA690" i="13"/>
  <c r="AA212" i="13"/>
  <c r="AA2508" i="13"/>
  <c r="AA519" i="13"/>
  <c r="AA3484" i="13"/>
  <c r="AA1678" i="13"/>
  <c r="AA1474" i="13"/>
  <c r="AA3296" i="13"/>
  <c r="AA3128" i="13"/>
  <c r="AA620" i="13"/>
  <c r="AA3274" i="13"/>
  <c r="AA2420" i="13"/>
  <c r="AA3222" i="13"/>
  <c r="AA259" i="13"/>
  <c r="AA1337" i="13"/>
  <c r="AA1153" i="13"/>
  <c r="AA885" i="13"/>
  <c r="AA2409" i="13"/>
  <c r="AA920" i="13"/>
  <c r="AA149" i="13"/>
  <c r="AA1961" i="13"/>
  <c r="AA3419" i="13"/>
  <c r="AA2897" i="13"/>
  <c r="AA1056" i="13"/>
  <c r="AA332" i="13"/>
  <c r="AA855" i="13"/>
  <c r="AA1375" i="13"/>
  <c r="AA871" i="13"/>
  <c r="AA1185" i="13"/>
  <c r="AA2826" i="13"/>
  <c r="AA2465" i="13"/>
  <c r="AA1380" i="13"/>
  <c r="AA2415" i="13"/>
  <c r="AA1211" i="13"/>
  <c r="AA2977" i="13"/>
  <c r="AA793" i="13"/>
  <c r="AA1073" i="13"/>
  <c r="AA1757" i="13"/>
  <c r="AA2620" i="13"/>
  <c r="AA2709" i="13"/>
  <c r="AA2360" i="13"/>
  <c r="AA2965" i="13"/>
  <c r="AA2207" i="13"/>
  <c r="AA2619" i="13"/>
  <c r="AA1515" i="13"/>
  <c r="AA2216" i="13"/>
  <c r="AA1832" i="13"/>
  <c r="AA1612" i="13"/>
  <c r="AA546" i="13"/>
  <c r="AA851" i="13"/>
  <c r="AA1828" i="13"/>
  <c r="AA3094" i="13"/>
  <c r="AA1532" i="13"/>
  <c r="AA3410" i="13"/>
  <c r="AA2852" i="13"/>
  <c r="AA2168" i="13"/>
  <c r="AA841" i="13"/>
  <c r="AA3058" i="13"/>
  <c r="AA2127" i="13"/>
  <c r="AA2969" i="13"/>
  <c r="AA3097" i="13"/>
  <c r="AA3377" i="13"/>
  <c r="AA2119" i="13"/>
  <c r="AA2171" i="13"/>
  <c r="AA1262" i="13"/>
  <c r="AA1662" i="13"/>
  <c r="AA1829" i="13"/>
  <c r="AA1102" i="13"/>
  <c r="AA1033" i="13"/>
  <c r="AA3104" i="13"/>
  <c r="AA1289" i="13"/>
  <c r="AA3287" i="13"/>
  <c r="AA352" i="13"/>
  <c r="AA551" i="13"/>
  <c r="AA651" i="13"/>
  <c r="AA1440" i="13"/>
  <c r="AA247" i="13"/>
  <c r="AA994" i="13"/>
  <c r="AA2896" i="13"/>
  <c r="AA391" i="13"/>
  <c r="AA87" i="13"/>
  <c r="AA2990" i="13"/>
  <c r="AA304" i="13"/>
  <c r="AA1072" i="13"/>
  <c r="AA59" i="13"/>
  <c r="AA1246" i="13"/>
  <c r="AA1524" i="13"/>
  <c r="AA91" i="13"/>
  <c r="AA1212" i="13"/>
  <c r="AA2180" i="13"/>
  <c r="AA3338" i="13"/>
  <c r="AA2760" i="13"/>
  <c r="AA2314" i="13"/>
  <c r="AA1657" i="13"/>
  <c r="AA3507" i="13"/>
  <c r="AA515" i="13"/>
  <c r="AA2353" i="13"/>
  <c r="AA2997" i="13"/>
  <c r="AA126" i="13"/>
  <c r="AA3513" i="13"/>
  <c r="AA2071" i="13"/>
  <c r="AA2569" i="13"/>
  <c r="AA3353" i="13"/>
  <c r="AA1043" i="13"/>
  <c r="AA3440" i="13"/>
  <c r="AA902" i="13"/>
  <c r="AA2858" i="13"/>
  <c r="AA2344" i="13"/>
  <c r="AA128" i="13"/>
  <c r="AA2356" i="13"/>
  <c r="AA2632" i="13"/>
  <c r="AA1152" i="13"/>
  <c r="AA424" i="13"/>
  <c r="AA3010" i="13"/>
  <c r="AA936" i="13"/>
  <c r="AA1534" i="13"/>
  <c r="AA2036" i="13"/>
  <c r="AA1782" i="13"/>
  <c r="AA3480" i="13"/>
  <c r="AA1694" i="13"/>
  <c r="AA2863" i="13"/>
  <c r="AA2193" i="13"/>
  <c r="AA2588" i="13"/>
  <c r="AA3029" i="13"/>
  <c r="AA3230" i="13"/>
  <c r="AA1733" i="13"/>
  <c r="AA2393" i="13"/>
  <c r="AA1771" i="13"/>
  <c r="AA2873" i="13"/>
  <c r="AA3499" i="13"/>
  <c r="AA859" i="13"/>
  <c r="AA1188" i="13"/>
  <c r="AA2728" i="13"/>
  <c r="AA3332" i="13"/>
  <c r="AA1087" i="13"/>
  <c r="AA778" i="13"/>
  <c r="AA119" i="13"/>
  <c r="AA880" i="13"/>
  <c r="AA1308" i="13"/>
  <c r="AA3526" i="13"/>
  <c r="AA802" i="13"/>
  <c r="AA647" i="13"/>
  <c r="AA909" i="13"/>
  <c r="AA29" i="13"/>
  <c r="AA2307" i="13"/>
  <c r="AA2757" i="13"/>
  <c r="AA3379" i="13"/>
  <c r="AA3465" i="13"/>
  <c r="AA3351" i="13"/>
  <c r="AA2237" i="13"/>
  <c r="AA2203" i="13"/>
  <c r="AA1126" i="13"/>
  <c r="AA1405" i="13"/>
  <c r="AA1034" i="13"/>
  <c r="AA2106" i="13"/>
  <c r="AA1724" i="13"/>
  <c r="AA2543" i="13"/>
  <c r="AA187" i="13"/>
  <c r="AA3041" i="13"/>
  <c r="AA1818" i="13"/>
  <c r="AA1589" i="13"/>
  <c r="AA1618" i="13"/>
  <c r="AA3337" i="13"/>
  <c r="AA3407" i="13"/>
  <c r="AA1537" i="13"/>
  <c r="AA2845" i="13"/>
  <c r="AA1001" i="13"/>
  <c r="AA3455" i="13"/>
  <c r="AA1257" i="13"/>
  <c r="AA1627" i="13"/>
  <c r="AA2701" i="13"/>
  <c r="AA1016" i="13"/>
  <c r="AA3308" i="13"/>
  <c r="AA2739" i="13"/>
  <c r="AA2558" i="13"/>
  <c r="AA1965" i="13"/>
  <c r="AA2646" i="13"/>
  <c r="AA2905" i="13"/>
  <c r="AA3320" i="13"/>
  <c r="AA991" i="13"/>
  <c r="AA186" i="13"/>
  <c r="AA1884" i="13"/>
  <c r="AA2572" i="13"/>
  <c r="AA1018" i="13"/>
  <c r="AA1210" i="13"/>
  <c r="AA178" i="13"/>
  <c r="AA1484" i="13"/>
  <c r="AA628" i="13"/>
  <c r="AA1492" i="13"/>
  <c r="AA310" i="13"/>
  <c r="AA1466" i="13"/>
  <c r="AA708" i="13"/>
  <c r="AA1254" i="13"/>
  <c r="AA1936" i="13"/>
  <c r="AA1531" i="13"/>
  <c r="AA1348" i="13"/>
  <c r="AA1300" i="13"/>
  <c r="AA1386" i="13"/>
  <c r="AA2884" i="13"/>
  <c r="AA402" i="13"/>
  <c r="AA1956" i="13"/>
  <c r="AA1281" i="13"/>
  <c r="AA3473" i="13"/>
  <c r="AA3443" i="13"/>
  <c r="AA3081" i="13"/>
  <c r="AA2669" i="13"/>
  <c r="AA2048" i="13"/>
  <c r="AA1859" i="13"/>
  <c r="AA3323" i="13"/>
  <c r="AA1683" i="13"/>
  <c r="AA1931" i="13"/>
  <c r="AA64" i="13"/>
  <c r="AA614" i="13"/>
  <c r="AA1522" i="13"/>
  <c r="AA2482" i="13"/>
  <c r="AA2052" i="13"/>
  <c r="AA2434" i="13"/>
  <c r="AA2606" i="13"/>
  <c r="AA2820" i="13"/>
  <c r="AA3510" i="13"/>
  <c r="AA2352" i="13"/>
  <c r="AA336" i="13"/>
  <c r="AA2608" i="13"/>
  <c r="AA1502" i="13"/>
  <c r="AA1360" i="13"/>
  <c r="AA329" i="13"/>
  <c r="AA1273" i="13"/>
  <c r="AA1721" i="13"/>
  <c r="AA1630" i="13"/>
  <c r="AA1013" i="13"/>
  <c r="AA2161" i="13"/>
  <c r="AA2085" i="13"/>
  <c r="AA2003" i="13"/>
  <c r="AA1969" i="13"/>
  <c r="AA1557" i="13"/>
  <c r="AA2255" i="13"/>
  <c r="AA2711" i="13"/>
  <c r="AA1763" i="13"/>
  <c r="AA2856" i="13"/>
  <c r="AA933" i="13"/>
  <c r="AA770" i="13"/>
  <c r="AA1204" i="13"/>
  <c r="AA2184" i="13"/>
  <c r="AA163" i="13"/>
  <c r="AA733" i="13"/>
  <c r="AA2030" i="13"/>
  <c r="AA3288" i="13"/>
  <c r="AA2672" i="13"/>
  <c r="AA1143" i="13"/>
  <c r="AA3084" i="13"/>
  <c r="AA1513" i="13"/>
  <c r="AA24" i="13"/>
  <c r="AA2304" i="13"/>
  <c r="AA3488" i="13"/>
  <c r="AA2816" i="13"/>
  <c r="AA2652" i="13"/>
  <c r="AA2815" i="13"/>
  <c r="AA3253" i="13"/>
  <c r="AA1891" i="13"/>
  <c r="AA1742" i="13"/>
  <c r="AA359" i="13"/>
  <c r="AA983" i="13"/>
  <c r="AA1309" i="13"/>
  <c r="AA436" i="13"/>
  <c r="AA3522" i="13"/>
  <c r="AA2050" i="13"/>
  <c r="AA1527" i="13"/>
  <c r="AA2362" i="13"/>
  <c r="AA2318" i="13"/>
  <c r="AA476" i="13"/>
  <c r="AA2073" i="13"/>
  <c r="AA1833" i="13"/>
  <c r="AA792" i="13"/>
  <c r="AA579" i="13"/>
  <c r="AA2847" i="13"/>
  <c r="AA141" i="13"/>
  <c r="AA1485" i="13"/>
  <c r="AA2803" i="13"/>
  <c r="AA2439" i="13"/>
  <c r="AA3290" i="13"/>
  <c r="AA2102" i="13"/>
  <c r="AA709" i="13"/>
  <c r="AA3071" i="13"/>
  <c r="AA385" i="13"/>
  <c r="AA3418" i="13"/>
  <c r="AA2885" i="13"/>
  <c r="AA1677" i="13"/>
  <c r="AA858" i="13"/>
  <c r="AA1431" i="13"/>
  <c r="AA1476" i="13"/>
  <c r="AA2794" i="13"/>
  <c r="AA3504" i="13"/>
  <c r="AA688" i="13"/>
  <c r="AA1550" i="13"/>
  <c r="AA2424" i="13"/>
  <c r="AA2636" i="13"/>
  <c r="AA973" i="13"/>
  <c r="AA1680" i="13"/>
  <c r="AA3074" i="13"/>
  <c r="AA1488" i="13"/>
  <c r="AA900" i="13"/>
  <c r="AA2113" i="13"/>
  <c r="AA2828" i="13"/>
  <c r="AA599" i="13"/>
  <c r="AA1240" i="13"/>
  <c r="AA1882" i="13"/>
  <c r="AA916" i="13"/>
  <c r="AA946" i="13"/>
  <c r="AA605" i="13"/>
  <c r="AA3463" i="13"/>
  <c r="AA40" i="13"/>
  <c r="AA1749" i="13"/>
  <c r="AA1795" i="13"/>
  <c r="AA521" i="13"/>
  <c r="AA321" i="13"/>
  <c r="AA2215" i="13"/>
  <c r="AA3327" i="13"/>
  <c r="AA181" i="13"/>
  <c r="AA2372" i="13"/>
  <c r="AA44" i="13"/>
  <c r="AA564" i="13"/>
  <c r="AA257" i="13"/>
  <c r="AA1797" i="13"/>
  <c r="AA1711" i="13"/>
  <c r="AA821" i="13"/>
  <c r="AA1843" i="13"/>
  <c r="AA2011" i="13"/>
  <c r="AA726" i="13"/>
  <c r="AA3284" i="13"/>
  <c r="AA1710" i="13"/>
  <c r="AA3356" i="13"/>
  <c r="AA1203" i="13"/>
  <c r="AA701" i="13"/>
  <c r="AA2181" i="13"/>
  <c r="AA1005" i="13"/>
  <c r="AA3250" i="13"/>
  <c r="AA942" i="13"/>
  <c r="AA1361" i="13"/>
  <c r="AA3543" i="13"/>
  <c r="AA22" i="13"/>
  <c r="AA783" i="13"/>
  <c r="AA773" i="13"/>
  <c r="AA3218" i="13"/>
  <c r="AA450" i="13"/>
  <c r="AA603" i="13"/>
  <c r="AA2865" i="13"/>
  <c r="AA3508" i="13"/>
  <c r="AA1425" i="13"/>
  <c r="AA677" i="13"/>
  <c r="AA2058" i="13"/>
  <c r="AA455" i="13"/>
  <c r="AA1499" i="13"/>
  <c r="AA350" i="13"/>
  <c r="AA3244" i="13"/>
  <c r="AA2712" i="13"/>
  <c r="AA1329" i="13"/>
  <c r="AA825" i="13"/>
  <c r="AA2522" i="13"/>
  <c r="AA2280" i="13"/>
  <c r="AA3458" i="13"/>
  <c r="AA1157" i="13"/>
  <c r="AA101" i="13"/>
  <c r="AA3477" i="13"/>
  <c r="AA2060" i="13"/>
  <c r="AA3442" i="13"/>
  <c r="AA3252" i="13"/>
  <c r="AA739" i="13"/>
  <c r="AA1112" i="13"/>
  <c r="AA675" i="13"/>
  <c r="AA2411" i="13"/>
  <c r="AA1830" i="13"/>
  <c r="AA1756" i="13"/>
  <c r="AA1178" i="13"/>
  <c r="AA3258" i="13"/>
  <c r="AA2947" i="13"/>
  <c r="AA3437" i="13"/>
  <c r="AA390" i="13"/>
  <c r="AA1122" i="13"/>
  <c r="AA2864" i="13"/>
  <c r="AA2763" i="13"/>
  <c r="AA1661" i="13"/>
  <c r="AA1667" i="13"/>
  <c r="AA286" i="13"/>
  <c r="AA1626" i="13"/>
  <c r="AA823" i="13"/>
  <c r="AA965" i="13"/>
  <c r="AA2917" i="13"/>
  <c r="AA3163" i="13"/>
  <c r="AA1163" i="13"/>
  <c r="AA161" i="13"/>
  <c r="AA376" i="13"/>
  <c r="AA467" i="13"/>
  <c r="AA1793" i="13"/>
  <c r="AA3148" i="13"/>
  <c r="AA19" i="13"/>
  <c r="AA496" i="13"/>
  <c r="AA1590" i="13"/>
  <c r="AA2769" i="13"/>
  <c r="AA2813" i="13"/>
  <c r="AA2333" i="13"/>
  <c r="AA863" i="13"/>
  <c r="AA742" i="13"/>
  <c r="AA650" i="13"/>
  <c r="AA588" i="13"/>
  <c r="AA907" i="13"/>
  <c r="AA898" i="13"/>
  <c r="AA1292" i="13"/>
  <c r="AA3372" i="13"/>
  <c r="AA420" i="13"/>
  <c r="AA1051" i="13"/>
  <c r="AA1689" i="13"/>
  <c r="AA2014" i="13"/>
  <c r="AA3311" i="13"/>
  <c r="AA2295" i="13"/>
  <c r="AA2223" i="13"/>
  <c r="AA3283" i="13"/>
  <c r="AA2659" i="13"/>
  <c r="AA1914" i="13"/>
  <c r="AA1876" i="13"/>
  <c r="AA1770" i="13"/>
  <c r="AA146" i="13"/>
  <c r="AA764" i="13"/>
  <c r="AA220" i="13"/>
  <c r="AA1992" i="13"/>
  <c r="AA1889" i="13"/>
  <c r="AA1806" i="13"/>
  <c r="AA607" i="13"/>
  <c r="AA144" i="13"/>
  <c r="AA3302" i="13"/>
  <c r="AA3498" i="13"/>
  <c r="AA280" i="13"/>
  <c r="AA3277" i="13"/>
  <c r="AA2133" i="13"/>
  <c r="AA2009" i="13"/>
  <c r="AA2489" i="13"/>
  <c r="AA3315" i="13"/>
  <c r="AA3257" i="13"/>
  <c r="AA2811" i="13"/>
  <c r="AA731" i="13"/>
  <c r="AA2954" i="13"/>
  <c r="AA1136" i="13"/>
  <c r="AA2890" i="13"/>
  <c r="AA173" i="13"/>
  <c r="AA2017" i="13"/>
  <c r="AA1222" i="13"/>
  <c r="AA1053" i="13"/>
  <c r="AA1845" i="13"/>
  <c r="AA2777" i="13"/>
  <c r="AA3079" i="13"/>
  <c r="AA2603" i="13"/>
  <c r="AA2364" i="13"/>
  <c r="AA1835" i="13"/>
  <c r="AA2587" i="13"/>
  <c r="AA96" i="13"/>
  <c r="AA2992" i="13"/>
  <c r="AA1092" i="13"/>
  <c r="AA827" i="13"/>
  <c r="AA2209" i="13"/>
  <c r="AA2166" i="13"/>
  <c r="AA42" i="13"/>
  <c r="AA2037" i="13"/>
  <c r="AA3264" i="13"/>
  <c r="AA1655" i="13"/>
  <c r="AA2548" i="13"/>
  <c r="AA2220" i="13"/>
  <c r="AA3371" i="13"/>
  <c r="AA1593" i="13"/>
  <c r="AA3409" i="13"/>
  <c r="AA3083" i="13"/>
  <c r="AA2503" i="13"/>
  <c r="AA1878" i="13"/>
  <c r="AA1663" i="13"/>
  <c r="AA1624" i="13"/>
  <c r="AA2531" i="13"/>
  <c r="AA2213" i="13"/>
  <c r="AA986" i="13"/>
  <c r="AA2254" i="13"/>
  <c r="AA970" i="13"/>
  <c r="AA75" i="13"/>
  <c r="AA3550" i="13"/>
  <c r="AA952" i="13"/>
  <c r="AA1523" i="13"/>
  <c r="AA1781" i="13"/>
  <c r="AA1267" i="13"/>
  <c r="AA318" i="13"/>
  <c r="AA1554" i="13"/>
  <c r="AA723" i="13"/>
  <c r="AA1504" i="13"/>
  <c r="AA704" i="13"/>
  <c r="AA379" i="13"/>
  <c r="AA2730" i="13"/>
  <c r="AA495" i="13"/>
  <c r="AA1608" i="13"/>
  <c r="AA1045" i="13"/>
  <c r="AA897" i="13"/>
  <c r="AA2297" i="13"/>
  <c r="AA382" i="13"/>
  <c r="AA1599" i="13"/>
  <c r="AA2473" i="13"/>
  <c r="AA2451" i="13"/>
  <c r="AA2963" i="13"/>
  <c r="AA1208" i="13"/>
  <c r="AA1350" i="13"/>
  <c r="AA2022" i="13"/>
  <c r="AA423" i="13"/>
  <c r="AA2689" i="13"/>
  <c r="AA1358" i="13"/>
  <c r="AA2926" i="13"/>
  <c r="AA3180" i="13"/>
  <c r="AA1995" i="13"/>
  <c r="AA26" i="13"/>
  <c r="AA170" i="13"/>
  <c r="AA507" i="13"/>
  <c r="AA703" i="13"/>
  <c r="AA143" i="13"/>
  <c r="AA2734" i="13"/>
  <c r="AA1374" i="13"/>
  <c r="AA2483" i="13"/>
  <c r="AA3273" i="13"/>
  <c r="AA1105" i="13"/>
  <c r="AA2467" i="13"/>
  <c r="AA3001" i="13"/>
  <c r="AA1487" i="13"/>
  <c r="AA1990" i="13"/>
  <c r="AA2958" i="13"/>
  <c r="AA1588" i="13"/>
  <c r="AA3476" i="13"/>
  <c r="AA738" i="13"/>
  <c r="AA1325" i="13"/>
  <c r="AA1489" i="13"/>
  <c r="AA3279" i="13"/>
  <c r="AA646" i="13"/>
  <c r="AA272" i="13"/>
  <c r="AA1275" i="13"/>
  <c r="AA2150" i="13"/>
  <c r="AA774" i="13"/>
  <c r="AA3456" i="13"/>
  <c r="AA1497" i="13"/>
  <c r="AA3019" i="13"/>
  <c r="AA980" i="13"/>
  <c r="AA1584" i="13"/>
  <c r="AA3438" i="13"/>
  <c r="AA2456" i="13"/>
  <c r="AA1134" i="13"/>
  <c r="AA1469" i="13"/>
  <c r="AA437" i="13"/>
  <c r="AA940" i="13"/>
  <c r="AA1582" i="13"/>
  <c r="AA2163" i="13"/>
  <c r="AA2749" i="13"/>
  <c r="AA3375" i="13"/>
  <c r="AA2020" i="13"/>
  <c r="AA642" i="13"/>
  <c r="AA711" i="13"/>
  <c r="AA2942" i="13"/>
  <c r="AA2286" i="13"/>
  <c r="AA1376" i="13"/>
  <c r="AA20" i="13"/>
  <c r="AA413" i="13"/>
  <c r="AA1130" i="13"/>
  <c r="AA1417" i="13"/>
  <c r="AA1880" i="13"/>
  <c r="AA712" i="13"/>
  <c r="AA1294" i="13"/>
  <c r="AA2436" i="13"/>
  <c r="AA510" i="13"/>
  <c r="AA769" i="13"/>
  <c r="AA441" i="13"/>
  <c r="AA431" i="13"/>
  <c r="AA3494" i="13"/>
  <c r="AA673" i="13"/>
  <c r="AA2877" i="13"/>
  <c r="AA601" i="13"/>
  <c r="AA2699" i="13"/>
  <c r="AA1842" i="13"/>
  <c r="AA2004" i="13"/>
  <c r="AA3053" i="13"/>
  <c r="AA1875" i="13"/>
  <c r="AA1055" i="13"/>
  <c r="AA2841" i="13"/>
  <c r="AA2727" i="13"/>
  <c r="AA142" i="13"/>
  <c r="AA2324" i="13"/>
  <c r="AA1541" i="13"/>
  <c r="AA2392" i="13"/>
  <c r="AA2403" i="13"/>
  <c r="AA1242" i="13"/>
  <c r="AA2468" i="13"/>
  <c r="AA2270" i="13"/>
  <c r="AA3135" i="13"/>
  <c r="AA3239" i="13"/>
  <c r="AA594" i="13"/>
  <c r="AA2145" i="13"/>
  <c r="AA2462" i="13"/>
  <c r="AA2323" i="13"/>
  <c r="AA1223" i="13"/>
  <c r="AA1948" i="13"/>
  <c r="AA781" i="13"/>
  <c r="AA3453" i="13"/>
  <c r="AA2656" i="13"/>
  <c r="AA3539" i="13"/>
  <c r="AA3206" i="13"/>
  <c r="AA3268" i="13"/>
  <c r="AA2944" i="13"/>
  <c r="AA3146" i="13"/>
  <c r="AA2201" i="13"/>
  <c r="AA2375" i="13"/>
  <c r="AA2772" i="13"/>
  <c r="AA2206" i="13"/>
  <c r="AA3381" i="13"/>
  <c r="AA2266" i="13"/>
  <c r="AA3182" i="13"/>
  <c r="AA1088" i="13"/>
  <c r="AA2484" i="13"/>
  <c r="AA923" i="13"/>
  <c r="AA1486" i="13"/>
  <c r="AA2264" i="13"/>
  <c r="AA869" i="13"/>
  <c r="AA1268" i="13"/>
  <c r="AA2191" i="13"/>
  <c r="AA94" i="13"/>
  <c r="AA2933" i="13"/>
  <c r="AA1716" i="13"/>
  <c r="AA444" i="13"/>
  <c r="AA2225" i="13"/>
  <c r="AA968" i="13"/>
  <c r="AA452" i="13"/>
  <c r="AA2988" i="13"/>
  <c r="AA1872" i="13"/>
  <c r="AA610" i="13"/>
  <c r="AA1159" i="13"/>
  <c r="AA1312" i="13"/>
  <c r="AA1115" i="13"/>
  <c r="AA1366" i="13"/>
  <c r="AA179" i="13"/>
  <c r="AA1720" i="13"/>
  <c r="AA2437" i="13"/>
  <c r="AA1406" i="13"/>
  <c r="AA3129" i="13"/>
  <c r="AA3009" i="13"/>
  <c r="AA2851" i="13"/>
  <c r="AA2067" i="13"/>
  <c r="AA466" i="13"/>
  <c r="AA267" i="13"/>
  <c r="AA1426" i="13"/>
  <c r="AA2458" i="13"/>
  <c r="AA1458" i="13"/>
  <c r="AA1928" i="13"/>
  <c r="AA2866" i="13"/>
  <c r="AA358" i="13"/>
  <c r="AA378" i="13"/>
  <c r="AA1032" i="13"/>
  <c r="AA1075" i="13"/>
  <c r="AA972" i="13"/>
  <c r="AA2305" i="13"/>
  <c r="AA1637" i="13"/>
  <c r="AA3193" i="13"/>
  <c r="AA1401" i="13"/>
  <c r="AA3175" i="13"/>
  <c r="AA3140" i="13"/>
  <c r="AA2883" i="13"/>
  <c r="AA1449" i="13"/>
  <c r="AA3171" i="13"/>
  <c r="AA1424" i="13"/>
  <c r="AA752" i="13"/>
  <c r="AA1960" i="13"/>
  <c r="AA2694" i="13"/>
  <c r="AA1295" i="13"/>
  <c r="AA565" i="13"/>
  <c r="AA1228" i="13"/>
  <c r="AA1060" i="13"/>
  <c r="AA2970" i="13"/>
  <c r="AA809" i="13"/>
  <c r="AA2241" i="13"/>
  <c r="AA2327" i="13"/>
  <c r="AA1944" i="13"/>
  <c r="AA1559" i="13"/>
  <c r="AA1695" i="13"/>
  <c r="AA722" i="13"/>
  <c r="AA1180" i="13"/>
  <c r="AA820" i="13"/>
  <c r="AA3178" i="13"/>
  <c r="AA1355" i="13"/>
  <c r="AA2593" i="13"/>
  <c r="AA541" i="13"/>
  <c r="AA306" i="13"/>
  <c r="AA2421" i="13"/>
  <c r="AA771" i="13"/>
  <c r="AA1847" i="13"/>
  <c r="AA344" i="13"/>
  <c r="AA3095" i="13"/>
  <c r="AA3318" i="13"/>
  <c r="AA3391" i="13"/>
  <c r="AA2971" i="13"/>
  <c r="AA629" i="13"/>
  <c r="AA1893" i="13"/>
  <c r="AA2253" i="13"/>
  <c r="AA1758" i="13"/>
  <c r="AA2547" i="13"/>
  <c r="AA2691" i="13"/>
  <c r="AA415" i="13"/>
  <c r="AA348" i="13"/>
  <c r="AA468" i="13"/>
  <c r="AA824" i="13"/>
  <c r="AA3046" i="13"/>
  <c r="AA1535" i="13"/>
  <c r="AA1174" i="13"/>
  <c r="AA106" i="13"/>
  <c r="AA662" i="13"/>
  <c r="AA2428" i="13"/>
  <c r="AA276" i="13"/>
  <c r="AA1665" i="13"/>
  <c r="AA292" i="13"/>
  <c r="AA2258" i="13"/>
  <c r="AA2862" i="13"/>
  <c r="AA549" i="13"/>
  <c r="AA915" i="13"/>
  <c r="AA719" i="13"/>
  <c r="AA2801" i="13"/>
  <c r="AA1708" i="13"/>
  <c r="AA2676" i="13"/>
  <c r="AA2198" i="13"/>
  <c r="AA1611" i="13"/>
  <c r="AA2267" i="13"/>
  <c r="AA2328" i="13"/>
  <c r="AA2655" i="13"/>
  <c r="AA1340" i="13"/>
  <c r="AA2100" i="13"/>
  <c r="AA1346" i="13"/>
  <c r="AA1183" i="13"/>
  <c r="AA449" i="13"/>
  <c r="AA3209" i="13"/>
  <c r="AA2449" i="13"/>
  <c r="AA707" i="13"/>
  <c r="AA1801" i="13"/>
  <c r="AA2600" i="13"/>
  <c r="AA380" i="13"/>
  <c r="AA667" i="13"/>
  <c r="AA395" i="13"/>
  <c r="AA2248" i="13"/>
  <c r="AA1017" i="13"/>
  <c r="AA85" i="13"/>
  <c r="AA2131" i="13"/>
  <c r="AA600" i="13"/>
  <c r="AA2355" i="13"/>
  <c r="AA3017" i="13"/>
  <c r="AA2667" i="13"/>
  <c r="AA66" i="13"/>
  <c r="AA439" i="13"/>
  <c r="AA3170" i="13"/>
  <c r="AA3342" i="13"/>
  <c r="AA97" i="13"/>
  <c r="AA3348" i="13"/>
  <c r="AA2807" i="13"/>
  <c r="AA3411" i="13"/>
  <c r="AA1755" i="13"/>
  <c r="AA779" i="13"/>
  <c r="AA1287" i="13"/>
  <c r="AA316" i="13"/>
  <c r="AA3398" i="13"/>
  <c r="AA3454" i="13"/>
  <c r="AA3152" i="13"/>
  <c r="AA3297" i="13"/>
  <c r="AA2783" i="13"/>
  <c r="AA743" i="13"/>
  <c r="AA2832" i="13"/>
  <c r="AA801" i="13"/>
  <c r="AA2136" i="13"/>
  <c r="AA3267" i="13"/>
  <c r="AA3551" i="13"/>
  <c r="AA30" i="13"/>
  <c r="AA2574" i="13"/>
  <c r="AA435" i="13"/>
  <c r="AA857" i="13"/>
  <c r="AA1923" i="13"/>
  <c r="AA3467" i="13"/>
  <c r="AA576" i="13"/>
  <c r="AA1598" i="13"/>
  <c r="AA2512" i="13"/>
  <c r="AA3350" i="13"/>
  <c r="AA3354" i="13"/>
  <c r="AA772" i="13"/>
  <c r="AA3246" i="13"/>
  <c r="AA504" i="13"/>
  <c r="AA275" i="13"/>
  <c r="AA3021" i="13"/>
  <c r="AA1917" i="13"/>
  <c r="AA992" i="13"/>
  <c r="AA140" i="13"/>
  <c r="AA3396" i="13"/>
  <c r="AA2358" i="13"/>
  <c r="AA296" i="13"/>
  <c r="AA3431" i="13"/>
  <c r="AA2640" i="13"/>
  <c r="AA1007" i="13"/>
  <c r="AA728" i="13"/>
  <c r="AA2051" i="13"/>
  <c r="AA2637" i="13"/>
  <c r="AA1951" i="13"/>
  <c r="AA392" i="13"/>
  <c r="AA2700" i="13"/>
  <c r="AA3479" i="13"/>
  <c r="AA3269" i="13"/>
  <c r="AA1837" i="13"/>
  <c r="AA569" i="13"/>
  <c r="AA2057" i="13"/>
  <c r="AA748" i="13"/>
  <c r="AA580" i="13"/>
  <c r="AA737" i="13"/>
  <c r="AA1279" i="13"/>
  <c r="AA1464" i="13"/>
  <c r="AA1790" i="13"/>
  <c r="AA3133" i="13"/>
  <c r="AA1149" i="13"/>
  <c r="AA1166" i="13"/>
  <c r="AA158" i="13"/>
  <c r="AA589" i="13"/>
  <c r="AA630" i="13"/>
  <c r="AA1715" i="13"/>
  <c r="AA1198" i="13"/>
  <c r="AA3093" i="13"/>
  <c r="AA1702" i="13"/>
  <c r="AA887" i="13"/>
  <c r="AA2514" i="13"/>
  <c r="AA152" i="13"/>
  <c r="AA3352" i="13"/>
  <c r="AA487" i="13"/>
  <c r="AA1022" i="13"/>
  <c r="AA2332" i="13"/>
  <c r="AA2391" i="13"/>
  <c r="AA1787" i="13"/>
  <c r="AA1737" i="13"/>
  <c r="AA1139" i="13"/>
  <c r="AA1398" i="13"/>
  <c r="AA1047" i="13"/>
  <c r="AA876" i="13"/>
  <c r="AA472" i="13"/>
  <c r="AA456" i="13"/>
  <c r="AA997" i="13"/>
  <c r="AA1814" i="13"/>
  <c r="AA3167" i="13"/>
  <c r="AA404" i="13"/>
  <c r="AA3457" i="13"/>
  <c r="AA1414" i="13"/>
  <c r="AA806" i="13"/>
  <c r="AA2978" i="13"/>
  <c r="AA2075" i="13"/>
  <c r="AA230" i="13"/>
  <c r="AA819" i="13"/>
  <c r="AA3080" i="13"/>
  <c r="AA3154" i="13"/>
  <c r="AA330" i="13"/>
  <c r="AA1138" i="13"/>
  <c r="AA608" i="13"/>
  <c r="AA2902" i="13"/>
  <c r="AA132" i="13"/>
  <c r="AA744" i="13"/>
  <c r="AA2846" i="13"/>
  <c r="AA2054" i="13"/>
  <c r="AA3386" i="13"/>
  <c r="AA425" i="13"/>
  <c r="AA1533" i="13"/>
  <c r="AA1158" i="13"/>
  <c r="AA1666" i="13"/>
  <c r="AA514" i="13"/>
  <c r="AA3004" i="13"/>
  <c r="AA2186" i="13"/>
  <c r="AA1125" i="13"/>
  <c r="AA1330" i="13"/>
  <c r="AA1868" i="13"/>
  <c r="AA1123" i="13"/>
  <c r="AA2082" i="13"/>
  <c r="AA269" i="13"/>
  <c r="AA808" i="13"/>
  <c r="AA2288" i="13"/>
  <c r="AA1385" i="13"/>
  <c r="AA657" i="13"/>
  <c r="AA1617" i="13"/>
  <c r="AA2715" i="13"/>
  <c r="AA388" i="13"/>
  <c r="AA1227" i="13"/>
  <c r="AA2900" i="13"/>
  <c r="AA1408" i="13"/>
  <c r="AA3294" i="13"/>
  <c r="AA643" i="13"/>
  <c r="AA1008" i="13"/>
  <c r="AA917" i="13"/>
  <c r="AA281" i="13"/>
  <c r="AA206" i="13"/>
  <c r="AA349" i="13"/>
  <c r="AA1856" i="13"/>
  <c r="AA2908" i="13"/>
  <c r="AA2144" i="13"/>
  <c r="AA3113" i="13"/>
  <c r="AA3384" i="13"/>
  <c r="AA3295" i="13"/>
  <c r="AA1530" i="13"/>
  <c r="AA1981" i="13"/>
  <c r="AA3471" i="13"/>
  <c r="AA3291" i="13"/>
  <c r="AA134" i="13"/>
  <c r="AA1028" i="13"/>
  <c r="AA2120" i="13"/>
  <c r="AA680" i="13"/>
  <c r="AA1299" i="13"/>
  <c r="AA3204" i="13"/>
  <c r="AA1363" i="13"/>
  <c r="AA767" i="13"/>
  <c r="AA1365" i="13"/>
  <c r="AA3343" i="13"/>
  <c r="AA1831" i="13"/>
  <c r="AA1623" i="13"/>
  <c r="AA2853" i="13"/>
  <c r="AA3439" i="13"/>
  <c r="AA3347" i="13"/>
  <c r="AA3270" i="13"/>
  <c r="AA3056" i="13"/>
  <c r="AA886" i="13"/>
  <c r="AA559" i="13"/>
  <c r="AA189" i="13"/>
  <c r="AA1373" i="13"/>
  <c r="AA1690" i="13"/>
  <c r="AA1077" i="13"/>
  <c r="AA1580" i="13"/>
  <c r="AA953" i="13"/>
  <c r="AA2613" i="13"/>
  <c r="AA665" i="13"/>
  <c r="AA2208" i="13"/>
  <c r="AA1822" i="13"/>
  <c r="AA2743" i="13"/>
  <c r="AA2235" i="13"/>
  <c r="AA3169" i="13"/>
  <c r="AA2177" i="13"/>
  <c r="AA3034" i="13"/>
  <c r="AA3534" i="13"/>
  <c r="AA2909" i="13"/>
  <c r="AA2339" i="13"/>
  <c r="AA1046" i="13"/>
  <c r="AA2658" i="13"/>
  <c r="AA3070" i="13"/>
  <c r="AA2098" i="13"/>
  <c r="AA1407" i="13"/>
  <c r="AA535" i="13"/>
  <c r="AA2724" i="13"/>
  <c r="AA2064" i="13"/>
  <c r="AA2278" i="13"/>
  <c r="AA2693" i="13"/>
  <c r="AA2320" i="13"/>
  <c r="AA1632" i="13"/>
  <c r="AA1255" i="13"/>
  <c r="AA1334" i="13"/>
  <c r="AA2946" i="13"/>
  <c r="AA109" i="13"/>
  <c r="AA1076" i="13"/>
  <c r="AA2354" i="13"/>
  <c r="AA3358" i="13"/>
  <c r="AA3082" i="13"/>
  <c r="AA3224" i="13"/>
  <c r="AA2800" i="13"/>
  <c r="AA1827" i="13"/>
  <c r="AA3527" i="13"/>
  <c r="AA837" i="13"/>
  <c r="AA3369" i="13"/>
  <c r="AA2556" i="13"/>
  <c r="AA377" i="13"/>
  <c r="AA3530" i="13"/>
  <c r="AA2664" i="13"/>
  <c r="AA2319" i="13"/>
  <c r="AA2176" i="13"/>
  <c r="AA3415" i="13"/>
  <c r="AA1601" i="13"/>
  <c r="AA2573" i="13"/>
  <c r="AA3220" i="13"/>
  <c r="AA2378" i="13"/>
  <c r="AA735" i="13"/>
  <c r="AA3394" i="13"/>
  <c r="AA1372" i="13"/>
  <c r="AA1433" i="13"/>
  <c r="AA1834" i="13"/>
  <c r="AA273" i="13"/>
  <c r="AA305" i="13"/>
  <c r="AA3069" i="13"/>
  <c r="AA3149" i="13"/>
  <c r="AA244" i="13"/>
  <c r="AA1151" i="13"/>
  <c r="AA448" i="13"/>
  <c r="AA3087" i="13"/>
  <c r="AA958" i="13"/>
  <c r="AA226" i="13"/>
  <c r="AA398" i="13"/>
  <c r="AA1731" i="13"/>
  <c r="AA3150" i="13"/>
  <c r="AA78" i="13"/>
  <c r="AA1135" i="13"/>
  <c r="AA2338" i="13"/>
  <c r="AA694" i="13"/>
  <c r="AA2494" i="13"/>
  <c r="AA1078" i="13"/>
  <c r="AA1591" i="13"/>
  <c r="AA2584" i="13"/>
  <c r="AA3355" i="13"/>
  <c r="AA2602" i="13"/>
  <c r="AA58" i="13"/>
  <c r="AA3518" i="13"/>
  <c r="AA833" i="13"/>
  <c r="AA1971" i="13"/>
  <c r="AA2641" i="13"/>
  <c r="AA919" i="13"/>
  <c r="AA1722" i="13"/>
  <c r="AA1091" i="13"/>
  <c r="AA1699" i="13"/>
  <c r="AA2683" i="13"/>
  <c r="AA3077" i="13"/>
  <c r="AA2450" i="13"/>
  <c r="AA1230" i="13"/>
  <c r="AA1812" i="13"/>
  <c r="AA2773" i="13"/>
  <c r="AA2390" i="13"/>
  <c r="AA1478" i="13"/>
  <c r="AA1516" i="13"/>
  <c r="AA3106" i="13"/>
  <c r="AA3322" i="13"/>
  <c r="AA2174" i="13"/>
  <c r="AA3007" i="13"/>
  <c r="AA922" i="13"/>
  <c r="AA1378" i="13"/>
  <c r="AA1258" i="13"/>
  <c r="AA1349" i="13"/>
  <c r="AA721" i="13"/>
  <c r="AA2787" i="13"/>
  <c r="AA100" i="13"/>
  <c r="AA1924" i="13"/>
  <c r="AA695" i="13"/>
  <c r="AA2661" i="13"/>
  <c r="AA2821" i="13"/>
  <c r="AA3501" i="13"/>
  <c r="AA706" i="13"/>
  <c r="AA2480" i="13"/>
  <c r="AA963" i="13"/>
  <c r="AA2313" i="13"/>
  <c r="AA2404" i="13"/>
  <c r="AA482" i="13"/>
  <c r="AA1196" i="13"/>
  <c r="AA2066" i="13"/>
  <c r="AA168" i="13"/>
  <c r="AA2164" i="13"/>
  <c r="AA2931" i="13"/>
  <c r="AA751" i="13"/>
  <c r="AA1270" i="13"/>
  <c r="AA1525" i="13"/>
  <c r="AA1472" i="13"/>
  <c r="AA2234" i="13"/>
  <c r="AA537" i="13"/>
  <c r="AA2996" i="13"/>
  <c r="AA2720" i="13"/>
  <c r="AA1094" i="13"/>
  <c r="AA1633" i="13"/>
  <c r="AA1052" i="13"/>
  <c r="AA1955" i="13"/>
  <c r="AA2553" i="13"/>
  <c r="AA1084" i="13"/>
  <c r="AA47" i="13"/>
  <c r="AA1528" i="13"/>
  <c r="AA2084" i="13"/>
  <c r="AA121" i="13"/>
  <c r="AA433" i="13"/>
  <c r="AA905" i="13"/>
  <c r="AA2616" i="13"/>
  <c r="AA2633" i="13"/>
  <c r="AA2363" i="13"/>
  <c r="AA1306" i="13"/>
  <c r="AA1015" i="13"/>
  <c r="AA108" i="13"/>
  <c r="AA191" i="13"/>
  <c r="AA1810" i="13"/>
  <c r="AA947" i="13"/>
  <c r="AA1324" i="13"/>
  <c r="AA1841" i="13"/>
  <c r="AA2737" i="13"/>
  <c r="AA2347" i="13"/>
  <c r="AA2784" i="13"/>
  <c r="AA255" i="13"/>
  <c r="AA3198" i="13"/>
  <c r="AA445" i="13"/>
  <c r="AA2705" i="13"/>
  <c r="AA1384" i="13"/>
  <c r="AA520" i="13"/>
  <c r="AA1456" i="13"/>
  <c r="AA2932" i="13"/>
  <c r="AA2611" i="13"/>
  <c r="AA2538" i="13"/>
  <c r="AA2836" i="13"/>
  <c r="AA195" i="13"/>
  <c r="AA148" i="13"/>
  <c r="AA1189" i="13"/>
  <c r="AA2326" i="13"/>
  <c r="AA3413" i="13"/>
  <c r="AA3136" i="13"/>
  <c r="AA3141" i="13"/>
  <c r="AA2957" i="13"/>
  <c r="AA2444" i="13"/>
  <c r="AA41" i="13"/>
  <c r="AA3549" i="13"/>
  <c r="AA640" i="13"/>
  <c r="AA864" i="13"/>
  <c r="AA1413" i="13"/>
  <c r="AA2385" i="13"/>
  <c r="AA1900" i="13"/>
  <c r="AA2685" i="13"/>
  <c r="AA1930" i="13"/>
  <c r="AA111" i="13"/>
  <c r="AA314" i="13"/>
  <c r="AA265" i="13"/>
  <c r="AA2290" i="13"/>
  <c r="AA1468" i="13"/>
  <c r="AA1802" i="13"/>
  <c r="AA1186" i="13"/>
  <c r="AA1285" i="13"/>
  <c r="AA787" i="13"/>
  <c r="AA1110" i="13"/>
  <c r="AA2293" i="13"/>
  <c r="AA2268" i="13"/>
  <c r="AA1813" i="13"/>
  <c r="AA1848" i="13"/>
  <c r="AA2019" i="13"/>
  <c r="AA1577" i="13"/>
  <c r="AA1453" i="13"/>
  <c r="AA849" i="13"/>
  <c r="AA1164" i="13"/>
  <c r="AA1616" i="13"/>
  <c r="AA1250" i="13"/>
  <c r="AA1238" i="13"/>
  <c r="AA84" i="13"/>
  <c r="AA2680" i="13"/>
  <c r="AA290" i="13"/>
  <c r="AA2357" i="13"/>
  <c r="AA670" i="13"/>
  <c r="AA2200" i="13"/>
  <c r="AA155" i="13"/>
  <c r="AA2940" i="13"/>
  <c r="AA2205" i="13"/>
  <c r="AA552" i="13"/>
  <c r="AA2581" i="13"/>
  <c r="AA3221" i="13"/>
  <c r="AA3245" i="13"/>
  <c r="AA1609" i="13"/>
  <c r="AA2331" i="13"/>
  <c r="AA1883" i="13"/>
  <c r="AA822" i="13"/>
  <c r="AA1684" i="13"/>
  <c r="AA240" i="13"/>
  <c r="AA196" i="13"/>
  <c r="AA2612" i="13"/>
  <c r="AA1569" i="13"/>
  <c r="AA1674" i="13"/>
  <c r="AA1656" i="13"/>
  <c r="AA3183" i="13"/>
  <c r="AA1989" i="13"/>
  <c r="AA3226" i="13"/>
  <c r="AA1049" i="13"/>
  <c r="AA1751" i="13"/>
  <c r="AA1753" i="13"/>
  <c r="AA1193" i="13"/>
  <c r="AA3103" i="13"/>
  <c r="AA1259" i="13"/>
  <c r="AA570" i="13"/>
  <c r="AA237" i="13"/>
  <c r="AA301" i="13"/>
  <c r="AA925" i="13"/>
  <c r="AA2040" i="13"/>
  <c r="AA1245" i="13"/>
  <c r="AA1271" i="13"/>
  <c r="AA3096" i="13"/>
  <c r="AA2464" i="13"/>
  <c r="AA1895" i="13"/>
  <c r="AA856" i="13"/>
  <c r="AA3144" i="13"/>
  <c r="AA2521" i="13"/>
  <c r="AA3525" i="13"/>
  <c r="AA2400" i="13"/>
  <c r="AA889" i="13"/>
  <c r="AA1836" i="13"/>
  <c r="AA1613" i="13"/>
  <c r="AA2015" i="13"/>
  <c r="AA1759" i="13"/>
  <c r="AA188" i="13"/>
  <c r="AA1095" i="13"/>
  <c r="AA3024" i="13"/>
  <c r="AA138" i="13"/>
  <c r="AA756" i="13"/>
  <c r="AA584" i="13"/>
  <c r="AA3482" i="13"/>
  <c r="AA2190" i="13"/>
  <c r="AA1253" i="13"/>
  <c r="AA2165" i="13"/>
  <c r="AA2922" i="13"/>
  <c r="AA2684" i="13"/>
  <c r="AA2605" i="13"/>
  <c r="AA1746" i="13"/>
  <c r="AA478" i="13"/>
  <c r="AA2950" i="13"/>
  <c r="AA720" i="13"/>
  <c r="AA1036" i="13"/>
  <c r="AA2638" i="13"/>
  <c r="AA2425" i="13"/>
  <c r="AA3538" i="13"/>
  <c r="AA2365" i="13"/>
  <c r="AA1237" i="13"/>
  <c r="AA2551" i="13"/>
  <c r="AA1921" i="13"/>
  <c r="AA1397" i="13"/>
  <c r="AA3531" i="13"/>
  <c r="AA291" i="13"/>
  <c r="AA2530" i="13"/>
  <c r="AA1074" i="13"/>
  <c r="AA1284" i="13"/>
  <c r="AA2755" i="13"/>
  <c r="AA3039" i="13"/>
  <c r="AA2149" i="13"/>
  <c r="AA3085" i="13"/>
  <c r="AA1851" i="13"/>
  <c r="AA531" i="13"/>
  <c r="AA3158" i="13"/>
  <c r="AA1973" i="13"/>
  <c r="AA3020" i="13"/>
  <c r="AA540" i="13"/>
  <c r="AA2242" i="13"/>
  <c r="AA1473" i="13"/>
  <c r="AA2648" i="13"/>
  <c r="AA1685" i="13"/>
  <c r="AA1918" i="13"/>
  <c r="AA2477" i="13"/>
  <c r="AA1010" i="13"/>
  <c r="AA2170" i="13"/>
  <c r="AA1890" i="13"/>
  <c r="AA232" i="13"/>
  <c r="AA1319" i="13"/>
  <c r="AA1861" i="13"/>
  <c r="AA1040" i="13"/>
  <c r="AA2589" i="13"/>
  <c r="AA1197" i="13"/>
  <c r="AA654" i="13"/>
  <c r="AA139" i="13"/>
  <c r="AA1570" i="13"/>
  <c r="AA3472" i="13"/>
  <c r="AA990" i="13"/>
  <c r="AA788" i="13"/>
  <c r="AA1573" i="13"/>
  <c r="AA2507" i="13"/>
  <c r="AA2299" i="13"/>
  <c r="AA116" i="13"/>
  <c r="AA829" i="13"/>
  <c r="AA1864" i="13"/>
  <c r="AA3528" i="13"/>
  <c r="AA2609" i="13"/>
  <c r="AA1933" i="13"/>
  <c r="AA566" i="13"/>
  <c r="AA1500" i="13"/>
  <c r="AA1057" i="13"/>
  <c r="AA878" i="13"/>
  <c r="AA3251" i="13"/>
  <c r="AA2426" i="13"/>
  <c r="AA2402" i="13"/>
  <c r="AA118" i="13"/>
  <c r="AA3210" i="13"/>
  <c r="AA117" i="13"/>
  <c r="AA3125" i="13"/>
  <c r="AA1206" i="13"/>
  <c r="AA1840" i="13"/>
  <c r="AA1024" i="13"/>
  <c r="AA1201" i="13"/>
  <c r="AA2774" i="13"/>
  <c r="AA2217" i="13"/>
  <c r="AA303" i="13"/>
  <c r="AA568" i="13"/>
  <c r="AA768" i="13"/>
  <c r="AA2321" i="13"/>
  <c r="AA1409" i="13"/>
  <c r="AA1643" i="13"/>
  <c r="AA874" i="13"/>
  <c r="AA1441" i="13"/>
  <c r="AA2350" i="13"/>
  <c r="AA2029" i="13"/>
  <c r="AA2855" i="13"/>
  <c r="AA70" i="13"/>
  <c r="AA3112" i="13"/>
  <c r="AA1974" i="13"/>
  <c r="AA3383" i="13"/>
  <c r="AA2887" i="13"/>
  <c r="AA1311" i="13"/>
  <c r="AA2570" i="13"/>
  <c r="AA1994" i="13"/>
  <c r="AA930" i="13"/>
  <c r="AA263" i="13"/>
  <c r="AA1858" i="13"/>
  <c r="AA1266" i="13"/>
  <c r="AA300" i="13"/>
  <c r="AA1510" i="13"/>
  <c r="AA2880" i="13"/>
  <c r="AA1061" i="13"/>
  <c r="AA868" i="13"/>
  <c r="AA95" i="13"/>
  <c r="AA2895" i="13"/>
  <c r="AA1169" i="13"/>
  <c r="AA1345" i="13"/>
  <c r="AA3309" i="13"/>
  <c r="AA2263" i="13"/>
  <c r="AA2623" i="13"/>
  <c r="AA3123" i="13"/>
  <c r="AA283" i="13"/>
  <c r="AA928" i="13"/>
  <c r="AA1127" i="13"/>
  <c r="AA995" i="13"/>
  <c r="AA1114" i="13"/>
  <c r="AA1761" i="13"/>
  <c r="AA732" i="13"/>
  <c r="AA2528" i="13"/>
  <c r="AA250" i="13"/>
  <c r="AA1521" i="13"/>
  <c r="AA1850" i="13"/>
  <c r="AA2031" i="13"/>
  <c r="AA1773" i="13"/>
  <c r="AA1109" i="13"/>
  <c r="AA1553" i="13"/>
  <c r="AA3049" i="13"/>
  <c r="AA3373" i="13"/>
  <c r="AA3197" i="13"/>
  <c r="AA2151" i="13"/>
  <c r="AA3389" i="13"/>
  <c r="AA879" i="13"/>
  <c r="AA3544" i="13"/>
  <c r="AA1140" i="13"/>
  <c r="AA3542" i="13"/>
  <c r="AA2785" i="13"/>
  <c r="AA1119" i="13"/>
  <c r="AA2504" i="13"/>
  <c r="AA3521" i="13"/>
  <c r="AA331" i="13"/>
  <c r="AA2492" i="13"/>
  <c r="AA3424" i="13"/>
  <c r="AA1165" i="13"/>
  <c r="AA3325" i="13"/>
  <c r="AA3115" i="13"/>
  <c r="AA1563" i="13"/>
  <c r="AA2395" i="13"/>
  <c r="AA893" i="13"/>
  <c r="AA1264" i="13"/>
  <c r="AA2818" i="13"/>
  <c r="AA254" i="13"/>
  <c r="AA890" i="13"/>
  <c r="AA1903" i="13"/>
  <c r="AA2808" i="13"/>
  <c r="AA1302" i="13"/>
  <c r="AA2927" i="13"/>
  <c r="AA2647" i="13"/>
  <c r="AA1987" i="13"/>
  <c r="AA1081" i="13"/>
  <c r="AA2732" i="13"/>
  <c r="AA2585" i="13"/>
  <c r="AA2753" i="13"/>
  <c r="AA419" i="13"/>
  <c r="AA1935" i="13"/>
  <c r="AA1540" i="13"/>
  <c r="AA3211" i="13"/>
  <c r="AA2175" i="13"/>
  <c r="AA3065" i="13"/>
  <c r="AA1788" i="13"/>
  <c r="AA1874" i="13"/>
  <c r="AA2532" i="13"/>
  <c r="AA2122" i="13"/>
  <c r="AA242" i="13"/>
  <c r="AA1450" i="13"/>
  <c r="AA976" i="13"/>
  <c r="AA2296" i="13"/>
  <c r="AA464" i="13"/>
  <c r="AA447" i="13"/>
  <c r="AA62" i="13"/>
  <c r="AA512" i="13"/>
  <c r="AA2987" i="13"/>
  <c r="AA1946" i="13"/>
  <c r="AA256" i="13"/>
  <c r="AA3532" i="13"/>
  <c r="AA3168" i="13"/>
  <c r="AA1670" i="13"/>
  <c r="AA854" i="13"/>
  <c r="AA2032" i="13"/>
  <c r="AA2519" i="13"/>
  <c r="AA2039" i="13"/>
  <c r="AA557" i="13"/>
  <c r="AA2381" i="13"/>
  <c r="AA3033" i="13"/>
  <c r="AA2919" i="13"/>
  <c r="AA3143" i="13"/>
  <c r="AA2373" i="13"/>
  <c r="AA2284" i="13"/>
  <c r="AA1326" i="13"/>
  <c r="AA1144" i="13"/>
  <c r="AA209" i="13"/>
  <c r="AA2335" i="13"/>
  <c r="AA2627" i="13"/>
  <c r="AA3445" i="13"/>
  <c r="AA3387" i="13"/>
  <c r="AA747" i="13"/>
  <c r="AA1447" i="13"/>
  <c r="AA1860" i="13"/>
  <c r="AA1003" i="13"/>
  <c r="AA1004" i="13"/>
  <c r="AA982" i="13"/>
  <c r="AA2798" i="13"/>
  <c r="AA2981" i="13"/>
  <c r="AA1871" i="13"/>
  <c r="AA2103" i="13"/>
  <c r="AA3475" i="13"/>
  <c r="AA1316" i="13"/>
  <c r="AA3474" i="13"/>
  <c r="AA1430" i="13"/>
  <c r="AA861" i="13"/>
  <c r="AA1080" i="13"/>
  <c r="AA27" i="13"/>
  <c r="AA776" i="13"/>
  <c r="AA2945" i="13"/>
  <c r="AA1241" i="13"/>
  <c r="AA1597" i="13"/>
  <c r="AA3219" i="13"/>
  <c r="AA2726" i="13"/>
  <c r="AA2682" i="13"/>
  <c r="AA1066" i="13"/>
  <c r="AA3028" i="13"/>
  <c r="AA3368" i="13"/>
  <c r="AA320" i="13"/>
  <c r="AA2704" i="13"/>
  <c r="AA817" i="13"/>
  <c r="AA705" i="13"/>
  <c r="AA3114" i="13"/>
  <c r="AA2748" i="13"/>
  <c r="AA969" i="13"/>
  <c r="AA3341" i="13"/>
  <c r="AA2178" i="13"/>
  <c r="AA1435" i="13"/>
  <c r="AA2016" i="13"/>
  <c r="AA1192" i="13"/>
  <c r="AA2698" i="13"/>
  <c r="AA1027" i="13"/>
  <c r="AA2524" i="13"/>
  <c r="AA1069" i="13"/>
  <c r="AA2780" i="13"/>
  <c r="AA2523" i="13"/>
  <c r="AA372" i="13"/>
  <c r="AA261" i="13"/>
  <c r="AA554" i="13"/>
  <c r="AA656" i="13"/>
  <c r="AA2002" i="13"/>
  <c r="AA1964" i="13"/>
  <c r="AA3331" i="13"/>
  <c r="AA853" i="13"/>
  <c r="AA3449" i="13"/>
  <c r="AA1865" i="13"/>
  <c r="AA590" i="13"/>
  <c r="AA2302" i="13"/>
  <c r="AA3162" i="13"/>
  <c r="AA955" i="13"/>
  <c r="AA434" i="13"/>
  <c r="AA2298" i="13"/>
  <c r="AA1014" i="13"/>
  <c r="AA1062" i="13"/>
  <c r="AA499" i="13"/>
  <c r="AA2218" i="13"/>
  <c r="AA2430" i="13"/>
  <c r="AA442" i="13"/>
  <c r="AA1780" i="13"/>
  <c r="AA1826" i="13"/>
  <c r="AA1438" i="13"/>
  <c r="AA2095" i="13"/>
  <c r="AA1645" i="13"/>
  <c r="AA2571" i="13"/>
  <c r="AA1767" i="13"/>
  <c r="AA3301" i="13"/>
  <c r="AA462" i="13"/>
  <c r="AA3145" i="13"/>
  <c r="AA2265" i="13"/>
  <c r="AA2614" i="13"/>
  <c r="AA337" i="13"/>
  <c r="AA260" i="13"/>
  <c r="AA1490" i="13"/>
  <c r="AA2628" i="13"/>
  <c r="AA3360" i="13"/>
  <c r="AA177" i="13"/>
  <c r="AA113" i="13"/>
  <c r="AA2541" i="13"/>
  <c r="AA896" i="13"/>
  <c r="AA1958" i="13"/>
  <c r="AA1318" i="13"/>
  <c r="AA1494" i="13"/>
  <c r="AA1377" i="13"/>
  <c r="AA1877" i="13"/>
  <c r="AA1991" i="13"/>
  <c r="AA3536" i="13"/>
  <c r="AA1263" i="13"/>
  <c r="AA508" i="13"/>
  <c r="AA1085" i="13"/>
  <c r="AA1975" i="13"/>
  <c r="AA3185" i="13"/>
  <c r="AA2758" i="13"/>
  <c r="AA33" i="13"/>
  <c r="AA1725" i="13"/>
  <c r="AA438" i="13"/>
  <c r="AA408" i="13"/>
  <c r="AA547" i="13"/>
  <c r="AA1739" i="13"/>
  <c r="AA422" i="13"/>
  <c r="AA1423" i="13"/>
  <c r="AA2568" i="13"/>
  <c r="AA1809" i="13"/>
  <c r="AA1364" i="13"/>
  <c r="AA199" i="13"/>
  <c r="AA1187" i="13"/>
  <c r="AA3027" i="13"/>
  <c r="AA3184" i="13"/>
  <c r="AA393" i="13"/>
  <c r="AA2018" i="13"/>
  <c r="AA1217" i="13"/>
  <c r="AA834" i="13"/>
  <c r="AA1171" i="13"/>
  <c r="AA1953" i="13"/>
  <c r="AA2343" i="13"/>
  <c r="AA3164" i="13"/>
  <c r="AA1838" i="13"/>
  <c r="AA1006" i="13"/>
  <c r="AA2315" i="13"/>
  <c r="AA3050" i="13"/>
  <c r="AA2374" i="13"/>
  <c r="AA327" i="13"/>
  <c r="AA2874" i="13"/>
  <c r="AA533" i="13"/>
  <c r="AA3247" i="13"/>
  <c r="AA2303" i="13"/>
  <c r="AA1462" i="13"/>
  <c r="AA1215" i="13"/>
  <c r="AA1738" i="13"/>
  <c r="AA1333" i="13"/>
  <c r="AA3401" i="13"/>
  <c r="AA2599" i="13"/>
  <c r="AA1736" i="13"/>
  <c r="AA89" i="13"/>
  <c r="AA1803" i="13"/>
  <c r="AA716" i="13"/>
  <c r="AA2527" i="13"/>
  <c r="AA3451" i="13"/>
  <c r="AA430" i="13"/>
  <c r="AA236" i="13"/>
  <c r="AA99" i="13"/>
  <c r="AA2282" i="13"/>
  <c r="AA2194" i="13"/>
  <c r="AA3335" i="13"/>
  <c r="AA2396" i="13"/>
  <c r="AA1796" i="13"/>
  <c r="AA3179" i="13"/>
  <c r="AA984" i="13"/>
  <c r="AA2285" i="13"/>
  <c r="AA3408" i="13"/>
  <c r="AA481" i="13"/>
  <c r="AA360" i="13"/>
  <c r="AA1621" i="13"/>
  <c r="AA1173" i="13"/>
  <c r="AA2916" i="13"/>
  <c r="AA110" i="13"/>
  <c r="AA3127" i="13"/>
  <c r="AA1323" i="13"/>
  <c r="AA884" i="13"/>
  <c r="AA1783" i="13"/>
  <c r="AA211" i="13"/>
  <c r="AA2366" i="13"/>
  <c r="AA264" i="13"/>
  <c r="AA2575" i="13"/>
  <c r="AA2875" i="13"/>
  <c r="AA939" i="13"/>
  <c r="AA1544" i="13"/>
  <c r="AA2369" i="13"/>
  <c r="AA3509" i="13"/>
  <c r="AA3376" i="13"/>
  <c r="AA1824" i="13"/>
  <c r="AA1545" i="13"/>
  <c r="AA1332" i="13"/>
  <c r="AA1542" i="13"/>
  <c r="AA1823" i="13"/>
  <c r="AA1635" i="13"/>
  <c r="AA2134" i="13"/>
  <c r="AA1547" i="13"/>
  <c r="AA1260" i="13"/>
  <c r="AA845" i="13"/>
  <c r="AA214" i="13"/>
  <c r="AA1968" i="13"/>
  <c r="AA2416" i="13"/>
  <c r="AA577" i="13"/>
  <c r="AA1470" i="13"/>
  <c r="AA3235" i="13"/>
  <c r="AA814" i="13"/>
  <c r="AA3495" i="13"/>
  <c r="AA1162" i="13"/>
  <c r="AA164" i="13"/>
  <c r="AA2074" i="13"/>
  <c r="AA2096" i="13"/>
  <c r="AA2660" i="13"/>
  <c r="AA813" i="13"/>
  <c r="AA3232" i="13"/>
  <c r="AA1044" i="13"/>
  <c r="AA918" i="13"/>
  <c r="AA2292" i="13"/>
  <c r="AA3207" i="13"/>
  <c r="AA159" i="13"/>
  <c r="AA2882" i="13"/>
  <c r="AA1811" i="13"/>
  <c r="AA2110" i="13"/>
  <c r="AA1444" i="13"/>
  <c r="AA2443" i="13"/>
  <c r="AA341" i="13"/>
  <c r="AA1604" i="13"/>
  <c r="AA632" i="13"/>
  <c r="AA1175" i="13"/>
  <c r="AA1391" i="13"/>
  <c r="AA3385" i="13"/>
  <c r="AA2597" i="13"/>
  <c r="AA1048" i="13"/>
  <c r="AA3187" i="13"/>
  <c r="AA1251" i="13"/>
  <c r="AA1194" i="13"/>
  <c r="AA2941" i="13"/>
  <c r="AA913" i="13"/>
  <c r="AA3032" i="13"/>
  <c r="AA633" i="13"/>
  <c r="AA2466" i="13"/>
  <c r="AA2935" i="13"/>
  <c r="AA182" i="13"/>
  <c r="AA934" i="13"/>
  <c r="AA347" i="13"/>
  <c r="AA374" i="13"/>
  <c r="AA3314" i="13"/>
  <c r="AA1740" i="13"/>
  <c r="AA1512" i="13"/>
  <c r="AA3422" i="13"/>
  <c r="AA3108" i="13"/>
  <c r="AA2407" i="13"/>
  <c r="AA2861" i="13"/>
  <c r="AA2123" i="13"/>
  <c r="AA1652" i="13"/>
  <c r="AA2598" i="13"/>
  <c r="AA3200" i="13"/>
  <c r="AA1772" i="13"/>
  <c r="AA2028" i="13"/>
  <c r="AA3066" i="13"/>
  <c r="AA1638" i="13"/>
  <c r="AA1272" i="13"/>
  <c r="AA2245" i="13"/>
  <c r="AA1904" i="13"/>
  <c r="AA1839" i="13"/>
  <c r="AA1113" i="13"/>
  <c r="AA3359" i="13"/>
  <c r="AA2086" i="13"/>
  <c r="AA2090" i="13"/>
  <c r="AA669" i="13"/>
  <c r="AA345" i="13"/>
  <c r="AA2380" i="13"/>
  <c r="AA493" i="13"/>
  <c r="AA3361" i="13"/>
  <c r="AA3061" i="13"/>
  <c r="AA473" i="13"/>
  <c r="AA1594" i="13"/>
  <c r="AA1962" i="13"/>
  <c r="AA1866" i="13"/>
  <c r="AA1356" i="13"/>
  <c r="AA184" i="13"/>
  <c r="AA840" i="13"/>
  <c r="AA174" i="13"/>
  <c r="AA3365" i="13"/>
  <c r="AA686" i="13"/>
  <c r="AA2111" i="13"/>
  <c r="AA2797" i="13"/>
  <c r="AA125" i="13"/>
  <c r="AA2654" i="13"/>
  <c r="AA2491" i="13"/>
  <c r="AA1714" i="13"/>
  <c r="AA335" i="13"/>
  <c r="AA754" i="13"/>
  <c r="AA2446" i="13"/>
  <c r="AA1511" i="13"/>
  <c r="AA1170" i="13"/>
  <c r="AA2534" i="13"/>
  <c r="AA1539" i="13"/>
  <c r="AA312" i="13"/>
  <c r="AA1009" i="13"/>
  <c r="AA679" i="13"/>
  <c r="AA2312" i="13"/>
  <c r="AA2782" i="13"/>
  <c r="AA2397" i="13"/>
  <c r="AA2107" i="13"/>
  <c r="AA2431" i="13"/>
  <c r="AA2137" i="13"/>
  <c r="AA3194" i="13"/>
  <c r="AA2964" i="13"/>
  <c r="AA3461" i="13"/>
  <c r="AA366" i="13"/>
  <c r="AA1587" i="13"/>
  <c r="AA2938" i="13"/>
  <c r="AA1692" i="13"/>
  <c r="AA1966" i="13"/>
  <c r="AA1650" i="13"/>
  <c r="AA2872" i="13"/>
  <c r="AA2454" i="13"/>
  <c r="AA697" i="13"/>
  <c r="AA2472" i="13"/>
  <c r="AA418" i="13"/>
  <c r="AA1012" i="13"/>
  <c r="AA1922" i="13"/>
  <c r="AA1415" i="13"/>
  <c r="AA2912" i="13"/>
  <c r="AA202" i="13"/>
  <c r="AA407" i="13"/>
  <c r="AA492" i="13"/>
  <c r="AA926" i="13"/>
  <c r="AA253" i="13"/>
  <c r="AA2989" i="13"/>
  <c r="AA2610" i="13"/>
  <c r="AA2914" i="13"/>
  <c r="AA2156" i="13"/>
  <c r="AA2951" i="13"/>
  <c r="AA1634" i="13"/>
  <c r="AA2130" i="13"/>
  <c r="AA2500" i="13"/>
  <c r="AA2995" i="13"/>
  <c r="AA1054" i="13"/>
  <c r="AA28" i="13"/>
  <c r="AA3378" i="13"/>
  <c r="AA2471" i="13"/>
  <c r="AA1970" i="13"/>
  <c r="AA862" i="13"/>
  <c r="AA3448" i="13"/>
  <c r="AA2686" i="13"/>
  <c r="AA475" i="13"/>
  <c r="AA342" i="13"/>
  <c r="AA929" i="13"/>
  <c r="AA1025" i="13"/>
  <c r="AA503" i="13"/>
  <c r="AA471" i="13"/>
  <c r="AA2878" i="13"/>
  <c r="AA2035" i="13"/>
  <c r="AA1898" i="13"/>
  <c r="AA812" i="13"/>
  <c r="AA1752" i="13"/>
  <c r="AA3429" i="13"/>
  <c r="AA1411" i="13"/>
  <c r="AA1111" i="13"/>
  <c r="AA3238" i="13"/>
  <c r="AA67" i="13"/>
  <c r="AA3227" i="13"/>
  <c r="AA671" i="13"/>
  <c r="AA229" i="13"/>
  <c r="AA3344" i="13"/>
  <c r="AA1437" i="13"/>
  <c r="AA2577" i="13"/>
  <c r="AA2445" i="13"/>
  <c r="AA2376" i="13"/>
  <c r="AA1700" i="13"/>
  <c r="AA1293" i="13"/>
  <c r="AA3052" i="13"/>
  <c r="AA1723" i="13"/>
  <c r="AA3214" i="13"/>
  <c r="AA1381" i="13"/>
  <c r="AA287" i="13"/>
  <c r="AA567" i="13"/>
  <c r="AA2745" i="13"/>
  <c r="AA993" i="13"/>
  <c r="AA3303" i="13"/>
  <c r="AA3072" i="13"/>
  <c r="AA2889" i="13"/>
  <c r="AA912" i="13"/>
  <c r="AA157" i="13"/>
  <c r="AA2470" i="13"/>
  <c r="AA3192" i="13"/>
  <c r="AA1252" i="13"/>
  <c r="AA1888" i="13"/>
  <c r="AA877" i="13"/>
  <c r="AA750" i="13"/>
  <c r="AA1764" i="13"/>
  <c r="AA3514" i="13"/>
  <c r="AA1853" i="13"/>
  <c r="AA1202" i="13"/>
  <c r="AA2049" i="13"/>
  <c r="AA2817" i="13"/>
  <c r="AA1097" i="13"/>
  <c r="AA2590" i="13"/>
  <c r="AA927" i="13"/>
  <c r="AA1644" i="13"/>
  <c r="AA3266" i="13"/>
  <c r="AA2860" i="13"/>
  <c r="AA1491" i="13"/>
  <c r="AA578" i="13"/>
  <c r="AA998" i="13"/>
  <c r="AA1821" i="13"/>
  <c r="AA3533" i="13"/>
  <c r="AA1274" i="13"/>
  <c r="AA2076" i="13"/>
  <c r="AA1977" i="13"/>
  <c r="AA3345" i="13"/>
  <c r="AA2147" i="13"/>
  <c r="AA71" i="13"/>
  <c r="AA2229" i="13"/>
  <c r="AA791" i="13"/>
  <c r="AA54" i="13"/>
  <c r="AA465" i="13"/>
  <c r="AA3469" i="13"/>
  <c r="AA1605" i="13"/>
  <c r="AA3289" i="13"/>
  <c r="AA1556" i="13"/>
  <c r="AA1719" i="13"/>
  <c r="AA914" i="13"/>
  <c r="AA2167" i="13"/>
  <c r="AA1224" i="13"/>
  <c r="AA1664" i="13"/>
  <c r="AA245" i="13"/>
  <c r="AA1367" i="13"/>
  <c r="AA2251" i="13"/>
  <c r="AA2881" i="13"/>
  <c r="AA2750" i="13"/>
  <c r="AA1602" i="13"/>
  <c r="AA977" i="13"/>
  <c r="AA3425" i="13"/>
  <c r="AA1543" i="13"/>
  <c r="AA2406" i="13"/>
  <c r="AA718" i="13"/>
  <c r="AA3249" i="13"/>
  <c r="AA2246" i="13"/>
  <c r="AA932" i="13"/>
  <c r="AA835" i="13"/>
  <c r="AA2663" i="13"/>
  <c r="AA3306" i="13"/>
  <c r="AA967" i="13"/>
  <c r="AA611" i="13"/>
  <c r="AA3486" i="13"/>
  <c r="AA2867" i="13"/>
  <c r="AA401" i="13"/>
  <c r="AA410" i="13"/>
  <c r="AA3464" i="13"/>
  <c r="AA562" i="13"/>
  <c r="AA1011" i="13"/>
  <c r="AA154" i="13"/>
  <c r="AA2731" i="13"/>
  <c r="AA2779" i="13"/>
  <c r="AA572" i="13"/>
  <c r="AA81" i="13"/>
  <c r="AA48" i="13"/>
  <c r="AA3489" i="13"/>
  <c r="AA1675" i="13"/>
  <c r="AA2768" i="13"/>
  <c r="AA1283" i="13"/>
  <c r="AA2210" i="13"/>
  <c r="AA2310" i="13"/>
  <c r="AA555" i="13"/>
  <c r="AA2227" i="13"/>
  <c r="AA2754" i="13"/>
  <c r="AA1395" i="13"/>
  <c r="AA2983" i="13"/>
  <c r="AA1297" i="13"/>
  <c r="AA1938" i="13"/>
  <c r="AA3362" i="13"/>
  <c r="AA2001" i="13"/>
  <c r="AA1693" i="13"/>
  <c r="AA1579" i="13"/>
  <c r="AA2204" i="13"/>
  <c r="AA397" i="13"/>
  <c r="AA1959" i="13"/>
  <c r="AA1482" i="13"/>
  <c r="AA112" i="13"/>
  <c r="AA160" i="13"/>
  <c r="AA266" i="13"/>
  <c r="AA782" i="13"/>
  <c r="AA1717" i="13"/>
  <c r="AA2775" i="13"/>
  <c r="AA1911" i="13"/>
  <c r="AA3299" i="13"/>
  <c r="AA1785" i="13"/>
  <c r="AA2377" i="13"/>
  <c r="AA1929" i="13"/>
  <c r="AA2631" i="13"/>
  <c r="AA592" i="13"/>
  <c r="AA2101" i="13"/>
  <c r="AA53" i="13"/>
  <c r="AA284" i="13"/>
  <c r="AA1418" i="13"/>
  <c r="AA3430" i="13"/>
  <c r="AA190" i="13"/>
  <c r="AA2960" i="13"/>
  <c r="AA2906" i="13"/>
  <c r="AA2104" i="13"/>
  <c r="AA2429" i="13"/>
  <c r="AA2993" i="13"/>
  <c r="AA2043" i="13"/>
  <c r="AA2819" i="13"/>
  <c r="AA609" i="13"/>
  <c r="AA2118" i="13"/>
  <c r="AA1982" i="13"/>
  <c r="AA1646" i="13"/>
  <c r="AA3333" i="13"/>
  <c r="AA873" i="13"/>
  <c r="AA120" i="13"/>
  <c r="AA1558" i="13"/>
  <c r="AA1389" i="13"/>
  <c r="AA2379" i="13"/>
  <c r="AA2115" i="13"/>
  <c r="AA1276" i="13"/>
  <c r="AA288" i="13"/>
  <c r="AA55" i="13"/>
  <c r="AA2796" i="13"/>
  <c r="AA981" i="13"/>
  <c r="AA1816" i="13"/>
  <c r="AA1658" i="13"/>
  <c r="AA1940" i="13"/>
  <c r="AA207" i="13"/>
  <c r="AA683" i="13"/>
  <c r="AA3155" i="13"/>
  <c r="AA2776" i="13"/>
  <c r="AA652" i="13"/>
  <c r="AA3517" i="13"/>
  <c r="AA1106" i="13"/>
  <c r="AA2452" i="13"/>
  <c r="AA1857" i="13"/>
  <c r="AA3005" i="13"/>
  <c r="AA1090" i="13"/>
  <c r="AA2384" i="13"/>
  <c r="AA1778" i="13"/>
  <c r="AA1243" i="13"/>
  <c r="AA3190" i="13"/>
  <c r="AA848" i="13"/>
  <c r="AA1697" i="13"/>
  <c r="AA2529" i="13"/>
  <c r="AA1465" i="13"/>
  <c r="AA3545" i="13"/>
  <c r="AA2291" i="13"/>
  <c r="AA3225" i="13"/>
  <c r="AA872" i="13"/>
  <c r="AA1296" i="13"/>
  <c r="AA944" i="13"/>
  <c r="AA1261" i="13"/>
  <c r="AA2936" i="13"/>
  <c r="AA72" i="13"/>
  <c r="AA3548" i="13"/>
  <c r="AA2876" i="13"/>
  <c r="AA2518" i="13"/>
  <c r="AA1454" i="13"/>
  <c r="AA3062" i="13"/>
  <c r="AA2279" i="13"/>
  <c r="AA1863" i="13"/>
  <c r="AA1446" i="13"/>
  <c r="AA409" i="13"/>
  <c r="AA548" i="13"/>
  <c r="AA80" i="13"/>
  <c r="AA1339" i="13"/>
  <c r="AA2645" i="13"/>
  <c r="AA2461" i="13"/>
  <c r="AA681" i="13"/>
  <c r="AA1549" i="13"/>
  <c r="AA61" i="13"/>
  <c r="AA1156" i="13"/>
  <c r="AA1402" i="13"/>
  <c r="AA315" i="13"/>
  <c r="AA528" i="13"/>
  <c r="AA2842" i="13"/>
  <c r="AA2537" i="13"/>
  <c r="AA381" i="13"/>
  <c r="AA1177" i="13"/>
  <c r="AA3511" i="13"/>
  <c r="AA2047" i="13"/>
  <c r="AA2142" i="13"/>
  <c r="AA2348" i="13"/>
  <c r="AA2283" i="13"/>
  <c r="AA587" i="13"/>
  <c r="AA103" i="13"/>
  <c r="AA3334" i="13"/>
  <c r="AA2287" i="13"/>
  <c r="AA1388" i="13"/>
  <c r="AA1218" i="13"/>
  <c r="AA23" i="13"/>
  <c r="AA2093" i="13"/>
  <c r="AA538" i="13"/>
  <c r="AA2564" i="13"/>
  <c r="AA1676" i="13"/>
  <c r="AA2752" i="13"/>
  <c r="AA2986" i="13"/>
  <c r="AA3213" i="13"/>
  <c r="AA3139" i="13"/>
  <c r="AA1235" i="13"/>
  <c r="AA2771" i="13"/>
  <c r="AA2812" i="13"/>
  <c r="AA904" i="13"/>
  <c r="AA3109" i="13"/>
  <c r="AA2697" i="13"/>
  <c r="AA2301" i="13"/>
  <c r="AA3040" i="13"/>
  <c r="AA1286" i="13"/>
  <c r="AA691" i="13"/>
  <c r="AA2630" i="13"/>
  <c r="AA2991" i="13"/>
  <c r="AA3086" i="13"/>
  <c r="AA2879" i="13"/>
  <c r="AA804" i="13"/>
  <c r="AA1172" i="13"/>
  <c r="AA234" i="13"/>
  <c r="AA1614" i="13"/>
  <c r="AA1107" i="13"/>
  <c r="AA1421" i="13"/>
  <c r="AA2226" i="13"/>
  <c r="AA634" i="13"/>
  <c r="AA684" i="13"/>
  <c r="AA2918" i="13"/>
  <c r="AA3172" i="13"/>
  <c r="AA3099" i="13"/>
  <c r="AA1498" i="13"/>
  <c r="AA2894" i="13"/>
  <c r="AA1844" i="13"/>
  <c r="AA1659" i="13"/>
  <c r="AA604" i="13"/>
  <c r="AA545" i="13"/>
  <c r="AA1519" i="13"/>
  <c r="AA105" i="13"/>
  <c r="AA975" i="13"/>
  <c r="AA2382" i="13"/>
  <c r="AA625" i="13"/>
  <c r="AA3487" i="13"/>
  <c r="AA115" i="13"/>
  <c r="AA2706" i="13"/>
  <c r="AA2928" i="13"/>
  <c r="AA2432" i="13"/>
  <c r="AA1480" i="13"/>
  <c r="AA1894" i="13"/>
  <c r="AA1514" i="13"/>
  <c r="AA638" i="13"/>
  <c r="AA1030" i="13"/>
  <c r="AA1229" i="13"/>
  <c r="AA2488" i="13"/>
  <c r="AA2549" i="13"/>
  <c r="AA1351" i="13"/>
  <c r="AA1428" i="13"/>
  <c r="AA2871" i="13"/>
  <c r="AA2479" i="13"/>
  <c r="AA1455" i="13"/>
  <c r="AA831" i="13"/>
  <c r="AA3110" i="13"/>
  <c r="AA1619" i="13"/>
  <c r="AA490" i="13"/>
  <c r="AA1820" i="13"/>
  <c r="AA957" i="13"/>
  <c r="AA77" i="13"/>
  <c r="AA3117" i="13"/>
  <c r="AA3374" i="13"/>
  <c r="AA2197" i="13"/>
  <c r="AA1035" i="13"/>
  <c r="AA3326" i="13"/>
  <c r="AA2526" i="13"/>
  <c r="AA501" i="13"/>
  <c r="AA1506" i="13"/>
  <c r="AA3292" i="13"/>
  <c r="AA1768" i="13"/>
  <c r="AA780" i="13"/>
  <c r="AA1815" i="13"/>
  <c r="AA3423" i="13"/>
  <c r="AA1849" i="13"/>
  <c r="AA416" i="13"/>
  <c r="AA307" i="13"/>
  <c r="AA2891" i="13"/>
  <c r="AA394" i="13"/>
  <c r="AA3400" i="13"/>
  <c r="AA1642" i="13"/>
  <c r="AA1585" i="13"/>
  <c r="AA749" i="13"/>
  <c r="AA216" i="13"/>
  <c r="AA2250" i="13"/>
  <c r="AA2670" i="13"/>
  <c r="AA2999" i="13"/>
  <c r="AA417" i="13"/>
  <c r="AA816" i="13"/>
  <c r="AA892" i="13"/>
  <c r="AA2843" i="13"/>
  <c r="AA3055" i="13"/>
  <c r="AA1436" i="13"/>
  <c r="AA2481" i="13"/>
  <c r="AA1897" i="13"/>
  <c r="AA1916" i="13"/>
  <c r="AA724" i="13"/>
  <c r="AA2463" i="13"/>
  <c r="AA596" i="13"/>
  <c r="AA2389" i="13"/>
  <c r="AA1517" i="13"/>
  <c r="AA3038" i="13"/>
  <c r="AA1039" i="13"/>
  <c r="AA3006" i="13"/>
  <c r="AA2955" i="13"/>
  <c r="AA285" i="13"/>
  <c r="AA2370" i="13"/>
  <c r="AA3228" i="13"/>
  <c r="AA1575" i="13"/>
  <c r="AA516" i="13"/>
  <c r="AA3217" i="13"/>
  <c r="AA924" i="13"/>
  <c r="AA1393" i="13"/>
  <c r="AA2840" i="13"/>
  <c r="AA2460" i="13"/>
  <c r="AA1214" i="13"/>
  <c r="AA2065" i="13"/>
  <c r="AA3161" i="13"/>
  <c r="AA3176" i="13"/>
  <c r="AA2274" i="13"/>
  <c r="AA2230" i="13"/>
  <c r="AA2688" i="13"/>
  <c r="AA2565" i="13"/>
  <c r="AA1651" i="13"/>
  <c r="AA2275" i="13"/>
  <c r="AA2738" i="13"/>
  <c r="AA2888" i="13"/>
  <c r="AA2007" i="13"/>
  <c r="AA2651" i="13"/>
  <c r="AA1595" i="13"/>
  <c r="AA1954" i="13"/>
  <c r="AA2671" i="13"/>
  <c r="AA2592" i="13"/>
  <c r="AA323" i="13"/>
  <c r="AA2857" i="13"/>
  <c r="AA2281" i="13"/>
  <c r="AA480" i="13"/>
  <c r="AA717" i="13"/>
  <c r="AA2576" i="13"/>
  <c r="AA298" i="13"/>
  <c r="AA432" i="13"/>
  <c r="AA1870" i="13"/>
  <c r="AA3370" i="13"/>
  <c r="AA2341" i="13"/>
  <c r="AA3524" i="13"/>
  <c r="AA3107" i="13"/>
  <c r="AA727" i="13"/>
  <c r="AA1142" i="13"/>
  <c r="AA3037" i="13"/>
  <c r="AA43" i="13"/>
  <c r="AA1932" i="13"/>
  <c r="AA745" i="13"/>
  <c r="AA698" i="13"/>
  <c r="AA1913" i="13"/>
  <c r="AA830" i="13"/>
  <c r="AA636" i="13"/>
  <c r="AA233" i="13"/>
  <c r="AA828" i="13"/>
  <c r="AA124" i="13"/>
  <c r="AA2021" i="13"/>
  <c r="AA277" i="13"/>
  <c r="AA734" i="13"/>
  <c r="AA1451" i="13"/>
  <c r="AA1805" i="13"/>
  <c r="AA1282" i="13"/>
  <c r="AA668" i="13"/>
  <c r="AA2984" i="13"/>
  <c r="AA3307" i="13"/>
  <c r="AA2114" i="13"/>
  <c r="AA1220" i="13"/>
  <c r="AA1445" i="13"/>
  <c r="AA3393" i="13"/>
  <c r="AA2070" i="13"/>
  <c r="AA3189" i="13"/>
  <c r="AA45" i="13"/>
  <c r="AA794" i="13"/>
  <c r="AA543" i="13"/>
  <c r="AA758" i="13"/>
  <c r="AA3310" i="13"/>
  <c r="AA2398" i="13"/>
  <c r="AA842" i="13"/>
  <c r="AA3098" i="13"/>
  <c r="AA3011" i="13"/>
  <c r="AA3233" i="13"/>
  <c r="AA2789" i="13"/>
  <c r="AA2805" i="13"/>
  <c r="AA32" i="13"/>
  <c r="AA639" i="13"/>
  <c r="AA2212" i="13"/>
  <c r="AA696" i="13"/>
  <c r="AA1854" i="13"/>
  <c r="AA2544" i="13"/>
  <c r="AA3262" i="13"/>
  <c r="AA3160" i="13"/>
  <c r="AA1586" i="13"/>
  <c r="AA2214" i="13"/>
  <c r="AA2033" i="13"/>
  <c r="AA2629" i="13"/>
  <c r="AA2948" i="13"/>
  <c r="AA3336" i="13"/>
  <c r="AA2535" i="13"/>
  <c r="AA3089" i="13"/>
  <c r="AA2653" i="13"/>
  <c r="AA1789" i="13"/>
  <c r="AA218" i="13"/>
  <c r="AA602" i="13"/>
  <c r="AA616" i="13"/>
  <c r="AA527" i="13"/>
  <c r="AA921" i="13"/>
  <c r="AA194" i="13"/>
  <c r="AA1357" i="13"/>
  <c r="AA979" i="13"/>
  <c r="AA2046" i="13"/>
  <c r="AA1390" i="13"/>
  <c r="AA213" i="13"/>
  <c r="AA3493" i="13"/>
  <c r="AA3483" i="13"/>
  <c r="AA322" i="13"/>
  <c r="AA167" i="13"/>
  <c r="AA50" i="13"/>
  <c r="AA406" i="13"/>
  <c r="AA351" i="13"/>
  <c r="AA784" i="13"/>
  <c r="AA362" i="13"/>
  <c r="AA574" i="13"/>
  <c r="AA107" i="13"/>
  <c r="AA2804" i="13"/>
  <c r="AA1671" i="13"/>
  <c r="AA2649" i="13"/>
  <c r="AA2221" i="13"/>
  <c r="AA2829" i="13"/>
  <c r="AA1578" i="13"/>
  <c r="AA1200" i="13"/>
  <c r="AA3414" i="13"/>
  <c r="AA1427" i="13"/>
  <c r="AA354" i="13"/>
  <c r="AA2721" i="13"/>
  <c r="AA3137" i="13"/>
  <c r="AA2277" i="13"/>
  <c r="AA2121" i="13"/>
  <c r="AA2013" i="13"/>
  <c r="AA1941" i="13"/>
  <c r="AA3043" i="13"/>
  <c r="AA1050" i="13"/>
  <c r="AA3196" i="13"/>
  <c r="AA68" i="13"/>
  <c r="AA612" i="13"/>
  <c r="AA870" i="13"/>
  <c r="AA1278" i="13"/>
  <c r="AA2334" i="13"/>
  <c r="AA2501" i="13"/>
  <c r="AA1561" i="13"/>
  <c r="AA2099" i="13"/>
  <c r="AA839" i="13"/>
  <c r="AA765" i="13"/>
  <c r="AA1647" i="13"/>
  <c r="AA2252" i="13"/>
  <c r="AA3436" i="13"/>
  <c r="AA2562" i="13"/>
  <c r="AA3012" i="13"/>
  <c r="AA2718" i="13"/>
  <c r="AA421" i="13"/>
  <c r="AA3231" i="13"/>
  <c r="AA1905" i="13"/>
  <c r="AA2911" i="13"/>
  <c r="AA2509" i="13"/>
  <c r="AA3349" i="13"/>
  <c r="AA518" i="13"/>
  <c r="AA3452" i="13"/>
  <c r="AA1507" i="13"/>
  <c r="AA2062" i="13"/>
  <c r="AA205" i="13"/>
  <c r="AA1403" i="13"/>
  <c r="AA550" i="13"/>
  <c r="AA319" i="13"/>
  <c r="AA3366" i="13"/>
  <c r="AA2012" i="13"/>
  <c r="AA3490" i="13"/>
  <c r="AA1649" i="13"/>
  <c r="AA2976" i="13"/>
  <c r="AA2973" i="13"/>
  <c r="AA3392" i="13"/>
  <c r="AA3151" i="13"/>
  <c r="AA908" i="13"/>
  <c r="AA524" i="13"/>
  <c r="AA2401" i="13"/>
  <c r="AA2968" i="13"/>
  <c r="AA2045" i="13"/>
  <c r="AA1927" i="13"/>
  <c r="AA76" i="13"/>
  <c r="AA2238" i="13"/>
  <c r="AA2092" i="13"/>
  <c r="AA1672" i="13"/>
  <c r="AA1776" i="13"/>
  <c r="AA1967" i="13"/>
  <c r="AA2583" i="13"/>
  <c r="AA3328" i="13"/>
  <c r="AA227" i="13"/>
  <c r="AA2228" i="13"/>
  <c r="AA1249" i="13"/>
  <c r="AA2673" i="13"/>
  <c r="AA1150" i="13"/>
  <c r="AA623" i="13"/>
  <c r="AA666" i="13"/>
  <c r="AA730" i="13"/>
  <c r="AA1688" i="13"/>
  <c r="AA1064" i="13"/>
  <c r="AA2055" i="13"/>
  <c r="AA251" i="13"/>
  <c r="AA1354" i="13"/>
  <c r="AA1792" i="13"/>
  <c r="AA2665" i="13"/>
  <c r="AA2898" i="13"/>
  <c r="AA2034" i="13"/>
  <c r="AA1368" i="13"/>
  <c r="AA2179" i="13"/>
  <c r="AA1146" i="13"/>
  <c r="AA368" i="13"/>
  <c r="AA2723" i="13"/>
  <c r="AA2809" i="13"/>
  <c r="AA2276" i="13"/>
  <c r="AA3116" i="13"/>
  <c r="AA1760" i="13"/>
  <c r="AA3485" i="13"/>
  <c r="AA294" i="13"/>
  <c r="AA3044" i="13"/>
  <c r="AA1942" i="13"/>
  <c r="AA2259" i="13"/>
  <c r="AA51" i="13"/>
  <c r="AA2408" i="13"/>
  <c r="AA2929" i="13"/>
  <c r="AA1701" i="13"/>
  <c r="AA2756" i="13"/>
  <c r="AA710" i="13"/>
  <c r="AA2595" i="13"/>
  <c r="AA3076" i="13"/>
  <c r="AA1919" i="13"/>
  <c r="AA1336" i="13"/>
  <c r="AA2854" i="13"/>
  <c r="AA660" i="13"/>
  <c r="AA1862" i="13"/>
  <c r="AA1236" i="13"/>
  <c r="AA34" i="13"/>
  <c r="AA3426" i="13"/>
  <c r="AA2089" i="13"/>
  <c r="AA165" i="13"/>
  <c r="AA937" i="13"/>
  <c r="AA3427" i="13"/>
  <c r="AA542" i="13"/>
  <c r="AA2474" i="13"/>
  <c r="AA2116" i="13"/>
  <c r="AA3312" i="13"/>
  <c r="AA3126" i="13"/>
  <c r="AA215" i="13"/>
  <c r="AA386" i="13"/>
  <c r="AA489" i="13"/>
  <c r="AA2091" i="13"/>
  <c r="AA1581" i="13"/>
  <c r="AA3013" i="13"/>
  <c r="AA3547" i="13"/>
  <c r="AA810" i="13"/>
  <c r="AA2132" i="13"/>
  <c r="AA470" i="13"/>
  <c r="AA2346" i="13"/>
  <c r="AA948" i="13"/>
  <c r="AA389" i="13"/>
  <c r="AA2837" i="13"/>
  <c r="AA2744" i="13"/>
  <c r="AA3119" i="13"/>
  <c r="AA1747" i="13"/>
  <c r="AA200" i="13"/>
  <c r="AA3138" i="13"/>
  <c r="AA2824" i="13"/>
  <c r="AA2799" i="13"/>
  <c r="AA3265" i="13"/>
  <c r="AA1808" i="13"/>
  <c r="AA2169" i="13"/>
  <c r="AA3122" i="13"/>
  <c r="AA3535" i="13"/>
  <c r="AA2413" i="13"/>
  <c r="AA2561" i="13"/>
  <c r="AA3470" i="13"/>
  <c r="AA2080" i="13"/>
  <c r="AA3091" i="13"/>
  <c r="AA2154" i="13"/>
  <c r="AA786" i="13"/>
  <c r="AA1442" i="13"/>
  <c r="AA2202" i="13"/>
  <c r="AA505" i="13"/>
  <c r="AA2702" i="13"/>
  <c r="AA659" i="13"/>
  <c r="AA162" i="13"/>
  <c r="AA815" i="13"/>
  <c r="AA1479" i="13"/>
  <c r="AA755" i="13"/>
  <c r="AA2560" i="13"/>
  <c r="AA1686" i="13"/>
  <c r="AA3537" i="13"/>
  <c r="AA2835" i="13"/>
  <c r="AA2925" i="13"/>
  <c r="AA3242" i="13"/>
  <c r="AA79" i="13"/>
  <c r="AA3540" i="13"/>
  <c r="AA3263" i="13"/>
  <c r="AA2155" i="13"/>
  <c r="AA2187" i="13"/>
  <c r="AA844" i="13"/>
  <c r="AA2330" i="13"/>
  <c r="AA500" i="13"/>
  <c r="AA2112" i="13"/>
  <c r="AA2232" i="13"/>
  <c r="AA2761" i="13"/>
  <c r="AA2733" i="13"/>
  <c r="AA2766" i="13"/>
  <c r="AA959" i="13"/>
  <c r="AA1552" i="13"/>
  <c r="AA3346" i="13"/>
  <c r="AA597" i="13"/>
  <c r="AA2272" i="13"/>
  <c r="AA3124" i="13"/>
  <c r="AA1182" i="13"/>
  <c r="AA3382" i="13"/>
  <c r="AA1600" i="13"/>
  <c r="AA653" i="13"/>
  <c r="AA2269" i="13"/>
  <c r="AA1359" i="13"/>
  <c r="AA1331" i="13"/>
  <c r="AA3016" i="13"/>
  <c r="AA3157" i="13"/>
  <c r="AA371" i="13"/>
  <c r="AA1341" i="13"/>
  <c r="AA760" i="13"/>
  <c r="AA2939" i="13"/>
  <c r="AA906" i="13"/>
  <c r="AA838" i="13"/>
  <c r="AA3446" i="13"/>
  <c r="AA2767" i="13"/>
  <c r="AA1762" i="13"/>
  <c r="AA2024" i="13"/>
  <c r="AA685" i="13"/>
  <c r="AA2827" i="13"/>
  <c r="AA2196" i="13"/>
  <c r="AA1429" i="13"/>
  <c r="AA2399" i="13"/>
  <c r="AA1691" i="13"/>
  <c r="AA1317" i="13"/>
  <c r="AA1732" i="13"/>
  <c r="AA2844" i="13"/>
  <c r="AA2893" i="13"/>
  <c r="AA130" i="13"/>
  <c r="AA3022" i="13"/>
  <c r="AA1145" i="13"/>
  <c r="AA2417" i="13"/>
  <c r="AA2618" i="13"/>
  <c r="AA966" i="13"/>
  <c r="AA1098" i="13"/>
  <c r="AA324" i="13"/>
  <c r="AA1748" i="13"/>
  <c r="AA299" i="13"/>
  <c r="AA2126" i="13"/>
  <c r="AA2105" i="13"/>
  <c r="AA2027" i="13"/>
  <c r="AA469" i="13"/>
  <c r="AA2557" i="13"/>
  <c r="AA2915" i="13"/>
  <c r="AA384" i="13"/>
  <c r="AA1538" i="13"/>
  <c r="AA488" i="13"/>
  <c r="AA644" i="13"/>
  <c r="AA1231" i="13"/>
  <c r="AA225" i="13"/>
  <c r="AA353" i="13"/>
  <c r="AA2257" i="13"/>
  <c r="AA3285" i="13"/>
  <c r="AA2967" i="13"/>
  <c r="AA1681" i="13"/>
  <c r="AA2371" i="13"/>
  <c r="AA583" i="13"/>
  <c r="AA454" i="13"/>
  <c r="AA2516" i="13"/>
  <c r="AA595" i="13"/>
  <c r="AA2678" i="13"/>
  <c r="AA1912" i="13"/>
  <c r="AA2901" i="13"/>
  <c r="AA2231" i="13"/>
  <c r="AA1133" i="13"/>
  <c r="AA3405" i="13"/>
  <c r="AA246" i="13"/>
  <c r="AA3248" i="13"/>
  <c r="AA2294" i="13"/>
  <c r="AA502" i="13"/>
  <c r="AA903" i="13"/>
  <c r="AA891" i="13"/>
  <c r="AA2097" i="13"/>
  <c r="AA649" i="13"/>
  <c r="AA553" i="13"/>
  <c r="AA3466" i="13"/>
  <c r="AA1320" i="13"/>
  <c r="AA1673" i="13"/>
  <c r="AA1993" i="13"/>
  <c r="AA523" i="13"/>
  <c r="AA586" i="13"/>
  <c r="AA412" i="13"/>
  <c r="AA1303" i="13"/>
  <c r="AA2448" i="13"/>
  <c r="AA1265" i="13"/>
  <c r="AA3444" i="13"/>
  <c r="AA2580" i="13"/>
  <c r="AA2342" i="13"/>
  <c r="AA355" i="13"/>
  <c r="AA3286" i="13"/>
  <c r="AA2056" i="13"/>
  <c r="AA2735" i="13"/>
  <c r="AA3092" i="13"/>
  <c r="AA3023" i="13"/>
  <c r="AA1244" i="13"/>
  <c r="AA2233" i="13"/>
  <c r="AA309" i="13"/>
  <c r="AA3120" i="13"/>
  <c r="AA302" i="13"/>
  <c r="AA1769" i="13"/>
  <c r="AA1976" i="13"/>
  <c r="AA1779" i="13"/>
  <c r="AA1628" i="13"/>
  <c r="AA2359" i="13"/>
  <c r="AA1463" i="13"/>
  <c r="AA2674" i="13"/>
  <c r="AA297" i="13"/>
  <c r="AA3367" i="13"/>
  <c r="AA3271" i="13"/>
  <c r="AA258" i="13"/>
  <c r="AA3000" i="13"/>
  <c r="AA3506" i="13"/>
  <c r="AA2692" i="13"/>
  <c r="AA1560" i="13"/>
  <c r="AA2447" i="13"/>
  <c r="AA3018" i="13"/>
  <c r="AA1744" i="13"/>
  <c r="AA935" i="13"/>
  <c r="AA645" i="13"/>
  <c r="AA333" i="13"/>
  <c r="AA2153" i="13"/>
  <c r="AA1892" i="13"/>
  <c r="AA1071" i="13"/>
  <c r="AA2476" i="13"/>
  <c r="AA1915" i="13"/>
  <c r="AA326" i="13"/>
  <c r="AA1042" i="13"/>
  <c r="AA729" i="13"/>
  <c r="AA2869" i="13"/>
  <c r="AA1548" i="13"/>
  <c r="AA2240" i="13"/>
  <c r="AA3199" i="13"/>
  <c r="AA2059" i="13"/>
  <c r="AA3468" i="13"/>
  <c r="AA2994" i="13"/>
  <c r="AA3201" i="13"/>
  <c r="AA2317" i="13"/>
  <c r="AA598" i="13"/>
  <c r="AA901" i="13"/>
  <c r="AA2441" i="13"/>
  <c r="AA3281" i="13"/>
  <c r="AA3496" i="13"/>
  <c r="AA1108" i="13"/>
  <c r="AA1622" i="13"/>
  <c r="AA3259" i="13"/>
  <c r="AA626" i="13"/>
  <c r="AA525" i="13"/>
  <c r="AA761" i="13"/>
  <c r="AA785" i="13"/>
  <c r="AA1786" i="13"/>
  <c r="AA3412" i="13"/>
  <c r="AA463" i="13"/>
  <c r="AA635" i="13"/>
  <c r="AA3048" i="13"/>
  <c r="AA56" i="13"/>
  <c r="AA1179" i="13"/>
  <c r="AA2751" i="13"/>
  <c r="AA529" i="13"/>
  <c r="AA2716" i="13"/>
  <c r="AA2061" i="13"/>
  <c r="AA2975" i="13"/>
  <c r="AA1021" i="13"/>
  <c r="AA498" i="13"/>
  <c r="AA1784" i="13"/>
  <c r="AA796" i="13"/>
  <c r="AA563" i="13"/>
  <c r="AA2542" i="13"/>
  <c r="AA197" i="13"/>
  <c r="AA2185" i="13"/>
  <c r="AA3153" i="13"/>
  <c r="AA2643" i="13"/>
  <c r="AA3523" i="13"/>
  <c r="AA1696" i="13"/>
  <c r="AA506" i="13"/>
  <c r="AA3500" i="13"/>
  <c r="AA2162" i="13"/>
  <c r="AA3492" i="13"/>
  <c r="AA2849" i="13"/>
  <c r="AA1775" i="13"/>
  <c r="AA2870" i="13"/>
  <c r="AA621" i="13"/>
  <c r="AA1304" i="13"/>
  <c r="AA2791" i="13"/>
  <c r="AA2626" i="13"/>
  <c r="AA2802" i="13"/>
  <c r="AA2657" i="13"/>
  <c r="AA477" i="13"/>
  <c r="AA2764" i="13"/>
  <c r="AA753" i="13"/>
  <c r="AA3432" i="13"/>
  <c r="AA3243" i="13"/>
  <c r="AA1950" i="13"/>
  <c r="AA1735" i="13"/>
  <c r="AA2520" i="13"/>
  <c r="AA1631" i="13"/>
  <c r="AA2143" i="13"/>
  <c r="AA210" i="13"/>
  <c r="AA483" i="13"/>
  <c r="AA2490" i="13"/>
  <c r="AA790" i="13"/>
  <c r="AA1131" i="13"/>
  <c r="AA860" i="13"/>
  <c r="AA52" i="13"/>
  <c r="AA1101" i="13"/>
  <c r="AA1002" i="13"/>
  <c r="AA1483" i="13"/>
  <c r="AA1728" i="13"/>
  <c r="AA2496" i="13"/>
  <c r="AA1387" i="13"/>
  <c r="AA1362" i="13"/>
  <c r="AA789" i="13"/>
  <c r="AA2499" i="13"/>
  <c r="AA795" i="13"/>
  <c r="AA2850" i="13"/>
  <c r="AA3321" i="13"/>
  <c r="AA3051" i="13"/>
  <c r="AA911" i="13"/>
  <c r="AA1290" i="13"/>
  <c r="AA2135" i="13"/>
  <c r="AA1277" i="13"/>
  <c r="AA2714" i="13"/>
  <c r="AA1705" i="13"/>
  <c r="AA1791" i="13"/>
  <c r="AA411" i="13"/>
  <c r="AA1038" i="13"/>
  <c r="AA221" i="13"/>
  <c r="AA2289" i="13"/>
  <c r="AA3541" i="13"/>
  <c r="AA2943" i="13"/>
  <c r="AA974" i="13"/>
  <c r="AA1907" i="13"/>
  <c r="AA3191" i="13"/>
  <c r="AA2351" i="13"/>
  <c r="AA2435" i="13"/>
  <c r="AA3450" i="13"/>
  <c r="AA248" i="13"/>
  <c r="AA104" i="13"/>
  <c r="AA1305" i="13"/>
  <c r="AA1096" i="13"/>
  <c r="AA3459" i="13"/>
  <c r="AA3068" i="13"/>
  <c r="AA2668" i="13"/>
  <c r="AA2677" i="13"/>
  <c r="AA678" i="13"/>
  <c r="AA3223" i="13"/>
  <c r="AA204" i="13"/>
  <c r="AA807" i="13"/>
  <c r="AA1855" i="13"/>
  <c r="AA1706" i="13"/>
  <c r="AA2759" i="13"/>
  <c r="AA356" i="13"/>
  <c r="AA3317" i="13"/>
  <c r="AA3088" i="13"/>
  <c r="AA1885" i="13"/>
  <c r="AA3313" i="13"/>
  <c r="AA641" i="13"/>
  <c r="AA3236" i="13"/>
  <c r="AA938" i="13"/>
  <c r="AA2899" i="13"/>
  <c r="AA3340" i="13"/>
  <c r="AA183" i="13"/>
  <c r="AA544" i="13"/>
  <c r="AA2405" i="13"/>
  <c r="AA1988" i="13"/>
  <c r="AA2505" i="13"/>
  <c r="AA474" i="13"/>
  <c r="AA988" i="13"/>
  <c r="AA2662" i="13"/>
  <c r="AA836" i="13"/>
  <c r="AA2083" i="13"/>
  <c r="AA2087" i="13"/>
  <c r="AA1518" i="13"/>
  <c r="AA931" i="13"/>
  <c r="AA2044" i="13"/>
  <c r="AA3105" i="13"/>
  <c r="AA777" i="13"/>
  <c r="AA102" i="13"/>
  <c r="AA3481" i="13"/>
  <c r="AA2974" i="13"/>
  <c r="AA2260" i="13"/>
  <c r="AA2188" i="13"/>
  <c r="AA954" i="13"/>
  <c r="AA2786" i="13"/>
  <c r="AA3319" i="13"/>
  <c r="AA3118" i="13"/>
  <c r="AA1448" i="13"/>
  <c r="AA2199" i="13"/>
  <c r="AA2962" i="13"/>
  <c r="AA571" i="13"/>
  <c r="AA2617" i="13"/>
  <c r="AA1945" i="13"/>
  <c r="AA3159" i="13"/>
  <c r="AA399" i="13"/>
  <c r="AA3047" i="13"/>
  <c r="AA343" i="13"/>
  <c r="AA2635" i="13"/>
  <c r="AA627" i="13"/>
  <c r="AA1745" i="13"/>
  <c r="AA373" i="13"/>
  <c r="AA2690" i="13"/>
  <c r="AA2261" i="13"/>
  <c r="AA2742" i="13"/>
  <c r="AA2579" i="13"/>
  <c r="AA826" i="13"/>
  <c r="AA532" i="13"/>
  <c r="AA1819" i="13"/>
  <c r="AA689" i="13"/>
  <c r="AA3434" i="13"/>
  <c r="AA1639" i="13"/>
  <c r="AA1315" i="13"/>
  <c r="AA618" i="13"/>
  <c r="AA702" i="13"/>
  <c r="AA676" i="13"/>
  <c r="AA799" i="13"/>
  <c r="AA1571" i="13"/>
  <c r="AA3261" i="13"/>
  <c r="AA278" i="13"/>
  <c r="AA1394" i="13"/>
  <c r="AA2563" i="13"/>
  <c r="AA3008" i="13"/>
  <c r="AA2998" i="13"/>
  <c r="AA1301" i="13"/>
  <c r="AA852" i="13"/>
  <c r="AA1216" i="13"/>
  <c r="AA1825" i="13"/>
  <c r="AA1983" i="13"/>
  <c r="AA2495" i="13"/>
  <c r="AA1899" i="13"/>
  <c r="AA239" i="13"/>
  <c r="AA1416" i="13"/>
  <c r="AA457" i="13"/>
  <c r="AA3205" i="13"/>
  <c r="AA484" i="13"/>
  <c r="AA2510" i="13"/>
  <c r="AA725" i="13"/>
  <c r="AA3462" i="13"/>
  <c r="AA2023" i="13"/>
  <c r="AA1477" i="13"/>
  <c r="AA2457" i="13"/>
  <c r="AA606" i="13"/>
  <c r="AA150" i="13"/>
  <c r="AA2219" i="13"/>
  <c r="AA2937" i="13"/>
  <c r="AA1867" i="13"/>
  <c r="AA2982" i="13"/>
  <c r="AA1603" i="13"/>
  <c r="AA2582" i="13"/>
  <c r="AA1342" i="13"/>
  <c r="AA1852" i="13"/>
  <c r="AA3237" i="13"/>
  <c r="AA36" i="13"/>
  <c r="AA1949" i="13"/>
  <c r="AA950" i="13"/>
  <c r="AA1083" i="13"/>
  <c r="AA1100" i="13"/>
  <c r="AA2387" i="13"/>
  <c r="AA2717" i="13"/>
  <c r="AA3166" i="13"/>
  <c r="AA25" i="13"/>
  <c r="AA1280" i="13"/>
  <c r="AA49" i="13"/>
  <c r="AA2810" i="13"/>
  <c r="AA1234" i="13"/>
  <c r="AA1564" i="13"/>
  <c r="AA1799" i="13"/>
  <c r="AA3240" i="13"/>
  <c r="AA460" i="13"/>
  <c r="AA2765" i="13"/>
  <c r="AA1041" i="13"/>
  <c r="AA1029" i="13"/>
  <c r="AA270" i="13"/>
  <c r="AA1707" i="13"/>
  <c r="AA153" i="13"/>
  <c r="AA2892" i="13"/>
  <c r="AA617" i="13"/>
  <c r="AA2729" i="13"/>
  <c r="AA1371" i="13"/>
  <c r="AA895" i="13"/>
  <c r="AA1070" i="13"/>
  <c r="AA1160" i="13"/>
  <c r="AA2539" i="13"/>
  <c r="AA1879" i="13"/>
  <c r="AA2273" i="13"/>
  <c r="AA1493" i="13"/>
  <c r="AA1086" i="13"/>
  <c r="AA1583" i="13"/>
  <c r="AA2747" i="13"/>
  <c r="AA1551" i="13"/>
  <c r="AA2838" i="13"/>
  <c r="AA459" i="13"/>
  <c r="AA405" i="13"/>
  <c r="AA2624" i="13"/>
  <c r="AA3421" i="13"/>
  <c r="AA899" i="13"/>
  <c r="AA1118" i="13"/>
  <c r="AA2183" i="13"/>
  <c r="AA2604" i="13"/>
  <c r="AA2195" i="13"/>
  <c r="AA3134" i="13"/>
  <c r="AA658" i="13"/>
  <c r="AA185" i="13"/>
  <c r="AA1984" i="13"/>
  <c r="AA1269" i="13"/>
  <c r="AA687" i="13"/>
  <c r="AA1310" i="13"/>
  <c r="AA1881" i="13"/>
  <c r="AA1625" i="13"/>
  <c r="AA453" i="13"/>
  <c r="AA3339" i="13"/>
  <c r="AA2423" i="13"/>
  <c r="AA325" i="13"/>
  <c r="AA3181" i="13"/>
  <c r="AA2793" i="13"/>
  <c r="AA1526" i="13"/>
  <c r="AA2725" i="13"/>
  <c r="AA3015" i="13"/>
  <c r="AA1382" i="13"/>
  <c r="AA1313" i="13"/>
  <c r="AA1147" i="13"/>
  <c r="AA1679" i="13"/>
  <c r="AA1729" i="13"/>
  <c r="AA3121" i="13"/>
  <c r="AA2814" i="13"/>
  <c r="AA74" i="13"/>
  <c r="AA3390" i="13"/>
  <c r="AA1520" i="13"/>
  <c r="AA1209" i="13"/>
  <c r="AA334" i="13"/>
  <c r="AA3329" i="13"/>
  <c r="AA1902" i="13"/>
  <c r="AA2000" i="13"/>
  <c r="AA2868" i="13"/>
  <c r="AA513" i="13"/>
  <c r="AA1566" i="13"/>
  <c r="AA2124" i="13"/>
  <c r="AA3316" i="13"/>
  <c r="AA1979" i="13"/>
  <c r="AA2985" i="13"/>
  <c r="AA619" i="13"/>
  <c r="AA340" i="13"/>
  <c r="AA222" i="13"/>
  <c r="AA2349" i="13"/>
  <c r="AA2554" i="13"/>
  <c r="AA365" i="13"/>
  <c r="AA2719" i="13"/>
  <c r="AA961" i="13"/>
  <c r="AA1937" i="13"/>
  <c r="AA426" i="13"/>
  <c r="AA1184" i="13"/>
  <c r="AA3031" i="13"/>
  <c r="AA1978" i="13"/>
  <c r="AA1181" i="13"/>
  <c r="AA2781" i="13"/>
  <c r="AA2533" i="13"/>
  <c r="AA1704" i="13"/>
  <c r="AA2642" i="13"/>
  <c r="AA1943" i="13"/>
  <c r="AA1190" i="13"/>
  <c r="AA693" i="13"/>
  <c r="AA151" i="13"/>
  <c r="AA2822" i="13"/>
  <c r="AA3234" i="13"/>
  <c r="AA613" i="13"/>
  <c r="AA805" i="13"/>
  <c r="AA1067" i="13"/>
  <c r="AA313" i="13"/>
  <c r="AA3101" i="13"/>
  <c r="AA3241" i="13"/>
  <c r="AA311" i="13"/>
  <c r="AA1998" i="13"/>
  <c r="AA1501" i="13"/>
  <c r="AA414" i="13"/>
  <c r="AA1765" i="13"/>
  <c r="AA3078" i="13"/>
  <c r="AA1939" i="13"/>
  <c r="AA591" i="13"/>
  <c r="AA1226" i="13"/>
  <c r="AA3059" i="13"/>
  <c r="AA1807" i="13"/>
  <c r="AA989" i="13"/>
  <c r="AA2345" i="13"/>
  <c r="AA485" i="13"/>
  <c r="AA2506" i="13"/>
  <c r="AA1909" i="13"/>
  <c r="AA217" i="13"/>
  <c r="AA1475" i="13"/>
  <c r="AA2830" i="13"/>
  <c r="AA2540" i="13"/>
  <c r="AA2383" i="13"/>
  <c r="AA1734" i="13"/>
  <c r="AA2410" i="13"/>
  <c r="AA1124" i="13"/>
  <c r="AA3278" i="13"/>
  <c r="AA60" i="13"/>
  <c r="AA530" i="13"/>
  <c r="AA526" i="13"/>
  <c r="AA1653" i="13"/>
  <c r="AA1205" i="13"/>
  <c r="AA2687" i="13"/>
  <c r="AA3404" i="13"/>
  <c r="AA3304" i="13"/>
  <c r="AA364" i="13"/>
  <c r="AA2042" i="13"/>
  <c r="AA1327" i="13"/>
  <c r="AA383" i="13"/>
  <c r="AA38" i="13"/>
  <c r="AA1629" i="13"/>
  <c r="AA511" i="13"/>
  <c r="AA2069" i="13"/>
  <c r="AA800" i="13"/>
  <c r="AA1128" i="13"/>
  <c r="AA3025" i="13"/>
  <c r="AA479" i="13"/>
  <c r="AA1232" i="13"/>
  <c r="AA3075" i="13"/>
  <c r="AA3177" i="13"/>
  <c r="AA1562" i="13"/>
  <c r="AA3552" i="13"/>
  <c r="AA2486" i="13"/>
  <c r="AA1219" i="13"/>
  <c r="AA2337" i="13"/>
  <c r="AA1996" i="13"/>
  <c r="AA3433" i="13"/>
  <c r="AA2306" i="13"/>
  <c r="AA3256" i="13"/>
  <c r="AA536" i="13"/>
  <c r="AA1221" i="13"/>
  <c r="AA1328" i="13"/>
  <c r="AA328" i="13"/>
  <c r="AA1529" i="13"/>
  <c r="AA2063" i="13"/>
  <c r="AA2833" i="13"/>
  <c r="AA3229" i="13"/>
  <c r="AA556" i="13"/>
  <c r="AA2953" i="13"/>
  <c r="AA1606" i="13"/>
  <c r="AA2336" i="13"/>
  <c r="AA875" i="13"/>
  <c r="AA3030" i="13"/>
  <c r="AA2675" i="13"/>
  <c r="AA2703" i="13"/>
  <c r="AA2559" i="13"/>
  <c r="AA1248" i="13"/>
  <c r="AA2141" i="13"/>
  <c r="AA1065" i="13"/>
  <c r="AA1886" i="13"/>
  <c r="AA3203" i="13"/>
  <c r="AA1256" i="13"/>
  <c r="AA2707" i="13"/>
  <c r="AA2244" i="13"/>
  <c r="AA2924" i="13"/>
  <c r="AA2485" i="13"/>
  <c r="AA736" i="13"/>
  <c r="AA274" i="13"/>
  <c r="AA971" i="13"/>
  <c r="AA2173" i="13"/>
  <c r="AA624" i="13"/>
  <c r="AA2681" i="13"/>
  <c r="AA2038" i="13"/>
  <c r="AA1392" i="13"/>
  <c r="AA2903" i="13"/>
  <c r="AA2586" i="13"/>
  <c r="AA1019" i="13"/>
  <c r="AA1555" i="13"/>
  <c r="AA2823" i="13"/>
  <c r="AA2419" i="13"/>
  <c r="AA427" i="13"/>
  <c r="AA2741" i="13"/>
  <c r="AA3399" i="13"/>
  <c r="AA175" i="13"/>
  <c r="AA268" i="13"/>
  <c r="AA21" i="13"/>
  <c r="AA3173" i="13"/>
  <c r="AA235" i="13"/>
  <c r="AA3054" i="13"/>
  <c r="AA403" i="13"/>
  <c r="AA1481" i="13"/>
  <c r="AA133" i="13"/>
  <c r="AA1314" i="13"/>
  <c r="AA2475" i="13"/>
  <c r="AA1379" i="13"/>
  <c r="AA114" i="13"/>
  <c r="AA1505" i="13"/>
  <c r="AA2746" i="13"/>
  <c r="AA82" i="13"/>
  <c r="AA2243" i="13"/>
  <c r="AA1610" i="13"/>
  <c r="AA3131" i="13"/>
  <c r="AA2442" i="13"/>
  <c r="AA2182" i="13"/>
  <c r="AA90" i="13"/>
  <c r="AA3447" i="13"/>
  <c r="AA1641" i="13"/>
  <c r="AA1901" i="13"/>
  <c r="AA2795" i="13"/>
  <c r="AA2108" i="13"/>
  <c r="AA2308" i="13"/>
  <c r="AA252" i="13"/>
  <c r="AA1712" i="13"/>
  <c r="AA2778" i="13"/>
  <c r="AA46" i="13"/>
  <c r="AA615" i="13"/>
  <c r="AA797" i="13"/>
  <c r="AA517" i="13"/>
  <c r="AA2578" i="13"/>
  <c r="AA1846" i="13"/>
  <c r="AA223" i="13"/>
  <c r="AA1926" i="13"/>
  <c r="AA3212" i="13"/>
  <c r="AA2256" i="13"/>
  <c r="AA2239" i="13"/>
  <c r="AA2696" i="13"/>
  <c r="AA1703" i="13"/>
  <c r="AA1461" i="13"/>
  <c r="AA1155" i="13"/>
  <c r="AA1980" i="13"/>
  <c r="AA1434" i="13"/>
  <c r="AA3397" i="13"/>
  <c r="AA2736" i="13"/>
  <c r="AA131" i="13"/>
  <c r="AA1167" i="13"/>
  <c r="AA2625" i="13"/>
  <c r="AA201" i="13"/>
  <c r="AA3100" i="13"/>
  <c r="AA1669" i="13"/>
  <c r="AA1199" i="13"/>
  <c r="AA2368" i="13"/>
  <c r="AA2026" i="13"/>
  <c r="AA2790" i="13"/>
  <c r="AA3073" i="13"/>
  <c r="AA534" i="13"/>
  <c r="AA308" i="13"/>
  <c r="AA2422" i="13"/>
  <c r="AA37" i="13"/>
  <c r="AA2639" i="13"/>
  <c r="AA166" i="13"/>
  <c r="AA714" i="13"/>
  <c r="AA2172" i="13"/>
  <c r="AA2129" i="13"/>
  <c r="AA491" i="13"/>
  <c r="AA3255" i="13"/>
  <c r="AA2695" i="13"/>
  <c r="AA176" i="13"/>
  <c r="AA1343" i="13"/>
  <c r="AA1459" i="13"/>
  <c r="AA1121" i="13"/>
  <c r="AA1023" i="13"/>
  <c r="AA2536" i="13"/>
  <c r="AA1452" i="13"/>
  <c r="AA1103" i="13"/>
  <c r="AA1896" i="13"/>
  <c r="AA3188" i="13"/>
  <c r="AA2601" i="13"/>
  <c r="AA3014" i="13"/>
  <c r="AA1104" i="13"/>
  <c r="AA169" i="13"/>
  <c r="AA1592" i="13"/>
  <c r="AA1668" i="13"/>
  <c r="AA999" i="13"/>
  <c r="AA3272" i="13"/>
  <c r="AA3395" i="13"/>
  <c r="AA1288" i="13"/>
  <c r="AA1985" i="13"/>
  <c r="AA1718" i="13"/>
  <c r="AA1615" i="13"/>
  <c r="AA31" i="13"/>
  <c r="AA575" i="13"/>
  <c r="AA1037" i="13"/>
  <c r="AA219" i="13"/>
  <c r="AA3519" i="13"/>
  <c r="AA2770" i="13"/>
  <c r="AA865" i="13"/>
  <c r="AA88" i="13"/>
  <c r="AA1322" i="13"/>
  <c r="AA3364" i="13"/>
  <c r="AA1419" i="13"/>
  <c r="AA1920" i="13"/>
  <c r="AA1636" i="13"/>
  <c r="AA2913" i="13"/>
  <c r="AA949" i="13"/>
  <c r="AA1709" i="13"/>
  <c r="AA1168" i="13"/>
  <c r="AA1089" i="13"/>
  <c r="AA2545" i="13"/>
  <c r="AA1869" i="13"/>
  <c r="AA1079" i="13"/>
  <c r="AA137" i="13"/>
  <c r="AA3142" i="13"/>
  <c r="AA2961" i="13"/>
  <c r="AA3529" i="13"/>
  <c r="AA2650" i="13"/>
  <c r="AA451" i="13"/>
  <c r="AA3067" i="13"/>
  <c r="AA1496" i="13"/>
  <c r="AA1997" i="13"/>
  <c r="AA987" i="13"/>
  <c r="AA224" i="13"/>
  <c r="AA2959" i="13"/>
  <c r="AA1682" i="13"/>
  <c r="AA593" i="13"/>
  <c r="AA1207" i="13"/>
  <c r="AA2956" i="13"/>
  <c r="AA2325" i="13"/>
  <c r="AA2910" i="13"/>
  <c r="AA3435" i="13"/>
  <c r="AA494" i="13"/>
  <c r="AA3132" i="13"/>
  <c r="AA2077" i="13"/>
  <c r="AA1766" i="13"/>
  <c r="AA2459" i="13"/>
  <c r="AA3403" i="13"/>
  <c r="AA2322" i="13"/>
  <c r="AA3324" i="13"/>
  <c r="AA1412" i="13"/>
  <c r="AA2607" i="13"/>
  <c r="AA3036" i="13"/>
  <c r="AA746" i="13"/>
  <c r="AA866" i="13"/>
  <c r="AA2211" i="13"/>
  <c r="AA682" i="13"/>
  <c r="AA3260" i="13"/>
  <c r="AA581" i="13"/>
  <c r="AA3515" i="13"/>
  <c r="AA1460" i="13"/>
  <c r="AA1509" i="13"/>
  <c r="AA1777" i="13"/>
  <c r="AA3195" i="13"/>
  <c r="AA962" i="13"/>
  <c r="AA279" i="13"/>
  <c r="AA2546" i="13"/>
  <c r="AA2567" i="13"/>
  <c r="AA2125" i="13"/>
  <c r="AA1730" i="13"/>
  <c r="AA3045" i="13"/>
  <c r="AA1503" i="13"/>
  <c r="AA2068" i="13"/>
  <c r="AA561" i="13"/>
  <c r="AA192" i="13"/>
  <c r="AA1754" i="13"/>
  <c r="AA228" i="13"/>
  <c r="AA2041" i="13"/>
  <c r="AA1607" i="13"/>
  <c r="AA700" i="13"/>
  <c r="AA661" i="13"/>
  <c r="AA1873" i="13"/>
  <c r="AA98" i="13"/>
  <c r="AA1495" i="13"/>
  <c r="AA2713" i="13"/>
  <c r="AA73" i="13"/>
  <c r="AA2469" i="13"/>
  <c r="AA446" i="13"/>
  <c r="AA2591" i="13"/>
  <c r="AA985" i="13"/>
  <c r="AA1536" i="13"/>
  <c r="AA122" i="13"/>
  <c r="AA171" i="13"/>
  <c r="AA3042" i="13"/>
  <c r="AA458" i="13"/>
  <c r="AA198" i="13"/>
  <c r="AA672" i="13"/>
  <c r="AA3298" i="13"/>
  <c r="AA2418" i="13"/>
  <c r="AA2440" i="13"/>
  <c r="AA65" i="13"/>
  <c r="AA2972" i="13"/>
  <c r="AA241" i="13"/>
  <c r="AA2517" i="13"/>
  <c r="AA2006" i="13"/>
  <c r="AA2859" i="13"/>
  <c r="AA2316" i="13"/>
  <c r="AA208" i="13"/>
  <c r="AA1422" i="13"/>
  <c r="AA2904" i="13"/>
  <c r="AA1000" i="13"/>
  <c r="AA1508" i="13"/>
  <c r="AA1141" i="13"/>
  <c r="AA655" i="13"/>
  <c r="AA803" i="13"/>
  <c r="AA3330" i="13"/>
  <c r="AA1026" i="13"/>
  <c r="AA1082" i="13"/>
  <c r="AA2930" i="13"/>
  <c r="AA740" i="13"/>
  <c r="AA2825" i="13"/>
  <c r="AA145" i="13"/>
  <c r="AA461" i="13"/>
  <c r="AA2923" i="13"/>
  <c r="AA2622" i="13"/>
  <c r="AA443" i="13"/>
  <c r="AA3002" i="13"/>
  <c r="AA1410" i="13"/>
  <c r="AA3293" i="13"/>
  <c r="AA262" i="13"/>
  <c r="AA2555" i="13"/>
  <c r="AA3215" i="13"/>
  <c r="AA1727" i="13"/>
  <c r="AA692" i="13"/>
  <c r="AA63" i="13"/>
  <c r="AA357" i="13"/>
  <c r="AA2140" i="13"/>
  <c r="AA910" i="13"/>
  <c r="AA2438" i="13"/>
  <c r="AA2271" i="13"/>
  <c r="AA1804" i="13"/>
  <c r="AA1058" i="13"/>
  <c r="AA622" i="13"/>
  <c r="AA1291" i="13"/>
  <c r="AA2160" i="13"/>
  <c r="AA1999" i="13"/>
  <c r="AA3406" i="13"/>
  <c r="AA798" i="13"/>
  <c r="AA3156" i="13"/>
  <c r="AA2192" i="13"/>
  <c r="AA951" i="13"/>
  <c r="AA2525" i="13"/>
  <c r="AA894" i="13"/>
  <c r="AA1640" i="13"/>
  <c r="AA2236" i="13"/>
  <c r="AA1120" i="13"/>
  <c r="AA1020" i="13"/>
  <c r="AA369" i="13"/>
  <c r="AA631" i="13"/>
  <c r="AA3420" i="13"/>
  <c r="AA2010" i="13"/>
  <c r="AA2952" i="13"/>
  <c r="AA2427" i="13"/>
  <c r="AA2455" i="13"/>
  <c r="AA147" i="13"/>
  <c r="AA1957" i="13"/>
  <c r="AA2094" i="13"/>
  <c r="AA818" i="13"/>
  <c r="AA1093" i="13"/>
  <c r="AA978" i="13"/>
  <c r="AA1743" i="13"/>
  <c r="AA2886" i="13"/>
  <c r="AA2493" i="13"/>
  <c r="AA2679" i="13"/>
  <c r="AA127" i="13"/>
  <c r="AA883" i="13"/>
  <c r="AA135" i="13"/>
  <c r="AA2848" i="13"/>
  <c r="AA1370" i="13"/>
  <c r="AA1687" i="13"/>
  <c r="AA2138" i="13"/>
  <c r="AA1432" i="13"/>
  <c r="AA1132" i="13"/>
  <c r="AA2249" i="13"/>
  <c r="AA243" i="13"/>
  <c r="AA2710" i="13"/>
  <c r="AA1321" i="13"/>
  <c r="AA3275" i="13"/>
  <c r="AA573" i="13"/>
  <c r="AA361" i="13"/>
  <c r="AA1195" i="13"/>
  <c r="AA3516" i="13"/>
  <c r="AA2158" i="13"/>
  <c r="AA3280" i="13"/>
  <c r="AA1059" i="13"/>
  <c r="AA1213" i="13"/>
  <c r="AA539" i="13"/>
  <c r="AA3064" i="13"/>
  <c r="AA713" i="13"/>
  <c r="AA3202" i="13"/>
  <c r="AA3035" i="13"/>
  <c r="AA648" i="13"/>
  <c r="AA1713" i="13"/>
  <c r="AA1116" i="13"/>
  <c r="AA1383" i="13"/>
  <c r="AA1972" i="13"/>
  <c r="AA339" i="13"/>
  <c r="AA3357" i="13"/>
  <c r="AA2839" i="13"/>
  <c r="AA1963" i="13"/>
  <c r="AA1471" i="13"/>
  <c r="AA943" i="13"/>
  <c r="AA2921" i="13"/>
  <c r="AA3512" i="13"/>
  <c r="AA2008" i="13"/>
  <c r="AA2361" i="13"/>
  <c r="AA1307" i="13"/>
  <c r="AA35" i="13"/>
  <c r="R50" i="13"/>
  <c r="R48" i="13"/>
  <c r="R39" i="13"/>
  <c r="R69" i="13"/>
  <c r="S69" i="13" s="1"/>
  <c r="R30" i="13"/>
  <c r="R41" i="13"/>
  <c r="R65" i="13"/>
  <c r="D27" i="6"/>
  <c r="S39" i="13"/>
  <c r="D28" i="6"/>
  <c r="R38" i="13"/>
  <c r="R37" i="13"/>
  <c r="S75" i="13"/>
  <c r="R66" i="13"/>
  <c r="R32" i="13"/>
  <c r="S32" i="13"/>
  <c r="R43" i="13"/>
  <c r="S66" i="13"/>
  <c r="R60" i="13"/>
  <c r="R33" i="13"/>
  <c r="R47" i="13"/>
  <c r="R45" i="13"/>
  <c r="R58" i="13"/>
  <c r="S41" i="13"/>
  <c r="R27" i="13"/>
  <c r="R59" i="13"/>
  <c r="R63" i="13"/>
  <c r="R34" i="13"/>
  <c r="R28" i="13"/>
  <c r="S28" i="13" s="1"/>
  <c r="R67" i="13"/>
  <c r="R64" i="13"/>
  <c r="S64" i="13" s="1"/>
  <c r="R36" i="13"/>
  <c r="R54" i="13"/>
  <c r="S78" i="13"/>
  <c r="R56" i="13"/>
  <c r="R42" i="13"/>
  <c r="R40" i="13"/>
  <c r="R57" i="13"/>
  <c r="S36" i="13"/>
  <c r="R44" i="13"/>
  <c r="S44" i="13" s="1"/>
  <c r="R46" i="13"/>
  <c r="S77" i="13"/>
  <c r="R51" i="13"/>
  <c r="R29" i="13"/>
  <c r="S29" i="13" s="1"/>
  <c r="R70" i="13"/>
  <c r="R68" i="13"/>
  <c r="S74" i="13"/>
  <c r="R55" i="13"/>
  <c r="S76" i="13"/>
  <c r="S34" i="13"/>
  <c r="R52" i="13"/>
  <c r="R35" i="13"/>
  <c r="R31" i="13"/>
  <c r="S31" i="13" s="1"/>
  <c r="R53" i="13"/>
  <c r="R49" i="13"/>
  <c r="K14" i="13"/>
  <c r="K4" i="13"/>
  <c r="J8" i="13"/>
  <c r="J15" i="13"/>
  <c r="K9" i="13"/>
  <c r="K15" i="13"/>
  <c r="K6" i="13"/>
  <c r="J10" i="13"/>
  <c r="J6" i="13"/>
  <c r="J11" i="13"/>
  <c r="J7" i="13"/>
  <c r="K3" i="13"/>
  <c r="K11" i="13"/>
  <c r="J5" i="13"/>
  <c r="K13" i="13"/>
  <c r="J14" i="13"/>
  <c r="J9" i="13"/>
  <c r="J13" i="13"/>
  <c r="J3" i="13"/>
  <c r="J16" i="13"/>
  <c r="J4" i="13"/>
  <c r="K8" i="13"/>
  <c r="K7" i="13"/>
  <c r="K16" i="13"/>
  <c r="K10" i="13"/>
  <c r="J12" i="13"/>
  <c r="K5" i="13"/>
  <c r="K12" i="13"/>
  <c r="T76" i="13" l="1"/>
  <c r="T77" i="13"/>
  <c r="T75" i="13"/>
  <c r="T73" i="13"/>
  <c r="T78" i="13"/>
  <c r="T74" i="13"/>
  <c r="T31" i="13"/>
  <c r="T29" i="13"/>
  <c r="T39" i="13"/>
  <c r="T34" i="13"/>
  <c r="T64" i="13"/>
  <c r="T28" i="13"/>
  <c r="T66" i="13"/>
  <c r="T32" i="13"/>
  <c r="T69" i="13"/>
  <c r="T41" i="13"/>
  <c r="T44" i="13"/>
  <c r="T36" i="13"/>
  <c r="H12" i="13"/>
  <c r="G16" i="13"/>
  <c r="G14" i="13"/>
  <c r="G6" i="13"/>
  <c r="G9" i="13"/>
  <c r="G11" i="13"/>
  <c r="H11" i="13"/>
  <c r="H14" i="13"/>
  <c r="G13" i="13"/>
  <c r="H7" i="13"/>
  <c r="H6" i="13"/>
  <c r="G10" i="13"/>
  <c r="G12" i="13"/>
  <c r="H9" i="13"/>
  <c r="G3" i="13"/>
  <c r="H4" i="13"/>
  <c r="H15" i="13"/>
  <c r="G15" i="13"/>
  <c r="H16" i="13"/>
  <c r="G4" i="13"/>
  <c r="G5" i="13"/>
  <c r="H8" i="13"/>
  <c r="H13" i="13"/>
  <c r="H10" i="13"/>
  <c r="H5" i="13"/>
  <c r="G8" i="13"/>
  <c r="H3" i="13"/>
  <c r="G7" i="13"/>
  <c r="S42" i="13"/>
  <c r="S49" i="13"/>
  <c r="S33" i="13"/>
  <c r="S40" i="13"/>
  <c r="S59" i="13"/>
  <c r="S60" i="13"/>
  <c r="S56" i="13"/>
  <c r="S43" i="13"/>
  <c r="S47" i="13"/>
  <c r="S50" i="13"/>
  <c r="S52" i="13"/>
  <c r="S51" i="13"/>
  <c r="S54" i="13"/>
  <c r="S63" i="13"/>
  <c r="S68" i="13"/>
  <c r="S57" i="13"/>
  <c r="S38" i="13"/>
  <c r="S45" i="13"/>
  <c r="S46" i="13"/>
  <c r="S67" i="13"/>
  <c r="S35" i="13"/>
  <c r="S55" i="13"/>
  <c r="S58" i="13"/>
  <c r="S37" i="13"/>
  <c r="S48" i="13"/>
  <c r="S53" i="13"/>
  <c r="S27" i="13"/>
  <c r="S30" i="13"/>
  <c r="S70" i="13"/>
  <c r="S65" i="13"/>
  <c r="U73" i="13" l="1"/>
  <c r="T30" i="13"/>
  <c r="T48" i="13"/>
  <c r="T37" i="13"/>
  <c r="T58" i="13"/>
  <c r="T67" i="13"/>
  <c r="T63" i="13"/>
  <c r="U63" i="13" s="1"/>
  <c r="T54" i="13"/>
  <c r="T43" i="13"/>
  <c r="T42" i="13"/>
  <c r="T57" i="13"/>
  <c r="T68" i="13"/>
  <c r="T60" i="13"/>
  <c r="T59" i="13"/>
  <c r="T33" i="13"/>
  <c r="T51" i="13"/>
  <c r="T46" i="13"/>
  <c r="T65" i="13"/>
  <c r="T27" i="13"/>
  <c r="T53" i="13"/>
  <c r="T45" i="13"/>
  <c r="T52" i="13"/>
  <c r="T70" i="13"/>
  <c r="T50" i="13"/>
  <c r="T47" i="13"/>
  <c r="T38" i="13"/>
  <c r="T56" i="13"/>
  <c r="T55" i="13"/>
  <c r="T35" i="13"/>
  <c r="T40" i="13"/>
  <c r="T49" i="13"/>
  <c r="I16" i="13"/>
  <c r="I15" i="13"/>
  <c r="I4" i="13"/>
  <c r="I9" i="13"/>
  <c r="I6" i="13"/>
  <c r="I11" i="13"/>
  <c r="I10" i="13"/>
  <c r="I8" i="13"/>
  <c r="I5" i="13"/>
  <c r="I14" i="13"/>
  <c r="I3" i="13"/>
  <c r="I13" i="13"/>
  <c r="I7" i="13"/>
  <c r="I12" i="13"/>
  <c r="M19" i="13" a="1"/>
  <c r="U27" i="13" l="1"/>
  <c r="M20" i="13"/>
  <c r="M19" i="13"/>
  <c r="M22" i="13"/>
  <c r="M24" i="13"/>
  <c r="M23" i="13"/>
  <c r="M21" i="13"/>
  <c r="N23" i="13"/>
  <c r="P23" i="13"/>
  <c r="O23" i="13"/>
  <c r="O21" i="13"/>
  <c r="N21" i="13"/>
  <c r="P21" i="13"/>
  <c r="N20" i="13"/>
  <c r="P20" i="13"/>
  <c r="O20" i="13"/>
  <c r="P22" i="13"/>
  <c r="O22" i="13"/>
  <c r="N22" i="13"/>
  <c r="O24" i="13"/>
  <c r="P24" i="13"/>
  <c r="N24" i="13"/>
  <c r="N19" i="13"/>
  <c r="P19" i="13"/>
  <c r="O19" i="13"/>
  <c r="R19" i="13" l="1"/>
  <c r="R20" i="13"/>
  <c r="R23" i="13"/>
  <c r="R24" i="13"/>
  <c r="R21" i="13"/>
  <c r="R22" i="13"/>
  <c r="S22" i="13" l="1"/>
  <c r="S20" i="13"/>
  <c r="S21" i="13"/>
  <c r="S19" i="13"/>
  <c r="S24" i="13"/>
  <c r="S23" i="13"/>
  <c r="T23" i="13" l="1"/>
  <c r="T24" i="13"/>
  <c r="T19" i="13"/>
  <c r="T21" i="13"/>
  <c r="T20" i="13"/>
  <c r="T22" i="13"/>
  <c r="U19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<sst xmlns="http://schemas.openxmlformats.org/spreadsheetml/2006/main" count="432" uniqueCount="165">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</sst>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2.6749247046210498E-2</c:v>
                </c:pt>
                <c:pt idx="2">
                  <c:v>2.674847818874598E-2</c:v>
                </c:pt>
                <c:pt idx="3">
                  <c:v>2.6748601398116963E-2</c:v>
                </c:pt>
                <c:pt idx="4">
                  <c:v>2.6745249517627606E-2</c:v>
                </c:pt>
                <c:pt idx="5">
                  <c:v>2.6744405488414481E-2</c:v>
                </c:pt>
                <c:pt idx="6">
                  <c:v>2.6743547294180822E-2</c:v>
                </c:pt>
                <c:pt idx="7">
                  <c:v>2.6742675224704079E-2</c:v>
                </c:pt>
                <c:pt idx="8">
                  <c:v>2.6742611800807569E-2</c:v>
                </c:pt>
                <c:pt idx="9">
                  <c:v>2.6739053989867811E-2</c:v>
                </c:pt>
                <c:pt idx="10">
                  <c:v>2.6738116890805755E-2</c:v>
                </c:pt>
                <c:pt idx="11">
                  <c:v>2.6737167655153885E-2</c:v>
                </c:pt>
                <c:pt idx="12">
                  <c:v>2.6736206572687014E-2</c:v>
                </c:pt>
                <c:pt idx="13">
                  <c:v>2.673637445526475E-2</c:v>
                </c:pt>
                <c:pt idx="14">
                  <c:v>2.6732249570167475E-2</c:v>
                </c:pt>
                <c:pt idx="15">
                  <c:v>2.6731233600247751E-2</c:v>
                </c:pt>
                <c:pt idx="16">
                  <c:v>2.6730207522159238E-2</c:v>
                </c:pt>
                <c:pt idx="17">
                  <c:v>2.6729171625678519E-2</c:v>
                </c:pt>
                <c:pt idx="18">
                  <c:v>2.6728849474968914E-2</c:v>
                </c:pt>
                <c:pt idx="19">
                  <c:v>2.6724935651283054E-2</c:v>
                </c:pt>
                <c:pt idx="20">
                  <c:v>2.6723855009431724E-2</c:v>
                </c:pt>
                <c:pt idx="21">
                  <c:v>2.6722766287824714E-2</c:v>
                </c:pt>
                <c:pt idx="22">
                  <c:v>2.672166977623331E-2</c:v>
                </c:pt>
                <c:pt idx="23">
                  <c:v>2.6721271330770784E-2</c:v>
                </c:pt>
                <c:pt idx="24">
                  <c:v>2.671721162546534E-2</c:v>
                </c:pt>
                <c:pt idx="25">
                  <c:v>2.6716080510526551E-2</c:v>
                </c:pt>
                <c:pt idx="26">
                  <c:v>2.6714943344231967E-2</c:v>
                </c:pt>
                <c:pt idx="27">
                  <c:v>2.6713800416349354E-2</c:v>
                </c:pt>
                <c:pt idx="28">
                  <c:v>2.671335825437551E-2</c:v>
                </c:pt>
                <c:pt idx="29">
                  <c:v>2.6709176884343187E-2</c:v>
                </c:pt>
                <c:pt idx="30">
                  <c:v>2.6708009495066819E-2</c:v>
                </c:pt>
                <c:pt idx="31">
                  <c:v>2.6706838082817805E-2</c:v>
                </c:pt>
                <c:pt idx="32">
                  <c:v>2.6705662937363029E-2</c:v>
                </c:pt>
                <c:pt idx="33">
                  <c:v>2.6705207536446715E-2</c:v>
                </c:pt>
                <c:pt idx="34">
                  <c:v>2.6699741353866512E-2</c:v>
                </c:pt>
                <c:pt idx="35">
                  <c:v>2.6698549894288735E-2</c:v>
                </c:pt>
                <c:pt idx="36">
                  <c:v>2.6697356729870732E-2</c:v>
                </c:pt>
                <c:pt idx="37">
                  <c:v>2.6696916466893605E-2</c:v>
                </c:pt>
                <c:pt idx="38">
                  <c:v>2.669257281910322E-2</c:v>
                </c:pt>
                <c:pt idx="39">
                  <c:v>2.6691375476959104E-2</c:v>
                </c:pt>
                <c:pt idx="40">
                  <c:v>2.6690178168561954E-2</c:v>
                </c:pt>
                <c:pt idx="41">
                  <c:v>2.6688981183673369E-2</c:v>
                </c:pt>
                <c:pt idx="42">
                  <c:v>2.6688582334823539E-2</c:v>
                </c:pt>
                <c:pt idx="43">
                  <c:v>2.6684202274465649E-2</c:v>
                </c:pt>
                <c:pt idx="44">
                  <c:v>2.6683011253558798E-2</c:v>
                </c:pt>
                <c:pt idx="45">
                  <c:v>2.6681822294733613E-2</c:v>
                </c:pt>
                <c:pt idx="46">
                  <c:v>2.6680635687749046E-2</c:v>
                </c:pt>
                <c:pt idx="47">
                  <c:v>2.6680302428522203E-2</c:v>
                </c:pt>
                <c:pt idx="48">
                  <c:v>2.6675918573429505E-2</c:v>
                </c:pt>
                <c:pt idx="49">
                  <c:v>2.6674748072050832E-2</c:v>
                </c:pt>
                <c:pt idx="50">
                  <c:v>2.6673581661070023E-2</c:v>
                </c:pt>
                <c:pt idx="51">
                  <c:v>2.6672419630246913E-2</c:v>
                </c:pt>
                <c:pt idx="52">
                  <c:v>2.6670811460273683E-2</c:v>
                </c:pt>
                <c:pt idx="53">
                  <c:v>2.6667356314901806E-2</c:v>
                </c:pt>
                <c:pt idx="54">
                  <c:v>2.6666215764370008E-2</c:v>
                </c:pt>
                <c:pt idx="55">
                  <c:v>2.6665081284332894E-2</c:v>
                </c:pt>
                <c:pt idx="56">
                  <c:v>2.6663953167710419E-2</c:v>
                </c:pt>
                <c:pt idx="57">
                  <c:v>2.6662831707421657E-2</c:v>
                </c:pt>
                <c:pt idx="58">
                  <c:v>2.6659510193735903E-2</c:v>
                </c:pt>
                <c:pt idx="59">
                  <c:v>2.665841828796113E-2</c:v>
                </c:pt>
                <c:pt idx="60">
                  <c:v>2.6657334503110086E-2</c:v>
                </c:pt>
                <c:pt idx="61">
                  <c:v>2.6656259132098275E-2</c:v>
                </c:pt>
                <c:pt idx="62">
                  <c:v>2.6655192467843879E-2</c:v>
                </c:pt>
                <c:pt idx="63">
                  <c:v>2.6652047644787395E-2</c:v>
                </c:pt>
                <c:pt idx="64">
                  <c:v>2.6651018736724871E-2</c:v>
                </c:pt>
                <c:pt idx="65">
                  <c:v>2.6649999999999088E-2</c:v>
                </c:pt>
                <c:pt idx="66">
                  <c:v>2.6648991746438727E-2</c:v>
                </c:pt>
                <c:pt idx="67">
                  <c:v>2.6647994363511809E-2</c:v>
                </c:pt>
                <c:pt idx="68">
                  <c:v>2.6645071502346292E-2</c:v>
                </c:pt>
                <c:pt idx="69">
                  <c:v>2.6644121665763278E-2</c:v>
                </c:pt>
                <c:pt idx="70">
                  <c:v>2.6643184731716105E-2</c:v>
                </c:pt>
                <c:pt idx="71">
                  <c:v>2.6644704918021764E-2</c:v>
                </c:pt>
                <c:pt idx="72">
                  <c:v>2.6643200185555545E-2</c:v>
                </c:pt>
                <c:pt idx="73">
                  <c:v>2.663870782279992E-2</c:v>
                </c:pt>
                <c:pt idx="74">
                  <c:v>2.6638504079672592E-2</c:v>
                </c:pt>
                <c:pt idx="75">
                  <c:v>2.6638345467561296E-2</c:v>
                </c:pt>
                <c:pt idx="76">
                  <c:v>2.6636870893078403E-2</c:v>
                </c:pt>
                <c:pt idx="77">
                  <c:v>2.6637465989391689E-2</c:v>
                </c:pt>
                <c:pt idx="78">
                  <c:v>2.6633090656831497E-2</c:v>
                </c:pt>
                <c:pt idx="79">
                  <c:v>2.6632389722110711E-2</c:v>
                </c:pt>
                <c:pt idx="80">
                  <c:v>2.6631708096207359E-2</c:v>
                </c:pt>
                <c:pt idx="81">
                  <c:v>2.6632610998314286E-2</c:v>
                </c:pt>
                <c:pt idx="82">
                  <c:v>2.662918272056284E-2</c:v>
                </c:pt>
                <c:pt idx="83">
                  <c:v>2.6628603668590815E-2</c:v>
                </c:pt>
                <c:pt idx="84">
                  <c:v>2.6628046337374419E-2</c:v>
                </c:pt>
                <c:pt idx="85">
                  <c:v>2.6627511128901445E-2</c:v>
                </c:pt>
                <c:pt idx="86">
                  <c:v>2.6628770180537262E-2</c:v>
                </c:pt>
                <c:pt idx="87">
                  <c:v>2.6625599562264748E-2</c:v>
                </c:pt>
                <c:pt idx="88">
                  <c:v>2.6625180997369782E-2</c:v>
                </c:pt>
                <c:pt idx="89">
                  <c:v>2.6624786967162601E-2</c:v>
                </c:pt>
                <c:pt idx="90">
                  <c:v>2.6624417873635398E-2</c:v>
                </c:pt>
                <c:pt idx="91">
                  <c:v>2.6627100959486026E-2</c:v>
                </c:pt>
                <c:pt idx="92">
                  <c:v>2.6623198906150912E-2</c:v>
                </c:pt>
                <c:pt idx="93">
                  <c:v>2.6622960525899492E-2</c:v>
                </c:pt>
                <c:pt idx="94">
                  <c:v>2.6622749494282987E-2</c:v>
                </c:pt>
                <c:pt idx="95">
                  <c:v>2.6622566213295354E-2</c:v>
                </c:pt>
                <c:pt idx="96">
                  <c:v>2.6621302546587653E-2</c:v>
                </c:pt>
                <c:pt idx="97">
                  <c:v>2.6622118635526784E-2</c:v>
                </c:pt>
                <c:pt idx="98">
                  <c:v>2.6622080137610492E-2</c:v>
                </c:pt>
                <c:pt idx="99">
                  <c:v>2.6622071802299151E-2</c:v>
                </c:pt>
                <c:pt idx="100">
                  <c:v>2.662209403159024E-2</c:v>
                </c:pt>
                <c:pt idx="101">
                  <c:v>2.6624682454332027E-2</c:v>
                </c:pt>
                <c:pt idx="102">
                  <c:v>2.6622496634770815E-2</c:v>
                </c:pt>
                <c:pt idx="103">
                  <c:v>2.6622677717073277E-2</c:v>
                </c:pt>
                <c:pt idx="104">
                  <c:v>2.6622891775983318E-2</c:v>
                </c:pt>
                <c:pt idx="105">
                  <c:v>2.6623139213505471E-2</c:v>
                </c:pt>
                <c:pt idx="106">
                  <c:v>2.6626248021641968E-2</c:v>
                </c:pt>
                <c:pt idx="107">
                  <c:v>2.6624470789814541E-2</c:v>
                </c:pt>
                <c:pt idx="108">
                  <c:v>2.6624891150482784E-2</c:v>
                </c:pt>
                <c:pt idx="109">
                  <c:v>2.6625347301807045E-2</c:v>
                </c:pt>
                <c:pt idx="110">
                  <c:v>2.6625839645796259E-2</c:v>
                </c:pt>
                <c:pt idx="111">
                  <c:v>2.6629502614389882E-2</c:v>
                </c:pt>
                <c:pt idx="112">
                  <c:v>2.6628178988672035E-2</c:v>
                </c:pt>
                <c:pt idx="113">
                  <c:v>2.6628858326197533E-2</c:v>
                </c:pt>
                <c:pt idx="114">
                  <c:v>2.6629576268480341E-2</c:v>
                </c:pt>
                <c:pt idx="115">
                  <c:v>2.6630333217541734E-2</c:v>
                </c:pt>
                <c:pt idx="116">
                  <c:v>2.6629427556036488E-2</c:v>
                </c:pt>
                <c:pt idx="117">
                  <c:v>2.6631987777278689E-2</c:v>
                </c:pt>
                <c:pt idx="118">
                  <c:v>2.663114384842253E-2</c:v>
                </c:pt>
                <c:pt idx="119">
                  <c:v>2.6632096632463652E-2</c:v>
                </c:pt>
                <c:pt idx="120">
                  <c:v>2.6633091106288372E-2</c:v>
                </c:pt>
                <c:pt idx="121">
                  <c:v>2.6634127680800437E-2</c:v>
                </c:pt>
                <c:pt idx="122">
                  <c:v>2.6639413605768499E-2</c:v>
                </c:pt>
                <c:pt idx="123">
                  <c:v>2.6638703203858232E-2</c:v>
                </c:pt>
                <c:pt idx="124">
                  <c:v>2.6639956445424398E-2</c:v>
                </c:pt>
                <c:pt idx="125">
                  <c:v>2.6641254253139089E-2</c:v>
                </c:pt>
                <c:pt idx="126">
                  <c:v>2.6642597037916854E-2</c:v>
                </c:pt>
                <c:pt idx="127">
                  <c:v>2.6648985054916679E-2</c:v>
                </c:pt>
                <c:pt idx="128">
                  <c:v>2.6648426166077509E-2</c:v>
                </c:pt>
                <c:pt idx="129">
                  <c:v>2.6649999999999646E-2</c:v>
                </c:pt>
                <c:pt idx="130">
                  <c:v>2.6651621270979916E-2</c:v>
                </c:pt>
                <c:pt idx="131">
                  <c:v>2.6653290362206934E-2</c:v>
                </c:pt>
                <c:pt idx="132">
                  <c:v>2.6660846509948731E-2</c:v>
                </c:pt>
                <c:pt idx="133">
                  <c:v>2.6660452482394386E-2</c:v>
                </c:pt>
                <c:pt idx="134">
                  <c:v>2.6662366339488597E-2</c:v>
                </c:pt>
                <c:pt idx="135">
                  <c:v>2.6675142157161606E-2</c:v>
                </c:pt>
                <c:pt idx="136">
                  <c:v>2.6674914508539094E-2</c:v>
                </c:pt>
                <c:pt idx="137">
                  <c:v>2.6677186899295942E-2</c:v>
                </c:pt>
                <c:pt idx="138">
                  <c:v>2.6681890247747253E-2</c:v>
                </c:pt>
                <c:pt idx="139">
                  <c:v>2.6694675903218806E-2</c:v>
                </c:pt>
                <c:pt idx="140">
                  <c:v>2.6694625627283253E-2</c:v>
                </c:pt>
                <c:pt idx="141">
                  <c:v>2.6694591217649093E-2</c:v>
                </c:pt>
                <c:pt idx="142">
                  <c:v>2.6697296021469086E-2</c:v>
                </c:pt>
                <c:pt idx="143">
                  <c:v>2.6700056576515949E-2</c:v>
                </c:pt>
                <c:pt idx="144">
                  <c:v>2.6711549967335088E-2</c:v>
                </c:pt>
                <c:pt idx="145">
                  <c:v>2.6711663863000563E-2</c:v>
                </c:pt>
                <c:pt idx="146">
                  <c:v>2.6714708839731038E-2</c:v>
                </c:pt>
                <c:pt idx="147">
                  <c:v>2.6717811833929704E-2</c:v>
                </c:pt>
                <c:pt idx="148">
                  <c:v>2.6720973223317249E-2</c:v>
                </c:pt>
                <c:pt idx="149">
                  <c:v>2.6733918398470807E-2</c:v>
                </c:pt>
                <c:pt idx="150">
                  <c:v>2.673421028726829E-2</c:v>
                </c:pt>
                <c:pt idx="151">
                  <c:v>2.673766931851872E-2</c:v>
                </c:pt>
                <c:pt idx="152">
                  <c:v>2.6741189011352438E-2</c:v>
                </c:pt>
                <c:pt idx="153">
                  <c:v>2.6744769743514449E-2</c:v>
                </c:pt>
                <c:pt idx="154">
                  <c:v>2.6759710620523923E-2</c:v>
                </c:pt>
                <c:pt idx="155">
                  <c:v>2.6763602215668231E-2</c:v>
                </c:pt>
                <c:pt idx="156">
                  <c:v>2.6767557116705434E-2</c:v>
                </c:pt>
                <c:pt idx="157">
                  <c:v>2.6771575701411164E-2</c:v>
                </c:pt>
                <c:pt idx="158">
                  <c:v>2.6787625046270112E-2</c:v>
                </c:pt>
                <c:pt idx="159">
                  <c:v>2.678829443259122E-2</c:v>
                </c:pt>
                <c:pt idx="160">
                  <c:v>2.6788981157952824E-2</c:v>
                </c:pt>
                <c:pt idx="161">
                  <c:v>2.6793352221628691E-2</c:v>
                </c:pt>
                <c:pt idx="162">
                  <c:v>2.6797789438806736E-2</c:v>
                </c:pt>
                <c:pt idx="163">
                  <c:v>2.6819219585345697E-2</c:v>
                </c:pt>
                <c:pt idx="164">
                  <c:v>2.6820091303719196E-2</c:v>
                </c:pt>
                <c:pt idx="165">
                  <c:v>2.6820981198205866E-2</c:v>
                </c:pt>
                <c:pt idx="166">
                  <c:v>2.6825823359049924E-2</c:v>
                </c:pt>
                <c:pt idx="167">
                  <c:v>2.6830734347659344E-2</c:v>
                </c:pt>
                <c:pt idx="168">
                  <c:v>2.6854145834539624E-2</c:v>
                </c:pt>
                <c:pt idx="169">
                  <c:v>2.6855230825576282E-2</c:v>
                </c:pt>
                <c:pt idx="170">
                  <c:v>2.6856335079408836E-2</c:v>
                </c:pt>
                <c:pt idx="171">
                  <c:v>2.6861667058018283E-2</c:v>
                </c:pt>
                <c:pt idx="172">
                  <c:v>2.6867070538913979E-2</c:v>
                </c:pt>
                <c:pt idx="173">
                  <c:v>2.6892531984185123E-2</c:v>
                </c:pt>
                <c:pt idx="174">
                  <c:v>2.6893842602293133E-2</c:v>
                </c:pt>
                <c:pt idx="175">
                  <c:v>2.6895173851258707E-2</c:v>
                </c:pt>
                <c:pt idx="176">
                  <c:v>2.6901014370100264E-2</c:v>
                </c:pt>
                <c:pt idx="177">
                  <c:v>2.6916069688877213E-2</c:v>
                </c:pt>
                <c:pt idx="178">
                  <c:v>2.6939239876950634E-2</c:v>
                </c:pt>
                <c:pt idx="179">
                  <c:v>2.6945577344664146E-2</c:v>
                </c:pt>
                <c:pt idx="180">
                  <c:v>2.6951991092271182E-2</c:v>
                </c:pt>
                <c:pt idx="181">
                  <c:v>2.6958481489595613E-2</c:v>
                </c:pt>
                <c:pt idx="182">
                  <c:v>2.6979906634701799E-2</c:v>
                </c:pt>
                <c:pt idx="183">
                  <c:v>2.6985216972719099E-2</c:v>
                </c:pt>
                <c:pt idx="184">
                  <c:v>2.6992096166186755E-2</c:v>
                </c:pt>
                <c:pt idx="185">
                  <c:v>2.6999054228446288E-2</c:v>
                </c:pt>
                <c:pt idx="186">
                  <c:v>2.7006091529366488E-2</c:v>
                </c:pt>
                <c:pt idx="187">
                  <c:v>2.7023661546827428E-2</c:v>
                </c:pt>
                <c:pt idx="188">
                  <c:v>2.7035040517343536E-2</c:v>
                </c:pt>
                <c:pt idx="189">
                  <c:v>2.7042479559894157E-2</c:v>
                </c:pt>
                <c:pt idx="190">
                  <c:v>2.7049999998910695E-2</c:v>
                </c:pt>
                <c:pt idx="191">
                  <c:v>2.7057601730038142E-2</c:v>
                </c:pt>
                <c:pt idx="192">
                  <c:v>2.7076305852836983E-2</c:v>
                </c:pt>
                <c:pt idx="193">
                  <c:v>2.7088803281842024E-2</c:v>
                </c:pt>
                <c:pt idx="194">
                  <c:v>2.7096797337158605E-2</c:v>
                </c:pt>
                <c:pt idx="195">
                  <c:v>2.7104866863626381E-2</c:v>
                </c:pt>
                <c:pt idx="196">
                  <c:v>2.7113010863342744E-2</c:v>
                </c:pt>
                <c:pt idx="197">
                  <c:v>2.7132742502993908E-2</c:v>
                </c:pt>
                <c:pt idx="198">
                  <c:v>2.7146311636463451E-2</c:v>
                </c:pt>
                <c:pt idx="199">
                  <c:v>2.7148959550492142E-2</c:v>
                </c:pt>
                <c:pt idx="200">
                  <c:v>2.7157500187907538E-2</c:v>
                </c:pt>
                <c:pt idx="201">
                  <c:v>2.7166109163400839E-2</c:v>
                </c:pt>
                <c:pt idx="202">
                  <c:v>2.7210143802577871E-2</c:v>
                </c:pt>
                <c:pt idx="203">
                  <c:v>2.7219141620787878E-2</c:v>
                </c:pt>
                <c:pt idx="204">
                  <c:v>2.722820071510634E-2</c:v>
                </c:pt>
                <c:pt idx="205">
                  <c:v>2.7237320076656673E-2</c:v>
                </c:pt>
                <c:pt idx="206">
                  <c:v>2.7265029675840591E-2</c:v>
                </c:pt>
                <c:pt idx="207">
                  <c:v>2.7274380017426245E-2</c:v>
                </c:pt>
                <c:pt idx="208">
                  <c:v>2.7283785581762948E-2</c:v>
                </c:pt>
                <c:pt idx="209">
                  <c:v>2.7293245359934049E-2</c:v>
                </c:pt>
                <c:pt idx="210">
                  <c:v>2.730275834301488E-2</c:v>
                </c:pt>
                <c:pt idx="211">
                  <c:v>2.7331606432368483E-2</c:v>
                </c:pt>
                <c:pt idx="212">
                  <c:v>2.7341322145699988E-2</c:v>
                </c:pt>
                <c:pt idx="213">
                  <c:v>2.735108601920835E-2</c:v>
                </c:pt>
                <c:pt idx="214">
                  <c:v>2.7360897043921705E-2</c:v>
                </c:pt>
                <c:pt idx="215">
                  <c:v>2.7370754210862838E-2</c:v>
                </c:pt>
                <c:pt idx="216">
                  <c:v>2.7400592475142756E-2</c:v>
                </c:pt>
                <c:pt idx="217">
                  <c:v>2.7410624121042095E-2</c:v>
                </c:pt>
                <c:pt idx="218">
                  <c:v>2.7420696864150454E-2</c:v>
                </c:pt>
                <c:pt idx="219">
                  <c:v>2.7437214910571172E-2</c:v>
                </c:pt>
                <c:pt idx="220">
                  <c:v>2.7466626306188704E-2</c:v>
                </c:pt>
                <c:pt idx="221">
                  <c:v>2.7478077746330452E-2</c:v>
                </c:pt>
                <c:pt idx="222">
                  <c:v>2.7488382331084731E-2</c:v>
                </c:pt>
                <c:pt idx="223">
                  <c:v>2.7498720469798267E-2</c:v>
                </c:pt>
                <c:pt idx="224">
                  <c:v>2.7509091164271596E-2</c:v>
                </c:pt>
                <c:pt idx="225">
                  <c:v>2.7532411644631404E-2</c:v>
                </c:pt>
                <c:pt idx="226">
                  <c:v>2.755087953542985E-2</c:v>
                </c:pt>
                <c:pt idx="227">
                  <c:v>2.7561398035368279E-2</c:v>
                </c:pt>
                <c:pt idx="228">
                  <c:v>2.7571943101665303E-2</c:v>
                </c:pt>
                <c:pt idx="229">
                  <c:v>2.7582513736050973E-2</c:v>
                </c:pt>
                <c:pt idx="230">
                  <c:v>2.7606070485942966E-2</c:v>
                </c:pt>
                <c:pt idx="231">
                  <c:v>2.7625031988774681E-2</c:v>
                </c:pt>
                <c:pt idx="232">
                  <c:v>2.7635715489231997E-2</c:v>
                </c:pt>
                <c:pt idx="233">
                  <c:v>2.7646418567955678E-2</c:v>
                </c:pt>
                <c:pt idx="234">
                  <c:v>2.7657140226607944E-2</c:v>
                </c:pt>
                <c:pt idx="235">
                  <c:v>2.7680849139241518E-2</c:v>
                </c:pt>
                <c:pt idx="236">
                  <c:v>2.7700192693320955E-2</c:v>
                </c:pt>
                <c:pt idx="237">
                  <c:v>2.7710992276143379E-2</c:v>
                </c:pt>
                <c:pt idx="238">
                  <c:v>2.7721804448632519E-2</c:v>
                </c:pt>
                <c:pt idx="239">
                  <c:v>2.7732628212374835E-2</c:v>
                </c:pt>
                <c:pt idx="240">
                  <c:v>2.7756412412149808E-2</c:v>
                </c:pt>
                <c:pt idx="241">
                  <c:v>2.7776019211220991E-2</c:v>
                </c:pt>
                <c:pt idx="242">
                  <c:v>2.7786885954644663E-2</c:v>
                </c:pt>
                <c:pt idx="243">
                  <c:v>2.7797758298612123E-2</c:v>
                </c:pt>
                <c:pt idx="244">
                  <c:v>2.7808635244634065E-2</c:v>
                </c:pt>
                <c:pt idx="245">
                  <c:v>2.7832425087012752E-2</c:v>
                </c:pt>
                <c:pt idx="246">
                  <c:v>2.7863054057672743E-2</c:v>
                </c:pt>
                <c:pt idx="247">
                  <c:v>2.7873937647136731E-2</c:v>
                </c:pt>
                <c:pt idx="248">
                  <c:v>2.7884818848924426E-2</c:v>
                </c:pt>
                <c:pt idx="249">
                  <c:v>2.7908551920371522E-2</c:v>
                </c:pt>
                <c:pt idx="250">
                  <c:v>2.7928299807631458E-2</c:v>
                </c:pt>
                <c:pt idx="251">
                  <c:v>2.7939154092179497E-2</c:v>
                </c:pt>
                <c:pt idx="252">
                  <c:v>2.7949999997430971E-2</c:v>
                </c:pt>
                <c:pt idx="253">
                  <c:v>2.7960836609361776E-2</c:v>
                </c:pt>
                <c:pt idx="254">
                  <c:v>2.7984463106782178E-2</c:v>
                </c:pt>
                <c:pt idx="255">
                  <c:v>2.8004090110304844E-2</c:v>
                </c:pt>
                <c:pt idx="256">
                  <c:v>2.8014882620602435E-2</c:v>
                </c:pt>
                <c:pt idx="257">
                  <c:v>2.8025667800217237E-2</c:v>
                </c:pt>
                <c:pt idx="258">
                  <c:v>2.8036446156806415E-2</c:v>
                </c:pt>
                <c:pt idx="259">
                  <c:v>2.8060000621351989E-2</c:v>
                </c:pt>
                <c:pt idx="260">
                  <c:v>2.80795015062308E-2</c:v>
                </c:pt>
                <c:pt idx="261">
                  <c:v>2.8090253362730817E-2</c:v>
                </c:pt>
                <c:pt idx="262">
                  <c:v>2.810100144226008E-2</c:v>
                </c:pt>
                <c:pt idx="263">
                  <c:v>2.8111746252512754E-2</c:v>
                </c:pt>
                <c:pt idx="264">
                  <c:v>2.8141709074416443E-2</c:v>
                </c:pt>
                <c:pt idx="265">
                  <c:v>2.8154702954845231E-2</c:v>
                </c:pt>
                <c:pt idx="266">
                  <c:v>2.8165439034329161E-2</c:v>
                </c:pt>
                <c:pt idx="267">
                  <c:v>2.8176174890820419E-2</c:v>
                </c:pt>
                <c:pt idx="268">
                  <c:v>2.8186911032051929E-2</c:v>
                </c:pt>
                <c:pt idx="269">
                  <c:v>2.8210524164091873E-2</c:v>
                </c:pt>
                <c:pt idx="270">
                  <c:v>2.8229868599236315E-2</c:v>
                </c:pt>
                <c:pt idx="271">
                  <c:v>2.824061378035677E-2</c:v>
                </c:pt>
                <c:pt idx="272">
                  <c:v>2.8251362292732195E-2</c:v>
                </c:pt>
                <c:pt idx="273">
                  <c:v>2.8262114644131635E-2</c:v>
                </c:pt>
                <c:pt idx="274">
                  <c:v>2.8285851127293277E-2</c:v>
                </c:pt>
                <c:pt idx="275">
                  <c:v>2.8305172595602363E-2</c:v>
                </c:pt>
                <c:pt idx="276">
                  <c:v>2.8315951758890106E-2</c:v>
                </c:pt>
                <c:pt idx="277">
                  <c:v>2.8326737807945621E-2</c:v>
                </c:pt>
                <c:pt idx="278">
                  <c:v>2.8337531250579365E-2</c:v>
                </c:pt>
                <c:pt idx="279">
                  <c:v>2.8361448863631393E-2</c:v>
                </c:pt>
                <c:pt idx="280">
                  <c:v>2.8380789113286148E-2</c:v>
                </c:pt>
                <c:pt idx="281">
                  <c:v>2.839162714115186E-2</c:v>
                </c:pt>
                <c:pt idx="282">
                  <c:v>2.8402475609570366E-2</c:v>
                </c:pt>
                <c:pt idx="283">
                  <c:v>2.8413335026391755E-2</c:v>
                </c:pt>
                <c:pt idx="284">
                  <c:v>2.8417581168629785E-2</c:v>
                </c:pt>
                <c:pt idx="285">
                  <c:v>2.8467814111624613E-2</c:v>
                </c:pt>
                <c:pt idx="286">
                  <c:v>2.847874988399535E-2</c:v>
                </c:pt>
                <c:pt idx="287">
                  <c:v>2.848970015986672E-2</c:v>
                </c:pt>
                <c:pt idx="288">
                  <c:v>2.8514138670857579E-2</c:v>
                </c:pt>
                <c:pt idx="289">
                  <c:v>2.8533656456329395E-2</c:v>
                </c:pt>
                <c:pt idx="290">
                  <c:v>2.8544686868230525E-2</c:v>
                </c:pt>
                <c:pt idx="291">
                  <c:v>2.8555734831083444E-2</c:v>
                </c:pt>
                <c:pt idx="292">
                  <c:v>2.8566800852815766E-2</c:v>
                </c:pt>
                <c:pt idx="293">
                  <c:v>2.8591571782986405E-2</c:v>
                </c:pt>
                <c:pt idx="294">
                  <c:v>2.8611255687327447E-2</c:v>
                </c:pt>
                <c:pt idx="295">
                  <c:v>2.8622419622598268E-2</c:v>
                </c:pt>
                <c:pt idx="296">
                  <c:v>2.8633604664444548E-2</c:v>
                </c:pt>
                <c:pt idx="297">
                  <c:v>2.8644811320837949E-2</c:v>
                </c:pt>
                <c:pt idx="298">
                  <c:v>2.8669957751261983E-2</c:v>
                </c:pt>
                <c:pt idx="299">
                  <c:v>2.8689864251499195E-2</c:v>
                </c:pt>
                <c:pt idx="300">
                  <c:v>2.8701186600393381E-2</c:v>
                </c:pt>
                <c:pt idx="301">
                  <c:v>2.8712533611784455E-2</c:v>
                </c:pt>
                <c:pt idx="302">
                  <c:v>2.8723905793685479E-2</c:v>
                </c:pt>
                <c:pt idx="303">
                  <c:v>2.874946713130375E-2</c:v>
                </c:pt>
                <c:pt idx="304">
                  <c:v>2.8762539730193264E-2</c:v>
                </c:pt>
                <c:pt idx="305">
                  <c:v>2.8774027070261912E-2</c:v>
                </c:pt>
                <c:pt idx="306">
                  <c:v>2.8785542537054891E-2</c:v>
                </c:pt>
                <c:pt idx="307">
                  <c:v>2.8797086644164263E-2</c:v>
                </c:pt>
                <c:pt idx="308">
                  <c:v>2.8808659905190999E-2</c:v>
                </c:pt>
                <c:pt idx="309">
                  <c:v>2.8843559747863453E-2</c:v>
                </c:pt>
                <c:pt idx="310">
                  <c:v>2.8855254760682437E-2</c:v>
                </c:pt>
                <c:pt idx="311">
                  <c:v>2.8866981495513585E-2</c:v>
                </c:pt>
                <c:pt idx="312">
                  <c:v>2.8878740465997046E-2</c:v>
                </c:pt>
                <c:pt idx="313">
                  <c:v>2.8890532185777435E-2</c:v>
                </c:pt>
                <c:pt idx="314">
                  <c:v>2.8926108977468255E-2</c:v>
                </c:pt>
                <c:pt idx="315">
                  <c:v>2.8938036831035623E-2</c:v>
                </c:pt>
                <c:pt idx="316">
                  <c:v>2.8950000002232502E-2</c:v>
                </c:pt>
                <c:pt idx="317">
                  <c:v>2.8961998817988024E-2</c:v>
                </c:pt>
                <c:pt idx="318">
                  <c:v>2.8974032772633947E-2</c:v>
                </c:pt>
                <c:pt idx="319">
                  <c:v>2.9010334780778958E-2</c:v>
                </c:pt>
                <c:pt idx="320">
                  <c:v>2.902249843066108E-2</c:v>
                </c:pt>
                <c:pt idx="321">
                  <c:v>2.9034691703644609E-2</c:v>
                </c:pt>
                <c:pt idx="322">
                  <c:v>2.9046913479420573E-2</c:v>
                </c:pt>
                <c:pt idx="323">
                  <c:v>2.9089344289941636E-2</c:v>
                </c:pt>
                <c:pt idx="324">
                  <c:v>2.9103627379339886E-2</c:v>
                </c:pt>
                <c:pt idx="325">
                  <c:v>2.9108410688478643E-2</c:v>
                </c:pt>
                <c:pt idx="326">
                  <c:v>2.9128354579717908E-2</c:v>
                </c:pt>
                <c:pt idx="327">
                  <c:v>2.9163471437545382E-2</c:v>
                </c:pt>
                <c:pt idx="328">
                  <c:v>2.9168315625180598E-2</c:v>
                </c:pt>
                <c:pt idx="329">
                  <c:v>2.920297409964372E-2</c:v>
                </c:pt>
                <c:pt idx="330">
                  <c:v>2.921546291166759E-2</c:v>
                </c:pt>
                <c:pt idx="331">
                  <c:v>2.9227963689506191E-2</c:v>
                </c:pt>
                <c:pt idx="332">
                  <c:v>2.9255607132431014E-2</c:v>
                </c:pt>
                <c:pt idx="333">
                  <c:v>2.9278064290288307E-2</c:v>
                </c:pt>
                <c:pt idx="334">
                  <c:v>2.9290608270539302E-2</c:v>
                </c:pt>
                <c:pt idx="335">
                  <c:v>2.9303157565844153E-2</c:v>
                </c:pt>
                <c:pt idx="336">
                  <c:v>2.9315711067692356E-2</c:v>
                </c:pt>
                <c:pt idx="337">
                  <c:v>2.9343297850547793E-2</c:v>
                </c:pt>
                <c:pt idx="338">
                  <c:v>2.9365944969871615E-2</c:v>
                </c:pt>
                <c:pt idx="339">
                  <c:v>2.9378502876325301E-2</c:v>
                </c:pt>
                <c:pt idx="340">
                  <c:v>2.9391058337978285E-2</c:v>
                </c:pt>
                <c:pt idx="341">
                  <c:v>2.9403610246224923E-2</c:v>
                </c:pt>
                <c:pt idx="342">
                  <c:v>2.9431015590483525E-2</c:v>
                </c:pt>
                <c:pt idx="343">
                  <c:v>2.9461150163605114E-2</c:v>
                </c:pt>
                <c:pt idx="344">
                  <c:v>2.9466277684163593E-2</c:v>
                </c:pt>
                <c:pt idx="345">
                  <c:v>2.9478784990459823E-2</c:v>
                </c:pt>
                <c:pt idx="346">
                  <c:v>2.9491280982717277E-2</c:v>
                </c:pt>
                <c:pt idx="347">
                  <c:v>2.9496428244798197E-2</c:v>
                </c:pt>
                <c:pt idx="348">
                  <c:v>2.9541129636807079E-2</c:v>
                </c:pt>
                <c:pt idx="349">
                  <c:v>2.9553552427837314E-2</c:v>
                </c:pt>
                <c:pt idx="350">
                  <c:v>2.9565957252321001E-2</c:v>
                </c:pt>
                <c:pt idx="351">
                  <c:v>2.9578343001458691E-2</c:v>
                </c:pt>
                <c:pt idx="352">
                  <c:v>2.9605043213085054E-2</c:v>
                </c:pt>
                <c:pt idx="353">
                  <c:v>2.9627673068096116E-2</c:v>
                </c:pt>
                <c:pt idx="354">
                  <c:v>2.9639946808047747E-2</c:v>
                </c:pt>
                <c:pt idx="355">
                  <c:v>2.9652194819579161E-2</c:v>
                </c:pt>
                <c:pt idx="356">
                  <c:v>2.9664415993798411E-2</c:v>
                </c:pt>
                <c:pt idx="357">
                  <c:v>2.9690608551919843E-2</c:v>
                </c:pt>
                <c:pt idx="358">
                  <c:v>2.9713010139247799E-2</c:v>
                </c:pt>
                <c:pt idx="359">
                  <c:v>2.9725080493067088E-2</c:v>
                </c:pt>
                <c:pt idx="360">
                  <c:v>2.9737117355951168E-2</c:v>
                </c:pt>
                <c:pt idx="361">
                  <c:v>2.9749119618917356E-2</c:v>
                </c:pt>
                <c:pt idx="362">
                  <c:v>2.9774711826280734E-2</c:v>
                </c:pt>
                <c:pt idx="363">
                  <c:v>2.9796760491538871E-2</c:v>
                </c:pt>
                <c:pt idx="364">
                  <c:v>2.980857311976122E-2</c:v>
                </c:pt>
                <c:pt idx="365">
                  <c:v>2.9820344493918478E-2</c:v>
                </c:pt>
                <c:pt idx="366">
                  <c:v>2.9832073504944264E-2</c:v>
                </c:pt>
                <c:pt idx="367">
                  <c:v>2.9856980685476098E-2</c:v>
                </c:pt>
                <c:pt idx="368">
                  <c:v>2.9871991972076479E-2</c:v>
                </c:pt>
                <c:pt idx="369">
                  <c:v>2.9883522951897987E-2</c:v>
                </c:pt>
                <c:pt idx="370">
                  <c:v>2.9895005100572056E-2</c:v>
                </c:pt>
                <c:pt idx="371">
                  <c:v>2.9906437296867917E-2</c:v>
                </c:pt>
                <c:pt idx="372">
                  <c:v>2.9917818419543236E-2</c:v>
                </c:pt>
                <c:pt idx="373">
                  <c:v>2.9951644133263067E-2</c:v>
                </c:pt>
                <c:pt idx="374">
                  <c:v>2.9962809748820811E-2</c:v>
                </c:pt>
                <c:pt idx="375">
                  <c:v>2.9973918684387771E-2</c:v>
                </c:pt>
                <c:pt idx="376">
                  <c:v>2.9984969818660147E-2</c:v>
                </c:pt>
                <c:pt idx="377">
                  <c:v>2.9995962030324352E-2</c:v>
                </c:pt>
                <c:pt idx="378">
                  <c:v>3.0028573916376158E-2</c:v>
                </c:pt>
                <c:pt idx="379">
                  <c:v>3.0039319224271371E-2</c:v>
                </c:pt>
                <c:pt idx="380">
                  <c:v>3.0050000002845283E-2</c:v>
                </c:pt>
                <c:pt idx="381">
                  <c:v>3.0060615576847E-2</c:v>
                </c:pt>
                <c:pt idx="382">
                  <c:v>3.007116705551155E-2</c:v>
                </c:pt>
                <c:pt idx="383">
                  <c:v>3.0102452473266296E-2</c:v>
                </c:pt>
                <c:pt idx="384">
                  <c:v>3.0112763124462476E-2</c:v>
                </c:pt>
                <c:pt idx="385">
                  <c:v>3.0123017457358715E-2</c:v>
                </c:pt>
                <c:pt idx="386">
                  <c:v>3.0133217027416614E-2</c:v>
                </c:pt>
                <c:pt idx="387">
                  <c:v>3.0183447877577332E-2</c:v>
                </c:pt>
                <c:pt idx="388">
                  <c:v>3.019335153631756E-2</c:v>
                </c:pt>
                <c:pt idx="389">
                  <c:v>3.0203211320952033E-2</c:v>
                </c:pt>
                <c:pt idx="390">
                  <c:v>3.0242242830704001E-2</c:v>
                </c:pt>
                <c:pt idx="391">
                  <c:v>3.0251906579155243E-2</c:v>
                </c:pt>
                <c:pt idx="392">
                  <c:v>3.0261535787352408E-2</c:v>
                </c:pt>
                <c:pt idx="393">
                  <c:v>3.0271132010993105E-2</c:v>
                </c:pt>
                <c:pt idx="394">
                  <c:v>3.0280696805790982E-2</c:v>
                </c:pt>
                <c:pt idx="395">
                  <c:v>3.0309218174492062E-2</c:v>
                </c:pt>
                <c:pt idx="396">
                  <c:v>3.0318672811360529E-2</c:v>
                </c:pt>
                <c:pt idx="397">
                  <c:v>3.0328103798183261E-2</c:v>
                </c:pt>
                <c:pt idx="398">
                  <c:v>3.033751269076564E-2</c:v>
                </c:pt>
                <c:pt idx="399">
                  <c:v>3.0346901044926395E-2</c:v>
                </c:pt>
                <c:pt idx="400">
                  <c:v>3.0374958435298718E-2</c:v>
                </c:pt>
                <c:pt idx="401">
                  <c:v>3.0384280194265801E-2</c:v>
                </c:pt>
                <c:pt idx="402">
                  <c:v>3.0393589194130259E-2</c:v>
                </c:pt>
                <c:pt idx="403">
                  <c:v>3.0402886990798107E-2</c:v>
                </c:pt>
                <c:pt idx="404">
                  <c:v>3.0412175140193169E-2</c:v>
                </c:pt>
                <c:pt idx="405">
                  <c:v>3.0445847521558978E-2</c:v>
                </c:pt>
                <c:pt idx="406">
                  <c:v>3.0458525636329756E-2</c:v>
                </c:pt>
                <c:pt idx="407">
                  <c:v>3.0467788577241934E-2</c:v>
                </c:pt>
                <c:pt idx="408">
                  <c:v>3.0477052762735535E-2</c:v>
                </c:pt>
                <c:pt idx="409">
                  <c:v>3.0504868347125878E-2</c:v>
                </c:pt>
                <c:pt idx="410">
                  <c:v>3.0508163890143856E-2</c:v>
                </c:pt>
                <c:pt idx="411">
                  <c:v>3.0517434514896722E-2</c:v>
                </c:pt>
                <c:pt idx="412">
                  <c:v>3.0526714993338356E-2</c:v>
                </c:pt>
                <c:pt idx="413">
                  <c:v>3.0536006898739157E-2</c:v>
                </c:pt>
                <c:pt idx="414">
                  <c:v>3.0570105404592339E-2</c:v>
                </c:pt>
                <c:pt idx="415">
                  <c:v>3.0573320255905832E-2</c:v>
                </c:pt>
                <c:pt idx="416">
                  <c:v>3.0582692895704231E-2</c:v>
                </c:pt>
                <c:pt idx="417">
                  <c:v>3.0592086402403903E-2</c:v>
                </c:pt>
                <c:pt idx="418">
                  <c:v>3.0601502349378803E-2</c:v>
                </c:pt>
                <c:pt idx="419">
                  <c:v>3.0636242191529339E-2</c:v>
                </c:pt>
                <c:pt idx="420">
                  <c:v>3.0639422008043954E-2</c:v>
                </c:pt>
                <c:pt idx="421">
                  <c:v>3.0648973757538441E-2</c:v>
                </c:pt>
                <c:pt idx="422">
                  <c:v>3.0658557387870711E-2</c:v>
                </c:pt>
                <c:pt idx="423">
                  <c:v>3.0668174472521893E-2</c:v>
                </c:pt>
                <c:pt idx="424">
                  <c:v>3.070381249826545E-2</c:v>
                </c:pt>
                <c:pt idx="425">
                  <c:v>3.0707008824483864E-2</c:v>
                </c:pt>
                <c:pt idx="426">
                  <c:v>3.0716816783493042E-2</c:v>
                </c:pt>
                <c:pt idx="427">
                  <c:v>3.0726667638038357E-2</c:v>
                </c:pt>
                <c:pt idx="428">
                  <c:v>3.0736562961712594E-2</c:v>
                </c:pt>
                <c:pt idx="429">
                  <c:v>3.0780194880116605E-2</c:v>
                </c:pt>
                <c:pt idx="430">
                  <c:v>3.07903573534479E-2</c:v>
                </c:pt>
                <c:pt idx="431">
                  <c:v>3.0800572687108646E-2</c:v>
                </c:pt>
                <c:pt idx="432">
                  <c:v>3.0810842420868935E-2</c:v>
                </c:pt>
                <c:pt idx="433">
                  <c:v>3.0835233620549893E-2</c:v>
                </c:pt>
                <c:pt idx="434">
                  <c:v>3.085249615299554E-2</c:v>
                </c:pt>
                <c:pt idx="435">
                  <c:v>3.0863060984477195E-2</c:v>
                </c:pt>
                <c:pt idx="436">
                  <c:v>3.0873689455077177E-2</c:v>
                </c:pt>
                <c:pt idx="437">
                  <c:v>3.0884383104698598E-2</c:v>
                </c:pt>
                <c:pt idx="438">
                  <c:v>3.0917084621765668E-2</c:v>
                </c:pt>
                <c:pt idx="439">
                  <c:v>3.092784029213241E-2</c:v>
                </c:pt>
                <c:pt idx="440">
                  <c:v>3.0938882936090584E-2</c:v>
                </c:pt>
                <c:pt idx="441">
                  <c:v>3.0949999998905606E-2</c:v>
                </c:pt>
                <c:pt idx="442">
                  <c:v>3.0961192326681271E-2</c:v>
                </c:pt>
                <c:pt idx="443">
                  <c:v>3.0987579316908303E-2</c:v>
                </c:pt>
                <c:pt idx="444">
                  <c:v>3.100666875442078E-2</c:v>
                </c:pt>
                <c:pt idx="445">
                  <c:v>3.1018201522199564E-2</c:v>
                </c:pt>
                <c:pt idx="446">
                  <c:v>3.1029794506898085E-2</c:v>
                </c:pt>
                <c:pt idx="447">
                  <c:v>3.1041445084756644E-2</c:v>
                </c:pt>
                <c:pt idx="448">
                  <c:v>3.110047003796557E-2</c:v>
                </c:pt>
                <c:pt idx="449">
                  <c:v>3.1112411074286358E-2</c:v>
                </c:pt>
                <c:pt idx="450">
                  <c:v>3.1116614561038598E-2</c:v>
                </c:pt>
                <c:pt idx="451">
                  <c:v>3.1128628752170436E-2</c:v>
                </c:pt>
                <c:pt idx="452">
                  <c:v>3.1164877712588294E-2</c:v>
                </c:pt>
                <c:pt idx="453">
                  <c:v>3.1177020652814035E-2</c:v>
                </c:pt>
                <c:pt idx="454">
                  <c:v>3.1189189148545019E-2</c:v>
                </c:pt>
                <c:pt idx="455">
                  <c:v>3.1201380547010014E-2</c:v>
                </c:pt>
                <c:pt idx="456">
                  <c:v>3.1213592195410166E-2</c:v>
                </c:pt>
                <c:pt idx="457">
                  <c:v>3.1250322111717438E-2</c:v>
                </c:pt>
                <c:pt idx="458">
                  <c:v>3.1262588231199116E-2</c:v>
                </c:pt>
                <c:pt idx="459">
                  <c:v>3.1274861336128321E-2</c:v>
                </c:pt>
                <c:pt idx="460">
                  <c:v>3.1287138773512926E-2</c:v>
                </c:pt>
                <c:pt idx="461">
                  <c:v>3.1299417890325205E-2</c:v>
                </c:pt>
                <c:pt idx="462">
                  <c:v>3.1336238786595604E-2</c:v>
                </c:pt>
                <c:pt idx="463">
                  <c:v>3.1348498090222221E-2</c:v>
                </c:pt>
                <c:pt idx="464">
                  <c:v>3.1360745807666693E-2</c:v>
                </c:pt>
                <c:pt idx="465">
                  <c:v>3.137297928570891E-2</c:v>
                </c:pt>
                <c:pt idx="466">
                  <c:v>3.1385195871100259E-2</c:v>
                </c:pt>
                <c:pt idx="467">
                  <c:v>3.1433840220015385E-2</c:v>
                </c:pt>
                <c:pt idx="468">
                  <c:v>3.1445932542275234E-2</c:v>
                </c:pt>
                <c:pt idx="469">
                  <c:v>3.1457992051713915E-2</c:v>
                </c:pt>
                <c:pt idx="470">
                  <c:v>3.1470016094860144E-2</c:v>
                </c:pt>
                <c:pt idx="471">
                  <c:v>3.1512767670540599E-2</c:v>
                </c:pt>
                <c:pt idx="472">
                  <c:v>3.1524570145235561E-2</c:v>
                </c:pt>
                <c:pt idx="473">
                  <c:v>3.1536322612592246E-2</c:v>
                </c:pt>
                <c:pt idx="474">
                  <c:v>3.1548022447555106E-2</c:v>
                </c:pt>
                <c:pt idx="475">
                  <c:v>3.1572922800217111E-2</c:v>
                </c:pt>
                <c:pt idx="476">
                  <c:v>3.1594242961375682E-2</c:v>
                </c:pt>
                <c:pt idx="477">
                  <c:v>3.1605640257556397E-2</c:v>
                </c:pt>
                <c:pt idx="478">
                  <c:v>3.1616969170424988E-2</c:v>
                </c:pt>
                <c:pt idx="479">
                  <c:v>3.1628227074733839E-2</c:v>
                </c:pt>
                <c:pt idx="480">
                  <c:v>3.1651797886473702E-2</c:v>
                </c:pt>
                <c:pt idx="481">
                  <c:v>3.1672496100522175E-2</c:v>
                </c:pt>
                <c:pt idx="482">
                  <c:v>3.1683359582427677E-2</c:v>
                </c:pt>
                <c:pt idx="483">
                  <c:v>3.169413630376279E-2</c:v>
                </c:pt>
                <c:pt idx="484">
                  <c:v>3.1704823639107239E-2</c:v>
                </c:pt>
                <c:pt idx="485">
                  <c:v>3.1726842559514419E-2</c:v>
                </c:pt>
                <c:pt idx="486">
                  <c:v>3.1746626611459487E-2</c:v>
                </c:pt>
                <c:pt idx="487">
                  <c:v>3.1756827634827768E-2</c:v>
                </c:pt>
                <c:pt idx="488">
                  <c:v>3.176692351925299E-2</c:v>
                </c:pt>
                <c:pt idx="489">
                  <c:v>3.1776911639173955E-2</c:v>
                </c:pt>
                <c:pt idx="490">
                  <c:v>3.1797175303300902E-2</c:v>
                </c:pt>
                <c:pt idx="491">
                  <c:v>3.1815733962017319E-2</c:v>
                </c:pt>
                <c:pt idx="492">
                  <c:v>3.1825143875425205E-2</c:v>
                </c:pt>
                <c:pt idx="493">
                  <c:v>3.1834430270622362E-2</c:v>
                </c:pt>
                <c:pt idx="494">
                  <c:v>3.1843590521941849E-2</c:v>
                </c:pt>
                <c:pt idx="495">
                  <c:v>3.1861914553553243E-2</c:v>
                </c:pt>
                <c:pt idx="496">
                  <c:v>3.1878917574658827E-2</c:v>
                </c:pt>
                <c:pt idx="497">
                  <c:v>3.1887407721163205E-2</c:v>
                </c:pt>
                <c:pt idx="498">
                  <c:v>3.1895755969552242E-2</c:v>
                </c:pt>
                <c:pt idx="499">
                  <c:v>3.190395969408942E-2</c:v>
                </c:pt>
                <c:pt idx="500">
                  <c:v>3.1920178709351758E-2</c:v>
                </c:pt>
                <c:pt idx="501">
                  <c:v>3.1942718557875512E-2</c:v>
                </c:pt>
                <c:pt idx="502">
                  <c:v>3.1949999998578171E-2</c:v>
                </c:pt>
                <c:pt idx="503">
                  <c:v>3.19571189326626E-2</c:v>
                </c:pt>
                <c:pt idx="504">
                  <c:v>3.197111147807298E-2</c:v>
                </c:pt>
                <c:pt idx="505">
                  <c:v>3.198398881192379E-2</c:v>
                </c:pt>
                <c:pt idx="506">
                  <c:v>3.1990316301025404E-2</c:v>
                </c:pt>
                <c:pt idx="507">
                  <c:v>3.1996492566372055E-2</c:v>
                </c:pt>
                <c:pt idx="508">
                  <c:v>3.2002519992288932E-2</c:v>
                </c:pt>
                <c:pt idx="509">
                  <c:v>3.201449241212944E-2</c:v>
                </c:pt>
                <c:pt idx="510">
                  <c:v>3.202518898919262E-2</c:v>
                </c:pt>
                <c:pt idx="511">
                  <c:v>3.2030507983869382E-2</c:v>
                </c:pt>
                <c:pt idx="512">
                  <c:v>3.203569244567895E-2</c:v>
                </c:pt>
                <c:pt idx="513">
                  <c:v>3.2040744759146506E-2</c:v>
                </c:pt>
                <c:pt idx="514">
                  <c:v>3.2053663698690303E-2</c:v>
                </c:pt>
                <c:pt idx="515">
                  <c:v>3.2059680220933411E-2</c:v>
                </c:pt>
                <c:pt idx="516">
                  <c:v>3.2064107561400101E-2</c:v>
                </c:pt>
                <c:pt idx="517">
                  <c:v>3.206841706117091E-2</c:v>
                </c:pt>
                <c:pt idx="518">
                  <c:v>3.2095484336040939E-2</c:v>
                </c:pt>
                <c:pt idx="519">
                  <c:v>3.2117712242115966E-2</c:v>
                </c:pt>
                <c:pt idx="520">
                  <c:v>3.2135918789127055E-2</c:v>
                </c:pt>
                <c:pt idx="521">
                  <c:v>3.2150922015640987E-2</c:v>
                </c:pt>
                <c:pt idx="522">
                  <c:v>3.2163539981673629E-2</c:v>
                </c:pt>
                <c:pt idx="523">
                  <c:v>3.2174590762979675E-2</c:v>
                </c:pt>
                <c:pt idx="524">
                  <c:v>3.218489244700299E-2</c:v>
                </c:pt>
                <c:pt idx="525">
                  <c:v>3.2192799788307858E-2</c:v>
                </c:pt>
                <c:pt idx="526">
                  <c:v>3.2203880524035167E-2</c:v>
                </c:pt>
                <c:pt idx="527">
                  <c:v>3.2216656054231761E-2</c:v>
                </c:pt>
                <c:pt idx="528">
                  <c:v>3.2231866621033056E-2</c:v>
                </c:pt>
                <c:pt idx="529">
                  <c:v>3.2249716799561345E-2</c:v>
                </c:pt>
                <c:pt idx="530">
                  <c:v>3.2273605384023588E-2</c:v>
                </c:pt>
                <c:pt idx="531">
                  <c:v>3.2296926335962539E-2</c:v>
                </c:pt>
                <c:pt idx="532">
                  <c:v>3.2322887659930598E-2</c:v>
                </c:pt>
                <c:pt idx="533">
                  <c:v>3.2355478885290424E-2</c:v>
                </c:pt>
                <c:pt idx="534">
                  <c:v>3.2382731634839103E-2</c:v>
                </c:pt>
                <c:pt idx="535">
                  <c:v>3.2416614404292117E-2</c:v>
                </c:pt>
                <c:pt idx="536">
                  <c:v>3.2453137782802899E-2</c:v>
                </c:pt>
                <c:pt idx="537">
                  <c:v>3.249230184270261E-2</c:v>
                </c:pt>
                <c:pt idx="538">
                  <c:v>3.2524264991345572E-2</c:v>
                </c:pt>
                <c:pt idx="539">
                  <c:v>3.2568325547649116E-2</c:v>
                </c:pt>
                <c:pt idx="540">
                  <c:v>3.2615026539711517E-2</c:v>
                </c:pt>
                <c:pt idx="541">
                  <c:v>3.2664368058011935E-2</c:v>
                </c:pt>
                <c:pt idx="542">
                  <c:v>3.2716350198147164E-2</c:v>
                </c:pt>
                <c:pt idx="543">
                  <c:v>3.2770973060826214E-2</c:v>
                </c:pt>
                <c:pt idx="544">
                  <c:v>3.2828236751881117E-2</c:v>
                </c:pt>
                <c:pt idx="545">
                  <c:v>3.2888141382257027E-2</c:v>
                </c:pt>
                <c:pt idx="546">
                  <c:v>3.2957145841203524E-2</c:v>
                </c:pt>
                <c:pt idx="547">
                  <c:v>3.3009239590905431E-2</c:v>
                </c:pt>
                <c:pt idx="548">
                  <c:v>3.3076872982146135E-2</c:v>
                </c:pt>
                <c:pt idx="549">
                  <c:v>3.3147147546532557E-2</c:v>
                </c:pt>
                <c:pt idx="550">
                  <c:v>3.3220063418714446E-2</c:v>
                </c:pt>
                <c:pt idx="551">
                  <c:v>3.3317923181924107E-2</c:v>
                </c:pt>
                <c:pt idx="552">
                  <c:v>3.3396709699562599E-2</c:v>
                </c:pt>
                <c:pt idx="553">
                  <c:v>3.3478138767394805E-2</c:v>
                </c:pt>
                <c:pt idx="554">
                  <c:v>3.3562207234961505E-2</c:v>
                </c:pt>
                <c:pt idx="555">
                  <c:v>3.364880254397136E-2</c:v>
                </c:pt>
                <c:pt idx="556">
                  <c:v>3.3729339469532833E-2</c:v>
                </c:pt>
                <c:pt idx="557">
                  <c:v>3.3820142295151408E-2</c:v>
                </c:pt>
                <c:pt idx="558">
                  <c:v>3.3912749681938699E-2</c:v>
                </c:pt>
                <c:pt idx="559">
                  <c:v>3.4006906546057786E-2</c:v>
                </c:pt>
                <c:pt idx="560">
                  <c:v>3.4110969150776424E-2</c:v>
                </c:pt>
                <c:pt idx="561">
                  <c:v>3.4207474139910071E-2</c:v>
                </c:pt>
                <c:pt idx="562">
                  <c:v>3.4304747467065883E-2</c:v>
                </c:pt>
                <c:pt idx="563">
                  <c:v>3.4402536706187467E-2</c:v>
                </c:pt>
                <c:pt idx="564">
                  <c:v>3.450058940681909E-2</c:v>
                </c:pt>
                <c:pt idx="565">
                  <c:v>3.4598653093860773E-2</c:v>
                </c:pt>
                <c:pt idx="566">
                  <c:v>3.4696475267482867E-2</c:v>
                </c:pt>
                <c:pt idx="567">
                  <c:v>3.4793804384758584E-2</c:v>
                </c:pt>
                <c:pt idx="568">
                  <c:v>3.4890474399023645E-2</c:v>
                </c:pt>
                <c:pt idx="569">
                  <c:v>3.4986469924770114E-2</c:v>
                </c:pt>
                <c:pt idx="570">
                  <c:v>3.5081790913354366E-2</c:v>
                </c:pt>
                <c:pt idx="571">
                  <c:v>3.5176437316470181E-2</c:v>
                </c:pt>
                <c:pt idx="572">
                  <c:v>3.5270409086157542E-2</c:v>
                </c:pt>
                <c:pt idx="573">
                  <c:v>3.5363706174792946E-2</c:v>
                </c:pt>
                <c:pt idx="574">
                  <c:v>3.5456328535096455E-2</c:v>
                </c:pt>
                <c:pt idx="575">
                  <c:v>3.554827612012907E-2</c:v>
                </c:pt>
                <c:pt idx="576">
                  <c:v>3.5639548883293577E-2</c:v>
                </c:pt>
                <c:pt idx="577">
                  <c:v>3.5730146778331043E-2</c:v>
                </c:pt>
                <c:pt idx="578">
                  <c:v>3.5812022714097669E-2</c:v>
                </c:pt>
                <c:pt idx="579">
                  <c:v>3.5901310217906483E-2</c:v>
                </c:pt>
                <c:pt idx="580">
                  <c:v>3.5989922764678238E-2</c:v>
                </c:pt>
                <c:pt idx="581">
                  <c:v>3.6077860309990682E-2</c:v>
                </c:pt>
                <c:pt idx="582">
                  <c:v>3.6173011636548964E-2</c:v>
                </c:pt>
                <c:pt idx="583">
                  <c:v>3.6259559370560385E-2</c:v>
                </c:pt>
                <c:pt idx="584">
                  <c:v>3.6345431922208078E-2</c:v>
                </c:pt>
                <c:pt idx="585">
                  <c:v>3.6430629247967548E-2</c:v>
                </c:pt>
                <c:pt idx="586">
                  <c:v>3.6515151304656983E-2</c:v>
                </c:pt>
                <c:pt idx="587">
                  <c:v>3.659899804943198E-2</c:v>
                </c:pt>
                <c:pt idx="588">
                  <c:v>3.6682169439793445E-2</c:v>
                </c:pt>
                <c:pt idx="589">
                  <c:v>3.6764665433584101E-2</c:v>
                </c:pt>
                <c:pt idx="590">
                  <c:v>3.6838915989458987E-2</c:v>
                </c:pt>
                <c:pt idx="591">
                  <c:v>3.691256790669209E-2</c:v>
                </c:pt>
                <c:pt idx="592">
                  <c:v>3.6993117733342157E-2</c:v>
                </c:pt>
                <c:pt idx="593">
                  <c:v>3.707299210534222E-2</c:v>
                </c:pt>
                <c:pt idx="594">
                  <c:v>3.7152190983080466E-2</c:v>
                </c:pt>
                <c:pt idx="595">
                  <c:v>3.7230714327282755E-2</c:v>
                </c:pt>
                <c:pt idx="596">
                  <c:v>3.7308562099008166E-2</c:v>
                </c:pt>
                <c:pt idx="597">
                  <c:v>3.7385734259648938E-2</c:v>
                </c:pt>
                <c:pt idx="598">
                  <c:v>3.7462230770934128E-2</c:v>
                </c:pt>
                <c:pt idx="599">
                  <c:v>3.7530837549107188E-2</c:v>
                </c:pt>
                <c:pt idx="600">
                  <c:v>3.7606023213583556E-2</c:v>
                </c:pt>
                <c:pt idx="601">
                  <c:v>3.7680533172622308E-2</c:v>
                </c:pt>
                <c:pt idx="602">
                  <c:v>3.7754367389680667E-2</c:v>
                </c:pt>
                <c:pt idx="603">
                  <c:v>3.7848669911621231E-2</c:v>
                </c:pt>
                <c:pt idx="604">
                  <c:v>3.7921030130329679E-2</c:v>
                </c:pt>
                <c:pt idx="605">
                  <c:v>3.7992714324438799E-2</c:v>
                </c:pt>
                <c:pt idx="606">
                  <c:v>3.8063723224052264E-2</c:v>
                </c:pt>
                <c:pt idx="607">
                  <c:v>3.8134082881290013E-2</c:v>
                </c:pt>
                <c:pt idx="608">
                  <c:v>3.8196987962004478E-2</c:v>
                </c:pt>
                <c:pt idx="609">
                  <c:v>3.8266240421340261E-2</c:v>
                </c:pt>
                <c:pt idx="610">
                  <c:v>3.8335010800805633E-2</c:v>
                </c:pt>
                <c:pt idx="611">
                  <c:v>3.8413090950598819E-2</c:v>
                </c:pt>
                <c:pt idx="612">
                  <c:v>3.8487844574214038E-2</c:v>
                </c:pt>
                <c:pt idx="613">
                  <c:v>3.8555485991743535E-2</c:v>
                </c:pt>
                <c:pt idx="614">
                  <c:v>3.8622893500505254E-2</c:v>
                </c:pt>
                <c:pt idx="615">
                  <c:v>3.8690125518165065E-2</c:v>
                </c:pt>
                <c:pt idx="616">
                  <c:v>3.8757240466343379E-2</c:v>
                </c:pt>
                <c:pt idx="617">
                  <c:v>3.8824296770589579E-2</c:v>
                </c:pt>
                <c:pt idx="618">
                  <c:v>3.8891352860369703E-2</c:v>
                </c:pt>
                <c:pt idx="619">
                  <c:v>3.8958466402446143E-2</c:v>
                </c:pt>
                <c:pt idx="620">
                  <c:v>3.9025669740188097E-2</c:v>
                </c:pt>
                <c:pt idx="621">
                  <c:v>3.9092964695308055E-2</c:v>
                </c:pt>
                <c:pt idx="622">
                  <c:v>3.9160351272386901E-2</c:v>
                </c:pt>
                <c:pt idx="623">
                  <c:v>3.9227829476009037E-2</c:v>
                </c:pt>
                <c:pt idx="624">
                  <c:v>3.929539931076502E-2</c:v>
                </c:pt>
                <c:pt idx="625">
                  <c:v>3.9363060781253352E-2</c:v>
                </c:pt>
                <c:pt idx="626">
                  <c:v>3.9430813892076928E-2</c:v>
                </c:pt>
                <c:pt idx="627">
                  <c:v>3.9498658647846581E-2</c:v>
                </c:pt>
                <c:pt idx="628">
                  <c:v>3.956659505317843E-2</c:v>
                </c:pt>
                <c:pt idx="629">
                  <c:v>3.9634623112696506E-2</c:v>
                </c:pt>
                <c:pt idx="630">
                  <c:v>3.9695708461116898E-2</c:v>
                </c:pt>
                <c:pt idx="631">
                  <c:v>3.9763905908028807E-2</c:v>
                </c:pt>
                <c:pt idx="632">
                  <c:v>3.9832195000129939E-2</c:v>
                </c:pt>
                <c:pt idx="633">
                  <c:v>3.990057574201409E-2</c:v>
                </c:pt>
                <c:pt idx="634">
                  <c:v>3.9976138385296296E-2</c:v>
                </c:pt>
                <c:pt idx="635">
                  <c:v>4.0044716467354691E-2</c:v>
                </c:pt>
                <c:pt idx="636">
                  <c:v>4.0113386236133232E-2</c:v>
                </c:pt>
                <c:pt idx="637">
                  <c:v>4.0182147696306181E-2</c:v>
                </c:pt>
                <c:pt idx="638">
                  <c:v>4.0251000852552191E-2</c:v>
                </c:pt>
                <c:pt idx="639">
                  <c:v>4.0319945709555216E-2</c:v>
                </c:pt>
                <c:pt idx="640">
                  <c:v>4.0388982272010654E-2</c:v>
                </c:pt>
                <c:pt idx="641">
                  <c:v>4.0458110544613901E-2</c:v>
                </c:pt>
                <c:pt idx="642">
                  <c:v>4.0520127420737163E-2</c:v>
                </c:pt>
                <c:pt idx="643">
                  <c:v>4.0582209477218592E-2</c:v>
                </c:pt>
                <c:pt idx="644">
                  <c:v>4.0651584439404607E-2</c:v>
                </c:pt>
                <c:pt idx="645">
                  <c:v>4.0721051083446078E-2</c:v>
                </c:pt>
                <c:pt idx="646">
                  <c:v>4.0790609413968941E-2</c:v>
                </c:pt>
                <c:pt idx="647">
                  <c:v>4.086025943560094E-2</c:v>
                </c:pt>
                <c:pt idx="648">
                  <c:v>4.0930001152982426E-2</c:v>
                </c:pt>
                <c:pt idx="649">
                  <c:v>4.0999834570754651E-2</c:v>
                </c:pt>
                <c:pt idx="650">
                  <c:v>4.1069759693566965E-2</c:v>
                </c:pt>
                <c:pt idx="651">
                  <c:v>4.113244848647462E-2</c:v>
                </c:pt>
                <c:pt idx="652">
                  <c:v>4.1202542615144798E-2</c:v>
                </c:pt>
                <c:pt idx="653">
                  <c:v>4.1272728438860408E-2</c:v>
                </c:pt>
                <c:pt idx="654">
                  <c:v>4.134300596224199E-2</c:v>
                </c:pt>
                <c:pt idx="655">
                  <c:v>4.1435538572686628E-2</c:v>
                </c:pt>
                <c:pt idx="656">
                  <c:v>4.150604306559387E-2</c:v>
                </c:pt>
                <c:pt idx="657">
                  <c:v>4.1576639344676501E-2</c:v>
                </c:pt>
                <c:pt idx="658">
                  <c:v>4.1647326106276902E-2</c:v>
                </c:pt>
                <c:pt idx="659">
                  <c:v>4.1718080068095201E-2</c:v>
                </c:pt>
                <c:pt idx="660">
                  <c:v>4.1781414815594352E-2</c:v>
                </c:pt>
                <c:pt idx="661">
                  <c:v>4.1852179466852768E-2</c:v>
                </c:pt>
                <c:pt idx="662">
                  <c:v>4.1922890060223192E-2</c:v>
                </c:pt>
                <c:pt idx="663">
                  <c:v>4.2003581403883883E-2</c:v>
                </c:pt>
                <c:pt idx="664">
                  <c:v>4.2103674312471341E-2</c:v>
                </c:pt>
                <c:pt idx="665">
                  <c:v>4.2166479044103138E-2</c:v>
                </c:pt>
                <c:pt idx="666">
                  <c:v>4.2236454316496752E-2</c:v>
                </c:pt>
                <c:pt idx="667">
                  <c:v>4.2306150652271314E-2</c:v>
                </c:pt>
                <c:pt idx="668">
                  <c:v>4.2353535799532424E-2</c:v>
                </c:pt>
                <c:pt idx="669">
                  <c:v>4.244454166303032E-2</c:v>
                </c:pt>
                <c:pt idx="670">
                  <c:v>4.2513153905483034E-2</c:v>
                </c:pt>
                <c:pt idx="671">
                  <c:v>4.2581323627550086E-2</c:v>
                </c:pt>
                <c:pt idx="672">
                  <c:v>4.2649032408277512E-2</c:v>
                </c:pt>
                <c:pt idx="673">
                  <c:v>4.2723482133195906E-2</c:v>
                </c:pt>
                <c:pt idx="674">
                  <c:v>4.2783065428681592E-2</c:v>
                </c:pt>
                <c:pt idx="675">
                  <c:v>4.2849389621005679E-2</c:v>
                </c:pt>
                <c:pt idx="676">
                  <c:v>4.2915252236782137E-2</c:v>
                </c:pt>
                <c:pt idx="677">
                  <c:v>4.2980653252741211E-2</c:v>
                </c:pt>
                <c:pt idx="678">
                  <c:v>4.30455926457778E-2</c:v>
                </c:pt>
                <c:pt idx="679">
                  <c:v>4.3110070392948931E-2</c:v>
                </c:pt>
                <c:pt idx="680">
                  <c:v>4.317408647147454E-2</c:v>
                </c:pt>
                <c:pt idx="681">
                  <c:v>4.3216630442950078E-2</c:v>
                </c:pt>
                <c:pt idx="682">
                  <c:v>4.32797997223347E-2</c:v>
                </c:pt>
                <c:pt idx="683">
                  <c:v>4.3342507401577898E-2</c:v>
                </c:pt>
                <c:pt idx="684">
                  <c:v>4.340475345922911E-2</c:v>
                </c:pt>
                <c:pt idx="685">
                  <c:v>4.3466537873996333E-2</c:v>
                </c:pt>
                <c:pt idx="686">
                  <c:v>4.3548486645889763E-2</c:v>
                </c:pt>
                <c:pt idx="687">
                  <c:v>4.3609270419730069E-2</c:v>
                </c:pt>
                <c:pt idx="688">
                  <c:v>4.3669592348545741E-2</c:v>
                </c:pt>
                <c:pt idx="689">
                  <c:v>4.3736246442950079E-2</c:v>
                </c:pt>
                <c:pt idx="690">
                  <c:v>4.3788850586014075E-2</c:v>
                </c:pt>
                <c:pt idx="691">
                  <c:v>4.384778685252784E-2</c:v>
                </c:pt>
                <c:pt idx="692">
                  <c:v>4.3906261189740045E-2</c:v>
                </c:pt>
                <c:pt idx="693">
                  <c:v>4.3964273576988205E-2</c:v>
                </c:pt>
                <c:pt idx="694">
                  <c:v>4.4001820242127329E-2</c:v>
                </c:pt>
                <c:pt idx="695">
                  <c:v>4.4058987091728764E-2</c:v>
                </c:pt>
                <c:pt idx="696">
                  <c:v>4.4115692074650707E-2</c:v>
                </c:pt>
                <c:pt idx="697">
                  <c:v>4.4171935171494592E-2</c:v>
                </c:pt>
                <c:pt idx="698">
                  <c:v>4.4227716363020399E-2</c:v>
                </c:pt>
                <c:pt idx="699">
                  <c:v>4.4283035630145726E-2</c:v>
                </c:pt>
                <c:pt idx="700">
                  <c:v>4.4363930323427739E-2</c:v>
                </c:pt>
                <c:pt idx="701">
                  <c:v>4.439228831565091E-2</c:v>
                </c:pt>
                <c:pt idx="702">
                  <c:v>4.4446221696654187E-2</c:v>
                </c:pt>
                <c:pt idx="703">
                  <c:v>4.4493258137715139E-2</c:v>
                </c:pt>
                <c:pt idx="704">
                  <c:v>4.454629407085911E-2</c:v>
                </c:pt>
                <c:pt idx="705">
                  <c:v>4.4598868018226386E-2</c:v>
                </c:pt>
                <c:pt idx="706">
                  <c:v>4.4650979962024606E-2</c:v>
                </c:pt>
                <c:pt idx="707">
                  <c:v>4.4708958250875959E-2</c:v>
                </c:pt>
                <c:pt idx="708">
                  <c:v>4.4785305220933179E-2</c:v>
                </c:pt>
                <c:pt idx="709">
                  <c:v>4.4829630349773553E-2</c:v>
                </c:pt>
                <c:pt idx="710">
                  <c:v>4.4879786584376712E-2</c:v>
                </c:pt>
                <c:pt idx="711">
                  <c:v>4.4929480524989879E-2</c:v>
                </c:pt>
                <c:pt idx="712">
                  <c:v>4.4960142586969197E-2</c:v>
                </c:pt>
                <c:pt idx="713">
                  <c:v>4.5036700003773439E-2</c:v>
                </c:pt>
                <c:pt idx="714">
                  <c:v>4.5084824105336006E-2</c:v>
                </c:pt>
                <c:pt idx="715">
                  <c:v>4.5132485989259299E-2</c:v>
                </c:pt>
                <c:pt idx="716">
                  <c:v>4.5185753586692891E-2</c:v>
                </c:pt>
                <c:pt idx="717">
                  <c:v>4.5232463719739935E-2</c:v>
                </c:pt>
                <c:pt idx="718">
                  <c:v>4.5278711534458289E-2</c:v>
                </c:pt>
                <c:pt idx="719">
                  <c:v>4.5324497014847483E-2</c:v>
                </c:pt>
                <c:pt idx="720">
                  <c:v>4.5369820145072647E-2</c:v>
                </c:pt>
                <c:pt idx="721">
                  <c:v>4.5414680909453088E-2</c:v>
                </c:pt>
                <c:pt idx="722">
                  <c:v>4.5459079292471102E-2</c:v>
                </c:pt>
                <c:pt idx="723">
                  <c:v>4.5503015278768405E-2</c:v>
                </c:pt>
                <c:pt idx="724">
                  <c:v>4.5546488853146175E-2</c:v>
                </c:pt>
                <c:pt idx="725">
                  <c:v>4.5589500000564172E-2</c:v>
                </c:pt>
                <c:pt idx="726">
                  <c:v>4.5632048706144228E-2</c:v>
                </c:pt>
                <c:pt idx="727">
                  <c:v>4.5674134955167631E-2</c:v>
                </c:pt>
                <c:pt idx="728">
                  <c:v>4.5715758733075131E-2</c:v>
                </c:pt>
                <c:pt idx="729">
                  <c:v>4.5756920025466913E-2</c:v>
                </c:pt>
                <c:pt idx="730">
                  <c:v>4.5797618818101737E-2</c:v>
                </c:pt>
                <c:pt idx="731">
                  <c:v>4.5837855096902219E-2</c:v>
                </c:pt>
                <c:pt idx="732">
                  <c:v>4.5877628847947771E-2</c:v>
                </c:pt>
                <c:pt idx="733">
                  <c:v>4.5911342858717466E-2</c:v>
                </c:pt>
                <c:pt idx="734">
                  <c:v>4.5950219689252114E-2</c:v>
                </c:pt>
                <c:pt idx="735">
                  <c:v>4.5988634006031086E-2</c:v>
                </c:pt>
                <c:pt idx="736">
                  <c:v>4.602658579590975E-2</c:v>
                </c:pt>
                <c:pt idx="737">
                  <c:v>4.6064075045900224E-2</c:v>
                </c:pt>
                <c:pt idx="738">
                  <c:v>4.6106557512016873E-2</c:v>
                </c:pt>
                <c:pt idx="739">
                  <c:v>4.6143093192459808E-2</c:v>
                </c:pt>
                <c:pt idx="740">
                  <c:v>4.6179166239548035E-2</c:v>
                </c:pt>
                <c:pt idx="741">
                  <c:v>4.6214776640802195E-2</c:v>
                </c:pt>
                <c:pt idx="742">
                  <c:v>4.6249924383900611E-2</c:v>
                </c:pt>
                <c:pt idx="743">
                  <c:v>4.6284609456682807E-2</c:v>
                </c:pt>
                <c:pt idx="744">
                  <c:v>4.6318831847150424E-2</c:v>
                </c:pt>
                <c:pt idx="745">
                  <c:v>4.6352591543460997E-2</c:v>
                </c:pt>
                <c:pt idx="746">
                  <c:v>4.637543301748135E-2</c:v>
                </c:pt>
                <c:pt idx="747">
                  <c:v>4.6408325080133039E-2</c:v>
                </c:pt>
                <c:pt idx="748">
                  <c:v>4.6440754526870506E-2</c:v>
                </c:pt>
                <c:pt idx="749">
                  <c:v>4.6472721346717365E-2</c:v>
                </c:pt>
                <c:pt idx="750">
                  <c:v>4.6504225528855754E-2</c:v>
                </c:pt>
                <c:pt idx="751">
                  <c:v>4.6540350961322502E-2</c:v>
                </c:pt>
                <c:pt idx="752">
                  <c:v>4.6565845937503729E-2</c:v>
                </c:pt>
                <c:pt idx="753">
                  <c:v>4.6595962143158309E-2</c:v>
                </c:pt>
                <c:pt idx="754">
                  <c:v>4.662981411708627E-2</c:v>
                </c:pt>
                <c:pt idx="755">
                  <c:v>4.665397380154767E-2</c:v>
                </c:pt>
                <c:pt idx="756">
                  <c:v>4.6682665241184321E-2</c:v>
                </c:pt>
                <c:pt idx="757">
                  <c:v>4.6710894027708151E-2</c:v>
                </c:pt>
                <c:pt idx="758">
                  <c:v>4.673866015166861E-2</c:v>
                </c:pt>
                <c:pt idx="759">
                  <c:v>4.67804976328072E-2</c:v>
                </c:pt>
                <c:pt idx="760">
                  <c:v>4.6807249482229876E-2</c:v>
                </c:pt>
                <c:pt idx="761">
                  <c:v>4.6833538468507845E-2</c:v>
                </c:pt>
                <c:pt idx="762">
                  <c:v>4.6859370667699296E-2</c:v>
                </c:pt>
                <c:pt idx="763">
                  <c:v>4.6880043900674045E-2</c:v>
                </c:pt>
                <c:pt idx="764">
                  <c:v>4.6905078193823273E-2</c:v>
                </c:pt>
                <c:pt idx="765">
                  <c:v>4.6929755099460929E-2</c:v>
                </c:pt>
                <c:pt idx="766">
                  <c:v>4.695411151938899E-2</c:v>
                </c:pt>
                <c:pt idx="767">
                  <c:v>4.6978184356378426E-2</c:v>
                </c:pt>
                <c:pt idx="768">
                  <c:v>4.7006687744509626E-2</c:v>
                </c:pt>
                <c:pt idx="769">
                  <c:v>4.7030301958114022E-2</c:v>
                </c:pt>
                <c:pt idx="770">
                  <c:v>4.7053745345374397E-2</c:v>
                </c:pt>
                <c:pt idx="771">
                  <c:v>4.7077054416202552E-2</c:v>
                </c:pt>
                <c:pt idx="772">
                  <c:v>4.7100265681375382E-2</c:v>
                </c:pt>
                <c:pt idx="773">
                  <c:v>4.7123415652521636E-2</c:v>
                </c:pt>
                <c:pt idx="774">
                  <c:v>4.7146540842119312E-2</c:v>
                </c:pt>
                <c:pt idx="775">
                  <c:v>4.7169673931138523E-2</c:v>
                </c:pt>
                <c:pt idx="776">
                  <c:v>4.719282395062184E-2</c:v>
                </c:pt>
                <c:pt idx="777">
                  <c:v>4.7215990918602062E-2</c:v>
                </c:pt>
                <c:pt idx="778">
                  <c:v>4.7239174835372551E-2</c:v>
                </c:pt>
                <c:pt idx="779">
                  <c:v>4.7262375701224879E-2</c:v>
                </c:pt>
                <c:pt idx="780">
                  <c:v>4.7285593516449766E-2</c:v>
                </c:pt>
                <c:pt idx="781">
                  <c:v>4.7308828281342329E-2</c:v>
                </c:pt>
                <c:pt idx="782">
                  <c:v>4.7332079996194147E-2</c:v>
                </c:pt>
                <c:pt idx="783">
                  <c:v>4.7355348661296821E-2</c:v>
                </c:pt>
                <c:pt idx="784">
                  <c:v>4.7378634276946344E-2</c:v>
                </c:pt>
                <c:pt idx="785">
                  <c:v>4.739720372372213E-2</c:v>
                </c:pt>
                <c:pt idx="786">
                  <c:v>4.742051901972312E-2</c:v>
                </c:pt>
                <c:pt idx="787">
                  <c:v>4.7443851263467743E-2</c:v>
                </c:pt>
                <c:pt idx="788">
                  <c:v>4.7467200455246342E-2</c:v>
                </c:pt>
                <c:pt idx="789">
                  <c:v>4.7490566595349268E-2</c:v>
                </c:pt>
                <c:pt idx="790">
                  <c:v>4.7518703948731228E-2</c:v>
                </c:pt>
                <c:pt idx="791">
                  <c:v>4.7542108226422547E-2</c:v>
                </c:pt>
                <c:pt idx="792">
                  <c:v>4.7565529457013707E-2</c:v>
                </c:pt>
                <c:pt idx="793">
                  <c:v>4.7588967640797161E-2</c:v>
                </c:pt>
                <c:pt idx="794">
                  <c:v>4.7612422778068916E-2</c:v>
                </c:pt>
                <c:pt idx="795">
                  <c:v>4.7635894869125853E-2</c:v>
                </c:pt>
                <c:pt idx="796">
                  <c:v>4.7659383914261312E-2</c:v>
                </c:pt>
                <c:pt idx="797">
                  <c:v>4.7682889913773938E-2</c:v>
                </c:pt>
                <c:pt idx="798">
                  <c:v>4.7696837111616756E-2</c:v>
                </c:pt>
                <c:pt idx="799">
                  <c:v>4.7720368482189392E-2</c:v>
                </c:pt>
                <c:pt idx="800">
                  <c:v>4.7743916800575832E-2</c:v>
                </c:pt>
                <c:pt idx="801">
                  <c:v>4.7767482067066047E-2</c:v>
                </c:pt>
                <c:pt idx="802">
                  <c:v>4.7791064281952705E-2</c:v>
                </c:pt>
                <c:pt idx="803">
                  <c:v>4.7814663445524867E-2</c:v>
                </c:pt>
                <c:pt idx="804">
                  <c:v>4.7838279558073397E-2</c:v>
                </c:pt>
                <c:pt idx="805">
                  <c:v>4.7861912619890964E-2</c:v>
                </c:pt>
                <c:pt idx="806">
                  <c:v>4.7888942587975207E-2</c:v>
                </c:pt>
                <c:pt idx="807">
                  <c:v>4.7907786164996302E-2</c:v>
                </c:pt>
                <c:pt idx="808">
                  <c:v>4.7931468195773208E-2</c:v>
                </c:pt>
                <c:pt idx="809">
                  <c:v>4.795516717327461E-2</c:v>
                </c:pt>
                <c:pt idx="810">
                  <c:v>4.7978883097785543E-2</c:v>
                </c:pt>
                <c:pt idx="811">
                  <c:v>4.801714758018065E-2</c:v>
                </c:pt>
                <c:pt idx="812">
                  <c:v>4.8040910353708215E-2</c:v>
                </c:pt>
                <c:pt idx="813">
                  <c:v>4.8064690086417575E-2</c:v>
                </c:pt>
                <c:pt idx="814">
                  <c:v>4.8088486778610023E-2</c:v>
                </c:pt>
                <c:pt idx="815">
                  <c:v>4.8107438427994219E-2</c:v>
                </c:pt>
                <c:pt idx="816">
                  <c:v>4.8131264705969512E-2</c:v>
                </c:pt>
                <c:pt idx="817">
                  <c:v>4.8155107940546532E-2</c:v>
                </c:pt>
                <c:pt idx="818">
                  <c:v>4.8178968132020071E-2</c:v>
                </c:pt>
                <c:pt idx="819">
                  <c:v>4.8202845280689383E-2</c:v>
                </c:pt>
                <c:pt idx="820">
                  <c:v>4.8231623097709758E-2</c:v>
                </c:pt>
                <c:pt idx="821">
                  <c:v>4.8255538514688799E-2</c:v>
                </c:pt>
                <c:pt idx="822">
                  <c:v>4.827947089355588E-2</c:v>
                </c:pt>
                <c:pt idx="823">
                  <c:v>4.8303420234612288E-2</c:v>
                </c:pt>
                <c:pt idx="824">
                  <c:v>4.8327386538160176E-2</c:v>
                </c:pt>
                <c:pt idx="825">
                  <c:v>4.8351369804499063E-2</c:v>
                </c:pt>
                <c:pt idx="826">
                  <c:v>4.8375370033934641E-2</c:v>
                </c:pt>
                <c:pt idx="827">
                  <c:v>4.8399387226767308E-2</c:v>
                </c:pt>
                <c:pt idx="828">
                  <c:v>4.8423421383300108E-2</c:v>
                </c:pt>
                <c:pt idx="829">
                  <c:v>4.8447472503836082E-2</c:v>
                </c:pt>
                <c:pt idx="830">
                  <c:v>4.8471540588678266E-2</c:v>
                </c:pt>
                <c:pt idx="831">
                  <c:v>4.8495625638129709E-2</c:v>
                </c:pt>
                <c:pt idx="832">
                  <c:v>4.8519727652494335E-2</c:v>
                </c:pt>
                <c:pt idx="833">
                  <c:v>4.8543846632076074E-2</c:v>
                </c:pt>
                <c:pt idx="834">
                  <c:v>4.8567982577177954E-2</c:v>
                </c:pt>
                <c:pt idx="835">
                  <c:v>4.8592135488104787E-2</c:v>
                </c:pt>
                <c:pt idx="836">
                  <c:v>4.8616305365159616E-2</c:v>
                </c:pt>
                <c:pt idx="837">
                  <c:v>4.863553397735771E-2</c:v>
                </c:pt>
                <c:pt idx="838">
                  <c:v>4.8659733369515561E-2</c:v>
                </c:pt>
                <c:pt idx="839">
                  <c:v>4.8683949724861258E-2</c:v>
                </c:pt>
                <c:pt idx="840">
                  <c:v>4.8708183043696722E-2</c:v>
                </c:pt>
                <c:pt idx="841">
                  <c:v>4.87324333263221E-2</c:v>
                </c:pt>
                <c:pt idx="842">
                  <c:v>4.8761680933275493E-2</c:v>
                </c:pt>
                <c:pt idx="843">
                  <c:v>4.8785969581774905E-2</c:v>
                </c:pt>
                <c:pt idx="844">
                  <c:v>4.8810275198846037E-2</c:v>
                </c:pt>
                <c:pt idx="845">
                  <c:v>4.8834597784795458E-2</c:v>
                </c:pt>
                <c:pt idx="846">
                  <c:v>4.885893733992884E-2</c:v>
                </c:pt>
                <c:pt idx="847">
                  <c:v>4.888329386455452E-2</c:v>
                </c:pt>
                <c:pt idx="848">
                  <c:v>4.8907667358977308E-2</c:v>
                </c:pt>
                <c:pt idx="849">
                  <c:v>4.8932057823506396E-2</c:v>
                </c:pt>
                <c:pt idx="850">
                  <c:v>4.8946434194107137E-2</c:v>
                </c:pt>
                <c:pt idx="851">
                  <c:v>4.8970849663828663E-2</c:v>
                </c:pt>
                <c:pt idx="852">
                  <c:v>4.8995282096777198E-2</c:v>
                </c:pt>
                <c:pt idx="853">
                  <c:v>4.9019731493256218E-2</c:v>
                </c:pt>
                <c:pt idx="854">
                  <c:v>4.9044197853565584E-2</c:v>
                </c:pt>
                <c:pt idx="855">
                  <c:v>4.9068681178008777E-2</c:v>
                </c:pt>
                <c:pt idx="856">
                  <c:v>4.9093181466886571E-2</c:v>
                </c:pt>
                <c:pt idx="857">
                  <c:v>4.911769872050064E-2</c:v>
                </c:pt>
                <c:pt idx="858">
                  <c:v>4.914573921245035E-2</c:v>
                </c:pt>
                <c:pt idx="859">
                  <c:v>4.9165237613224395E-2</c:v>
                </c:pt>
                <c:pt idx="860">
                  <c:v>4.9189803684298296E-2</c:v>
                </c:pt>
                <c:pt idx="861">
                  <c:v>4.9214386717433563E-2</c:v>
                </c:pt>
                <c:pt idx="862">
                  <c:v>4.9238986712927979E-2</c:v>
                </c:pt>
                <c:pt idx="863">
                  <c:v>4.9288978715110697E-2</c:v>
                </c:pt>
                <c:pt idx="864">
                  <c:v>4.9318717423060689E-2</c:v>
                </c:pt>
                <c:pt idx="865">
                  <c:v>4.9338308740350695E-2</c:v>
                </c:pt>
                <c:pt idx="866">
                  <c:v>4.9362999227770488E-2</c:v>
                </c:pt>
                <c:pt idx="867">
                  <c:v>4.9372424695009236E-2</c:v>
                </c:pt>
                <c:pt idx="868">
                  <c:v>4.9411263642373866E-2</c:v>
                </c:pt>
                <c:pt idx="869">
                  <c:v>4.9436001157932896E-2</c:v>
                </c:pt>
                <c:pt idx="870">
                  <c:v>4.9464293387401055E-2</c:v>
                </c:pt>
                <c:pt idx="871">
                  <c:v>4.9494181803829827E-2</c:v>
                </c:pt>
                <c:pt idx="872">
                  <c:v>4.9518977218213411E-2</c:v>
                </c:pt>
                <c:pt idx="873">
                  <c:v>4.9543789610405349E-2</c:v>
                </c:pt>
                <c:pt idx="874">
                  <c:v>4.9568618980721013E-2</c:v>
                </c:pt>
                <c:pt idx="875">
                  <c:v>4.9593465329471377E-2</c:v>
                </c:pt>
                <c:pt idx="876">
                  <c:v>4.9618328656970925E-2</c:v>
                </c:pt>
                <c:pt idx="877">
                  <c:v>4.9643208963530638E-2</c:v>
                </c:pt>
                <c:pt idx="878">
                  <c:v>4.9668106249466777E-2</c:v>
                </c:pt>
                <c:pt idx="879">
                  <c:v>4.9693020515092945E-2</c:v>
                </c:pt>
                <c:pt idx="880">
                  <c:v>4.9717951760720996E-2</c:v>
                </c:pt>
                <c:pt idx="881">
                  <c:v>4.9742899986667193E-2</c:v>
                </c:pt>
                <c:pt idx="882">
                  <c:v>4.9767865193245144E-2</c:v>
                </c:pt>
                <c:pt idx="883">
                  <c:v>4.9792847380770222E-2</c:v>
                </c:pt>
                <c:pt idx="884">
                  <c:v>4.9817846549556052E-2</c:v>
                </c:pt>
                <c:pt idx="885">
                  <c:v>4.9842862699918881E-2</c:v>
                </c:pt>
                <c:pt idx="886">
                  <c:v>4.9867895832172326E-2</c:v>
                </c:pt>
                <c:pt idx="887">
                  <c:v>4.9892945946633523E-2</c:v>
                </c:pt>
                <c:pt idx="888">
                  <c:v>4.9918013043619612E-2</c:v>
                </c:pt>
                <c:pt idx="889">
                  <c:v>4.9937900001272469E-2</c:v>
                </c:pt>
                <c:pt idx="890">
                  <c:v>4.9962996437658551E-2</c:v>
                </c:pt>
                <c:pt idx="891">
                  <c:v>4.9988109853478256E-2</c:v>
                </c:pt>
                <c:pt idx="892">
                  <c:v>5.0013240249044195E-2</c:v>
                </c:pt>
                <c:pt idx="893">
                  <c:v>5.0043603277455419E-2</c:v>
                </c:pt>
                <c:pt idx="894">
                  <c:v>5.0068772276221675E-2</c:v>
                </c:pt>
                <c:pt idx="895">
                  <c:v>5.0093958259726616E-2</c:v>
                </c:pt>
                <c:pt idx="896">
                  <c:v>5.0119161228288266E-2</c:v>
                </c:pt>
                <c:pt idx="897">
                  <c:v>5.0144381182225521E-2</c:v>
                </c:pt>
                <c:pt idx="898">
                  <c:v>5.0169618121853762E-2</c:v>
                </c:pt>
                <c:pt idx="899">
                  <c:v>5.0194872047493642E-2</c:v>
                </c:pt>
                <c:pt idx="900">
                  <c:v>5.0220142959462304E-2</c:v>
                </c:pt>
                <c:pt idx="901">
                  <c:v>5.0245430858076888E-2</c:v>
                </c:pt>
                <c:pt idx="902">
                  <c:v>5.0265478159781579E-2</c:v>
                </c:pt>
                <c:pt idx="903">
                  <c:v>5.0290795353281625E-2</c:v>
                </c:pt>
                <c:pt idx="904">
                  <c:v>5.031612953030145E-2</c:v>
                </c:pt>
                <c:pt idx="905">
                  <c:v>5.0341480691158111E-2</c:v>
                </c:pt>
                <c:pt idx="906">
                  <c:v>5.0366848836165996E-2</c:v>
                </c:pt>
                <c:pt idx="907">
                  <c:v>5.0392233965642179E-2</c:v>
                </c:pt>
                <c:pt idx="908">
                  <c:v>5.0417636079902815E-2</c:v>
                </c:pt>
                <c:pt idx="909">
                  <c:v>5.0443055179264971E-2</c:v>
                </c:pt>
                <c:pt idx="910">
                  <c:v>5.046319706476822E-2</c:v>
                </c:pt>
                <c:pt idx="911">
                  <c:v>5.0488645424211942E-2</c:v>
                </c:pt>
                <c:pt idx="912">
                  <c:v>5.0514110765598065E-2</c:v>
                </c:pt>
                <c:pt idx="913">
                  <c:v>5.0539593089239054E-2</c:v>
                </c:pt>
                <c:pt idx="914">
                  <c:v>5.0565092395450102E-2</c:v>
                </c:pt>
                <c:pt idx="915">
                  <c:v>5.0601245215550421E-2</c:v>
                </c:pt>
                <c:pt idx="916">
                  <c:v>5.0626787952246809E-2</c:v>
                </c:pt>
                <c:pt idx="917">
                  <c:v>5.0652347332750133E-2</c:v>
                </c:pt>
                <c:pt idx="918">
                  <c:v>5.0677911513599121E-2</c:v>
                </c:pt>
                <c:pt idx="919">
                  <c:v>5.0698127062319916E-2</c:v>
                </c:pt>
                <c:pt idx="920">
                  <c:v>5.0723627872147826E-2</c:v>
                </c:pt>
                <c:pt idx="921">
                  <c:v>5.0749057575953598E-2</c:v>
                </c:pt>
                <c:pt idx="922">
                  <c:v>5.0774389361131128E-2</c:v>
                </c:pt>
                <c:pt idx="923">
                  <c:v>5.0804888469627899E-2</c:v>
                </c:pt>
                <c:pt idx="924">
                  <c:v>5.0829929396749657E-2</c:v>
                </c:pt>
                <c:pt idx="925">
                  <c:v>5.0854790274626249E-2</c:v>
                </c:pt>
                <c:pt idx="926">
                  <c:v>5.0879444575736114E-2</c:v>
                </c:pt>
                <c:pt idx="927">
                  <c:v>5.0903865771935737E-2</c:v>
                </c:pt>
                <c:pt idx="928">
                  <c:v>5.0928027334475524E-2</c:v>
                </c:pt>
                <c:pt idx="929">
                  <c:v>5.0951902734013885E-2</c:v>
                </c:pt>
                <c:pt idx="930">
                  <c:v>5.0975465543745123E-2</c:v>
                </c:pt>
                <c:pt idx="931">
                  <c:v>5.0998698319746974E-2</c:v>
                </c:pt>
                <c:pt idx="932">
                  <c:v>5.1021599445193716E-2</c:v>
                </c:pt>
                <c:pt idx="933">
                  <c:v>5.1044168914413872E-2</c:v>
                </c:pt>
                <c:pt idx="934">
                  <c:v>5.1066406721817004E-2</c:v>
                </c:pt>
                <c:pt idx="935">
                  <c:v>5.1088312861897259E-2</c:v>
                </c:pt>
                <c:pt idx="936">
                  <c:v>5.1109887329228054E-2</c:v>
                </c:pt>
                <c:pt idx="937">
                  <c:v>5.1131130118466504E-2</c:v>
                </c:pt>
                <c:pt idx="938">
                  <c:v>5.1152041224350762E-2</c:v>
                </c:pt>
                <c:pt idx="939">
                  <c:v>5.1172620641702679E-2</c:v>
                </c:pt>
                <c:pt idx="940">
                  <c:v>5.1192868365424277E-2</c:v>
                </c:pt>
                <c:pt idx="941">
                  <c:v>5.1207847358729713E-2</c:v>
                </c:pt>
                <c:pt idx="942">
                  <c:v>5.1227452639921393E-2</c:v>
                </c:pt>
                <c:pt idx="943">
                  <c:v>5.1246726258261016E-2</c:v>
                </c:pt>
                <c:pt idx="944">
                  <c:v>5.1275414677520462E-2</c:v>
                </c:pt>
                <c:pt idx="945">
                  <c:v>5.1289131406939047E-2</c:v>
                </c:pt>
                <c:pt idx="946">
                  <c:v>5.1307388866444981E-2</c:v>
                </c:pt>
                <c:pt idx="947">
                  <c:v>5.132531459894274E-2</c:v>
                </c:pt>
                <c:pt idx="948">
                  <c:v>5.1342908599991501E-2</c:v>
                </c:pt>
                <c:pt idx="949">
                  <c:v>5.1360170865234159E-2</c:v>
                </c:pt>
                <c:pt idx="950">
                  <c:v>5.1377101390394635E-2</c:v>
                </c:pt>
                <c:pt idx="951">
                  <c:v>5.1393700171280553E-2</c:v>
                </c:pt>
                <c:pt idx="952">
                  <c:v>5.1409967203779688E-2</c:v>
                </c:pt>
                <c:pt idx="953">
                  <c:v>5.142590248386527E-2</c:v>
                </c:pt>
                <c:pt idx="954">
                  <c:v>5.1432182406477046E-2</c:v>
                </c:pt>
                <c:pt idx="955">
                  <c:v>5.1447497274779402E-2</c:v>
                </c:pt>
                <c:pt idx="956">
                  <c:v>5.1462480471282268E-2</c:v>
                </c:pt>
                <c:pt idx="957">
                  <c:v>5.1481257220756374E-2</c:v>
                </c:pt>
                <c:pt idx="958">
                  <c:v>5.1495482296783308E-2</c:v>
                </c:pt>
                <c:pt idx="959">
                  <c:v>5.150937568938331E-2</c:v>
                </c:pt>
                <c:pt idx="960">
                  <c:v>5.152293739519026E-2</c:v>
                </c:pt>
                <c:pt idx="961">
                  <c:v>5.1536167410916371E-2</c:v>
                </c:pt>
                <c:pt idx="962">
                  <c:v>5.1544581389153736E-2</c:v>
                </c:pt>
                <c:pt idx="963">
                  <c:v>5.1557169941050786E-2</c:v>
                </c:pt>
                <c:pt idx="964">
                  <c:v>5.1569426839846062E-2</c:v>
                </c:pt>
                <c:pt idx="965">
                  <c:v>5.158135208259914E-2</c:v>
                </c:pt>
                <c:pt idx="966">
                  <c:v>5.1601736689961986E-2</c:v>
                </c:pt>
                <c:pt idx="967">
                  <c:v>5.1630427458765039E-2</c:v>
                </c:pt>
                <c:pt idx="968">
                  <c:v>5.1636881160216343E-2</c:v>
                </c:pt>
                <c:pt idx="969">
                  <c:v>5.1647368664901196E-2</c:v>
                </c:pt>
                <c:pt idx="970">
                  <c:v>5.16575242674343E-2</c:v>
                </c:pt>
                <c:pt idx="971">
                  <c:v>5.1654507555235707E-2</c:v>
                </c:pt>
                <c:pt idx="972">
                  <c:v>5.166406643579078E-2</c:v>
                </c:pt>
                <c:pt idx="973">
                  <c:v>5.1678417222480101E-2</c:v>
                </c:pt>
                <c:pt idx="974">
                  <c:v>5.1687122976101452E-2</c:v>
                </c:pt>
                <c:pt idx="975">
                  <c:v>5.1699676243404789E-2</c:v>
                </c:pt>
                <c:pt idx="976">
                  <c:v>5.1707695874058372E-2</c:v>
                </c:pt>
                <c:pt idx="977">
                  <c:v>5.1715383678553349E-2</c:v>
                </c:pt>
                <c:pt idx="978">
                  <c:v>5.1722739654984237E-2</c:v>
                </c:pt>
                <c:pt idx="979">
                  <c:v>5.1729763801529265E-2</c:v>
                </c:pt>
                <c:pt idx="980">
                  <c:v>5.1736456116450336E-2</c:v>
                </c:pt>
                <c:pt idx="981">
                  <c:v>5.1742816598087764E-2</c:v>
                </c:pt>
                <c:pt idx="982">
                  <c:v>5.1748845244865553E-2</c:v>
                </c:pt>
                <c:pt idx="983">
                  <c:v>5.1754542055292278E-2</c:v>
                </c:pt>
                <c:pt idx="984">
                  <c:v>5.1759907027956679E-2</c:v>
                </c:pt>
                <c:pt idx="985">
                  <c:v>5.176494016152941E-2</c:v>
                </c:pt>
                <c:pt idx="986">
                  <c:v>5.1769641454763073E-2</c:v>
                </c:pt>
                <c:pt idx="987">
                  <c:v>5.1774010906493938E-2</c:v>
                </c:pt>
                <c:pt idx="988">
                  <c:v>5.1778048515640225E-2</c:v>
                </c:pt>
                <c:pt idx="989">
                  <c:v>5.1781754281200305E-2</c:v>
                </c:pt>
                <c:pt idx="990">
                  <c:v>5.1785128202257114E-2</c:v>
                </c:pt>
                <c:pt idx="991">
                  <c:v>5.1788170277975533E-2</c:v>
                </c:pt>
                <c:pt idx="992">
                  <c:v>5.1787091263045926E-2</c:v>
                </c:pt>
                <c:pt idx="993">
                  <c:v>5.1789493010682544E-2</c:v>
                </c:pt>
                <c:pt idx="994">
                  <c:v>5.1791562957769481E-2</c:v>
                </c:pt>
                <c:pt idx="995">
                  <c:v>5.1793301103799073E-2</c:v>
                </c:pt>
                <c:pt idx="996">
                  <c:v>5.1798402952987412E-2</c:v>
                </c:pt>
                <c:pt idx="997">
                  <c:v>5.1799453943724795E-2</c:v>
                </c:pt>
                <c:pt idx="998">
                  <c:v>5.1800173085575371E-2</c:v>
                </c:pt>
                <c:pt idx="999">
                  <c:v>5.1800560378359423E-2</c:v>
                </c:pt>
                <c:pt idx="1000">
                  <c:v>5.1800615821983573E-2</c:v>
                </c:pt>
                <c:pt idx="1001">
                  <c:v>5.1800339416431078E-2</c:v>
                </c:pt>
                <c:pt idx="1002">
                  <c:v>5.1799731161772423E-2</c:v>
                </c:pt>
                <c:pt idx="1003">
                  <c:v>5.1798791058158239E-2</c:v>
                </c:pt>
                <c:pt idx="1004">
                  <c:v>5.1797519105820221E-2</c:v>
                </c:pt>
                <c:pt idx="1005">
                  <c:v>5.17889496373381E-2</c:v>
                </c:pt>
                <c:pt idx="1006">
                  <c:v>5.1787061927723685E-2</c:v>
                </c:pt>
                <c:pt idx="1007">
                  <c:v>5.1784842464028889E-2</c:v>
                </c:pt>
                <c:pt idx="1008">
                  <c:v>5.1782291246793122E-2</c:v>
                </c:pt>
                <c:pt idx="1009">
                  <c:v>5.177940827663504E-2</c:v>
                </c:pt>
                <c:pt idx="1010">
                  <c:v>5.1779557071198877E-2</c:v>
                </c:pt>
                <c:pt idx="1011">
                  <c:v>5.1772647080423659E-2</c:v>
                </c:pt>
                <c:pt idx="1012">
                  <c:v>5.1768768856008396E-2</c:v>
                </c:pt>
                <c:pt idx="1013">
                  <c:v>5.1764558881947781E-2</c:v>
                </c:pt>
                <c:pt idx="1014">
                  <c:v>5.1760017159259403E-2</c:v>
                </c:pt>
                <c:pt idx="1015">
                  <c:v>5.1755143689046386E-2</c:v>
                </c:pt>
                <c:pt idx="1016">
                  <c:v>5.1749938472486608E-2</c:v>
                </c:pt>
                <c:pt idx="1017">
                  <c:v>5.1744401510845292E-2</c:v>
                </c:pt>
                <c:pt idx="1018">
                  <c:v>5.174486798318606E-2</c:v>
                </c:pt>
                <c:pt idx="1019">
                  <c:v>5.1738618383838128E-2</c:v>
                </c:pt>
                <c:pt idx="1020">
                  <c:v>5.1732036950670947E-2</c:v>
                </c:pt>
                <c:pt idx="1021">
                  <c:v>5.1725128598398812E-2</c:v>
                </c:pt>
                <c:pt idx="1022">
                  <c:v>5.171484243227565E-2</c:v>
                </c:pt>
                <c:pt idx="1023">
                  <c:v>5.1707374295428335E-2</c:v>
                </c:pt>
                <c:pt idx="1024">
                  <c:v>5.1699659515235981E-2</c:v>
                </c:pt>
                <c:pt idx="1025">
                  <c:v>5.1691727891135346E-2</c:v>
                </c:pt>
                <c:pt idx="1026">
                  <c:v>5.1683609222360996E-2</c:v>
                </c:pt>
                <c:pt idx="1027">
                  <c:v>5.1678360886604754E-2</c:v>
                </c:pt>
                <c:pt idx="1028">
                  <c:v>5.1669955144259851E-2</c:v>
                </c:pt>
                <c:pt idx="1029">
                  <c:v>5.166145340607857E-2</c:v>
                </c:pt>
                <c:pt idx="1030">
                  <c:v>5.1652885150641419E-2</c:v>
                </c:pt>
                <c:pt idx="1031">
                  <c:v>5.1644279856284003E-2</c:v>
                </c:pt>
                <c:pt idx="1032">
                  <c:v>5.1635667001089097E-2</c:v>
                </c:pt>
                <c:pt idx="1033">
                  <c:v>5.1627076062886655E-2</c:v>
                </c:pt>
                <c:pt idx="1034">
                  <c:v>5.16185334253869E-2</c:v>
                </c:pt>
                <c:pt idx="1035">
                  <c:v>5.1610046378915982E-2</c:v>
                </c:pt>
                <c:pt idx="1036">
                  <c:v>5.160161493744557E-2</c:v>
                </c:pt>
                <c:pt idx="1037">
                  <c:v>5.159323910062593E-2</c:v>
                </c:pt>
                <c:pt idx="1038">
                  <c:v>5.1584918868109099E-2</c:v>
                </c:pt>
                <c:pt idx="1039">
                  <c:v>5.1576654239551503E-2</c:v>
                </c:pt>
                <c:pt idx="1040">
                  <c:v>5.1568445214607822E-2</c:v>
                </c:pt>
                <c:pt idx="1041">
                  <c:v>5.1560291792938008E-2</c:v>
                </c:pt>
                <c:pt idx="1042">
                  <c:v>5.1552193974203783E-2</c:v>
                </c:pt>
                <c:pt idx="1043">
                  <c:v>5.1544151758070395E-2</c:v>
                </c:pt>
                <c:pt idx="1044">
                  <c:v>5.1533102542426178E-2</c:v>
                </c:pt>
                <c:pt idx="1045">
                  <c:v>5.1525168671969337E-2</c:v>
                </c:pt>
                <c:pt idx="1046">
                  <c:v>5.1517290395172298E-2</c:v>
                </c:pt>
                <c:pt idx="1047">
                  <c:v>5.1509467711714434E-2</c:v>
                </c:pt>
                <c:pt idx="1048">
                  <c:v>5.1501700621274231E-2</c:v>
                </c:pt>
                <c:pt idx="1049">
                  <c:v>5.1497066097337618E-2</c:v>
                </c:pt>
                <c:pt idx="1050">
                  <c:v>5.1489413090189284E-2</c:v>
                </c:pt>
                <c:pt idx="1051">
                  <c:v>5.1481815683033318E-2</c:v>
                </c:pt>
                <c:pt idx="1052">
                  <c:v>5.1474273875557003E-2</c:v>
                </c:pt>
                <c:pt idx="1053">
                  <c:v>5.146678766744759E-2</c:v>
                </c:pt>
                <c:pt idx="1054">
                  <c:v>5.145935705839412E-2</c:v>
                </c:pt>
                <c:pt idx="1055">
                  <c:v>5.1451982048088256E-2</c:v>
                </c:pt>
                <c:pt idx="1056">
                  <c:v>5.1444662636222563E-2</c:v>
                </c:pt>
                <c:pt idx="1057">
                  <c:v>5.1431198632883E-2</c:v>
                </c:pt>
                <c:pt idx="1058">
                  <c:v>5.1423984494901626E-2</c:v>
                </c:pt>
                <c:pt idx="1059">
                  <c:v>5.1416825938656832E-2</c:v>
                </c:pt>
                <c:pt idx="1060">
                  <c:v>5.1409722963855958E-2</c:v>
                </c:pt>
                <c:pt idx="1061">
                  <c:v>5.1405787268133669E-2</c:v>
                </c:pt>
                <c:pt idx="1062">
                  <c:v>5.1395683757433301E-2</c:v>
                </c:pt>
                <c:pt idx="1063">
                  <c:v>5.138874752524239E-2</c:v>
                </c:pt>
                <c:pt idx="1064">
                  <c:v>5.1381866873357149E-2</c:v>
                </c:pt>
                <c:pt idx="1065">
                  <c:v>5.1374071328359083E-2</c:v>
                </c:pt>
                <c:pt idx="1066">
                  <c:v>5.1364183187981576E-2</c:v>
                </c:pt>
                <c:pt idx="1067">
                  <c:v>5.1357474183564865E-2</c:v>
                </c:pt>
                <c:pt idx="1068">
                  <c:v>5.1350820750437447E-2</c:v>
                </c:pt>
                <c:pt idx="1069">
                  <c:v>5.1344222888331598E-2</c:v>
                </c:pt>
                <c:pt idx="1070">
                  <c:v>5.1347098641080495E-2</c:v>
                </c:pt>
                <c:pt idx="1071">
                  <c:v>5.1340621112677433E-2</c:v>
                </c:pt>
                <c:pt idx="1072">
                  <c:v>5.1334199178094009E-2</c:v>
                </c:pt>
                <c:pt idx="1073">
                  <c:v>5.1327832837064186E-2</c:v>
                </c:pt>
                <c:pt idx="1074">
                  <c:v>5.1318369847590847E-2</c:v>
                </c:pt>
                <c:pt idx="1075">
                  <c:v>5.1312111596297297E-2</c:v>
                </c:pt>
                <c:pt idx="1076">
                  <c:v>5.1305908929918556E-2</c:v>
                </c:pt>
                <c:pt idx="1077">
                  <c:v>5.1299761848201703E-2</c:v>
                </c:pt>
                <c:pt idx="1078">
                  <c:v>5.1293670350894681E-2</c:v>
                </c:pt>
                <c:pt idx="1079">
                  <c:v>5.129080224088467E-2</c:v>
                </c:pt>
                <c:pt idx="1080">
                  <c:v>5.128482504746408E-2</c:v>
                </c:pt>
                <c:pt idx="1081">
                  <c:v>5.1278903445548911E-2</c:v>
                </c:pt>
                <c:pt idx="1082">
                  <c:v>5.1273037434891623E-2</c:v>
                </c:pt>
                <c:pt idx="1083">
                  <c:v>5.1267227015252589E-2</c:v>
                </c:pt>
                <c:pt idx="1084">
                  <c:v>5.1261472186386041E-2</c:v>
                </c:pt>
                <c:pt idx="1085">
                  <c:v>5.1255772948056763E-2</c:v>
                </c:pt>
                <c:pt idx="1086">
                  <c:v>5.1250129300026905E-2</c:v>
                </c:pt>
                <c:pt idx="1087">
                  <c:v>5.1244541242062132E-2</c:v>
                </c:pt>
                <c:pt idx="1088">
                  <c:v>5.1239008773929874E-2</c:v>
                </c:pt>
                <c:pt idx="1089">
                  <c:v>5.1233531895402862E-2</c:v>
                </c:pt>
                <c:pt idx="1090">
                  <c:v>5.1228110606252035E-2</c:v>
                </c:pt>
                <c:pt idx="1091">
                  <c:v>5.1222744906252768E-2</c:v>
                </c:pt>
                <c:pt idx="1092">
                  <c:v>5.1217434795182183E-2</c:v>
                </c:pt>
                <c:pt idx="1093">
                  <c:v>5.1212180272820033E-2</c:v>
                </c:pt>
                <c:pt idx="1094">
                  <c:v>5.1206981338948736E-2</c:v>
                </c:pt>
                <c:pt idx="1095">
                  <c:v>5.1201837993352463E-2</c:v>
                </c:pt>
                <c:pt idx="1096">
                  <c:v>5.1193528059420013E-2</c:v>
                </c:pt>
                <c:pt idx="1097">
                  <c:v>5.1188492620989519E-2</c:v>
                </c:pt>
                <c:pt idx="1098">
                  <c:v>5.1183512762402655E-2</c:v>
                </c:pt>
                <c:pt idx="1099">
                  <c:v>5.1178588483452803E-2</c:v>
                </c:pt>
                <c:pt idx="1100">
                  <c:v>5.1173719783938677E-2</c:v>
                </c:pt>
                <c:pt idx="1101">
                  <c:v>5.1172145261758929E-2</c:v>
                </c:pt>
                <c:pt idx="1102">
                  <c:v>5.1167391028239258E-2</c:v>
                </c:pt>
                <c:pt idx="1103">
                  <c:v>5.1162692381353424E-2</c:v>
                </c:pt>
                <c:pt idx="1104">
                  <c:v>5.1158049320903218E-2</c:v>
                </c:pt>
                <c:pt idx="1105">
                  <c:v>5.1153461846697466E-2</c:v>
                </c:pt>
                <c:pt idx="1106">
                  <c:v>5.1148929958546772E-2</c:v>
                </c:pt>
                <c:pt idx="1107">
                  <c:v>5.1144453656261739E-2</c:v>
                </c:pt>
                <c:pt idx="1108">
                  <c:v>5.1140032939657368E-2</c:v>
                </c:pt>
                <c:pt idx="1109">
                  <c:v>5.1132402530719122E-2</c:v>
                </c:pt>
                <c:pt idx="1110">
                  <c:v>5.1128089614951473E-2</c:v>
                </c:pt>
                <c:pt idx="1111">
                  <c:v>5.1123832276547085E-2</c:v>
                </c:pt>
                <c:pt idx="1112">
                  <c:v>5.1119630515331395E-2</c:v>
                </c:pt>
                <c:pt idx="1113">
                  <c:v>5.1115484331131625E-2</c:v>
                </c:pt>
                <c:pt idx="1114">
                  <c:v>5.1111393723778556E-2</c:v>
                </c:pt>
                <c:pt idx="1115">
                  <c:v>5.1107358693102976E-2</c:v>
                </c:pt>
                <c:pt idx="1116">
                  <c:v>5.1103379238941003E-2</c:v>
                </c:pt>
                <c:pt idx="1117">
                  <c:v>5.1098899343988605E-2</c:v>
                </c:pt>
                <c:pt idx="1118">
                  <c:v>5.1091743238449672E-2</c:v>
                </c:pt>
                <c:pt idx="1119">
                  <c:v>5.1087935012323948E-2</c:v>
                </c:pt>
                <c:pt idx="1120">
                  <c:v>5.1084182354293808E-2</c:v>
                </c:pt>
                <c:pt idx="1121">
                  <c:v>5.1080485264202578E-2</c:v>
                </c:pt>
                <c:pt idx="1122">
                  <c:v>5.1083463480317906E-2</c:v>
                </c:pt>
                <c:pt idx="1123">
                  <c:v>5.1079884468639133E-2</c:v>
                </c:pt>
                <c:pt idx="1124">
                  <c:v>5.107636103996032E-2</c:v>
                </c:pt>
                <c:pt idx="1125">
                  <c:v>5.1072893194135244E-2</c:v>
                </c:pt>
                <c:pt idx="1126">
                  <c:v>5.1069480931022065E-2</c:v>
                </c:pt>
                <c:pt idx="1127">
                  <c:v>5.1062796624206562E-2</c:v>
                </c:pt>
                <c:pt idx="1128">
                  <c:v>5.1059492015338409E-2</c:v>
                </c:pt>
                <c:pt idx="1129">
                  <c:v>5.1056242981018282E-2</c:v>
                </c:pt>
                <c:pt idx="1130">
                  <c:v>5.1053049521113461E-2</c:v>
                </c:pt>
                <c:pt idx="1131">
                  <c:v>5.1053253351246344E-2</c:v>
                </c:pt>
                <c:pt idx="1132">
                  <c:v>5.105017458150627E-2</c:v>
                </c:pt>
                <c:pt idx="1133">
                  <c:v>5.1047151393534621E-2</c:v>
                </c:pt>
                <c:pt idx="1134">
                  <c:v>5.1044183787205405E-2</c:v>
                </c:pt>
                <c:pt idx="1135">
                  <c:v>5.1041271762397068E-2</c:v>
                </c:pt>
                <c:pt idx="1136">
                  <c:v>5.1038415318986265E-2</c:v>
                </c:pt>
                <c:pt idx="1137">
                  <c:v>5.1035614456856719E-2</c:v>
                </c:pt>
                <c:pt idx="1138">
                  <c:v>5.1032869175891268E-2</c:v>
                </c:pt>
                <c:pt idx="1139">
                  <c:v>5.1030179475974505E-2</c:v>
                </c:pt>
                <c:pt idx="1140">
                  <c:v>5.1027545356997189E-2</c:v>
                </c:pt>
                <c:pt idx="1141">
                  <c:v>5.102496681885009E-2</c:v>
                </c:pt>
                <c:pt idx="1142">
                  <c:v>5.1022443861423974E-2</c:v>
                </c:pt>
                <c:pt idx="1143">
                  <c:v>5.1019976484616647E-2</c:v>
                </c:pt>
                <c:pt idx="1144">
                  <c:v>5.1017564688323282E-2</c:v>
                </c:pt>
                <c:pt idx="1145">
                  <c:v>5.1015208472446096E-2</c:v>
                </c:pt>
                <c:pt idx="1146">
                  <c:v>5.1012907836885529E-2</c:v>
                </c:pt>
                <c:pt idx="1147">
                  <c:v>5.101066278154822E-2</c:v>
                </c:pt>
                <c:pt idx="1148">
                  <c:v>5.1005070329335531E-2</c:v>
                </c:pt>
                <c:pt idx="1149">
                  <c:v>5.1002932761003664E-2</c:v>
                </c:pt>
                <c:pt idx="1150">
                  <c:v>5.1000850764898867E-2</c:v>
                </c:pt>
                <c:pt idx="1151">
                  <c:v>5.0998824340933849E-2</c:v>
                </c:pt>
                <c:pt idx="1152">
                  <c:v>5.0996853489027577E-2</c:v>
                </c:pt>
                <c:pt idx="1153">
                  <c:v>5.0998359629124301E-2</c:v>
                </c:pt>
                <c:pt idx="1154">
                  <c:v>5.0996503632860207E-2</c:v>
                </c:pt>
                <c:pt idx="1155">
                  <c:v>5.099470321613752E-2</c:v>
                </c:pt>
                <c:pt idx="1156">
                  <c:v>5.100326016533778E-2</c:v>
                </c:pt>
                <c:pt idx="1157">
                  <c:v>5.0991269121020359E-2</c:v>
                </c:pt>
                <c:pt idx="1158">
                  <c:v>5.0989635442482292E-2</c:v>
                </c:pt>
                <c:pt idx="1159">
                  <c:v>5.0988057343201089E-2</c:v>
                </c:pt>
                <c:pt idx="1160">
                  <c:v>5.0986534823109796E-2</c:v>
                </c:pt>
                <c:pt idx="1161">
                  <c:v>5.0978165901842468E-2</c:v>
                </c:pt>
                <c:pt idx="1162">
                  <c:v>5.097674699401588E-2</c:v>
                </c:pt>
                <c:pt idx="1163">
                  <c:v>5.0975383649767003E-2</c:v>
                </c:pt>
                <c:pt idx="1164">
                  <c:v>5.0974075869044511E-2</c:v>
                </c:pt>
                <c:pt idx="1165">
                  <c:v>5.0972823651793467E-2</c:v>
                </c:pt>
                <c:pt idx="1166">
                  <c:v>5.0971626997963454E-2</c:v>
                </c:pt>
                <c:pt idx="1167">
                  <c:v>5.0970485907504935E-2</c:v>
                </c:pt>
                <c:pt idx="1168">
                  <c:v>5.0969400380372891E-2</c:v>
                </c:pt>
                <c:pt idx="1169">
                  <c:v>5.0971851461945279E-2</c:v>
                </c:pt>
                <c:pt idx="1170">
                  <c:v>5.0963911826104671E-2</c:v>
                </c:pt>
                <c:pt idx="1171">
                  <c:v>5.0962989147942186E-2</c:v>
                </c:pt>
                <c:pt idx="1172">
                  <c:v>5.0962122025233092E-2</c:v>
                </c:pt>
                <c:pt idx="1173">
                  <c:v>5.0961310457944616E-2</c:v>
                </c:pt>
                <c:pt idx="1174">
                  <c:v>5.0971055325693605E-2</c:v>
                </c:pt>
                <c:pt idx="1175">
                  <c:v>5.0970366487175157E-2</c:v>
                </c:pt>
                <c:pt idx="1176">
                  <c:v>5.0969733227112797E-2</c:v>
                </c:pt>
                <c:pt idx="1177">
                  <c:v>5.0969155279802461E-2</c:v>
                </c:pt>
                <c:pt idx="1178">
                  <c:v>5.0968627916965367E-2</c:v>
                </c:pt>
                <c:pt idx="1179">
                  <c:v>5.0964625867790631E-2</c:v>
                </c:pt>
                <c:pt idx="1180">
                  <c:v>5.0964173616050018E-2</c:v>
                </c:pt>
                <c:pt idx="1181">
                  <c:v>5.0963747326080062E-2</c:v>
                </c:pt>
                <c:pt idx="1182">
                  <c:v>5.0963338361957801E-2</c:v>
                </c:pt>
                <c:pt idx="1183">
                  <c:v>5.0966452537213443E-2</c:v>
                </c:pt>
                <c:pt idx="1184">
                  <c:v>5.0966049945437485E-2</c:v>
                </c:pt>
                <c:pt idx="1185">
                  <c:v>5.0965638247500514E-2</c:v>
                </c:pt>
                <c:pt idx="1186">
                  <c:v>5.0965208900173115E-2</c:v>
                </c:pt>
                <c:pt idx="1187">
                  <c:v>5.0964753360225871E-2</c:v>
                </c:pt>
                <c:pt idx="1188">
                  <c:v>5.0964263084439083E-2</c:v>
                </c:pt>
                <c:pt idx="1189">
                  <c:v>5.0963729529593896E-2</c:v>
                </c:pt>
                <c:pt idx="1190">
                  <c:v>5.0963144264566419E-2</c:v>
                </c:pt>
                <c:pt idx="1191">
                  <c:v>5.0962502561125431E-2</c:v>
                </c:pt>
                <c:pt idx="1192">
                  <c:v>5.0961804153623246E-2</c:v>
                </c:pt>
                <c:pt idx="1193">
                  <c:v>5.0961049042086301E-2</c:v>
                </c:pt>
                <c:pt idx="1194">
                  <c:v>5.0960237226549826E-2</c:v>
                </c:pt>
                <c:pt idx="1195">
                  <c:v>5.0959368707046419E-2</c:v>
                </c:pt>
                <c:pt idx="1196">
                  <c:v>5.0958443483612205E-2</c:v>
                </c:pt>
                <c:pt idx="1197">
                  <c:v>5.0957461556287692E-2</c:v>
                </c:pt>
                <c:pt idx="1198">
                  <c:v>5.0956422925113411E-2</c:v>
                </c:pt>
                <c:pt idx="1199">
                  <c:v>5.0955327590133416E-2</c:v>
                </c:pt>
                <c:pt idx="1200">
                  <c:v>5.0954175551396141E-2</c:v>
                </c:pt>
                <c:pt idx="1201">
                  <c:v>5.0949522685541732E-2</c:v>
                </c:pt>
                <c:pt idx="1202">
                  <c:v>5.0948261464643145E-2</c:v>
                </c:pt>
                <c:pt idx="1203">
                  <c:v>5.0946943547996067E-2</c:v>
                </c:pt>
                <c:pt idx="1204">
                  <c:v>5.0945568935654807E-2</c:v>
                </c:pt>
                <c:pt idx="1205">
                  <c:v>5.0947564803110877E-2</c:v>
                </c:pt>
                <c:pt idx="1206">
                  <c:v>5.0946072542927635E-2</c:v>
                </c:pt>
                <c:pt idx="1207">
                  <c:v>5.0944523579376504E-2</c:v>
                </c:pt>
                <c:pt idx="1208">
                  <c:v>5.0942917912524435E-2</c:v>
                </c:pt>
                <c:pt idx="1209">
                  <c:v>5.0941255542438363E-2</c:v>
                </c:pt>
                <c:pt idx="1210">
                  <c:v>5.0939536469188779E-2</c:v>
                </c:pt>
                <c:pt idx="1211">
                  <c:v>5.0937760692849679E-2</c:v>
                </c:pt>
                <c:pt idx="1212">
                  <c:v>5.0935928213494172E-2</c:v>
                </c:pt>
                <c:pt idx="1213">
                  <c:v>5.0930646128616419E-2</c:v>
                </c:pt>
                <c:pt idx="1214">
                  <c:v>5.0925315879982169E-2</c:v>
                </c:pt>
                <c:pt idx="1215">
                  <c:v>5.0923321945433503E-2</c:v>
                </c:pt>
                <c:pt idx="1216">
                  <c:v>5.0921271323881398E-2</c:v>
                </c:pt>
                <c:pt idx="1217">
                  <c:v>5.09191640154096E-2</c:v>
                </c:pt>
                <c:pt idx="1218">
                  <c:v>5.0917000020106365E-2</c:v>
                </c:pt>
                <c:pt idx="1219">
                  <c:v>5.0914779338061746E-2</c:v>
                </c:pt>
                <c:pt idx="1220">
                  <c:v>5.0912501969365788E-2</c:v>
                </c:pt>
                <c:pt idx="1221">
                  <c:v>5.091016791411395E-2</c:v>
                </c:pt>
                <c:pt idx="1222">
                  <c:v>5.0904423208994E-2</c:v>
                </c:pt>
                <c:pt idx="1223">
                  <c:v>5.0901980168574508E-2</c:v>
                </c:pt>
                <c:pt idx="1224">
                  <c:v>5.089948044972982E-2</c:v>
                </c:pt>
                <c:pt idx="1225">
                  <c:v>5.0896924052559189E-2</c:v>
                </c:pt>
                <c:pt idx="1226">
                  <c:v>5.0904319733733938E-2</c:v>
                </c:pt>
                <c:pt idx="1227">
                  <c:v>5.0901636719803224E-2</c:v>
                </c:pt>
                <c:pt idx="1228">
                  <c:v>5.0898897004386302E-2</c:v>
                </c:pt>
                <c:pt idx="1229">
                  <c:v>5.0896100587600329E-2</c:v>
                </c:pt>
                <c:pt idx="1230">
                  <c:v>5.0893247469562475E-2</c:v>
                </c:pt>
                <c:pt idx="1231">
                  <c:v>5.0887023696708729E-2</c:v>
                </c:pt>
                <c:pt idx="1232">
                  <c:v>5.0884061636971574E-2</c:v>
                </c:pt>
                <c:pt idx="1233">
                  <c:v>5.0881042884174693E-2</c:v>
                </c:pt>
                <c:pt idx="1234">
                  <c:v>5.0877523461064313E-2</c:v>
                </c:pt>
                <c:pt idx="1235">
                  <c:v>5.0887564170721274E-2</c:v>
                </c:pt>
                <c:pt idx="1236">
                  <c:v>5.088105870890753E-2</c:v>
                </c:pt>
                <c:pt idx="1237">
                  <c:v>5.0877791580756372E-2</c:v>
                </c:pt>
                <c:pt idx="1238">
                  <c:v>5.0874467736778298E-2</c:v>
                </c:pt>
                <c:pt idx="1239">
                  <c:v>5.0861255348355568E-2</c:v>
                </c:pt>
                <c:pt idx="1240">
                  <c:v>5.0867649901924293E-2</c:v>
                </c:pt>
                <c:pt idx="1241">
                  <c:v>5.0864155911340636E-2</c:v>
                </c:pt>
                <c:pt idx="1242">
                  <c:v>5.0860605205522408E-2</c:v>
                </c:pt>
                <c:pt idx="1243">
                  <c:v>5.0856997784620481E-2</c:v>
                </c:pt>
                <c:pt idx="1244">
                  <c:v>5.0856587949864598E-2</c:v>
                </c:pt>
                <c:pt idx="1245">
                  <c:v>5.0849612798196678E-2</c:v>
                </c:pt>
                <c:pt idx="1246">
                  <c:v>5.0845835232993811E-2</c:v>
                </c:pt>
                <c:pt idx="1247">
                  <c:v>5.0842000953345276E-2</c:v>
                </c:pt>
                <c:pt idx="1248">
                  <c:v>5.0838109959421784E-2</c:v>
                </c:pt>
                <c:pt idx="1249">
                  <c:v>5.0834162251387149E-2</c:v>
                </c:pt>
                <c:pt idx="1250">
                  <c:v>5.0830157829413823E-2</c:v>
                </c:pt>
                <c:pt idx="1251">
                  <c:v>5.0826096693675098E-2</c:v>
                </c:pt>
                <c:pt idx="1252">
                  <c:v>5.0812325326211362E-2</c:v>
                </c:pt>
                <c:pt idx="1253">
                  <c:v>5.0808164643323578E-2</c:v>
                </c:pt>
                <c:pt idx="1254">
                  <c:v>5.0803947270553804E-2</c:v>
                </c:pt>
                <c:pt idx="1255">
                  <c:v>5.0799673208075699E-2</c:v>
                </c:pt>
                <c:pt idx="1256">
                  <c:v>5.0795342456070071E-2</c:v>
                </c:pt>
                <c:pt idx="1257">
                  <c:v>5.0800538900171707E-2</c:v>
                </c:pt>
                <c:pt idx="1258">
                  <c:v>5.0796080773128513E-2</c:v>
                </c:pt>
                <c:pt idx="1259">
                  <c:v>5.0791565933793414E-2</c:v>
                </c:pt>
                <c:pt idx="1260">
                  <c:v>5.0790174682036685E-2</c:v>
                </c:pt>
                <c:pt idx="1261">
                  <c:v>5.0782366119032959E-2</c:v>
                </c:pt>
                <c:pt idx="1262">
                  <c:v>5.077768114400593E-2</c:v>
                </c:pt>
                <c:pt idx="1263">
                  <c:v>5.0772939457481077E-2</c:v>
                </c:pt>
                <c:pt idx="1264">
                  <c:v>5.0768141059666191E-2</c:v>
                </c:pt>
                <c:pt idx="1265">
                  <c:v>5.0753814689990899E-2</c:v>
                </c:pt>
                <c:pt idx="1266">
                  <c:v>5.0745764370882733E-2</c:v>
                </c:pt>
                <c:pt idx="1267">
                  <c:v>5.0740814779531782E-2</c:v>
                </c:pt>
                <c:pt idx="1268">
                  <c:v>5.0735808508735408E-2</c:v>
                </c:pt>
                <c:pt idx="1269">
                  <c:v>5.073074555869983E-2</c:v>
                </c:pt>
                <c:pt idx="1270">
                  <c:v>5.0725625929635774E-2</c:v>
                </c:pt>
                <c:pt idx="1271">
                  <c:v>5.0720449621753955E-2</c:v>
                </c:pt>
                <c:pt idx="1272">
                  <c:v>5.0715216635270496E-2</c:v>
                </c:pt>
                <c:pt idx="1273">
                  <c:v>5.0709926970399721E-2</c:v>
                </c:pt>
                <c:pt idx="1274">
                  <c:v>5.0701465854890646E-2</c:v>
                </c:pt>
                <c:pt idx="1275">
                  <c:v>5.0696067627586973E-2</c:v>
                </c:pt>
                <c:pt idx="1276">
                  <c:v>5.0690612730287833E-2</c:v>
                </c:pt>
                <c:pt idx="1277">
                  <c:v>5.0685101163219962E-2</c:v>
                </c:pt>
                <c:pt idx="1278">
                  <c:v>5.0685723853746277E-2</c:v>
                </c:pt>
                <c:pt idx="1279">
                  <c:v>5.0692449725447696E-2</c:v>
                </c:pt>
                <c:pt idx="1280">
                  <c:v>5.0683654135946492E-2</c:v>
                </c:pt>
                <c:pt idx="1281">
                  <c:v>5.0677891679943805E-2</c:v>
                </c:pt>
                <c:pt idx="1282">
                  <c:v>5.0672072516762028E-2</c:v>
                </c:pt>
                <c:pt idx="1283">
                  <c:v>5.0656984229513757E-2</c:v>
                </c:pt>
                <c:pt idx="1284">
                  <c:v>5.0647659102524195E-2</c:v>
                </c:pt>
                <c:pt idx="1285">
                  <c:v>5.0641652052392287E-2</c:v>
                </c:pt>
                <c:pt idx="1286">
                  <c:v>5.0635588319347474E-2</c:v>
                </c:pt>
                <c:pt idx="1287">
                  <c:v>5.0632516586045395E-2</c:v>
                </c:pt>
                <c:pt idx="1288">
                  <c:v>5.0626334587199423E-2</c:v>
                </c:pt>
                <c:pt idx="1289">
                  <c:v>5.0620095898520283E-2</c:v>
                </c:pt>
                <c:pt idx="1290">
                  <c:v>5.0613800520275781E-2</c:v>
                </c:pt>
                <c:pt idx="1291">
                  <c:v>5.0607448452726675E-2</c:v>
                </c:pt>
                <c:pt idx="1292">
                  <c:v>5.0601039696148702E-2</c:v>
                </c:pt>
                <c:pt idx="1293">
                  <c:v>5.0594574250807024E-2</c:v>
                </c:pt>
                <c:pt idx="1294">
                  <c:v>5.058805211698001E-2</c:v>
                </c:pt>
                <c:pt idx="1295">
                  <c:v>5.058147329493988E-2</c:v>
                </c:pt>
                <c:pt idx="1296">
                  <c:v>5.0574837784968525E-2</c:v>
                </c:pt>
                <c:pt idx="1297">
                  <c:v>5.0568145587345209E-2</c:v>
                </c:pt>
                <c:pt idx="1298">
                  <c:v>5.0561396702351824E-2</c:v>
                </c:pt>
                <c:pt idx="1299">
                  <c:v>5.0554591130278208E-2</c:v>
                </c:pt>
                <c:pt idx="1300">
                  <c:v>5.0547728871407141E-2</c:v>
                </c:pt>
                <c:pt idx="1301">
                  <c:v>5.0540809926033728E-2</c:v>
                </c:pt>
                <c:pt idx="1302">
                  <c:v>5.0533834294446925E-2</c:v>
                </c:pt>
                <c:pt idx="1303">
                  <c:v>5.0526801976945368E-2</c:v>
                </c:pt>
                <c:pt idx="1304">
                  <c:v>5.0516748647741784E-2</c:v>
                </c:pt>
                <c:pt idx="1305">
                  <c:v>5.0509607990336998E-2</c:v>
                </c:pt>
                <c:pt idx="1306">
                  <c:v>5.0502410655550049E-2</c:v>
                </c:pt>
                <c:pt idx="1307">
                  <c:v>5.0495156643682856E-2</c:v>
                </c:pt>
                <c:pt idx="1308">
                  <c:v>5.0490790111196782E-2</c:v>
                </c:pt>
                <c:pt idx="1309">
                  <c:v>5.0483417684532711E-2</c:v>
                </c:pt>
                <c:pt idx="1310">
                  <c:v>5.0475988574088401E-2</c:v>
                </c:pt>
                <c:pt idx="1311">
                  <c:v>5.0468502780173938E-2</c:v>
                </c:pt>
                <c:pt idx="1312">
                  <c:v>5.0460960303110862E-2</c:v>
                </c:pt>
                <c:pt idx="1313">
                  <c:v>5.0453361143216323E-2</c:v>
                </c:pt>
                <c:pt idx="1314">
                  <c:v>5.0445705300810086E-2</c:v>
                </c:pt>
                <c:pt idx="1315">
                  <c:v>5.0437992776220741E-2</c:v>
                </c:pt>
                <c:pt idx="1316">
                  <c:v>5.0430223569771608E-2</c:v>
                </c:pt>
                <c:pt idx="1317">
                  <c:v>5.0419499353564101E-2</c:v>
                </c:pt>
                <c:pt idx="1318">
                  <c:v>5.0411621914377695E-2</c:v>
                </c:pt>
                <c:pt idx="1319">
                  <c:v>5.040368780191043E-2</c:v>
                </c:pt>
                <c:pt idx="1320">
                  <c:v>5.0395697016497168E-2</c:v>
                </c:pt>
                <c:pt idx="1321">
                  <c:v>5.03876495584719E-2</c:v>
                </c:pt>
                <c:pt idx="1322">
                  <c:v>5.0379545428169484E-2</c:v>
                </c:pt>
                <c:pt idx="1323">
                  <c:v>5.037138462593193E-2</c:v>
                </c:pt>
                <c:pt idx="1324">
                  <c:v>5.0363167152098556E-2</c:v>
                </c:pt>
                <c:pt idx="1325">
                  <c:v>5.0354893007015816E-2</c:v>
                </c:pt>
                <c:pt idx="1326">
                  <c:v>5.034371007017438E-2</c:v>
                </c:pt>
                <c:pt idx="1327">
                  <c:v>5.0335327780518205E-2</c:v>
                </c:pt>
                <c:pt idx="1328">
                  <c:v>5.0326888828206698E-2</c:v>
                </c:pt>
                <c:pt idx="1329">
                  <c:v>5.031839321358926E-2</c:v>
                </c:pt>
                <c:pt idx="1330">
                  <c:v>5.031550327280758E-2</c:v>
                </c:pt>
                <c:pt idx="1331">
                  <c:v>5.0306883879278855E-2</c:v>
                </c:pt>
                <c:pt idx="1332">
                  <c:v>5.0298207809442004E-2</c:v>
                </c:pt>
                <c:pt idx="1333">
                  <c:v>5.0289475063661729E-2</c:v>
                </c:pt>
                <c:pt idx="1334">
                  <c:v>5.0280685642309794E-2</c:v>
                </c:pt>
                <c:pt idx="1335">
                  <c:v>5.0269034714789676E-2</c:v>
                </c:pt>
                <c:pt idx="1336">
                  <c:v>5.0260137209336413E-2</c:v>
                </c:pt>
                <c:pt idx="1337">
                  <c:v>5.0251183036947047E-2</c:v>
                </c:pt>
                <c:pt idx="1338">
                  <c:v>5.0242172197995642E-2</c:v>
                </c:pt>
                <c:pt idx="1339">
                  <c:v>5.0235888415069423E-2</c:v>
                </c:pt>
                <c:pt idx="1340">
                  <c:v>5.0226758948178067E-2</c:v>
                </c:pt>
                <c:pt idx="1341">
                  <c:v>5.0217572808372843E-2</c:v>
                </c:pt>
                <c:pt idx="1342">
                  <c:v>5.0208329996035181E-2</c:v>
                </c:pt>
                <c:pt idx="1343">
                  <c:v>5.0199030511561521E-2</c:v>
                </c:pt>
                <c:pt idx="1344">
                  <c:v>5.018967435534475E-2</c:v>
                </c:pt>
                <c:pt idx="1345">
                  <c:v>5.018026152777777E-2</c:v>
                </c:pt>
                <c:pt idx="1346">
                  <c:v>5.0170792029263167E-2</c:v>
                </c:pt>
                <c:pt idx="1347">
                  <c:v>5.0161265860198249E-2</c:v>
                </c:pt>
                <c:pt idx="1348">
                  <c:v>5.0151683020988248E-2</c:v>
                </c:pt>
                <c:pt idx="1349">
                  <c:v>5.0142043512039269E-2</c:v>
                </c:pt>
                <c:pt idx="1350">
                  <c:v>5.0132347333758313E-2</c:v>
                </c:pt>
                <c:pt idx="1351">
                  <c:v>5.0122594486555011E-2</c:v>
                </c:pt>
                <c:pt idx="1352">
                  <c:v>5.0112784970843399E-2</c:v>
                </c:pt>
                <c:pt idx="1353">
                  <c:v>5.0102918787039291E-2</c:v>
                </c:pt>
                <c:pt idx="1354">
                  <c:v>5.0092995935557605E-2</c:v>
                </c:pt>
                <c:pt idx="1355">
                  <c:v>5.0083016416822952E-2</c:v>
                </c:pt>
                <c:pt idx="1356">
                  <c:v>5.0070287556366479E-2</c:v>
                </c:pt>
                <c:pt idx="1357">
                  <c:v>5.0060200127126094E-2</c:v>
                </c:pt>
                <c:pt idx="1358">
                  <c:v>5.0050056039316962E-2</c:v>
                </c:pt>
                <c:pt idx="1359">
                  <c:v>5.0039855293370156E-2</c:v>
                </c:pt>
                <c:pt idx="1360">
                  <c:v>5.0032268829170778E-2</c:v>
                </c:pt>
                <c:pt idx="1361">
                  <c:v>5.0021949315854554E-2</c:v>
                </c:pt>
                <c:pt idx="1362">
                  <c:v>5.0011573138290237E-2</c:v>
                </c:pt>
                <c:pt idx="1363">
                  <c:v>5.0001140296915665E-2</c:v>
                </c:pt>
                <c:pt idx="1364">
                  <c:v>4.9993299595034145E-2</c:v>
                </c:pt>
                <c:pt idx="1365">
                  <c:v>4.9980104624508172E-2</c:v>
                </c:pt>
                <c:pt idx="1366">
                  <c:v>4.9969501794365885E-2</c:v>
                </c:pt>
                <c:pt idx="1367">
                  <c:v>4.995884230219283E-2</c:v>
                </c:pt>
                <c:pt idx="1368">
                  <c:v>4.9948126148444447E-2</c:v>
                </c:pt>
                <c:pt idx="1369">
                  <c:v>4.9932109840077864E-2</c:v>
                </c:pt>
                <c:pt idx="1370">
                  <c:v>4.9921291400783607E-2</c:v>
                </c:pt>
                <c:pt idx="1371">
                  <c:v>4.9910416315981615E-2</c:v>
                </c:pt>
                <c:pt idx="1372">
                  <c:v>4.9899484586117634E-2</c:v>
                </c:pt>
                <c:pt idx="1373">
                  <c:v>4.9886921819843111E-2</c:v>
                </c:pt>
                <c:pt idx="1374">
                  <c:v>4.9875868709237277E-2</c:v>
                </c:pt>
                <c:pt idx="1375">
                  <c:v>4.9864758955001275E-2</c:v>
                </c:pt>
                <c:pt idx="1376">
                  <c:v>4.9853592557595264E-2</c:v>
                </c:pt>
                <c:pt idx="1377">
                  <c:v>4.984076160217249E-2</c:v>
                </c:pt>
                <c:pt idx="1378">
                  <c:v>4.9826903152745558E-2</c:v>
                </c:pt>
                <c:pt idx="1379">
                  <c:v>4.981556432125963E-2</c:v>
                </c:pt>
                <c:pt idx="1380">
                  <c:v>4.9804168855835627E-2</c:v>
                </c:pt>
                <c:pt idx="1381">
                  <c:v>4.979271675693888E-2</c:v>
                </c:pt>
                <c:pt idx="1382">
                  <c:v>4.9788851992136854E-2</c:v>
                </c:pt>
                <c:pt idx="1383">
                  <c:v>4.9777269783582635E-2</c:v>
                </c:pt>
                <c:pt idx="1384">
                  <c:v>4.9765630921133987E-2</c:v>
                </c:pt>
                <c:pt idx="1385">
                  <c:v>4.9753935405288649E-2</c:v>
                </c:pt>
                <c:pt idx="1386">
                  <c:v>4.9739658060459394E-2</c:v>
                </c:pt>
                <c:pt idx="1387">
                  <c:v>4.9727854884342795E-2</c:v>
                </c:pt>
                <c:pt idx="1388">
                  <c:v>4.9715995063574263E-2</c:v>
                </c:pt>
                <c:pt idx="1389">
                  <c:v>4.970407859865076E-2</c:v>
                </c:pt>
                <c:pt idx="1390">
                  <c:v>4.9692105490070144E-2</c:v>
                </c:pt>
                <c:pt idx="1391">
                  <c:v>4.9682572616708637E-2</c:v>
                </c:pt>
                <c:pt idx="1392">
                  <c:v>4.9670480541061615E-2</c:v>
                </c:pt>
                <c:pt idx="1393">
                  <c:v>4.9658331816039382E-2</c:v>
                </c:pt>
                <c:pt idx="1394">
                  <c:v>4.9646126442161688E-2</c:v>
                </c:pt>
                <c:pt idx="1395">
                  <c:v>4.9633864419941241E-2</c:v>
                </c:pt>
                <c:pt idx="1396">
                  <c:v>4.9621545749898667E-2</c:v>
                </c:pt>
                <c:pt idx="1397">
                  <c:v>4.9609170432554611E-2</c:v>
                </c:pt>
                <c:pt idx="1398">
                  <c:v>4.9596738468434105E-2</c:v>
                </c:pt>
                <c:pt idx="1399">
                  <c:v>4.9584249858061306E-2</c:v>
                </c:pt>
                <c:pt idx="1400">
                  <c:v>4.9571704601966547E-2</c:v>
                </c:pt>
                <c:pt idx="1401">
                  <c:v>4.955910270068014E-2</c:v>
                </c:pt>
                <c:pt idx="1402">
                  <c:v>4.954644415473506E-2</c:v>
                </c:pt>
                <c:pt idx="1403">
                  <c:v>4.9533728964668684E-2</c:v>
                </c:pt>
                <c:pt idx="1404">
                  <c:v>4.9520957131016612E-2</c:v>
                </c:pt>
                <c:pt idx="1405">
                  <c:v>4.9508128654321505E-2</c:v>
                </c:pt>
                <c:pt idx="1406">
                  <c:v>4.9495243535124266E-2</c:v>
                </c:pt>
                <c:pt idx="1407">
                  <c:v>4.948230177397283E-2</c:v>
                </c:pt>
                <c:pt idx="1408">
                  <c:v>4.9466904053318834E-2</c:v>
                </c:pt>
                <c:pt idx="1409">
                  <c:v>4.9453854813209484E-2</c:v>
                </c:pt>
                <c:pt idx="1410">
                  <c:v>4.9440748939920245E-2</c:v>
                </c:pt>
                <c:pt idx="1411">
                  <c:v>4.9427586433997084E-2</c:v>
                </c:pt>
                <c:pt idx="1412">
                  <c:v>4.9414367295994847E-2</c:v>
                </c:pt>
                <c:pt idx="1413">
                  <c:v>4.9403461756836922E-2</c:v>
                </c:pt>
                <c:pt idx="1414">
                  <c:v>4.939012351746834E-2</c:v>
                </c:pt>
                <c:pt idx="1415">
                  <c:v>4.9376728640591658E-2</c:v>
                </c:pt>
                <c:pt idx="1416">
                  <c:v>4.9363277126776843E-2</c:v>
                </c:pt>
                <c:pt idx="1417">
                  <c:v>4.9349768976590339E-2</c:v>
                </c:pt>
                <c:pt idx="1418">
                  <c:v>4.9336204190606511E-2</c:v>
                </c:pt>
                <c:pt idx="1419">
                  <c:v>4.9322582769396217E-2</c:v>
                </c:pt>
                <c:pt idx="1420">
                  <c:v>4.9308904713539985E-2</c:v>
                </c:pt>
                <c:pt idx="1421">
                  <c:v>4.9290523026691485E-2</c:v>
                </c:pt>
                <c:pt idx="1422">
                  <c:v>4.9276743492873087E-2</c:v>
                </c:pt>
                <c:pt idx="1423">
                  <c:v>4.9262907340232781E-2</c:v>
                </c:pt>
                <c:pt idx="1424">
                  <c:v>4.9249014569343302E-2</c:v>
                </c:pt>
                <c:pt idx="1425">
                  <c:v>4.9235065180778276E-2</c:v>
                </c:pt>
                <c:pt idx="1426">
                  <c:v>4.9221059175115829E-2</c:v>
                </c:pt>
                <c:pt idx="1427">
                  <c:v>4.9206996552936803E-2</c:v>
                </c:pt>
                <c:pt idx="1428">
                  <c:v>4.9192877314822019E-2</c:v>
                </c:pt>
                <c:pt idx="1429">
                  <c:v>4.9176671717805709E-2</c:v>
                </c:pt>
                <c:pt idx="1430">
                  <c:v>4.9160161271320182E-2</c:v>
                </c:pt>
                <c:pt idx="1431">
                  <c:v>4.9145870058263277E-2</c:v>
                </c:pt>
                <c:pt idx="1432">
                  <c:v>4.9131522238688351E-2</c:v>
                </c:pt>
                <c:pt idx="1433">
                  <c:v>4.9117117813180927E-2</c:v>
                </c:pt>
                <c:pt idx="1434">
                  <c:v>4.9113883174610101E-2</c:v>
                </c:pt>
                <c:pt idx="1435">
                  <c:v>4.910157377525487E-2</c:v>
                </c:pt>
                <c:pt idx="1436">
                  <c:v>4.908473139025292E-2</c:v>
                </c:pt>
                <c:pt idx="1437">
                  <c:v>4.9070071795218877E-2</c:v>
                </c:pt>
                <c:pt idx="1438">
                  <c:v>4.9048695347862166E-2</c:v>
                </c:pt>
                <c:pt idx="1439">
                  <c:v>4.9025517006397609E-2</c:v>
                </c:pt>
                <c:pt idx="1440">
                  <c:v>4.901072387201022E-2</c:v>
                </c:pt>
                <c:pt idx="1441">
                  <c:v>4.8993787999613236E-2</c:v>
                </c:pt>
                <c:pt idx="1442">
                  <c:v>4.898116369943472E-2</c:v>
                </c:pt>
                <c:pt idx="1443">
                  <c:v>4.8966319596469937E-2</c:v>
                </c:pt>
                <c:pt idx="1444">
                  <c:v>4.8951476003625413E-2</c:v>
                </c:pt>
                <c:pt idx="1445">
                  <c:v>4.8936640611585362E-2</c:v>
                </c:pt>
                <c:pt idx="1446">
                  <c:v>4.8921821110922976E-2</c:v>
                </c:pt>
                <c:pt idx="1447">
                  <c:v>4.8907025192094306E-2</c:v>
                </c:pt>
                <c:pt idx="1448">
                  <c:v>4.8892260545448783E-2</c:v>
                </c:pt>
                <c:pt idx="1449">
                  <c:v>4.8877534831318778E-2</c:v>
                </c:pt>
                <c:pt idx="1450">
                  <c:v>4.8862853105310508E-2</c:v>
                </c:pt>
                <c:pt idx="1451">
                  <c:v>4.8848215834053216E-2</c:v>
                </c:pt>
                <c:pt idx="1452">
                  <c:v>4.883362301706063E-2</c:v>
                </c:pt>
                <c:pt idx="1453">
                  <c:v>4.8819074653849111E-2</c:v>
                </c:pt>
                <c:pt idx="1454">
                  <c:v>4.8804570743936779E-2</c:v>
                </c:pt>
                <c:pt idx="1455">
                  <c:v>4.8790111286840888E-2</c:v>
                </c:pt>
                <c:pt idx="1456">
                  <c:v>4.8775696282081331E-2</c:v>
                </c:pt>
                <c:pt idx="1457">
                  <c:v>4.8761325729182396E-2</c:v>
                </c:pt>
                <c:pt idx="1458">
                  <c:v>4.8746999627663087E-2</c:v>
                </c:pt>
                <c:pt idx="1459">
                  <c:v>4.8732717977052989E-2</c:v>
                </c:pt>
                <c:pt idx="1460">
                  <c:v>4.8716251216850338E-2</c:v>
                </c:pt>
                <c:pt idx="1461">
                  <c:v>4.8702057174582751E-2</c:v>
                </c:pt>
                <c:pt idx="1462">
                  <c:v>4.8687907575400542E-2</c:v>
                </c:pt>
                <c:pt idx="1463">
                  <c:v>4.8673802418837911E-2</c:v>
                </c:pt>
                <c:pt idx="1464">
                  <c:v>4.8661976471069325E-2</c:v>
                </c:pt>
                <c:pt idx="1465">
                  <c:v>4.8647961515999531E-2</c:v>
                </c:pt>
                <c:pt idx="1466">
                  <c:v>4.8633991008551286E-2</c:v>
                </c:pt>
                <c:pt idx="1467">
                  <c:v>4.8620064948260336E-2</c:v>
                </c:pt>
                <c:pt idx="1468">
                  <c:v>4.8606183334664183E-2</c:v>
                </c:pt>
                <c:pt idx="1469">
                  <c:v>4.8592346167303874E-2</c:v>
                </c:pt>
                <c:pt idx="1470">
                  <c:v>4.8578553445719541E-2</c:v>
                </c:pt>
                <c:pt idx="1471">
                  <c:v>4.8564805169453988E-2</c:v>
                </c:pt>
                <c:pt idx="1472">
                  <c:v>4.8548855851799813E-2</c:v>
                </c:pt>
                <c:pt idx="1473">
                  <c:v>4.8532948571394112E-2</c:v>
                </c:pt>
                <c:pt idx="1474">
                  <c:v>4.8519330879172089E-2</c:v>
                </c:pt>
                <c:pt idx="1475">
                  <c:v>4.8505757617772025E-2</c:v>
                </c:pt>
                <c:pt idx="1476">
                  <c:v>4.8492228786751745E-2</c:v>
                </c:pt>
                <c:pt idx="1477">
                  <c:v>4.8478744385674517E-2</c:v>
                </c:pt>
                <c:pt idx="1478">
                  <c:v>4.8465304414102683E-2</c:v>
                </c:pt>
                <c:pt idx="1479">
                  <c:v>4.8451908871596797E-2</c:v>
                </c:pt>
                <c:pt idx="1480">
                  <c:v>4.843855775772641E-2</c:v>
                </c:pt>
                <c:pt idx="1481">
                  <c:v>4.8422993711191874E-2</c:v>
                </c:pt>
                <c:pt idx="1482">
                  <c:v>4.8409730029120059E-2</c:v>
                </c:pt>
                <c:pt idx="1483">
                  <c:v>4.8396510768083108E-2</c:v>
                </c:pt>
                <c:pt idx="1484">
                  <c:v>4.8383335927660316E-2</c:v>
                </c:pt>
                <c:pt idx="1485">
                  <c:v>4.8376995807362953E-2</c:v>
                </c:pt>
                <c:pt idx="1486">
                  <c:v>4.8363914156958628E-2</c:v>
                </c:pt>
                <c:pt idx="1487">
                  <c:v>4.835087694474894E-2</c:v>
                </c:pt>
                <c:pt idx="1488">
                  <c:v>4.8337884170303984E-2</c:v>
                </c:pt>
                <c:pt idx="1489">
                  <c:v>4.8324935833192986E-2</c:v>
                </c:pt>
                <c:pt idx="1490">
                  <c:v>4.8309760845408209E-2</c:v>
                </c:pt>
                <c:pt idx="1491">
                  <c:v>4.8296899899613596E-2</c:v>
                </c:pt>
                <c:pt idx="1492">
                  <c:v>4.8284083383607429E-2</c:v>
                </c:pt>
                <c:pt idx="1493">
                  <c:v>4.8269490340026693E-2</c:v>
                </c:pt>
                <c:pt idx="1494">
                  <c:v>4.8259046297582188E-2</c:v>
                </c:pt>
                <c:pt idx="1495">
                  <c:v>4.8246370923292196E-2</c:v>
                </c:pt>
                <c:pt idx="1496">
                  <c:v>4.8233739983300453E-2</c:v>
                </c:pt>
                <c:pt idx="1497">
                  <c:v>4.8221153477184989E-2</c:v>
                </c:pt>
                <c:pt idx="1498">
                  <c:v>4.8208611404532635E-2</c:v>
                </c:pt>
                <c:pt idx="1499">
                  <c:v>4.8196113764921431E-2</c:v>
                </c:pt>
                <c:pt idx="1500">
                  <c:v>4.8183660557942619E-2</c:v>
                </c:pt>
                <c:pt idx="1501">
                  <c:v>4.8171251783180394E-2</c:v>
                </c:pt>
                <c:pt idx="1502">
                  <c:v>4.8158887440222481E-2</c:v>
                </c:pt>
                <c:pt idx="1503">
                  <c:v>4.8146567528661005E-2</c:v>
                </c:pt>
                <c:pt idx="1504">
                  <c:v>4.8134292048083685E-2</c:v>
                </c:pt>
                <c:pt idx="1505">
                  <c:v>4.8122060998087059E-2</c:v>
                </c:pt>
                <c:pt idx="1506">
                  <c:v>4.8109874378261482E-2</c:v>
                </c:pt>
                <c:pt idx="1507">
                  <c:v>4.8097732188207003E-2</c:v>
                </c:pt>
                <c:pt idx="1508">
                  <c:v>4.808563442751753E-2</c:v>
                </c:pt>
                <c:pt idx="1509">
                  <c:v>4.8073581095793981E-2</c:v>
                </c:pt>
                <c:pt idx="1510">
                  <c:v>4.8061572192633767E-2</c:v>
                </c:pt>
                <c:pt idx="1511">
                  <c:v>4.8049607717639595E-2</c:v>
                </c:pt>
                <c:pt idx="1512">
                  <c:v>4.8035382307412097E-2</c:v>
                </c:pt>
                <c:pt idx="1513">
                  <c:v>4.8023505067926631E-2</c:v>
                </c:pt>
                <c:pt idx="1514">
                  <c:v>4.8011672249258411E-2</c:v>
                </c:pt>
                <c:pt idx="1515">
                  <c:v>4.7999883851020012E-2</c:v>
                </c:pt>
                <c:pt idx="1516">
                  <c:v>4.7990451751330342E-2</c:v>
                </c:pt>
                <c:pt idx="1517">
                  <c:v>4.7978753837051573E-2</c:v>
                </c:pt>
                <c:pt idx="1518">
                  <c:v>4.7967100348192085E-2</c:v>
                </c:pt>
                <c:pt idx="1519">
                  <c:v>4.7955491284365138E-2</c:v>
                </c:pt>
                <c:pt idx="1520">
                  <c:v>4.7943926645184883E-2</c:v>
                </c:pt>
                <c:pt idx="1521">
                  <c:v>4.7932406430268991E-2</c:v>
                </c:pt>
                <c:pt idx="1522">
                  <c:v>4.7920930639234249E-2</c:v>
                </c:pt>
                <c:pt idx="1523">
                  <c:v>4.7909499271700982E-2</c:v>
                </c:pt>
                <c:pt idx="1524">
                  <c:v>4.7898112327286864E-2</c:v>
                </c:pt>
                <c:pt idx="1525">
                  <c:v>4.7884442907854714E-2</c:v>
                </c:pt>
                <c:pt idx="1526">
                  <c:v>4.7873143109125646E-2</c:v>
                </c:pt>
                <c:pt idx="1527">
                  <c:v>4.7861887726282464E-2</c:v>
                </c:pt>
                <c:pt idx="1528">
                  <c:v>4.7850676758951112E-2</c:v>
                </c:pt>
                <c:pt idx="1529">
                  <c:v>4.7839510206767334E-2</c:v>
                </c:pt>
                <c:pt idx="1530">
                  <c:v>4.7828388069362397E-2</c:v>
                </c:pt>
                <c:pt idx="1531">
                  <c:v>4.7817310346372946E-2</c:v>
                </c:pt>
                <c:pt idx="1532">
                  <c:v>4.7806277037434709E-2</c:v>
                </c:pt>
                <c:pt idx="1533">
                  <c:v>4.7792947848864863E-2</c:v>
                </c:pt>
                <c:pt idx="1534">
                  <c:v>4.7782001619439428E-2</c:v>
                </c:pt>
                <c:pt idx="1535">
                  <c:v>4.7771099796907475E-2</c:v>
                </c:pt>
                <c:pt idx="1536">
                  <c:v>4.7760242380914204E-2</c:v>
                </c:pt>
                <c:pt idx="1537">
                  <c:v>4.7749429371106614E-2</c:v>
                </c:pt>
                <c:pt idx="1538">
                  <c:v>4.7743359324409117E-2</c:v>
                </c:pt>
                <c:pt idx="1539">
                  <c:v>4.7732638682314185E-2</c:v>
                </c:pt>
                <c:pt idx="1540">
                  <c:v>4.7721962457473996E-2</c:v>
                </c:pt>
                <c:pt idx="1541">
                  <c:v>4.7711330649533527E-2</c:v>
                </c:pt>
                <c:pt idx="1542">
                  <c:v>4.7698386641957725E-2</c:v>
                </c:pt>
                <c:pt idx="1543">
                  <c:v>4.7687841864009976E-2</c:v>
                </c:pt>
                <c:pt idx="1544">
                  <c:v>4.7677341495867859E-2</c:v>
                </c:pt>
                <c:pt idx="1545">
                  <c:v>4.7666885537184039E-2</c:v>
                </c:pt>
                <c:pt idx="1546">
                  <c:v>4.7658837851041476E-2</c:v>
                </c:pt>
                <c:pt idx="1547">
                  <c:v>4.7648472537147039E-2</c:v>
                </c:pt>
                <c:pt idx="1548">
                  <c:v>4.7638151637714773E-2</c:v>
                </c:pt>
                <c:pt idx="1549">
                  <c:v>4.7627875152402875E-2</c:v>
                </c:pt>
                <c:pt idx="1550">
                  <c:v>4.7617643080870416E-2</c:v>
                </c:pt>
                <c:pt idx="1551">
                  <c:v>4.7607455422775592E-2</c:v>
                </c:pt>
                <c:pt idx="1552">
                  <c:v>4.7597312177785414E-2</c:v>
                </c:pt>
                <c:pt idx="1553">
                  <c:v>4.7587213345558071E-2</c:v>
                </c:pt>
                <c:pt idx="1554">
                  <c:v>4.7577158925763224E-2</c:v>
                </c:pt>
                <c:pt idx="1555">
                  <c:v>4.7567148918062581E-2</c:v>
                </c:pt>
                <c:pt idx="1556">
                  <c:v>4.755718332212755E-2</c:v>
                </c:pt>
                <c:pt idx="1557">
                  <c:v>4.7547262137626028E-2</c:v>
                </c:pt>
                <c:pt idx="1558">
                  <c:v>4.7537385364229419E-2</c:v>
                </c:pt>
                <c:pt idx="1559">
                  <c:v>4.752755300161178E-2</c:v>
                </c:pt>
                <c:pt idx="1560">
                  <c:v>4.7517765049443633E-2</c:v>
                </c:pt>
                <c:pt idx="1561">
                  <c:v>4.7508021507401681E-2</c:v>
                </c:pt>
                <c:pt idx="1562">
                  <c:v>4.74983223751635E-2</c:v>
                </c:pt>
                <c:pt idx="1563">
                  <c:v>4.7488667652407543E-2</c:v>
                </c:pt>
                <c:pt idx="1564">
                  <c:v>4.7476659671748904E-2</c:v>
                </c:pt>
                <c:pt idx="1565">
                  <c:v>4.746709183213043E-2</c:v>
                </c:pt>
                <c:pt idx="1566">
                  <c:v>4.7457568395069746E-2</c:v>
                </c:pt>
                <c:pt idx="1567">
                  <c:v>4.7457705684315662E-2</c:v>
                </c:pt>
                <c:pt idx="1568">
                  <c:v>4.7441060169687355E-2</c:v>
                </c:pt>
                <c:pt idx="1569">
                  <c:v>4.7431671897145491E-2</c:v>
                </c:pt>
                <c:pt idx="1570">
                  <c:v>4.7422328031875578E-2</c:v>
                </c:pt>
                <c:pt idx="1571">
                  <c:v>4.741302857356313E-2</c:v>
                </c:pt>
                <c:pt idx="1572">
                  <c:v>4.7403773521904211E-2</c:v>
                </c:pt>
                <c:pt idx="1573">
                  <c:v>4.7394562876591384E-2</c:v>
                </c:pt>
                <c:pt idx="1574">
                  <c:v>4.7385396637317195E-2</c:v>
                </c:pt>
                <c:pt idx="1575">
                  <c:v>4.7376274803778609E-2</c:v>
                </c:pt>
                <c:pt idx="1576">
                  <c:v>4.736719737567345E-2</c:v>
                </c:pt>
                <c:pt idx="1577">
                  <c:v>4.7353318184462513E-2</c:v>
                </c:pt>
                <c:pt idx="1578">
                  <c:v>4.7344325542708399E-2</c:v>
                </c:pt>
                <c:pt idx="1579">
                  <c:v>4.7335377293643961E-2</c:v>
                </c:pt>
                <c:pt idx="1580">
                  <c:v>4.7323835544597362E-2</c:v>
                </c:pt>
                <c:pt idx="1581">
                  <c:v>4.7317436010831271E-2</c:v>
                </c:pt>
                <c:pt idx="1582">
                  <c:v>4.730621581182326E-2</c:v>
                </c:pt>
                <c:pt idx="1583">
                  <c:v>4.7297472541504466E-2</c:v>
                </c:pt>
                <c:pt idx="1584">
                  <c:v>4.728509604246238E-2</c:v>
                </c:pt>
                <c:pt idx="1585">
                  <c:v>4.7276445851148916E-2</c:v>
                </c:pt>
                <c:pt idx="1586">
                  <c:v>4.7267840050321565E-2</c:v>
                </c:pt>
                <c:pt idx="1587">
                  <c:v>4.7259278639701169E-2</c:v>
                </c:pt>
                <c:pt idx="1588">
                  <c:v>4.7250761619011268E-2</c:v>
                </c:pt>
                <c:pt idx="1589">
                  <c:v>4.7247187193981216E-2</c:v>
                </c:pt>
                <c:pt idx="1590">
                  <c:v>4.7238763126070595E-2</c:v>
                </c:pt>
                <c:pt idx="1591">
                  <c:v>4.7230383459030155E-2</c:v>
                </c:pt>
                <c:pt idx="1592">
                  <c:v>4.7222048192585922E-2</c:v>
                </c:pt>
                <c:pt idx="1593">
                  <c:v>4.7211299634275422E-2</c:v>
                </c:pt>
                <c:pt idx="1594">
                  <c:v>4.7203051057446238E-2</c:v>
                </c:pt>
                <c:pt idx="1595">
                  <c:v>4.7194846874515362E-2</c:v>
                </c:pt>
                <c:pt idx="1596">
                  <c:v>4.7186687085210254E-2</c:v>
                </c:pt>
                <c:pt idx="1597">
                  <c:v>4.7178571689266403E-2</c:v>
                </c:pt>
                <c:pt idx="1598">
                  <c:v>4.7172968990996267E-2</c:v>
                </c:pt>
                <c:pt idx="1599">
                  <c:v>4.7164944521046345E-2</c:v>
                </c:pt>
                <c:pt idx="1600">
                  <c:v>4.7156964449519362E-2</c:v>
                </c:pt>
                <c:pt idx="1601">
                  <c:v>4.7149028776151028E-2</c:v>
                </c:pt>
                <c:pt idx="1602">
                  <c:v>4.7141137500677062E-2</c:v>
                </c:pt>
                <c:pt idx="1603">
                  <c:v>4.713329062283847E-2</c:v>
                </c:pt>
                <c:pt idx="1604">
                  <c:v>4.7125488142370976E-2</c:v>
                </c:pt>
                <c:pt idx="1605">
                  <c:v>4.7117730059018224E-2</c:v>
                </c:pt>
                <c:pt idx="1606">
                  <c:v>4.7110016372522975E-2</c:v>
                </c:pt>
                <c:pt idx="1607">
                  <c:v>4.7102347082627997E-2</c:v>
                </c:pt>
                <c:pt idx="1608">
                  <c:v>4.7094722189079584E-2</c:v>
                </c:pt>
                <c:pt idx="1609">
                  <c:v>4.7087141691624909E-2</c:v>
                </c:pt>
                <c:pt idx="1610">
                  <c:v>4.7079605590012896E-2</c:v>
                </c:pt>
                <c:pt idx="1611">
                  <c:v>4.7072113883992482E-2</c:v>
                </c:pt>
                <c:pt idx="1612">
                  <c:v>4.7064666573316122E-2</c:v>
                </c:pt>
                <c:pt idx="1613">
                  <c:v>4.7057263657736277E-2</c:v>
                </c:pt>
                <c:pt idx="1614">
                  <c:v>4.7049905137007166E-2</c:v>
                </c:pt>
                <c:pt idx="1615">
                  <c:v>4.7040085530310659E-2</c:v>
                </c:pt>
                <c:pt idx="1616">
                  <c:v>4.7032813559271636E-2</c:v>
                </c:pt>
                <c:pt idx="1617">
                  <c:v>4.7025585976545846E-2</c:v>
                </c:pt>
                <c:pt idx="1618">
                  <c:v>4.701840278189371E-2</c:v>
                </c:pt>
                <c:pt idx="1619">
                  <c:v>4.7011263975080111E-2</c:v>
                </c:pt>
                <c:pt idx="1620">
                  <c:v>4.7006686290948986E-2</c:v>
                </c:pt>
                <c:pt idx="1621">
                  <c:v>4.6999638527427001E-2</c:v>
                </c:pt>
                <c:pt idx="1622">
                  <c:v>4.6992635156844993E-2</c:v>
                </c:pt>
                <c:pt idx="1623">
                  <c:v>4.6985676178970391E-2</c:v>
                </c:pt>
                <c:pt idx="1624">
                  <c:v>4.6978761593574149E-2</c:v>
                </c:pt>
                <c:pt idx="1625">
                  <c:v>4.697189140042371E-2</c:v>
                </c:pt>
                <c:pt idx="1626">
                  <c:v>4.6965065599294434E-2</c:v>
                </c:pt>
                <c:pt idx="1627">
                  <c:v>4.6958284189955499E-2</c:v>
                </c:pt>
                <c:pt idx="1628">
                  <c:v>4.6946477522101758E-2</c:v>
                </c:pt>
                <c:pt idx="1629">
                  <c:v>4.6939780267104166E-2</c:v>
                </c:pt>
                <c:pt idx="1630">
                  <c:v>4.693312739166855E-2</c:v>
                </c:pt>
                <c:pt idx="1631">
                  <c:v>4.6926518895578792E-2</c:v>
                </c:pt>
                <c:pt idx="1632">
                  <c:v>4.6919954778622361E-2</c:v>
                </c:pt>
                <c:pt idx="1633">
                  <c:v>4.6913435040583137E-2</c:v>
                </c:pt>
                <c:pt idx="1634">
                  <c:v>4.6906959681252199E-2</c:v>
                </c:pt>
                <c:pt idx="1635">
                  <c:v>4.6900528700417936E-2</c:v>
                </c:pt>
                <c:pt idx="1636">
                  <c:v>4.6893233348786187E-2</c:v>
                </c:pt>
                <c:pt idx="1637">
                  <c:v>4.6884341931027723E-2</c:v>
                </c:pt>
                <c:pt idx="1638">
                  <c:v>4.687804805815058E-2</c:v>
                </c:pt>
                <c:pt idx="1639">
                  <c:v>4.6871798557156917E-2</c:v>
                </c:pt>
                <c:pt idx="1640">
                  <c:v>4.6865593427847317E-2</c:v>
                </c:pt>
                <c:pt idx="1641">
                  <c:v>4.6867129105328247E-2</c:v>
                </c:pt>
                <c:pt idx="1642">
                  <c:v>4.6861019887928519E-2</c:v>
                </c:pt>
                <c:pt idx="1643">
                  <c:v>4.6854955058870273E-2</c:v>
                </c:pt>
                <c:pt idx="1644">
                  <c:v>4.684893461795353E-2</c:v>
                </c:pt>
                <c:pt idx="1645">
                  <c:v>4.6840383043239744E-2</c:v>
                </c:pt>
                <c:pt idx="1646">
                  <c:v>4.6834448964577571E-2</c:v>
                </c:pt>
                <c:pt idx="1647">
                  <c:v>4.6828559267719096E-2</c:v>
                </c:pt>
                <c:pt idx="1648">
                  <c:v>4.6822713952470174E-2</c:v>
                </c:pt>
                <c:pt idx="1649">
                  <c:v>4.6816913018640202E-2</c:v>
                </c:pt>
                <c:pt idx="1650">
                  <c:v>4.681374411232582E-2</c:v>
                </c:pt>
                <c:pt idx="1651">
                  <c:v>4.6808034382885839E-2</c:v>
                </c:pt>
                <c:pt idx="1652">
                  <c:v>4.6802369040029872E-2</c:v>
                </c:pt>
                <c:pt idx="1653">
                  <c:v>4.6796748083572044E-2</c:v>
                </c:pt>
                <c:pt idx="1654">
                  <c:v>4.6791171513322058E-2</c:v>
                </c:pt>
                <c:pt idx="1655">
                  <c:v>4.6785639329097566E-2</c:v>
                </c:pt>
                <c:pt idx="1656">
                  <c:v>4.678015153071622E-2</c:v>
                </c:pt>
                <c:pt idx="1657">
                  <c:v>4.6774708117993016E-2</c:v>
                </c:pt>
                <c:pt idx="1658">
                  <c:v>4.6769309090750881E-2</c:v>
                </c:pt>
                <c:pt idx="1659">
                  <c:v>4.6763954448806593E-2</c:v>
                </c:pt>
                <c:pt idx="1660">
                  <c:v>4.6758644191987483E-2</c:v>
                </c:pt>
                <c:pt idx="1661">
                  <c:v>4.6753378320113836E-2</c:v>
                </c:pt>
                <c:pt idx="1662">
                  <c:v>4.674815683301211E-2</c:v>
                </c:pt>
                <c:pt idx="1663">
                  <c:v>4.6742979730506999E-2</c:v>
                </c:pt>
                <c:pt idx="1664">
                  <c:v>4.6737847012429362E-2</c:v>
                </c:pt>
                <c:pt idx="1665">
                  <c:v>4.6732758678611819E-2</c:v>
                </c:pt>
                <c:pt idx="1666">
                  <c:v>4.6727714728878184E-2</c:v>
                </c:pt>
                <c:pt idx="1667">
                  <c:v>4.6720085222319074E-2</c:v>
                </c:pt>
                <c:pt idx="1668">
                  <c:v>4.6715127500936898E-2</c:v>
                </c:pt>
                <c:pt idx="1669">
                  <c:v>4.6710214157444148E-2</c:v>
                </c:pt>
                <c:pt idx="1670">
                  <c:v>4.6705345191676961E-2</c:v>
                </c:pt>
                <c:pt idx="1671">
                  <c:v>4.6700520603478589E-2</c:v>
                </c:pt>
                <c:pt idx="1672">
                  <c:v>4.6698383087062603E-2</c:v>
                </c:pt>
                <c:pt idx="1673">
                  <c:v>4.6693649821343379E-2</c:v>
                </c:pt>
                <c:pt idx="1674">
                  <c:v>4.6688960938414847E-2</c:v>
                </c:pt>
                <c:pt idx="1675">
                  <c:v>4.6684316438121078E-2</c:v>
                </c:pt>
                <c:pt idx="1676">
                  <c:v>4.6679716320308789E-2</c:v>
                </c:pt>
                <c:pt idx="1677">
                  <c:v>4.6675160584824703E-2</c:v>
                </c:pt>
                <c:pt idx="1678">
                  <c:v>4.6670649231519055E-2</c:v>
                </c:pt>
                <c:pt idx="1679">
                  <c:v>4.6666182260239449E-2</c:v>
                </c:pt>
                <c:pt idx="1680">
                  <c:v>4.6656433354000139E-2</c:v>
                </c:pt>
                <c:pt idx="1681">
                  <c:v>4.6652049920435333E-2</c:v>
                </c:pt>
                <c:pt idx="1682">
                  <c:v>4.664771085709507E-2</c:v>
                </c:pt>
                <c:pt idx="1683">
                  <c:v>4.6643416163842481E-2</c:v>
                </c:pt>
                <c:pt idx="1684">
                  <c:v>4.663916584053527E-2</c:v>
                </c:pt>
                <c:pt idx="1685">
                  <c:v>4.6634959887035664E-2</c:v>
                </c:pt>
                <c:pt idx="1686">
                  <c:v>4.6630798303208591E-2</c:v>
                </c:pt>
                <c:pt idx="1687">
                  <c:v>4.6626681088917162E-2</c:v>
                </c:pt>
                <c:pt idx="1688">
                  <c:v>4.6622030031030937E-2</c:v>
                </c:pt>
                <c:pt idx="1689">
                  <c:v>4.6615321357806487E-2</c:v>
                </c:pt>
                <c:pt idx="1690">
                  <c:v>4.6611340926054276E-2</c:v>
                </c:pt>
                <c:pt idx="1691">
                  <c:v>4.6607404857625608E-2</c:v>
                </c:pt>
                <c:pt idx="1692">
                  <c:v>4.6603513152397545E-2</c:v>
                </c:pt>
                <c:pt idx="1693">
                  <c:v>4.6607758940999999E-2</c:v>
                </c:pt>
                <c:pt idx="1694">
                  <c:v>4.6603964023168236E-2</c:v>
                </c:pt>
                <c:pt idx="1695">
                  <c:v>4.6600213485151351E-2</c:v>
                </c:pt>
                <c:pt idx="1696">
                  <c:v>4.6596506931066463E-2</c:v>
                </c:pt>
                <c:pt idx="1697">
                  <c:v>4.6590134004505006E-2</c:v>
                </c:pt>
                <c:pt idx="1698">
                  <c:v>4.6586507126332853E-2</c:v>
                </c:pt>
                <c:pt idx="1699">
                  <c:v>4.6582917763688766E-2</c:v>
                </c:pt>
                <c:pt idx="1700">
                  <c:v>4.6579363516120832E-2</c:v>
                </c:pt>
                <c:pt idx="1701">
                  <c:v>4.6575841983186948E-2</c:v>
                </c:pt>
                <c:pt idx="1702">
                  <c:v>4.6575066598069224E-2</c:v>
                </c:pt>
                <c:pt idx="1703">
                  <c:v>4.6571604211019482E-2</c:v>
                </c:pt>
                <c:pt idx="1704">
                  <c:v>4.6568167206402507E-2</c:v>
                </c:pt>
                <c:pt idx="1705">
                  <c:v>4.6564753209599269E-2</c:v>
                </c:pt>
                <c:pt idx="1706">
                  <c:v>4.6561359846002182E-2</c:v>
                </c:pt>
                <c:pt idx="1707">
                  <c:v>4.6557984741010729E-2</c:v>
                </c:pt>
                <c:pt idx="1708">
                  <c:v>4.6554625520034948E-2</c:v>
                </c:pt>
                <c:pt idx="1709">
                  <c:v>4.6551280057709241E-2</c:v>
                </c:pt>
                <c:pt idx="1710">
                  <c:v>4.6547947766715884E-2</c:v>
                </c:pt>
                <c:pt idx="1711">
                  <c:v>4.6544628645864727E-2</c:v>
                </c:pt>
                <c:pt idx="1712">
                  <c:v>4.6541322695125814E-2</c:v>
                </c:pt>
                <c:pt idx="1713">
                  <c:v>4.6538029914462146E-2</c:v>
                </c:pt>
                <c:pt idx="1714">
                  <c:v>4.6534750303845546E-2</c:v>
                </c:pt>
                <c:pt idx="1715">
                  <c:v>4.6531483863242518E-2</c:v>
                </c:pt>
                <c:pt idx="1716">
                  <c:v>4.6528230592619603E-2</c:v>
                </c:pt>
                <c:pt idx="1717">
                  <c:v>4.652499049194684E-2</c:v>
                </c:pt>
                <c:pt idx="1718">
                  <c:v>4.6521763561189873E-2</c:v>
                </c:pt>
                <c:pt idx="1719">
                  <c:v>4.6515824133455043E-2</c:v>
                </c:pt>
                <c:pt idx="1720">
                  <c:v>4.651262300735403E-2</c:v>
                </c:pt>
                <c:pt idx="1721">
                  <c:v>4.6509435049382854E-2</c:v>
                </c:pt>
                <c:pt idx="1722">
                  <c:v>4.6506260259508575E-2</c:v>
                </c:pt>
                <c:pt idx="1723">
                  <c:v>4.6503098637701801E-2</c:v>
                </c:pt>
                <c:pt idx="1724">
                  <c:v>4.6502678543146152E-2</c:v>
                </c:pt>
                <c:pt idx="1725">
                  <c:v>4.6499543800928529E-2</c:v>
                </c:pt>
                <c:pt idx="1726">
                  <c:v>4.649642222837827E-2</c:v>
                </c:pt>
                <c:pt idx="1727">
                  <c:v>4.6493313825463678E-2</c:v>
                </c:pt>
                <c:pt idx="1728">
                  <c:v>4.649021859215479E-2</c:v>
                </c:pt>
                <c:pt idx="1729">
                  <c:v>4.6487136528419022E-2</c:v>
                </c:pt>
                <c:pt idx="1730">
                  <c:v>4.6484067634230818E-2</c:v>
                </c:pt>
                <c:pt idx="1731">
                  <c:v>4.6481011909555815E-2</c:v>
                </c:pt>
                <c:pt idx="1732">
                  <c:v>4.6475236599389479E-2</c:v>
                </c:pt>
                <c:pt idx="1733">
                  <c:v>4.647220665657447E-2</c:v>
                </c:pt>
                <c:pt idx="1734">
                  <c:v>4.6469189881495648E-2</c:v>
                </c:pt>
                <c:pt idx="1735">
                  <c:v>4.6466186274121857E-2</c:v>
                </c:pt>
                <c:pt idx="1736">
                  <c:v>4.6463195834423689E-2</c:v>
                </c:pt>
                <c:pt idx="1737">
                  <c:v>4.6460218562374436E-2</c:v>
                </c:pt>
                <c:pt idx="1738">
                  <c:v>4.6457254457942923E-2</c:v>
                </c:pt>
                <c:pt idx="1739">
                  <c:v>4.6454303521099763E-2</c:v>
                </c:pt>
                <c:pt idx="1740">
                  <c:v>4.6450947145393731E-2</c:v>
                </c:pt>
                <c:pt idx="1741">
                  <c:v>4.644528679953102E-2</c:v>
                </c:pt>
                <c:pt idx="1742">
                  <c:v>4.6442376674034912E-2</c:v>
                </c:pt>
                <c:pt idx="1743">
                  <c:v>4.6439479714324314E-2</c:v>
                </c:pt>
                <c:pt idx="1744">
                  <c:v>4.6436595920368605E-2</c:v>
                </c:pt>
                <c:pt idx="1745">
                  <c:v>4.6444686711006898E-2</c:v>
                </c:pt>
                <c:pt idx="1746">
                  <c:v>4.6444573217516744E-2</c:v>
                </c:pt>
                <c:pt idx="1747">
                  <c:v>4.6438989593234573E-2</c:v>
                </c:pt>
                <c:pt idx="1748">
                  <c:v>4.6436160792944096E-2</c:v>
                </c:pt>
                <c:pt idx="1749">
                  <c:v>4.6423512666507759E-2</c:v>
                </c:pt>
                <c:pt idx="1750">
                  <c:v>4.6420715976467061E-2</c:v>
                </c:pt>
                <c:pt idx="1751">
                  <c:v>4.641793245365846E-2</c:v>
                </c:pt>
                <c:pt idx="1752">
                  <c:v>4.6415162098056142E-2</c:v>
                </c:pt>
                <c:pt idx="1753">
                  <c:v>4.641515014069858E-2</c:v>
                </c:pt>
                <c:pt idx="1754">
                  <c:v>4.6412406713127664E-2</c:v>
                </c:pt>
                <c:pt idx="1755">
                  <c:v>4.640967645436609E-2</c:v>
                </c:pt>
                <c:pt idx="1756">
                  <c:v>4.6406959364385665E-2</c:v>
                </c:pt>
                <c:pt idx="1757">
                  <c:v>4.6404255443161728E-2</c:v>
                </c:pt>
                <c:pt idx="1758">
                  <c:v>4.6401564690666079E-2</c:v>
                </c:pt>
                <c:pt idx="1759">
                  <c:v>4.6398887106873184E-2</c:v>
                </c:pt>
                <c:pt idx="1760">
                  <c:v>4.6396222691754835E-2</c:v>
                </c:pt>
                <c:pt idx="1761">
                  <c:v>4.6393571445288148E-2</c:v>
                </c:pt>
                <c:pt idx="1762">
                  <c:v>4.639093336744668E-2</c:v>
                </c:pt>
                <c:pt idx="1763">
                  <c:v>4.6388308458201369E-2</c:v>
                </c:pt>
                <c:pt idx="1764">
                  <c:v>4.6385696717527541E-2</c:v>
                </c:pt>
                <c:pt idx="1765">
                  <c:v>4.6383098145400529E-2</c:v>
                </c:pt>
                <c:pt idx="1766">
                  <c:v>4.6380512741795679E-2</c:v>
                </c:pt>
                <c:pt idx="1767">
                  <c:v>4.637794050668391E-2</c:v>
                </c:pt>
                <c:pt idx="1768">
                  <c:v>4.6375381440044085E-2</c:v>
                </c:pt>
                <c:pt idx="1769">
                  <c:v>4.6372835541847131E-2</c:v>
                </c:pt>
                <c:pt idx="1770">
                  <c:v>4.6370302812071017E-2</c:v>
                </c:pt>
                <c:pt idx="1771">
                  <c:v>4.6365027075776319E-2</c:v>
                </c:pt>
                <c:pt idx="1772">
                  <c:v>4.6362520058813292E-2</c:v>
                </c:pt>
                <c:pt idx="1773">
                  <c:v>4.6360026208517716E-2</c:v>
                </c:pt>
                <c:pt idx="1774">
                  <c:v>4.6363061921084643E-2</c:v>
                </c:pt>
                <c:pt idx="1775">
                  <c:v>4.6357836688618696E-2</c:v>
                </c:pt>
                <c:pt idx="1776">
                  <c:v>4.6355382968841743E-2</c:v>
                </c:pt>
                <c:pt idx="1777">
                  <c:v>4.6352942417313858E-2</c:v>
                </c:pt>
                <c:pt idx="1778">
                  <c:v>4.6350515034008603E-2</c:v>
                </c:pt>
                <c:pt idx="1779">
                  <c:v>4.6348100818903962E-2</c:v>
                </c:pt>
                <c:pt idx="1780">
                  <c:v>4.6345699771976147E-2</c:v>
                </c:pt>
                <c:pt idx="1781">
                  <c:v>4.6343311893200498E-2</c:v>
                </c:pt>
                <c:pt idx="1782">
                  <c:v>4.6340937182554096E-2</c:v>
                </c:pt>
                <c:pt idx="1783">
                  <c:v>4.6338575640012293E-2</c:v>
                </c:pt>
                <c:pt idx="1784">
                  <c:v>4.6330698725942657E-2</c:v>
                </c:pt>
                <c:pt idx="1785">
                  <c:v>4.6328362228253088E-2</c:v>
                </c:pt>
                <c:pt idx="1786">
                  <c:v>4.6326038895250395E-2</c:v>
                </c:pt>
                <c:pt idx="1787">
                  <c:v>4.6323071096812933E-2</c:v>
                </c:pt>
                <c:pt idx="1788">
                  <c:v>4.6320777854438347E-2</c:v>
                </c:pt>
                <c:pt idx="1789">
                  <c:v>4.6318497776679506E-2</c:v>
                </c:pt>
                <c:pt idx="1790">
                  <c:v>4.6316230863512088E-2</c:v>
                </c:pt>
                <c:pt idx="1791">
                  <c:v>4.6313977114914487E-2</c:v>
                </c:pt>
                <c:pt idx="1792">
                  <c:v>4.6308967305226892E-2</c:v>
                </c:pt>
                <c:pt idx="1793">
                  <c:v>4.6306739226493331E-2</c:v>
                </c:pt>
                <c:pt idx="1794">
                  <c:v>4.6304524310595507E-2</c:v>
                </c:pt>
                <c:pt idx="1795">
                  <c:v>4.6302322557508845E-2</c:v>
                </c:pt>
                <c:pt idx="1796">
                  <c:v>4.6308450475869983E-2</c:v>
                </c:pt>
                <c:pt idx="1797">
                  <c:v>4.6306277046651849E-2</c:v>
                </c:pt>
                <c:pt idx="1798">
                  <c:v>4.6304116785198267E-2</c:v>
                </c:pt>
                <c:pt idx="1799">
                  <c:v>4.6301969691488087E-2</c:v>
                </c:pt>
                <c:pt idx="1800">
                  <c:v>4.6299835765500168E-2</c:v>
                </c:pt>
                <c:pt idx="1801">
                  <c:v>4.6294939192352405E-2</c:v>
                </c:pt>
                <c:pt idx="1802">
                  <c:v>4.6292830927081766E-2</c:v>
                </c:pt>
                <c:pt idx="1803">
                  <c:v>4.6290735827799037E-2</c:v>
                </c:pt>
                <c:pt idx="1804">
                  <c:v>4.6288357550213266E-2</c:v>
                </c:pt>
                <c:pt idx="1805">
                  <c:v>4.6297406941010949E-2</c:v>
                </c:pt>
                <c:pt idx="1806">
                  <c:v>4.6292575747865543E-2</c:v>
                </c:pt>
                <c:pt idx="1807">
                  <c:v>4.6290537243564564E-2</c:v>
                </c:pt>
                <c:pt idx="1808">
                  <c:v>4.6288511910157627E-2</c:v>
                </c:pt>
                <c:pt idx="1809">
                  <c:v>4.6278154776680888E-2</c:v>
                </c:pt>
                <c:pt idx="1810">
                  <c:v>4.6284500755949101E-2</c:v>
                </c:pt>
                <c:pt idx="1811">
                  <c:v>4.6282514935106996E-2</c:v>
                </c:pt>
                <c:pt idx="1812">
                  <c:v>4.6280542285078739E-2</c:v>
                </c:pt>
                <c:pt idx="1813">
                  <c:v>4.6278582805845368E-2</c:v>
                </c:pt>
                <c:pt idx="1814">
                  <c:v>4.6279422215270719E-2</c:v>
                </c:pt>
                <c:pt idx="1815">
                  <c:v>4.6274703359683936E-2</c:v>
                </c:pt>
                <c:pt idx="1816">
                  <c:v>4.6272783392717086E-2</c:v>
                </c:pt>
                <c:pt idx="1817">
                  <c:v>4.627087659646751E-2</c:v>
                </c:pt>
                <c:pt idx="1818">
                  <c:v>4.6268982970913669E-2</c:v>
                </c:pt>
                <c:pt idx="1819">
                  <c:v>4.6267102516040035E-2</c:v>
                </c:pt>
                <c:pt idx="1820">
                  <c:v>4.6265235231825054E-2</c:v>
                </c:pt>
                <c:pt idx="1821">
                  <c:v>4.6263381118249756E-2</c:v>
                </c:pt>
                <c:pt idx="1822">
                  <c:v>4.6253167963536068E-2</c:v>
                </c:pt>
                <c:pt idx="1823">
                  <c:v>4.6251338060717413E-2</c:v>
                </c:pt>
                <c:pt idx="1824">
                  <c:v>4.6249521323485004E-2</c:v>
                </c:pt>
                <c:pt idx="1825">
                  <c:v>4.6247717751817463E-2</c:v>
                </c:pt>
                <c:pt idx="1826">
                  <c:v>4.6245927345701425E-2</c:v>
                </c:pt>
                <c:pt idx="1827">
                  <c:v>4.6252533019226043E-2</c:v>
                </c:pt>
                <c:pt idx="1828">
                  <c:v>4.6250771099621578E-2</c:v>
                </c:pt>
                <c:pt idx="1829">
                  <c:v>4.6249022350514528E-2</c:v>
                </c:pt>
                <c:pt idx="1830">
                  <c:v>4.6250083845596215E-2</c:v>
                </c:pt>
                <c:pt idx="1831">
                  <c:v>4.6245564363712521E-2</c:v>
                </c:pt>
                <c:pt idx="1832">
                  <c:v>4.6243855125984792E-2</c:v>
                </c:pt>
                <c:pt idx="1833">
                  <c:v>4.6242159058684652E-2</c:v>
                </c:pt>
                <c:pt idx="1834">
                  <c:v>4.6240476161790549E-2</c:v>
                </c:pt>
                <c:pt idx="1835">
                  <c:v>4.6230406137556294E-2</c:v>
                </c:pt>
                <c:pt idx="1836">
                  <c:v>4.6225947165852974E-2</c:v>
                </c:pt>
                <c:pt idx="1837">
                  <c:v>4.6224300846610104E-2</c:v>
                </c:pt>
                <c:pt idx="1838">
                  <c:v>4.6222667691051843E-2</c:v>
                </c:pt>
                <c:pt idx="1839">
                  <c:v>4.6221047699163791E-2</c:v>
                </c:pt>
                <c:pt idx="1840">
                  <c:v>4.6219440870927025E-2</c:v>
                </c:pt>
                <c:pt idx="1841">
                  <c:v>4.6217847206331646E-2</c:v>
                </c:pt>
                <c:pt idx="1842">
                  <c:v>4.6216266705357847E-2</c:v>
                </c:pt>
                <c:pt idx="1843">
                  <c:v>4.6214699367989415E-2</c:v>
                </c:pt>
                <c:pt idx="1844">
                  <c:v>4.6210339370146819E-2</c:v>
                </c:pt>
                <c:pt idx="1845">
                  <c:v>4.6208797613806203E-2</c:v>
                </c:pt>
                <c:pt idx="1846">
                  <c:v>4.6207269019367024E-2</c:v>
                </c:pt>
                <c:pt idx="1847">
                  <c:v>4.6205753586811067E-2</c:v>
                </c:pt>
                <c:pt idx="1848">
                  <c:v>4.6209869261295521E-2</c:v>
                </c:pt>
                <c:pt idx="1849">
                  <c:v>4.6219624258858207E-2</c:v>
                </c:pt>
                <c:pt idx="1850">
                  <c:v>4.6215340973684953E-2</c:v>
                </c:pt>
                <c:pt idx="1851">
                  <c:v>4.6213881971257663E-2</c:v>
                </c:pt>
                <c:pt idx="1852">
                  <c:v>4.6212436138955329E-2</c:v>
                </c:pt>
                <c:pt idx="1853">
                  <c:v>4.620174884145125E-2</c:v>
                </c:pt>
                <c:pt idx="1854">
                  <c:v>4.6200334587032627E-2</c:v>
                </c:pt>
                <c:pt idx="1855">
                  <c:v>4.6198933497701489E-2</c:v>
                </c:pt>
                <c:pt idx="1856">
                  <c:v>4.6197545573445374E-2</c:v>
                </c:pt>
                <c:pt idx="1857">
                  <c:v>4.6198987526337956E-2</c:v>
                </c:pt>
                <c:pt idx="1858">
                  <c:v>4.6197626701315012E-2</c:v>
                </c:pt>
                <c:pt idx="1859">
                  <c:v>4.6196279042988918E-2</c:v>
                </c:pt>
                <c:pt idx="1860">
                  <c:v>4.6194944551343819E-2</c:v>
                </c:pt>
                <c:pt idx="1861">
                  <c:v>4.6193623226367379E-2</c:v>
                </c:pt>
                <c:pt idx="1862">
                  <c:v>4.6192315068048155E-2</c:v>
                </c:pt>
                <c:pt idx="1863">
                  <c:v>4.6191020076371159E-2</c:v>
                </c:pt>
                <c:pt idx="1864">
                  <c:v>4.6189738251325822E-2</c:v>
                </c:pt>
                <c:pt idx="1865">
                  <c:v>4.618846959289629E-2</c:v>
                </c:pt>
                <c:pt idx="1866">
                  <c:v>4.6187214101074639E-2</c:v>
                </c:pt>
                <c:pt idx="1867">
                  <c:v>4.6185971775844124E-2</c:v>
                </c:pt>
                <c:pt idx="1868">
                  <c:v>4.618474261719506E-2</c:v>
                </c:pt>
                <c:pt idx="1869">
                  <c:v>4.6183526625113346E-2</c:v>
                </c:pt>
                <c:pt idx="1870">
                  <c:v>4.6182323799591057E-2</c:v>
                </c:pt>
                <c:pt idx="1871">
                  <c:v>4.6181134140611459E-2</c:v>
                </c:pt>
                <c:pt idx="1872">
                  <c:v>4.6179957648165737E-2</c:v>
                </c:pt>
                <c:pt idx="1873">
                  <c:v>4.6178794322240674E-2</c:v>
                </c:pt>
                <c:pt idx="1874">
                  <c:v>4.6174814149840364E-2</c:v>
                </c:pt>
                <c:pt idx="1875">
                  <c:v>4.6173676359585469E-2</c:v>
                </c:pt>
                <c:pt idx="1876">
                  <c:v>4.6172551734158011E-2</c:v>
                </c:pt>
                <c:pt idx="1877">
                  <c:v>4.6171440273548185E-2</c:v>
                </c:pt>
                <c:pt idx="1878">
                  <c:v>4.617317519004565E-2</c:v>
                </c:pt>
                <c:pt idx="1879">
                  <c:v>4.6172090863014645E-2</c:v>
                </c:pt>
                <c:pt idx="1880">
                  <c:v>4.6171019702427665E-2</c:v>
                </c:pt>
                <c:pt idx="1881">
                  <c:v>4.6169961708274136E-2</c:v>
                </c:pt>
                <c:pt idx="1882">
                  <c:v>4.6168916880543483E-2</c:v>
                </c:pt>
                <c:pt idx="1883">
                  <c:v>4.6167885219226025E-2</c:v>
                </c:pt>
                <c:pt idx="1884">
                  <c:v>4.6166866724312063E-2</c:v>
                </c:pt>
                <c:pt idx="1885">
                  <c:v>4.6165861395789265E-2</c:v>
                </c:pt>
                <c:pt idx="1886">
                  <c:v>4.6164869233650582E-2</c:v>
                </c:pt>
                <c:pt idx="1887">
                  <c:v>4.6158209538954817E-2</c:v>
                </c:pt>
                <c:pt idx="1888">
                  <c:v>4.6157242071983233E-2</c:v>
                </c:pt>
                <c:pt idx="1889">
                  <c:v>4.615628776805239E-2</c:v>
                </c:pt>
                <c:pt idx="1890">
                  <c:v>4.6155346627152385E-2</c:v>
                </c:pt>
                <c:pt idx="1891">
                  <c:v>4.615726212508147E-2</c:v>
                </c:pt>
                <c:pt idx="1892">
                  <c:v>4.6153503834405273E-2</c:v>
                </c:pt>
                <c:pt idx="1893">
                  <c:v>4.6152602182541955E-2</c:v>
                </c:pt>
                <c:pt idx="1894">
                  <c:v>4.6151713693673449E-2</c:v>
                </c:pt>
                <c:pt idx="1895">
                  <c:v>4.6150838367789861E-2</c:v>
                </c:pt>
                <c:pt idx="1896">
                  <c:v>4.6149976204884875E-2</c:v>
                </c:pt>
                <c:pt idx="1897">
                  <c:v>4.6149127204948598E-2</c:v>
                </c:pt>
                <c:pt idx="1898">
                  <c:v>4.6148291367975616E-2</c:v>
                </c:pt>
                <c:pt idx="1899">
                  <c:v>4.6147468693955133E-2</c:v>
                </c:pt>
                <c:pt idx="1900">
                  <c:v>4.6152361428666897E-2</c:v>
                </c:pt>
                <c:pt idx="1901">
                  <c:v>4.6151566761172082E-2</c:v>
                </c:pt>
                <c:pt idx="1902">
                  <c:v>4.6150785259917795E-2</c:v>
                </c:pt>
                <c:pt idx="1903">
                  <c:v>4.6150016924897862E-2</c:v>
                </c:pt>
                <c:pt idx="1904">
                  <c:v>4.6146407101804281E-2</c:v>
                </c:pt>
                <c:pt idx="1905">
                  <c:v>4.6145664252174007E-2</c:v>
                </c:pt>
                <c:pt idx="1906">
                  <c:v>4.6144934567100428E-2</c:v>
                </c:pt>
                <c:pt idx="1907">
                  <c:v>4.6144218046575508E-2</c:v>
                </c:pt>
                <c:pt idx="1908">
                  <c:v>4.6143514690593031E-2</c:v>
                </c:pt>
                <c:pt idx="1909">
                  <c:v>4.6145683405291939E-2</c:v>
                </c:pt>
                <c:pt idx="1910">
                  <c:v>4.6145007233708145E-2</c:v>
                </c:pt>
                <c:pt idx="1911">
                  <c:v>4.6144344228304969E-2</c:v>
                </c:pt>
                <c:pt idx="1912">
                  <c:v>4.6143694389069199E-2</c:v>
                </c:pt>
                <c:pt idx="1913">
                  <c:v>4.6143057716001717E-2</c:v>
                </c:pt>
                <c:pt idx="1914">
                  <c:v>4.6142434209090193E-2</c:v>
                </c:pt>
                <c:pt idx="1915">
                  <c:v>4.6141823868331981E-2</c:v>
                </c:pt>
                <c:pt idx="1916">
                  <c:v>4.6141226693719159E-2</c:v>
                </c:pt>
                <c:pt idx="1917">
                  <c:v>4.6140642685248187E-2</c:v>
                </c:pt>
                <c:pt idx="1918">
                  <c:v>4.6140071842910274E-2</c:v>
                </c:pt>
                <c:pt idx="1919">
                  <c:v>4.6139514166701007E-2</c:v>
                </c:pt>
                <c:pt idx="1920">
                  <c:v>4.613896965661686E-2</c:v>
                </c:pt>
                <c:pt idx="1921">
                  <c:v>4.6138438312649022E-2</c:v>
                </c:pt>
                <c:pt idx="1922">
                  <c:v>4.6137920134796624E-2</c:v>
                </c:pt>
                <c:pt idx="1923">
                  <c:v>4.613741512304996E-2</c:v>
                </c:pt>
                <c:pt idx="1924">
                  <c:v>4.6136923277407281E-2</c:v>
                </c:pt>
                <c:pt idx="1925">
                  <c:v>4.6136444597862411E-2</c:v>
                </c:pt>
                <c:pt idx="1926">
                  <c:v>4.613310541243125E-2</c:v>
                </c:pt>
                <c:pt idx="1927">
                  <c:v>4.6132652181595457E-2</c:v>
                </c:pt>
                <c:pt idx="1928">
                  <c:v>4.6132212115187206E-2</c:v>
                </c:pt>
                <c:pt idx="1929">
                  <c:v>4.6131785213207398E-2</c:v>
                </c:pt>
                <c:pt idx="1930">
                  <c:v>4.6131371475645333E-2</c:v>
                </c:pt>
                <c:pt idx="1931">
                  <c:v>4.6133849008397988E-2</c:v>
                </c:pt>
                <c:pt idx="1932">
                  <c:v>4.6133462491412723E-2</c:v>
                </c:pt>
                <c:pt idx="1933">
                  <c:v>4.6133089140494438E-2</c:v>
                </c:pt>
                <c:pt idx="1934">
                  <c:v>4.6132728955635208E-2</c:v>
                </c:pt>
                <c:pt idx="1935">
                  <c:v>4.6132381936833264E-2</c:v>
                </c:pt>
                <c:pt idx="1936">
                  <c:v>4.6132048084083326E-2</c:v>
                </c:pt>
                <c:pt idx="1937">
                  <c:v>4.6131727397385393E-2</c:v>
                </c:pt>
                <c:pt idx="1938">
                  <c:v>4.6131419876732416E-2</c:v>
                </c:pt>
                <c:pt idx="1939">
                  <c:v>4.6128240235933045E-2</c:v>
                </c:pt>
                <c:pt idx="1940">
                  <c:v>4.6127958142383706E-2</c:v>
                </c:pt>
                <c:pt idx="1941">
                  <c:v>4.6127689213219164E-2</c:v>
                </c:pt>
                <c:pt idx="1942">
                  <c:v>4.6127433448435853E-2</c:v>
                </c:pt>
                <c:pt idx="1943">
                  <c:v>4.6127190848031109E-2</c:v>
                </c:pt>
                <c:pt idx="1944">
                  <c:v>4.6126961412001365E-2</c:v>
                </c:pt>
                <c:pt idx="1945">
                  <c:v>4.6126745140346613E-2</c:v>
                </c:pt>
                <c:pt idx="1946">
                  <c:v>4.6126542033065085E-2</c:v>
                </c:pt>
                <c:pt idx="1947">
                  <c:v>4.6126326030092112E-2</c:v>
                </c:pt>
                <c:pt idx="1948">
                  <c:v>4.6123257840772862E-2</c:v>
                </c:pt>
                <c:pt idx="1949">
                  <c:v>4.612309518734669E-2</c:v>
                </c:pt>
                <c:pt idx="1950">
                  <c:v>4.612294569662987E-2</c:v>
                </c:pt>
                <c:pt idx="1951">
                  <c:v>4.6122809368622404E-2</c:v>
                </c:pt>
                <c:pt idx="1952">
                  <c:v>4.6128480496380846E-2</c:v>
                </c:pt>
                <c:pt idx="1953">
                  <c:v>4.6128372347001886E-2</c:v>
                </c:pt>
                <c:pt idx="1954">
                  <c:v>4.6128277363637053E-2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003392"/>
        <c:axId val="78100556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2.6649999999999952E-2</c:v>
                </c:pt>
                <c:pt idx="2">
                  <c:v>2.7050000000000018E-2</c:v>
                </c:pt>
                <c:pt idx="3">
                  <c:v>2.795000000000003E-2</c:v>
                </c:pt>
                <c:pt idx="4">
                  <c:v>2.8950000000000142E-2</c:v>
                </c:pt>
                <c:pt idx="5">
                  <c:v>3.004999999999991E-2</c:v>
                </c:pt>
                <c:pt idx="6">
                  <c:v>3.0950000000000033E-2</c:v>
                </c:pt>
                <c:pt idx="7">
                  <c:v>3.1949999999999923E-2</c:v>
                </c:pt>
                <c:pt idx="8">
                  <c:v>3.2849999999999935E-2</c:v>
                </c:pt>
                <c:pt idx="9">
                  <c:v>3.3799999999999941E-2</c:v>
                </c:pt>
                <c:pt idx="10">
                  <c:v>3.4749999999999948E-2</c:v>
                </c:pt>
                <c:pt idx="11">
                  <c:v>3.5749999999999837E-2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41837</c:v>
                </c:pt>
                <c:pt idx="1">
                  <c:v>41869</c:v>
                </c:pt>
                <c:pt idx="2">
                  <c:v>41899</c:v>
                </c:pt>
                <c:pt idx="3">
                  <c:v>41929</c:v>
                </c:pt>
                <c:pt idx="4">
                  <c:v>41960</c:v>
                </c:pt>
                <c:pt idx="5">
                  <c:v>41990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2.6800000000000001E-2</c:v>
                </c:pt>
                <c:pt idx="1">
                  <c:v>2.6699999999999998E-2</c:v>
                </c:pt>
                <c:pt idx="2">
                  <c:v>2.6550000000000004E-2</c:v>
                </c:pt>
                <c:pt idx="3">
                  <c:v>2.6550000000000004E-2</c:v>
                </c:pt>
                <c:pt idx="4">
                  <c:v>2.6550000000000004E-2</c:v>
                </c:pt>
                <c:pt idx="5">
                  <c:v>2.665E-2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03392"/>
        <c:axId val="781005568"/>
      </c:scatterChart>
      <c:dateAx>
        <c:axId val="781003392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810055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1005568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100339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2.6683886268193957E-2</c:v>
                </c:pt>
                <c:pt idx="1">
                  <c:v>2.6683870181885005E-2</c:v>
                </c:pt>
                <c:pt idx="2">
                  <c:v>2.6683838009267102E-2</c:v>
                </c:pt>
                <c:pt idx="3">
                  <c:v>2.6685670832680513E-2</c:v>
                </c:pt>
                <c:pt idx="4">
                  <c:v>2.6683548455543882E-2</c:v>
                </c:pt>
                <c:pt idx="5">
                  <c:v>2.6683435851300175E-2</c:v>
                </c:pt>
                <c:pt idx="6">
                  <c:v>2.6683307160747516E-2</c:v>
                </c:pt>
                <c:pt idx="7">
                  <c:v>2.6683162383885906E-2</c:v>
                </c:pt>
                <c:pt idx="8">
                  <c:v>2.6684769867219758E-2</c:v>
                </c:pt>
                <c:pt idx="9">
                  <c:v>2.6682422413349949E-2</c:v>
                </c:pt>
                <c:pt idx="10">
                  <c:v>2.6682197204943581E-2</c:v>
                </c:pt>
                <c:pt idx="11">
                  <c:v>2.6681955910147215E-2</c:v>
                </c:pt>
                <c:pt idx="12">
                  <c:v>2.6681698529122944E-2</c:v>
                </c:pt>
                <c:pt idx="13">
                  <c:v>2.6683080556994348E-2</c:v>
                </c:pt>
                <c:pt idx="14">
                  <c:v>2.6680508141612158E-2</c:v>
                </c:pt>
                <c:pt idx="15">
                  <c:v>2.6680170328962083E-2</c:v>
                </c:pt>
                <c:pt idx="16">
                  <c:v>2.6679816430003056E-2</c:v>
                </c:pt>
                <c:pt idx="17">
                  <c:v>2.6679446444735078E-2</c:v>
                </c:pt>
                <c:pt idx="18">
                  <c:v>2.6680602902004285E-2</c:v>
                </c:pt>
                <c:pt idx="19">
                  <c:v>2.6677805640411556E-2</c:v>
                </c:pt>
                <c:pt idx="20">
                  <c:v>2.6677355223517774E-2</c:v>
                </c:pt>
                <c:pt idx="21">
                  <c:v>2.667688872031504E-2</c:v>
                </c:pt>
                <c:pt idx="22">
                  <c:v>2.6676406130803354E-2</c:v>
                </c:pt>
                <c:pt idx="23">
                  <c:v>2.6677336902357632E-2</c:v>
                </c:pt>
                <c:pt idx="24">
                  <c:v>2.6674314909667096E-2</c:v>
                </c:pt>
                <c:pt idx="25">
                  <c:v>2.6673751888610653E-2</c:v>
                </c:pt>
                <c:pt idx="26">
                  <c:v>2.6673172781164212E-2</c:v>
                </c:pt>
                <c:pt idx="27">
                  <c:v>2.6672577587489865E-2</c:v>
                </c:pt>
                <c:pt idx="28">
                  <c:v>2.66732825580814E-2</c:v>
                </c:pt>
                <c:pt idx="29">
                  <c:v>2.6670035949459825E-2</c:v>
                </c:pt>
                <c:pt idx="30">
                  <c:v>2.6669360324159674E-2</c:v>
                </c:pt>
                <c:pt idx="31">
                  <c:v>2.6668668612550572E-2</c:v>
                </c:pt>
                <c:pt idx="32">
                  <c:v>2.6667960814632519E-2</c:v>
                </c:pt>
                <c:pt idx="33">
                  <c:v>2.6669033283228949E-2</c:v>
                </c:pt>
                <c:pt idx="34">
                  <c:v>2.6664180530326931E-2</c:v>
                </c:pt>
                <c:pt idx="35">
                  <c:v>2.6663376214474122E-2</c:v>
                </c:pt>
                <c:pt idx="36">
                  <c:v>2.6662555812393407E-2</c:v>
                </c:pt>
                <c:pt idx="37">
                  <c:v>2.6662808835964395E-2</c:v>
                </c:pt>
                <c:pt idx="38">
                  <c:v>2.6659113340737894E-2</c:v>
                </c:pt>
                <c:pt idx="39">
                  <c:v>2.6658212507031376E-2</c:v>
                </c:pt>
                <c:pt idx="40">
                  <c:v>2.6657295587096952E-2</c:v>
                </c:pt>
                <c:pt idx="41">
                  <c:v>2.665636258077253E-2</c:v>
                </c:pt>
                <c:pt idx="42">
                  <c:v>2.665638945833974E-2</c:v>
                </c:pt>
                <c:pt idx="43">
                  <c:v>2.6652469692304281E-2</c:v>
                </c:pt>
                <c:pt idx="44">
                  <c:v>2.6651456254435102E-2</c:v>
                </c:pt>
                <c:pt idx="45">
                  <c:v>2.6650426730256971E-2</c:v>
                </c:pt>
                <c:pt idx="46">
                  <c:v>2.6649381119688842E-2</c:v>
                </c:pt>
                <c:pt idx="47">
                  <c:v>2.6649181736517761E-2</c:v>
                </c:pt>
                <c:pt idx="48">
                  <c:v>2.664503781456995E-2</c:v>
                </c:pt>
                <c:pt idx="49">
                  <c:v>2.6643911772457063E-2</c:v>
                </c:pt>
                <c:pt idx="50">
                  <c:v>2.6642769644116271E-2</c:v>
                </c:pt>
                <c:pt idx="51">
                  <c:v>2.6641611429385481E-2</c:v>
                </c:pt>
                <c:pt idx="52">
                  <c:v>2.6641185670606509E-2</c:v>
                </c:pt>
                <c:pt idx="53">
                  <c:v>2.6636817707534899E-2</c:v>
                </c:pt>
                <c:pt idx="54">
                  <c:v>2.6635579061259351E-2</c:v>
                </c:pt>
                <c:pt idx="55">
                  <c:v>2.6634324328674852E-2</c:v>
                </c:pt>
                <c:pt idx="56">
                  <c:v>2.6633053509781401E-2</c:v>
                </c:pt>
                <c:pt idx="57">
                  <c:v>2.6632401260795101E-2</c:v>
                </c:pt>
                <c:pt idx="58">
                  <c:v>2.6627809371199129E-2</c:v>
                </c:pt>
                <c:pt idx="59">
                  <c:v>2.6626458120841967E-2</c:v>
                </c:pt>
                <c:pt idx="60">
                  <c:v>2.6625090784094807E-2</c:v>
                </c:pt>
                <c:pt idx="61">
                  <c:v>2.6623707361038695E-2</c:v>
                </c:pt>
                <c:pt idx="62">
                  <c:v>2.6622828507218609E-2</c:v>
                </c:pt>
                <c:pt idx="63">
                  <c:v>2.661801280580578E-2</c:v>
                </c:pt>
                <c:pt idx="64">
                  <c:v>2.661654895120491E-2</c:v>
                </c:pt>
                <c:pt idx="65">
                  <c:v>2.6615073423994495E-2</c:v>
                </c:pt>
                <c:pt idx="66">
                  <c:v>2.6613603878810066E-2</c:v>
                </c:pt>
                <c:pt idx="67">
                  <c:v>2.661263956817058E-2</c:v>
                </c:pt>
                <c:pt idx="68">
                  <c:v>2.6607829654921034E-2</c:v>
                </c:pt>
                <c:pt idx="69">
                  <c:v>2.660641208820147E-2</c:v>
                </c:pt>
                <c:pt idx="70">
                  <c:v>2.6605004917207298E-2</c:v>
                </c:pt>
                <c:pt idx="71">
                  <c:v>2.6603608141857471E-2</c:v>
                </c:pt>
                <c:pt idx="72">
                  <c:v>2.6602787934963217E-2</c:v>
                </c:pt>
                <c:pt idx="73">
                  <c:v>2.6598124997549988E-2</c:v>
                </c:pt>
                <c:pt idx="74">
                  <c:v>2.6596780200665027E-2</c:v>
                </c:pt>
                <c:pt idx="75">
                  <c:v>2.6595445799505457E-2</c:v>
                </c:pt>
                <c:pt idx="76">
                  <c:v>2.6594121794071279E-2</c:v>
                </c:pt>
                <c:pt idx="77">
                  <c:v>2.65937696836821E-2</c:v>
                </c:pt>
                <c:pt idx="78">
                  <c:v>2.6587657702132894E-2</c:v>
                </c:pt>
                <c:pt idx="79">
                  <c:v>2.6586396070807927E-2</c:v>
                </c:pt>
                <c:pt idx="80">
                  <c:v>2.6585144835208352E-2</c:v>
                </c:pt>
                <c:pt idx="81">
                  <c:v>2.6584613059816485E-2</c:v>
                </c:pt>
                <c:pt idx="82">
                  <c:v>2.6580243849739782E-2</c:v>
                </c:pt>
                <c:pt idx="83">
                  <c:v>2.6579044592605072E-2</c:v>
                </c:pt>
                <c:pt idx="84">
                  <c:v>2.6577855731195754E-2</c:v>
                </c:pt>
                <c:pt idx="85">
                  <c:v>2.6576677265349735E-2</c:v>
                </c:pt>
                <c:pt idx="86">
                  <c:v>2.657628981766099E-2</c:v>
                </c:pt>
                <c:pt idx="87">
                  <c:v>2.6572067359300622E-2</c:v>
                </c:pt>
                <c:pt idx="88">
                  <c:v>2.6570940872000515E-2</c:v>
                </c:pt>
                <c:pt idx="89">
                  <c:v>2.6569824780425799E-2</c:v>
                </c:pt>
                <c:pt idx="90">
                  <c:v>2.6568719084576475E-2</c:v>
                </c:pt>
                <c:pt idx="91">
                  <c:v>2.6568476038991339E-2</c:v>
                </c:pt>
                <c:pt idx="92">
                  <c:v>2.6564400257865772E-2</c:v>
                </c:pt>
                <c:pt idx="93">
                  <c:v>2.6563346540319221E-2</c:v>
                </c:pt>
                <c:pt idx="94">
                  <c:v>2.6562303218660155E-2</c:v>
                </c:pt>
                <c:pt idx="95">
                  <c:v>2.6561270292564387E-2</c:v>
                </c:pt>
                <c:pt idx="96">
                  <c:v>2.6561171723699466E-2</c:v>
                </c:pt>
                <c:pt idx="97">
                  <c:v>2.6557242545273141E-2</c:v>
                </c:pt>
                <c:pt idx="98">
                  <c:v>2.6556261597642239E-2</c:v>
                </c:pt>
                <c:pt idx="99">
                  <c:v>2.6555291045736729E-2</c:v>
                </c:pt>
                <c:pt idx="100">
                  <c:v>2.6554330889475564E-2</c:v>
                </c:pt>
                <c:pt idx="101">
                  <c:v>2.6554376871677315E-2</c:v>
                </c:pt>
                <c:pt idx="102">
                  <c:v>2.6550594221522728E-2</c:v>
                </c:pt>
                <c:pt idx="103">
                  <c:v>2.6549686043726428E-2</c:v>
                </c:pt>
                <c:pt idx="104">
                  <c:v>2.654878826165552E-2</c:v>
                </c:pt>
                <c:pt idx="105">
                  <c:v>2.6547900875310004E-2</c:v>
                </c:pt>
                <c:pt idx="106">
                  <c:v>2.6548091482843837E-2</c:v>
                </c:pt>
                <c:pt idx="107">
                  <c:v>2.6544455286614532E-2</c:v>
                </c:pt>
                <c:pt idx="108">
                  <c:v>2.6543619878733882E-2</c:v>
                </c:pt>
                <c:pt idx="109">
                  <c:v>2.6542794866497577E-2</c:v>
                </c:pt>
                <c:pt idx="110">
                  <c:v>2.6541980249905617E-2</c:v>
                </c:pt>
                <c:pt idx="111">
                  <c:v>2.6542315557172017E-2</c:v>
                </c:pt>
                <c:pt idx="112">
                  <c:v>2.6538825740548555E-2</c:v>
                </c:pt>
                <c:pt idx="113">
                  <c:v>2.6538063102502507E-2</c:v>
                </c:pt>
                <c:pt idx="114">
                  <c:v>2.6537310860019758E-2</c:v>
                </c:pt>
                <c:pt idx="115">
                  <c:v>2.6536569013343447E-2</c:v>
                </c:pt>
                <c:pt idx="116">
                  <c:v>2.6537049094526775E-2</c:v>
                </c:pt>
                <c:pt idx="117">
                  <c:v>2.6533705583324796E-2</c:v>
                </c:pt>
                <c:pt idx="118">
                  <c:v>2.6533015715032304E-2</c:v>
                </c:pt>
                <c:pt idx="119">
                  <c:v>2.6532336242465204E-2</c:v>
                </c:pt>
                <c:pt idx="120">
                  <c:v>2.653166716554245E-2</c:v>
                </c:pt>
                <c:pt idx="121">
                  <c:v>2.6532292094854085E-2</c:v>
                </c:pt>
                <c:pt idx="122">
                  <c:v>2.6529094814781162E-2</c:v>
                </c:pt>
                <c:pt idx="123">
                  <c:v>2.652847771640432E-2</c:v>
                </c:pt>
                <c:pt idx="124">
                  <c:v>2.6527871013590776E-2</c:v>
                </c:pt>
                <c:pt idx="125">
                  <c:v>2.6527274706502624E-2</c:v>
                </c:pt>
                <c:pt idx="126">
                  <c:v>2.6528044558099911E-2</c:v>
                </c:pt>
                <c:pt idx="127">
                  <c:v>2.6524993435079747E-2</c:v>
                </c:pt>
                <c:pt idx="128">
                  <c:v>2.652444910645646E-2</c:v>
                </c:pt>
                <c:pt idx="129">
                  <c:v>2.6523921296848219E-2</c:v>
                </c:pt>
                <c:pt idx="130">
                  <c:v>2.6523434499575727E-2</c:v>
                </c:pt>
                <c:pt idx="131">
                  <c:v>2.6524545328950509E-2</c:v>
                </c:pt>
                <c:pt idx="132">
                  <c:v>2.6521958667469203E-2</c:v>
                </c:pt>
                <c:pt idx="133">
                  <c:v>2.652170754864791E-2</c:v>
                </c:pt>
                <c:pt idx="134">
                  <c:v>2.652513855095795E-2</c:v>
                </c:pt>
                <c:pt idx="135">
                  <c:v>2.6521190685312446E-2</c:v>
                </c:pt>
                <c:pt idx="136">
                  <c:v>2.652126951635525E-2</c:v>
                </c:pt>
                <c:pt idx="137">
                  <c:v>2.6522445580881016E-2</c:v>
                </c:pt>
                <c:pt idx="138">
                  <c:v>2.6523999134857961E-2</c:v>
                </c:pt>
                <c:pt idx="139">
                  <c:v>2.6522732352042278E-2</c:v>
                </c:pt>
                <c:pt idx="140">
                  <c:v>2.652314113294918E-2</c:v>
                </c:pt>
                <c:pt idx="141">
                  <c:v>2.6523597049481484E-2</c:v>
                </c:pt>
                <c:pt idx="142">
                  <c:v>2.6524100101720238E-2</c:v>
                </c:pt>
                <c:pt idx="143">
                  <c:v>2.6527191014601069E-2</c:v>
                </c:pt>
                <c:pt idx="144">
                  <c:v>2.6526583667658699E-2</c:v>
                </c:pt>
                <c:pt idx="145">
                  <c:v>2.6527322398348652E-2</c:v>
                </c:pt>
                <c:pt idx="146">
                  <c:v>2.6528108264745054E-2</c:v>
                </c:pt>
                <c:pt idx="147">
                  <c:v>2.6528941266847905E-2</c:v>
                </c:pt>
                <c:pt idx="148">
                  <c:v>2.6532692879113567E-2</c:v>
                </c:pt>
                <c:pt idx="149">
                  <c:v>2.6532744632161709E-2</c:v>
                </c:pt>
                <c:pt idx="150">
                  <c:v>2.6533813312715759E-2</c:v>
                </c:pt>
                <c:pt idx="151">
                  <c:v>2.6534929128976259E-2</c:v>
                </c:pt>
                <c:pt idx="152">
                  <c:v>2.6536092081024254E-2</c:v>
                </c:pt>
                <c:pt idx="153">
                  <c:v>2.6542129790627089E-2</c:v>
                </c:pt>
                <c:pt idx="154">
                  <c:v>2.6542613876212595E-2</c:v>
                </c:pt>
                <c:pt idx="155">
                  <c:v>2.6544059642337192E-2</c:v>
                </c:pt>
                <c:pt idx="156">
                  <c:v>2.6545552544168238E-2</c:v>
                </c:pt>
                <c:pt idx="157">
                  <c:v>2.655062656363542E-2</c:v>
                </c:pt>
                <c:pt idx="158">
                  <c:v>2.6551995508556914E-2</c:v>
                </c:pt>
                <c:pt idx="159">
                  <c:v>2.6553724088920205E-2</c:v>
                </c:pt>
                <c:pt idx="160">
                  <c:v>2.6555499804989946E-2</c:v>
                </c:pt>
                <c:pt idx="161">
                  <c:v>2.6557322656766136E-2</c:v>
                </c:pt>
                <c:pt idx="162">
                  <c:v>2.6563058384725394E-2</c:v>
                </c:pt>
                <c:pt idx="163">
                  <c:v>2.656508542085434E-2</c:v>
                </c:pt>
                <c:pt idx="164">
                  <c:v>2.6567143951081729E-2</c:v>
                </c:pt>
                <c:pt idx="165">
                  <c:v>2.6569249617096613E-2</c:v>
                </c:pt>
                <c:pt idx="166">
                  <c:v>2.65714024187369E-2</c:v>
                </c:pt>
                <c:pt idx="167">
                  <c:v>2.6577800192610915E-2</c:v>
                </c:pt>
                <c:pt idx="168">
                  <c:v>2.6580484982686725E-2</c:v>
                </c:pt>
                <c:pt idx="169">
                  <c:v>2.658287346302135E-2</c:v>
                </c:pt>
                <c:pt idx="170">
                  <c:v>2.6585309078981378E-2</c:v>
                </c:pt>
                <c:pt idx="171">
                  <c:v>2.6587791830647856E-2</c:v>
                </c:pt>
                <c:pt idx="172">
                  <c:v>2.6594851988102446E-2</c:v>
                </c:pt>
                <c:pt idx="173">
                  <c:v>2.6598194194621394E-2</c:v>
                </c:pt>
                <c:pt idx="174">
                  <c:v>2.6600912624901163E-2</c:v>
                </c:pt>
                <c:pt idx="175">
                  <c:v>2.6603678190887381E-2</c:v>
                </c:pt>
                <c:pt idx="176">
                  <c:v>2.6606490892661094E-2</c:v>
                </c:pt>
                <c:pt idx="177">
                  <c:v>2.6614213772145533E-2</c:v>
                </c:pt>
                <c:pt idx="178">
                  <c:v>2.6618213056820439E-2</c:v>
                </c:pt>
                <c:pt idx="179">
                  <c:v>2.6621261437126398E-2</c:v>
                </c:pt>
                <c:pt idx="180">
                  <c:v>2.6624356953219852E-2</c:v>
                </c:pt>
                <c:pt idx="181">
                  <c:v>2.6627499605019755E-2</c:v>
                </c:pt>
                <c:pt idx="182">
                  <c:v>2.6635885545901832E-2</c:v>
                </c:pt>
                <c:pt idx="183">
                  <c:v>2.6640541569608045E-2</c:v>
                </c:pt>
                <c:pt idx="184">
                  <c:v>2.6643919900102286E-2</c:v>
                </c:pt>
                <c:pt idx="185">
                  <c:v>2.6647345366384023E-2</c:v>
                </c:pt>
                <c:pt idx="186">
                  <c:v>2.6650817968291163E-2</c:v>
                </c:pt>
                <c:pt idx="187">
                  <c:v>2.6659867310587042E-2</c:v>
                </c:pt>
                <c:pt idx="188">
                  <c:v>2.6665179733551536E-2</c:v>
                </c:pt>
                <c:pt idx="189">
                  <c:v>2.6668893641358382E-2</c:v>
                </c:pt>
                <c:pt idx="190">
                  <c:v>2.6672682820736426E-2</c:v>
                </c:pt>
                <c:pt idx="191">
                  <c:v>2.6676552898566852E-2</c:v>
                </c:pt>
                <c:pt idx="192">
                  <c:v>2.6686513629415508E-2</c:v>
                </c:pt>
                <c:pt idx="193">
                  <c:v>2.669284219635748E-2</c:v>
                </c:pt>
                <c:pt idx="194">
                  <c:v>2.6697116767260276E-2</c:v>
                </c:pt>
                <c:pt idx="195">
                  <c:v>2.6701472236858592E-2</c:v>
                </c:pt>
                <c:pt idx="196">
                  <c:v>2.6705908605152429E-2</c:v>
                </c:pt>
                <c:pt idx="197">
                  <c:v>2.671700637725594E-2</c:v>
                </c:pt>
                <c:pt idx="198">
                  <c:v>2.6724463064391468E-2</c:v>
                </c:pt>
                <c:pt idx="199">
                  <c:v>2.6729303925838721E-2</c:v>
                </c:pt>
                <c:pt idx="200">
                  <c:v>2.6734225685819402E-2</c:v>
                </c:pt>
                <c:pt idx="201">
                  <c:v>2.6753478304466505E-2</c:v>
                </c:pt>
                <c:pt idx="202">
                  <c:v>2.676545511790418E-2</c:v>
                </c:pt>
                <c:pt idx="203">
                  <c:v>2.677094316859141E-2</c:v>
                </c:pt>
                <c:pt idx="204">
                  <c:v>2.6776512117893114E-2</c:v>
                </c:pt>
                <c:pt idx="205">
                  <c:v>2.6789885734155309E-2</c:v>
                </c:pt>
                <c:pt idx="206">
                  <c:v>2.679959690213618E-2</c:v>
                </c:pt>
                <c:pt idx="207">
                  <c:v>2.6805570344915486E-2</c:v>
                </c:pt>
                <c:pt idx="208">
                  <c:v>2.6811624686309266E-2</c:v>
                </c:pt>
                <c:pt idx="209">
                  <c:v>2.6817759926479612E-2</c:v>
                </c:pt>
                <c:pt idx="210">
                  <c:v>2.6832272350346319E-2</c:v>
                </c:pt>
                <c:pt idx="211">
                  <c:v>2.6843109874278293E-2</c:v>
                </c:pt>
                <c:pt idx="212">
                  <c:v>2.684964960792624E-2</c:v>
                </c:pt>
                <c:pt idx="213">
                  <c:v>2.6856270240431801E-2</c:v>
                </c:pt>
                <c:pt idx="214">
                  <c:v>2.6862971771632882E-2</c:v>
                </c:pt>
                <c:pt idx="215">
                  <c:v>2.687862359706528E-2</c:v>
                </c:pt>
                <c:pt idx="216">
                  <c:v>2.689058688379764E-2</c:v>
                </c:pt>
                <c:pt idx="217">
                  <c:v>2.6897692908638415E-2</c:v>
                </c:pt>
                <c:pt idx="218">
                  <c:v>2.6904879832336803E-2</c:v>
                </c:pt>
                <c:pt idx="219">
                  <c:v>2.6912147654730711E-2</c:v>
                </c:pt>
                <c:pt idx="220">
                  <c:v>2.6928939478850781E-2</c:v>
                </c:pt>
                <c:pt idx="221">
                  <c:v>2.6942027932153056E-2</c:v>
                </c:pt>
                <c:pt idx="222">
                  <c:v>2.6949700248429798E-2</c:v>
                </c:pt>
                <c:pt idx="223">
                  <c:v>2.6957453463564152E-2</c:v>
                </c:pt>
                <c:pt idx="224">
                  <c:v>2.6965287577475072E-2</c:v>
                </c:pt>
                <c:pt idx="225">
                  <c:v>2.6983220000646645E-2</c:v>
                </c:pt>
                <c:pt idx="226">
                  <c:v>2.6997433021127559E-2</c:v>
                </c:pt>
                <c:pt idx="227">
                  <c:v>2.7005671629083405E-2</c:v>
                </c:pt>
                <c:pt idx="228">
                  <c:v>2.7013991135896864E-2</c:v>
                </c:pt>
                <c:pt idx="229">
                  <c:v>2.702239154148689E-2</c:v>
                </c:pt>
                <c:pt idx="230">
                  <c:v>2.7041465167747896E-2</c:v>
                </c:pt>
                <c:pt idx="231">
                  <c:v>2.7056802152423121E-2</c:v>
                </c:pt>
                <c:pt idx="232">
                  <c:v>2.7065607052382257E-2</c:v>
                </c:pt>
                <c:pt idx="233">
                  <c:v>2.7074492851117959E-2</c:v>
                </c:pt>
                <c:pt idx="234">
                  <c:v>2.7083459548792321E-2</c:v>
                </c:pt>
                <c:pt idx="235">
                  <c:v>2.7103674985800762E-2</c:v>
                </c:pt>
                <c:pt idx="236">
                  <c:v>2.712013532822799E-2</c:v>
                </c:pt>
                <c:pt idx="237">
                  <c:v>2.7129506520271462E-2</c:v>
                </c:pt>
                <c:pt idx="238">
                  <c:v>2.7138958611253594E-2</c:v>
                </c:pt>
                <c:pt idx="239">
                  <c:v>2.7148491601255431E-2</c:v>
                </c:pt>
                <c:pt idx="240">
                  <c:v>2.7169849460964755E-2</c:v>
                </c:pt>
                <c:pt idx="241">
                  <c:v>2.7187432550244139E-2</c:v>
                </c:pt>
                <c:pt idx="242">
                  <c:v>2.7197370034858226E-2</c:v>
                </c:pt>
                <c:pt idx="243">
                  <c:v>2.7207388418492018E-2</c:v>
                </c:pt>
                <c:pt idx="244">
                  <c:v>2.7217487700983423E-2</c:v>
                </c:pt>
                <c:pt idx="245">
                  <c:v>2.7246190644350798E-2</c:v>
                </c:pt>
                <c:pt idx="246">
                  <c:v>2.7269197598411843E-2</c:v>
                </c:pt>
                <c:pt idx="247">
                  <c:v>2.7279782274859388E-2</c:v>
                </c:pt>
                <c:pt idx="248">
                  <c:v>2.7290447850326638E-2</c:v>
                </c:pt>
                <c:pt idx="249">
                  <c:v>2.7314092408696016E-2</c:v>
                </c:pt>
                <c:pt idx="250">
                  <c:v>2.7333919142473739E-2</c:v>
                </c:pt>
                <c:pt idx="251">
                  <c:v>2.7344989213120563E-2</c:v>
                </c:pt>
                <c:pt idx="252">
                  <c:v>2.7356140182787092E-2</c:v>
                </c:pt>
                <c:pt idx="253">
                  <c:v>2.7367356846137447E-2</c:v>
                </c:pt>
                <c:pt idx="254">
                  <c:v>2.7391841533252286E-2</c:v>
                </c:pt>
                <c:pt idx="255">
                  <c:v>2.7412180985577628E-2</c:v>
                </c:pt>
                <c:pt idx="256">
                  <c:v>2.7423361186530437E-2</c:v>
                </c:pt>
                <c:pt idx="257">
                  <c:v>2.7434531053920352E-2</c:v>
                </c:pt>
                <c:pt idx="258">
                  <c:v>2.7445690587747373E-2</c:v>
                </c:pt>
                <c:pt idx="259">
                  <c:v>2.7470042356854501E-2</c:v>
                </c:pt>
                <c:pt idx="260">
                  <c:v>2.7490225387345468E-2</c:v>
                </c:pt>
                <c:pt idx="261">
                  <c:v>2.7501333253358018E-2</c:v>
                </c:pt>
                <c:pt idx="262">
                  <c:v>2.7512430785807673E-2</c:v>
                </c:pt>
                <c:pt idx="263">
                  <c:v>2.7523517984613388E-2</c:v>
                </c:pt>
                <c:pt idx="264">
                  <c:v>2.7547736792758275E-2</c:v>
                </c:pt>
                <c:pt idx="265">
                  <c:v>2.7567763444288351E-2</c:v>
                </c:pt>
                <c:pt idx="266">
                  <c:v>2.7578798975279595E-2</c:v>
                </c:pt>
                <c:pt idx="267">
                  <c:v>2.7589824172707944E-2</c:v>
                </c:pt>
                <c:pt idx="268">
                  <c:v>2.7600839036492353E-2</c:v>
                </c:pt>
                <c:pt idx="269">
                  <c:v>2.7624924839937025E-2</c:v>
                </c:pt>
                <c:pt idx="270">
                  <c:v>2.7644795156001045E-2</c:v>
                </c:pt>
                <c:pt idx="271">
                  <c:v>2.7655758351889936E-2</c:v>
                </c:pt>
                <c:pt idx="272">
                  <c:v>2.766671121429698E-2</c:v>
                </c:pt>
                <c:pt idx="273">
                  <c:v>2.7677653743060082E-2</c:v>
                </c:pt>
                <c:pt idx="274">
                  <c:v>2.7701606497472223E-2</c:v>
                </c:pt>
                <c:pt idx="275">
                  <c:v>2.7721320522159365E-2</c:v>
                </c:pt>
                <c:pt idx="276">
                  <c:v>2.7732211382945904E-2</c:v>
                </c:pt>
                <c:pt idx="277">
                  <c:v>2.7743091910250595E-2</c:v>
                </c:pt>
                <c:pt idx="278">
                  <c:v>2.7753962103911345E-2</c:v>
                </c:pt>
                <c:pt idx="279">
                  <c:v>2.7777781764391312E-2</c:v>
                </c:pt>
                <c:pt idx="280">
                  <c:v>2.7797339542520172E-2</c:v>
                </c:pt>
                <c:pt idx="281">
                  <c:v>2.7808158068204358E-2</c:v>
                </c:pt>
                <c:pt idx="282">
                  <c:v>2.7818966260244604E-2</c:v>
                </c:pt>
                <c:pt idx="283">
                  <c:v>2.7829764118803002E-2</c:v>
                </c:pt>
                <c:pt idx="284">
                  <c:v>2.7859896284196106E-2</c:v>
                </c:pt>
                <c:pt idx="285">
                  <c:v>2.7883598407179022E-2</c:v>
                </c:pt>
                <c:pt idx="286">
                  <c:v>2.7894334264035869E-2</c:v>
                </c:pt>
                <c:pt idx="287">
                  <c:v>2.7905059787329822E-2</c:v>
                </c:pt>
                <c:pt idx="288">
                  <c:v>2.7928613122572003E-2</c:v>
                </c:pt>
                <c:pt idx="289">
                  <c:v>2.7947858544309367E-2</c:v>
                </c:pt>
                <c:pt idx="290">
                  <c:v>2.7958532399626757E-2</c:v>
                </c:pt>
                <c:pt idx="291">
                  <c:v>2.7969195921219159E-2</c:v>
                </c:pt>
                <c:pt idx="292">
                  <c:v>2.7979849109248667E-2</c:v>
                </c:pt>
                <c:pt idx="293">
                  <c:v>2.800326921199655E-2</c:v>
                </c:pt>
                <c:pt idx="294">
                  <c:v>2.8022358525251478E-2</c:v>
                </c:pt>
                <c:pt idx="295">
                  <c:v>2.8032960045223376E-2</c:v>
                </c:pt>
                <c:pt idx="296">
                  <c:v>2.8043551231551334E-2</c:v>
                </c:pt>
                <c:pt idx="297">
                  <c:v>2.8054132084316397E-2</c:v>
                </c:pt>
                <c:pt idx="298">
                  <c:v>2.8077418906995815E-2</c:v>
                </c:pt>
                <c:pt idx="299">
                  <c:v>2.809635215901829E-2</c:v>
                </c:pt>
                <c:pt idx="300">
                  <c:v>2.8106881343725743E-2</c:v>
                </c:pt>
                <c:pt idx="301">
                  <c:v>2.8117400194627162E-2</c:v>
                </c:pt>
                <c:pt idx="302">
                  <c:v>2.8127908712046734E-2</c:v>
                </c:pt>
                <c:pt idx="303">
                  <c:v>2.8151062206705307E-2</c:v>
                </c:pt>
                <c:pt idx="304">
                  <c:v>2.8169839445447709E-2</c:v>
                </c:pt>
                <c:pt idx="305">
                  <c:v>2.8180296294647578E-2</c:v>
                </c:pt>
                <c:pt idx="306">
                  <c:v>2.8190742810365599E-2</c:v>
                </c:pt>
                <c:pt idx="307">
                  <c:v>2.8201178992358633E-2</c:v>
                </c:pt>
                <c:pt idx="308">
                  <c:v>2.8224199110179485E-2</c:v>
                </c:pt>
                <c:pt idx="309">
                  <c:v>2.8242820384053458E-2</c:v>
                </c:pt>
                <c:pt idx="310">
                  <c:v>2.8253204897907835E-2</c:v>
                </c:pt>
                <c:pt idx="311">
                  <c:v>2.8263579078199319E-2</c:v>
                </c:pt>
                <c:pt idx="312">
                  <c:v>2.8273942924765816E-2</c:v>
                </c:pt>
                <c:pt idx="313">
                  <c:v>2.8296829616499822E-2</c:v>
                </c:pt>
                <c:pt idx="314">
                  <c:v>2.8315294974673444E-2</c:v>
                </c:pt>
                <c:pt idx="315">
                  <c:v>2.8325607153101284E-2</c:v>
                </c:pt>
                <c:pt idx="316">
                  <c:v>2.8335908997885184E-2</c:v>
                </c:pt>
                <c:pt idx="317">
                  <c:v>2.8346208239948822E-2</c:v>
                </c:pt>
                <c:pt idx="318">
                  <c:v>2.8369116099998818E-2</c:v>
                </c:pt>
                <c:pt idx="319">
                  <c:v>2.8387734805029874E-2</c:v>
                </c:pt>
                <c:pt idx="320">
                  <c:v>2.8398206576470963E-2</c:v>
                </c:pt>
                <c:pt idx="321">
                  <c:v>2.8408714399972279E-2</c:v>
                </c:pt>
                <c:pt idx="322">
                  <c:v>2.8419258275533821E-2</c:v>
                </c:pt>
                <c:pt idx="323">
                  <c:v>2.8442682312916544E-2</c:v>
                </c:pt>
                <c:pt idx="324">
                  <c:v>2.8461794298787479E-2</c:v>
                </c:pt>
                <c:pt idx="325">
                  <c:v>2.8472518434731198E-2</c:v>
                </c:pt>
                <c:pt idx="326">
                  <c:v>2.8483278622897235E-2</c:v>
                </c:pt>
                <c:pt idx="327">
                  <c:v>2.8494074863123497E-2</c:v>
                </c:pt>
                <c:pt idx="328">
                  <c:v>2.8524588890428137E-2</c:v>
                </c:pt>
                <c:pt idx="329">
                  <c:v>2.8548596845806573E-2</c:v>
                </c:pt>
                <c:pt idx="330">
                  <c:v>2.8559609398718377E-2</c:v>
                </c:pt>
                <c:pt idx="331">
                  <c:v>2.8570658003690408E-2</c:v>
                </c:pt>
                <c:pt idx="332">
                  <c:v>2.8595115315748952E-2</c:v>
                </c:pt>
                <c:pt idx="333">
                  <c:v>2.8615212944991253E-2</c:v>
                </c:pt>
                <c:pt idx="334">
                  <c:v>2.8626441810588599E-2</c:v>
                </c:pt>
                <c:pt idx="335">
                  <c:v>2.8637706728489309E-2</c:v>
                </c:pt>
                <c:pt idx="336">
                  <c:v>2.86490076983692E-2</c:v>
                </c:pt>
                <c:pt idx="337">
                  <c:v>2.8673982112336443E-2</c:v>
                </c:pt>
                <c:pt idx="338">
                  <c:v>2.8694572099706717E-2</c:v>
                </c:pt>
                <c:pt idx="339">
                  <c:v>2.8706053330374015E-2</c:v>
                </c:pt>
                <c:pt idx="340">
                  <c:v>2.8717570613344678E-2</c:v>
                </c:pt>
                <c:pt idx="341">
                  <c:v>2.8729123948375568E-2</c:v>
                </c:pt>
                <c:pt idx="342">
                  <c:v>2.8754615776874031E-2</c:v>
                </c:pt>
                <c:pt idx="343">
                  <c:v>2.877569781031708E-2</c:v>
                </c:pt>
                <c:pt idx="344">
                  <c:v>2.878743140629747E-2</c:v>
                </c:pt>
                <c:pt idx="345">
                  <c:v>2.8799201054419132E-2</c:v>
                </c:pt>
                <c:pt idx="346">
                  <c:v>2.8811006754763113E-2</c:v>
                </c:pt>
                <c:pt idx="347">
                  <c:v>2.8837016312927753E-2</c:v>
                </c:pt>
                <c:pt idx="348">
                  <c:v>2.8858590078119084E-2</c:v>
                </c:pt>
                <c:pt idx="349">
                  <c:v>2.8870576039412565E-2</c:v>
                </c:pt>
                <c:pt idx="350">
                  <c:v>2.8882598053009412E-2</c:v>
                </c:pt>
                <c:pt idx="351">
                  <c:v>2.889465611874753E-2</c:v>
                </c:pt>
                <c:pt idx="352">
                  <c:v>2.8921183724063642E-2</c:v>
                </c:pt>
                <c:pt idx="353">
                  <c:v>2.894324890416633E-2</c:v>
                </c:pt>
                <c:pt idx="354">
                  <c:v>2.8955487231016042E-2</c:v>
                </c:pt>
                <c:pt idx="355">
                  <c:v>2.8967761610169118E-2</c:v>
                </c:pt>
                <c:pt idx="356">
                  <c:v>2.898007204162556E-2</c:v>
                </c:pt>
                <c:pt idx="357">
                  <c:v>2.90071180139558E-2</c:v>
                </c:pt>
                <c:pt idx="358">
                  <c:v>2.9029674289674512E-2</c:v>
                </c:pt>
                <c:pt idx="359">
                  <c:v>2.9042164982404639E-2</c:v>
                </c:pt>
                <c:pt idx="360">
                  <c:v>2.9054691727357085E-2</c:v>
                </c:pt>
                <c:pt idx="361">
                  <c:v>2.9067254524531849E-2</c:v>
                </c:pt>
                <c:pt idx="362">
                  <c:v>2.9094819186332353E-2</c:v>
                </c:pt>
                <c:pt idx="363">
                  <c:v>2.9117866236102463E-2</c:v>
                </c:pt>
                <c:pt idx="364">
                  <c:v>2.9130609294631959E-2</c:v>
                </c:pt>
                <c:pt idx="365">
                  <c:v>2.9143388405626913E-2</c:v>
                </c:pt>
                <c:pt idx="366">
                  <c:v>2.9156203568763139E-2</c:v>
                </c:pt>
                <c:pt idx="367">
                  <c:v>2.918428724505651E-2</c:v>
                </c:pt>
                <c:pt idx="368">
                  <c:v>2.9207824744503785E-2</c:v>
                </c:pt>
                <c:pt idx="369">
                  <c:v>2.9220820169237882E-2</c:v>
                </c:pt>
                <c:pt idx="370">
                  <c:v>2.9233851646275344E-2</c:v>
                </c:pt>
                <c:pt idx="371">
                  <c:v>2.9246919175697217E-2</c:v>
                </c:pt>
                <c:pt idx="372">
                  <c:v>2.9275522193937441E-2</c:v>
                </c:pt>
                <c:pt idx="373">
                  <c:v>2.9299549816337311E-2</c:v>
                </c:pt>
                <c:pt idx="374">
                  <c:v>2.9312797607357055E-2</c:v>
                </c:pt>
                <c:pt idx="375">
                  <c:v>2.932608145076121E-2</c:v>
                </c:pt>
                <c:pt idx="376">
                  <c:v>2.933940134646873E-2</c:v>
                </c:pt>
                <c:pt idx="377">
                  <c:v>2.9368524037054481E-2</c:v>
                </c:pt>
                <c:pt idx="378">
                  <c:v>2.9393041452899782E-2</c:v>
                </c:pt>
                <c:pt idx="379">
                  <c:v>2.9406541610367265E-2</c:v>
                </c:pt>
                <c:pt idx="380">
                  <c:v>2.9420060945735127E-2</c:v>
                </c:pt>
                <c:pt idx="381">
                  <c:v>2.9433531960499915E-2</c:v>
                </c:pt>
                <c:pt idx="382">
                  <c:v>2.9462634563494815E-2</c:v>
                </c:pt>
                <c:pt idx="383">
                  <c:v>2.9486764068525906E-2</c:v>
                </c:pt>
                <c:pt idx="384">
                  <c:v>2.9499909107693068E-2</c:v>
                </c:pt>
                <c:pt idx="385">
                  <c:v>2.9512988951692076E-2</c:v>
                </c:pt>
                <c:pt idx="386">
                  <c:v>2.9556557749760515E-2</c:v>
                </c:pt>
                <c:pt idx="387">
                  <c:v>2.9590098917398056E-2</c:v>
                </c:pt>
                <c:pt idx="388">
                  <c:v>2.9602722395219994E-2</c:v>
                </c:pt>
                <c:pt idx="389">
                  <c:v>2.9637564231898561E-2</c:v>
                </c:pt>
                <c:pt idx="390">
                  <c:v>2.9664861856077973E-2</c:v>
                </c:pt>
                <c:pt idx="391">
                  <c:v>2.9677094162647855E-2</c:v>
                </c:pt>
                <c:pt idx="392">
                  <c:v>2.9689261273887491E-2</c:v>
                </c:pt>
                <c:pt idx="393">
                  <c:v>2.9701363189877927E-2</c:v>
                </c:pt>
                <c:pt idx="394">
                  <c:v>2.9727770582109368E-2</c:v>
                </c:pt>
                <c:pt idx="395">
                  <c:v>2.9749118901347682E-2</c:v>
                </c:pt>
                <c:pt idx="396">
                  <c:v>2.9760894841092123E-2</c:v>
                </c:pt>
                <c:pt idx="397">
                  <c:v>2.9772605585425271E-2</c:v>
                </c:pt>
                <c:pt idx="398">
                  <c:v>2.9784251134590267E-2</c:v>
                </c:pt>
                <c:pt idx="399">
                  <c:v>2.9809759163808017E-2</c:v>
                </c:pt>
                <c:pt idx="400">
                  <c:v>2.9830181378028842E-2</c:v>
                </c:pt>
                <c:pt idx="401">
                  <c:v>2.984150095054261E-2</c:v>
                </c:pt>
                <c:pt idx="402">
                  <c:v>2.9852755327807179E-2</c:v>
                </c:pt>
                <c:pt idx="403">
                  <c:v>2.9863944509660456E-2</c:v>
                </c:pt>
                <c:pt idx="404">
                  <c:v>2.9888552688965474E-2</c:v>
                </c:pt>
                <c:pt idx="405">
                  <c:v>2.9914706662174106E-2</c:v>
                </c:pt>
                <c:pt idx="406">
                  <c:v>2.9929710498763917E-2</c:v>
                </c:pt>
                <c:pt idx="407">
                  <c:v>2.9940443313143383E-2</c:v>
                </c:pt>
                <c:pt idx="408">
                  <c:v>2.9964151151341177E-2</c:v>
                </c:pt>
                <c:pt idx="409">
                  <c:v>2.9982722616872515E-2</c:v>
                </c:pt>
                <c:pt idx="410">
                  <c:v>2.9993129454276568E-2</c:v>
                </c:pt>
                <c:pt idx="411">
                  <c:v>3.000347109626933E-2</c:v>
                </c:pt>
                <c:pt idx="412">
                  <c:v>3.0013747542931846E-2</c:v>
                </c:pt>
                <c:pt idx="413">
                  <c:v>3.0036554545018749E-2</c:v>
                </c:pt>
                <c:pt idx="414">
                  <c:v>3.005420137506376E-2</c:v>
                </c:pt>
                <c:pt idx="415">
                  <c:v>3.0064151844507725E-2</c:v>
                </c:pt>
                <c:pt idx="416">
                  <c:v>3.0074037118459351E-2</c:v>
                </c:pt>
                <c:pt idx="417">
                  <c:v>3.0083857197080732E-2</c:v>
                </c:pt>
                <c:pt idx="418">
                  <c:v>3.0105762864297933E-2</c:v>
                </c:pt>
                <c:pt idx="419">
                  <c:v>3.0122485556561829E-2</c:v>
                </c:pt>
                <c:pt idx="420">
                  <c:v>3.0131979657802566E-2</c:v>
                </c:pt>
                <c:pt idx="421">
                  <c:v>3.0141408563550964E-2</c:v>
                </c:pt>
                <c:pt idx="422">
                  <c:v>3.0150772273725979E-2</c:v>
                </c:pt>
                <c:pt idx="423">
                  <c:v>3.0171776103694595E-2</c:v>
                </c:pt>
                <c:pt idx="424">
                  <c:v>3.0187575159664748E-2</c:v>
                </c:pt>
                <c:pt idx="425">
                  <c:v>3.0196612892378072E-2</c:v>
                </c:pt>
                <c:pt idx="426">
                  <c:v>3.0205585429599058E-2</c:v>
                </c:pt>
                <c:pt idx="427">
                  <c:v>3.0214492771246659E-2</c:v>
                </c:pt>
                <c:pt idx="428">
                  <c:v>3.0234594257994761E-2</c:v>
                </c:pt>
                <c:pt idx="429">
                  <c:v>3.02494701825895E-2</c:v>
                </c:pt>
                <c:pt idx="430">
                  <c:v>3.0258051546532272E-2</c:v>
                </c:pt>
                <c:pt idx="431">
                  <c:v>3.0266567714982706E-2</c:v>
                </c:pt>
                <c:pt idx="432">
                  <c:v>3.0275018687859756E-2</c:v>
                </c:pt>
                <c:pt idx="433">
                  <c:v>3.029421732230864E-2</c:v>
                </c:pt>
                <c:pt idx="434">
                  <c:v>3.0308170623715158E-2</c:v>
                </c:pt>
                <c:pt idx="435">
                  <c:v>3.0316295618725286E-2</c:v>
                </c:pt>
                <c:pt idx="436">
                  <c:v>3.032435541816203E-2</c:v>
                </c:pt>
                <c:pt idx="437">
                  <c:v>3.0332350022025389E-2</c:v>
                </c:pt>
                <c:pt idx="438">
                  <c:v>3.0350645291908528E-2</c:v>
                </c:pt>
                <c:pt idx="439">
                  <c:v>3.0363676481501845E-2</c:v>
                </c:pt>
                <c:pt idx="440">
                  <c:v>3.037134510733619E-2</c:v>
                </c:pt>
                <c:pt idx="441">
                  <c:v>3.0378971961269041E-2</c:v>
                </c:pt>
                <c:pt idx="442">
                  <c:v>3.0386650737987964E-2</c:v>
                </c:pt>
                <c:pt idx="443">
                  <c:v>3.0404791838204812E-2</c:v>
                </c:pt>
                <c:pt idx="444">
                  <c:v>3.0418119309686409E-2</c:v>
                </c:pt>
                <c:pt idx="445">
                  <c:v>3.0426174818857232E-2</c:v>
                </c:pt>
                <c:pt idx="446">
                  <c:v>3.0434305674567064E-2</c:v>
                </c:pt>
                <c:pt idx="447">
                  <c:v>3.0464309731947914E-2</c:v>
                </c:pt>
                <c:pt idx="448">
                  <c:v>3.048467308549685E-2</c:v>
                </c:pt>
                <c:pt idx="449">
                  <c:v>3.0493331366817644E-2</c:v>
                </c:pt>
                <c:pt idx="450">
                  <c:v>3.0502064994758493E-2</c:v>
                </c:pt>
                <c:pt idx="451">
                  <c:v>3.052233541426623E-2</c:v>
                </c:pt>
                <c:pt idx="452">
                  <c:v>3.0537752971993015E-2</c:v>
                </c:pt>
                <c:pt idx="453">
                  <c:v>3.0546863332628904E-2</c:v>
                </c:pt>
                <c:pt idx="454">
                  <c:v>3.0556049039965893E-2</c:v>
                </c:pt>
                <c:pt idx="455">
                  <c:v>3.0565310093841891E-2</c:v>
                </c:pt>
                <c:pt idx="456">
                  <c:v>3.0586646130219185E-2</c:v>
                </c:pt>
                <c:pt idx="457">
                  <c:v>3.0603107775384331E-2</c:v>
                </c:pt>
                <c:pt idx="458">
                  <c:v>3.0612745562279553E-2</c:v>
                </c:pt>
                <c:pt idx="459">
                  <c:v>3.062245869579483E-2</c:v>
                </c:pt>
                <c:pt idx="460">
                  <c:v>3.0632247175930161E-2</c:v>
                </c:pt>
                <c:pt idx="461">
                  <c:v>3.0654649472468362E-2</c:v>
                </c:pt>
                <c:pt idx="462">
                  <c:v>3.0672154562915166E-2</c:v>
                </c:pt>
                <c:pt idx="463">
                  <c:v>3.0682319776312861E-2</c:v>
                </c:pt>
                <c:pt idx="464">
                  <c:v>3.069256033633061E-2</c:v>
                </c:pt>
                <c:pt idx="465">
                  <c:v>3.070287624304946E-2</c:v>
                </c:pt>
                <c:pt idx="466">
                  <c:v>3.0732923539168178E-2</c:v>
                </c:pt>
                <c:pt idx="467">
                  <c:v>3.0755585976836031E-2</c:v>
                </c:pt>
                <c:pt idx="468">
                  <c:v>3.0766353963680437E-2</c:v>
                </c:pt>
                <c:pt idx="469">
                  <c:v>3.0777197297306991E-2</c:v>
                </c:pt>
                <c:pt idx="470">
                  <c:v>3.0801734060898665E-2</c:v>
                </c:pt>
                <c:pt idx="471">
                  <c:v>3.0821324098905256E-2</c:v>
                </c:pt>
                <c:pt idx="472">
                  <c:v>3.0832544166118359E-2</c:v>
                </c:pt>
                <c:pt idx="473">
                  <c:v>3.0843839580113608E-2</c:v>
                </c:pt>
                <c:pt idx="474">
                  <c:v>3.085521034097205E-2</c:v>
                </c:pt>
                <c:pt idx="475">
                  <c:v>3.0880815320479447E-2</c:v>
                </c:pt>
                <c:pt idx="476">
                  <c:v>3.0901446851822056E-2</c:v>
                </c:pt>
                <c:pt idx="477">
                  <c:v>3.0913194346591233E-2</c:v>
                </c:pt>
                <c:pt idx="478">
                  <c:v>3.092501718806151E-2</c:v>
                </c:pt>
                <c:pt idx="479">
                  <c:v>3.0936915376313934E-2</c:v>
                </c:pt>
                <c:pt idx="480">
                  <c:v>3.0963589233155751E-2</c:v>
                </c:pt>
                <c:pt idx="481">
                  <c:v>3.098526159795556E-2</c:v>
                </c:pt>
                <c:pt idx="482">
                  <c:v>3.0997536520523949E-2</c:v>
                </c:pt>
                <c:pt idx="483">
                  <c:v>3.1009886789874486E-2</c:v>
                </c:pt>
                <c:pt idx="484">
                  <c:v>3.1022312406088215E-2</c:v>
                </c:pt>
                <c:pt idx="485">
                  <c:v>3.1050055806437868E-2</c:v>
                </c:pt>
                <c:pt idx="486">
                  <c:v>3.1072768339899248E-2</c:v>
                </c:pt>
                <c:pt idx="487">
                  <c:v>3.1085570690509989E-2</c:v>
                </c:pt>
                <c:pt idx="488">
                  <c:v>3.1098448388146016E-2</c:v>
                </c:pt>
                <c:pt idx="489">
                  <c:v>3.1111401432645236E-2</c:v>
                </c:pt>
                <c:pt idx="490">
                  <c:v>3.1140215048187279E-2</c:v>
                </c:pt>
                <c:pt idx="491">
                  <c:v>3.1163967080084509E-2</c:v>
                </c:pt>
                <c:pt idx="492">
                  <c:v>3.1177296859385972E-2</c:v>
                </c:pt>
                <c:pt idx="493">
                  <c:v>3.1190701985550628E-2</c:v>
                </c:pt>
                <c:pt idx="494">
                  <c:v>3.120418245874057E-2</c:v>
                </c:pt>
                <c:pt idx="495">
                  <c:v>3.1234066966616684E-2</c:v>
                </c:pt>
                <c:pt idx="496">
                  <c:v>3.1258857821510055E-2</c:v>
                </c:pt>
                <c:pt idx="497">
                  <c:v>3.1272715029664333E-2</c:v>
                </c:pt>
                <c:pt idx="498">
                  <c:v>3.1286647584924943E-2</c:v>
                </c:pt>
                <c:pt idx="499">
                  <c:v>3.1300655487291884E-2</c:v>
                </c:pt>
                <c:pt idx="500">
                  <c:v>3.1340087612220235E-2</c:v>
                </c:pt>
                <c:pt idx="501">
                  <c:v>3.1371825204505877E-2</c:v>
                </c:pt>
                <c:pt idx="502">
                  <c:v>3.1386285189186625E-2</c:v>
                </c:pt>
                <c:pt idx="503">
                  <c:v>3.1400780591011035E-2</c:v>
                </c:pt>
                <c:pt idx="504">
                  <c:v>3.143201019313091E-2</c:v>
                </c:pt>
                <c:pt idx="505">
                  <c:v>3.145727958765332E-2</c:v>
                </c:pt>
                <c:pt idx="506">
                  <c:v>3.1470993754146859E-2</c:v>
                </c:pt>
                <c:pt idx="507">
                  <c:v>3.1484543687484434E-2</c:v>
                </c:pt>
                <c:pt idx="508">
                  <c:v>3.1497929387585E-2</c:v>
                </c:pt>
                <c:pt idx="509">
                  <c:v>3.1526876086009903E-2</c:v>
                </c:pt>
                <c:pt idx="510">
                  <c:v>3.1549829856589717E-2</c:v>
                </c:pt>
                <c:pt idx="511">
                  <c:v>3.1562394390748372E-2</c:v>
                </c:pt>
                <c:pt idx="512">
                  <c:v>3.1574794691670016E-2</c:v>
                </c:pt>
                <c:pt idx="513">
                  <c:v>3.1587030759354651E-2</c:v>
                </c:pt>
                <c:pt idx="514">
                  <c:v>3.1613693207473613E-2</c:v>
                </c:pt>
                <c:pt idx="515">
                  <c:v>3.1634332697155765E-2</c:v>
                </c:pt>
                <c:pt idx="516">
                  <c:v>3.1645747598250118E-2</c:v>
                </c:pt>
                <c:pt idx="517">
                  <c:v>3.1656998265945369E-2</c:v>
                </c:pt>
                <c:pt idx="518">
                  <c:v>3.1731154404961437E-2</c:v>
                </c:pt>
                <c:pt idx="519">
                  <c:v>3.1797263103450213E-2</c:v>
                </c:pt>
                <c:pt idx="520">
                  <c:v>3.1855324357440429E-2</c:v>
                </c:pt>
                <c:pt idx="521">
                  <c:v>3.1905338162879771E-2</c:v>
                </c:pt>
                <c:pt idx="522">
                  <c:v>3.1947304516445341E-2</c:v>
                </c:pt>
                <c:pt idx="523">
                  <c:v>3.1981223415462612E-2</c:v>
                </c:pt>
                <c:pt idx="524">
                  <c:v>3.2007094857581242E-2</c:v>
                </c:pt>
                <c:pt idx="525">
                  <c:v>3.2024918841261352E-2</c:v>
                </c:pt>
                <c:pt idx="526">
                  <c:v>3.2034695365125154E-2</c:v>
                </c:pt>
                <c:pt idx="527">
                  <c:v>3.2036424428605326E-2</c:v>
                </c:pt>
                <c:pt idx="528">
                  <c:v>3.2034713708573026E-2</c:v>
                </c:pt>
                <c:pt idx="529">
                  <c:v>3.2035585837794089E-2</c:v>
                </c:pt>
                <c:pt idx="530">
                  <c:v>3.2039077097365531E-2</c:v>
                </c:pt>
                <c:pt idx="531">
                  <c:v>3.204518748712526E-2</c:v>
                </c:pt>
                <c:pt idx="532">
                  <c:v>3.2053917007478505E-2</c:v>
                </c:pt>
                <c:pt idx="533">
                  <c:v>3.2065265658425268E-2</c:v>
                </c:pt>
                <c:pt idx="534">
                  <c:v>3.2079233440208688E-2</c:v>
                </c:pt>
                <c:pt idx="535">
                  <c:v>3.2095820353233995E-2</c:v>
                </c:pt>
                <c:pt idx="536">
                  <c:v>3.2115026397825375E-2</c:v>
                </c:pt>
                <c:pt idx="537">
                  <c:v>3.2136851574388059E-2</c:v>
                </c:pt>
                <c:pt idx="538">
                  <c:v>3.2161295883327279E-2</c:v>
                </c:pt>
                <c:pt idx="539">
                  <c:v>3.2188359325372451E-2</c:v>
                </c:pt>
                <c:pt idx="540">
                  <c:v>3.221804190084776E-2</c:v>
                </c:pt>
                <c:pt idx="541">
                  <c:v>3.2250343610482624E-2</c:v>
                </c:pt>
                <c:pt idx="542">
                  <c:v>3.2285264455006457E-2</c:v>
                </c:pt>
                <c:pt idx="543">
                  <c:v>3.2322804435148678E-2</c:v>
                </c:pt>
                <c:pt idx="544">
                  <c:v>3.2362963551800794E-2</c:v>
                </c:pt>
                <c:pt idx="545">
                  <c:v>3.2405741805692223E-2</c:v>
                </c:pt>
                <c:pt idx="546">
                  <c:v>3.2455931640533175E-2</c:v>
                </c:pt>
                <c:pt idx="547">
                  <c:v>3.2499155729164286E-2</c:v>
                </c:pt>
                <c:pt idx="548">
                  <c:v>3.2549791400690031E-2</c:v>
                </c:pt>
                <c:pt idx="549">
                  <c:v>3.2603046213588449E-2</c:v>
                </c:pt>
                <c:pt idx="550">
                  <c:v>3.2658920168913141E-2</c:v>
                </c:pt>
                <c:pt idx="551">
                  <c:v>3.2717413267960849E-2</c:v>
                </c:pt>
                <c:pt idx="552">
                  <c:v>3.2778525511866219E-2</c:v>
                </c:pt>
                <c:pt idx="553">
                  <c:v>3.2842256902088085E-2</c:v>
                </c:pt>
                <c:pt idx="554">
                  <c:v>3.2908607439923188E-2</c:v>
                </c:pt>
                <c:pt idx="555">
                  <c:v>3.2977577126749313E-2</c:v>
                </c:pt>
                <c:pt idx="556">
                  <c:v>3.3049165964187388E-2</c:v>
                </c:pt>
                <c:pt idx="557">
                  <c:v>3.3123373953615198E-2</c:v>
                </c:pt>
                <c:pt idx="558">
                  <c:v>3.3200201096734716E-2</c:v>
                </c:pt>
                <c:pt idx="559">
                  <c:v>3.3279647395247913E-2</c:v>
                </c:pt>
                <c:pt idx="560">
                  <c:v>3.3361712850694669E-2</c:v>
                </c:pt>
                <c:pt idx="561">
                  <c:v>3.3446397464939048E-2</c:v>
                </c:pt>
                <c:pt idx="562">
                  <c:v>3.3533701239845115E-2</c:v>
                </c:pt>
                <c:pt idx="563">
                  <c:v>3.3623624177276934E-2</c:v>
                </c:pt>
                <c:pt idx="564">
                  <c:v>3.3716166279098569E-2</c:v>
                </c:pt>
                <c:pt idx="565">
                  <c:v>3.3811327547336179E-2</c:v>
                </c:pt>
                <c:pt idx="566">
                  <c:v>3.3909107984096964E-2</c:v>
                </c:pt>
                <c:pt idx="567">
                  <c:v>3.4009294965030579E-2</c:v>
                </c:pt>
                <c:pt idx="568">
                  <c:v>3.4109493646615752E-2</c:v>
                </c:pt>
                <c:pt idx="569">
                  <c:v>3.4209021385673832E-2</c:v>
                </c:pt>
                <c:pt idx="570">
                  <c:v>3.4307878181880636E-2</c:v>
                </c:pt>
                <c:pt idx="571">
                  <c:v>3.4406064034425698E-2</c:v>
                </c:pt>
                <c:pt idx="572">
                  <c:v>3.4503578942984836E-2</c:v>
                </c:pt>
                <c:pt idx="573">
                  <c:v>3.4600422906828632E-2</c:v>
                </c:pt>
                <c:pt idx="574">
                  <c:v>3.4696595925551854E-2</c:v>
                </c:pt>
                <c:pt idx="575">
                  <c:v>3.4792097998749272E-2</c:v>
                </c:pt>
                <c:pt idx="576">
                  <c:v>3.4886929125610422E-2</c:v>
                </c:pt>
                <c:pt idx="577">
                  <c:v>3.4981089305730073E-2</c:v>
                </c:pt>
                <c:pt idx="578">
                  <c:v>3.5074578538702994E-2</c:v>
                </c:pt>
                <c:pt idx="579">
                  <c:v>3.5167396823799768E-2</c:v>
                </c:pt>
                <c:pt idx="580">
                  <c:v>3.525954416069621E-2</c:v>
                </c:pt>
                <c:pt idx="581">
                  <c:v>3.5351020548906043E-2</c:v>
                </c:pt>
                <c:pt idx="582">
                  <c:v>3.5441825987699849E-2</c:v>
                </c:pt>
                <c:pt idx="583">
                  <c:v>3.5531960476753444E-2</c:v>
                </c:pt>
                <c:pt idx="584">
                  <c:v>3.5621424015580549E-2</c:v>
                </c:pt>
                <c:pt idx="585">
                  <c:v>3.5710216603532796E-2</c:v>
                </c:pt>
                <c:pt idx="586">
                  <c:v>3.5798338240285998E-2</c:v>
                </c:pt>
                <c:pt idx="587">
                  <c:v>3.5885788925272832E-2</c:v>
                </c:pt>
                <c:pt idx="588">
                  <c:v>3.5972568658088067E-2</c:v>
                </c:pt>
                <c:pt idx="589">
                  <c:v>3.6058677438083331E-2</c:v>
                </c:pt>
                <c:pt idx="590">
                  <c:v>3.614411526493444E-2</c:v>
                </c:pt>
                <c:pt idx="591">
                  <c:v>3.6228882138155116E-2</c:v>
                </c:pt>
                <c:pt idx="592">
                  <c:v>3.6312978057259082E-2</c:v>
                </c:pt>
                <c:pt idx="593">
                  <c:v>3.639640302176006E-2</c:v>
                </c:pt>
                <c:pt idx="594">
                  <c:v>3.6479157031252818E-2</c:v>
                </c:pt>
                <c:pt idx="595">
                  <c:v>3.6561240085170033E-2</c:v>
                </c:pt>
                <c:pt idx="596">
                  <c:v>3.6642652183106472E-2</c:v>
                </c:pt>
                <c:pt idx="597">
                  <c:v>3.6723393324737952E-2</c:v>
                </c:pt>
                <c:pt idx="598">
                  <c:v>3.6803463509497147E-2</c:v>
                </c:pt>
                <c:pt idx="599">
                  <c:v>3.6882862736897781E-2</c:v>
                </c:pt>
                <c:pt idx="600">
                  <c:v>3.6961591006615668E-2</c:v>
                </c:pt>
                <c:pt idx="601">
                  <c:v>3.7039648318164531E-2</c:v>
                </c:pt>
                <c:pt idx="602">
                  <c:v>3.7117034671139137E-2</c:v>
                </c:pt>
                <c:pt idx="603">
                  <c:v>3.7193750065134257E-2</c:v>
                </c:pt>
                <c:pt idx="604">
                  <c:v>3.7269794499582565E-2</c:v>
                </c:pt>
                <c:pt idx="605">
                  <c:v>3.7345167974240923E-2</c:v>
                </c:pt>
                <c:pt idx="606">
                  <c:v>3.7419870488542006E-2</c:v>
                </c:pt>
                <c:pt idx="607">
                  <c:v>3.7493902042242677E-2</c:v>
                </c:pt>
                <c:pt idx="608">
                  <c:v>3.7567262634856657E-2</c:v>
                </c:pt>
                <c:pt idx="609">
                  <c:v>3.7639952265897669E-2</c:v>
                </c:pt>
                <c:pt idx="610">
                  <c:v>3.7711970935041528E-2</c:v>
                </c:pt>
                <c:pt idx="611">
                  <c:v>3.7793456398989012E-2</c:v>
                </c:pt>
                <c:pt idx="612">
                  <c:v>3.7864037291307495E-2</c:v>
                </c:pt>
                <c:pt idx="613">
                  <c:v>3.7933947220513131E-2</c:v>
                </c:pt>
                <c:pt idx="614">
                  <c:v>3.8003186186119642E-2</c:v>
                </c:pt>
                <c:pt idx="615">
                  <c:v>3.8071754187883888E-2</c:v>
                </c:pt>
                <c:pt idx="616">
                  <c:v>3.8139651225400639E-2</c:v>
                </c:pt>
                <c:pt idx="617">
                  <c:v>3.8206877298183617E-2</c:v>
                </c:pt>
                <c:pt idx="618">
                  <c:v>3.8273432405908636E-2</c:v>
                </c:pt>
                <c:pt idx="619">
                  <c:v>3.8339412269339235E-2</c:v>
                </c:pt>
                <c:pt idx="620">
                  <c:v>3.8405386040196721E-2</c:v>
                </c:pt>
                <c:pt idx="621">
                  <c:v>3.8471449439568817E-2</c:v>
                </c:pt>
                <c:pt idx="622">
                  <c:v>3.8537602467455523E-2</c:v>
                </c:pt>
                <c:pt idx="623">
                  <c:v>3.8603845124018932E-2</c:v>
                </c:pt>
                <c:pt idx="624">
                  <c:v>3.8670177409259043E-2</c:v>
                </c:pt>
                <c:pt idx="625">
                  <c:v>3.8736599323256904E-2</c:v>
                </c:pt>
                <c:pt idx="626">
                  <c:v>3.8803110865850421E-2</c:v>
                </c:pt>
                <c:pt idx="627">
                  <c:v>3.8869712037363779E-2</c:v>
                </c:pt>
                <c:pt idx="628">
                  <c:v>3.8936402837715933E-2</c:v>
                </c:pt>
                <c:pt idx="629">
                  <c:v>3.9003183266987929E-2</c:v>
                </c:pt>
                <c:pt idx="630">
                  <c:v>3.9070053325260812E-2</c:v>
                </c:pt>
                <c:pt idx="631">
                  <c:v>3.913701301237249E-2</c:v>
                </c:pt>
                <c:pt idx="632">
                  <c:v>3.9204062328728195E-2</c:v>
                </c:pt>
                <c:pt idx="633">
                  <c:v>3.9271201274084788E-2</c:v>
                </c:pt>
                <c:pt idx="634">
                  <c:v>3.9338429848604362E-2</c:v>
                </c:pt>
                <c:pt idx="635">
                  <c:v>3.9405748052286915E-2</c:v>
                </c:pt>
                <c:pt idx="636">
                  <c:v>3.9473155885294542E-2</c:v>
                </c:pt>
                <c:pt idx="637">
                  <c:v>3.9540653347627241E-2</c:v>
                </c:pt>
                <c:pt idx="638">
                  <c:v>3.9608240439285014E-2</c:v>
                </c:pt>
                <c:pt idx="639">
                  <c:v>3.967591716026786E-2</c:v>
                </c:pt>
                <c:pt idx="640">
                  <c:v>3.9743683510818917E-2</c:v>
                </c:pt>
                <c:pt idx="641">
                  <c:v>3.9811539490776093E-2</c:v>
                </c:pt>
                <c:pt idx="642">
                  <c:v>3.9879485100301482E-2</c:v>
                </c:pt>
                <c:pt idx="643">
                  <c:v>3.9947520339476128E-2</c:v>
                </c:pt>
                <c:pt idx="644">
                  <c:v>4.0015645208218986E-2</c:v>
                </c:pt>
                <c:pt idx="645">
                  <c:v>4.0083859706773195E-2</c:v>
                </c:pt>
                <c:pt idx="646">
                  <c:v>4.0152163834976662E-2</c:v>
                </c:pt>
                <c:pt idx="647">
                  <c:v>4.0220557592991479E-2</c:v>
                </c:pt>
                <c:pt idx="648">
                  <c:v>4.0289040980898694E-2</c:v>
                </c:pt>
                <c:pt idx="649">
                  <c:v>4.0357613998779351E-2</c:v>
                </c:pt>
                <c:pt idx="650">
                  <c:v>4.0426276646552406E-2</c:v>
                </c:pt>
                <c:pt idx="651">
                  <c:v>4.0495028924298904E-2</c:v>
                </c:pt>
                <c:pt idx="652">
                  <c:v>4.0563870832099891E-2</c:v>
                </c:pt>
                <c:pt idx="653">
                  <c:v>4.0632802370036414E-2</c:v>
                </c:pt>
                <c:pt idx="654">
                  <c:v>4.0701823538108473E-2</c:v>
                </c:pt>
                <c:pt idx="655">
                  <c:v>4.0770934336397113E-2</c:v>
                </c:pt>
                <c:pt idx="656">
                  <c:v>4.0840134764983382E-2</c:v>
                </c:pt>
                <c:pt idx="657">
                  <c:v>4.0909424823786233E-2</c:v>
                </c:pt>
                <c:pt idx="658">
                  <c:v>4.0978804513048805E-2</c:v>
                </c:pt>
                <c:pt idx="659">
                  <c:v>4.1048273832609006E-2</c:v>
                </c:pt>
                <c:pt idx="660">
                  <c:v>4.1117832782791019E-2</c:v>
                </c:pt>
                <c:pt idx="661">
                  <c:v>4.1187481363351708E-2</c:v>
                </c:pt>
                <c:pt idx="662">
                  <c:v>4.1286500038595575E-2</c:v>
                </c:pt>
                <c:pt idx="663">
                  <c:v>4.1351699246467984E-2</c:v>
                </c:pt>
                <c:pt idx="664">
                  <c:v>4.1421658188222819E-2</c:v>
                </c:pt>
                <c:pt idx="665">
                  <c:v>4.149170680790349E-2</c:v>
                </c:pt>
                <c:pt idx="666">
                  <c:v>4.1561845105645055E-2</c:v>
                </c:pt>
                <c:pt idx="667">
                  <c:v>4.163207308163664E-2</c:v>
                </c:pt>
                <c:pt idx="668">
                  <c:v>4.1702390735986292E-2</c:v>
                </c:pt>
                <c:pt idx="669">
                  <c:v>4.1780221888165492E-2</c:v>
                </c:pt>
                <c:pt idx="670">
                  <c:v>4.1843295080489236E-2</c:v>
                </c:pt>
                <c:pt idx="671">
                  <c:v>4.1913708602782471E-2</c:v>
                </c:pt>
                <c:pt idx="672">
                  <c:v>4.1983681126948433E-2</c:v>
                </c:pt>
                <c:pt idx="673">
                  <c:v>4.2053195894048066E-2</c:v>
                </c:pt>
                <c:pt idx="674">
                  <c:v>4.2122252903243902E-2</c:v>
                </c:pt>
                <c:pt idx="675">
                  <c:v>4.219085215380651E-2</c:v>
                </c:pt>
                <c:pt idx="676">
                  <c:v>4.2258993644898421E-2</c:v>
                </c:pt>
                <c:pt idx="677">
                  <c:v>4.2333946230004582E-2</c:v>
                </c:pt>
                <c:pt idx="678">
                  <c:v>4.2393903345698446E-2</c:v>
                </c:pt>
                <c:pt idx="679">
                  <c:v>4.2460671553920713E-2</c:v>
                </c:pt>
                <c:pt idx="680">
                  <c:v>4.2526981999619538E-2</c:v>
                </c:pt>
                <c:pt idx="681">
                  <c:v>4.2592834682119537E-2</c:v>
                </c:pt>
                <c:pt idx="682">
                  <c:v>4.2658229600610241E-2</c:v>
                </c:pt>
                <c:pt idx="683">
                  <c:v>4.2723166754416272E-2</c:v>
                </c:pt>
                <c:pt idx="684">
                  <c:v>4.2787646142808208E-2</c:v>
                </c:pt>
                <c:pt idx="685">
                  <c:v>4.2851667764975586E-2</c:v>
                </c:pt>
                <c:pt idx="686">
                  <c:v>4.2922274887868817E-2</c:v>
                </c:pt>
                <c:pt idx="687">
                  <c:v>4.2978337707989166E-2</c:v>
                </c:pt>
                <c:pt idx="688">
                  <c:v>4.3040986027349522E-2</c:v>
                </c:pt>
                <c:pt idx="689">
                  <c:v>4.3103176577675713E-2</c:v>
                </c:pt>
                <c:pt idx="690">
                  <c:v>4.3164909358292355E-2</c:v>
                </c:pt>
                <c:pt idx="691">
                  <c:v>4.322618436847004E-2</c:v>
                </c:pt>
                <c:pt idx="692">
                  <c:v>4.3287001607533369E-2</c:v>
                </c:pt>
                <c:pt idx="693">
                  <c:v>4.3347361074806974E-2</c:v>
                </c:pt>
                <c:pt idx="694">
                  <c:v>4.3407262769561424E-2</c:v>
                </c:pt>
                <c:pt idx="695">
                  <c:v>4.3466706691175368E-2</c:v>
                </c:pt>
                <c:pt idx="696">
                  <c:v>4.3525692838946403E-2</c:v>
                </c:pt>
                <c:pt idx="697">
                  <c:v>4.3584221212226167E-2</c:v>
                </c:pt>
                <c:pt idx="698">
                  <c:v>4.3642291810339261E-2</c:v>
                </c:pt>
                <c:pt idx="699">
                  <c:v>4.3699904632637329E-2</c:v>
                </c:pt>
                <c:pt idx="700">
                  <c:v>4.3757059678499008E-2</c:v>
                </c:pt>
                <c:pt idx="701">
                  <c:v>4.38137569472219E-2</c:v>
                </c:pt>
                <c:pt idx="702">
                  <c:v>4.387662997806685E-2</c:v>
                </c:pt>
                <c:pt idx="703">
                  <c:v>4.3925778150792912E-2</c:v>
                </c:pt>
                <c:pt idx="704">
                  <c:v>4.3981102084371303E-2</c:v>
                </c:pt>
                <c:pt idx="705">
                  <c:v>4.403596823829848E-2</c:v>
                </c:pt>
                <c:pt idx="706">
                  <c:v>4.4090376612007105E-2</c:v>
                </c:pt>
                <c:pt idx="707">
                  <c:v>4.4144327204821796E-2</c:v>
                </c:pt>
                <c:pt idx="708">
                  <c:v>4.4197820016175234E-2</c:v>
                </c:pt>
                <c:pt idx="709">
                  <c:v>4.4250855045419042E-2</c:v>
                </c:pt>
                <c:pt idx="710">
                  <c:v>4.4303432291985897E-2</c:v>
                </c:pt>
                <c:pt idx="711">
                  <c:v>4.4355551755308482E-2</c:v>
                </c:pt>
                <c:pt idx="712">
                  <c:v>4.440721343473842E-2</c:v>
                </c:pt>
                <c:pt idx="713">
                  <c:v>4.4474805411298668E-2</c:v>
                </c:pt>
                <c:pt idx="714">
                  <c:v>4.4525343003857243E-2</c:v>
                </c:pt>
                <c:pt idx="715">
                  <c:v>4.4575422908373907E-2</c:v>
                </c:pt>
                <c:pt idx="716">
                  <c:v>4.4625045124686569E-2</c:v>
                </c:pt>
                <c:pt idx="717">
                  <c:v>4.4674209652552088E-2</c:v>
                </c:pt>
                <c:pt idx="718">
                  <c:v>4.472291649188942E-2</c:v>
                </c:pt>
                <c:pt idx="719">
                  <c:v>4.4771165642374378E-2</c:v>
                </c:pt>
                <c:pt idx="720">
                  <c:v>4.4818957103925916E-2</c:v>
                </c:pt>
                <c:pt idx="721">
                  <c:v>4.4866290876381942E-2</c:v>
                </c:pt>
                <c:pt idx="722">
                  <c:v>4.4913166959418271E-2</c:v>
                </c:pt>
                <c:pt idx="723">
                  <c:v>4.4959585353034903E-2</c:v>
                </c:pt>
                <c:pt idx="724">
                  <c:v>4.5005546056907653E-2</c:v>
                </c:pt>
                <c:pt idx="725">
                  <c:v>4.505104907103652E-2</c:v>
                </c:pt>
                <c:pt idx="726">
                  <c:v>4.5096094395097319E-2</c:v>
                </c:pt>
                <c:pt idx="727">
                  <c:v>4.5140682028927959E-2</c:v>
                </c:pt>
                <c:pt idx="728">
                  <c:v>4.5184811972447392E-2</c:v>
                </c:pt>
                <c:pt idx="729">
                  <c:v>4.5228484225493526E-2</c:v>
                </c:pt>
                <c:pt idx="730">
                  <c:v>4.5271698787742176E-2</c:v>
                </c:pt>
                <c:pt idx="731">
                  <c:v>4.5314455659193342E-2</c:v>
                </c:pt>
                <c:pt idx="732">
                  <c:v>4.5356754839684932E-2</c:v>
                </c:pt>
                <c:pt idx="733">
                  <c:v>4.539859632889276E-2</c:v>
                </c:pt>
                <c:pt idx="734">
                  <c:v>4.5439980126897872E-2</c:v>
                </c:pt>
                <c:pt idx="735">
                  <c:v>4.5480906233376084E-2</c:v>
                </c:pt>
                <c:pt idx="736">
                  <c:v>4.5521374648246349E-2</c:v>
                </c:pt>
                <c:pt idx="737">
                  <c:v>4.5561385371265528E-2</c:v>
                </c:pt>
                <c:pt idx="738">
                  <c:v>4.5600938402433622E-2</c:v>
                </c:pt>
                <c:pt idx="739">
                  <c:v>4.5640033741507491E-2</c:v>
                </c:pt>
                <c:pt idx="740">
                  <c:v>4.5678671388243997E-2</c:v>
                </c:pt>
                <c:pt idx="741">
                  <c:v>4.5716851342724185E-2</c:v>
                </c:pt>
                <c:pt idx="742">
                  <c:v>4.5754573604623872E-2</c:v>
                </c:pt>
                <c:pt idx="743">
                  <c:v>4.5791838173862009E-2</c:v>
                </c:pt>
                <c:pt idx="744">
                  <c:v>4.5828645050357553E-2</c:v>
                </c:pt>
                <c:pt idx="745">
                  <c:v>4.5864994233867362E-2</c:v>
                </c:pt>
                <c:pt idx="746">
                  <c:v>4.5900885724310392E-2</c:v>
                </c:pt>
                <c:pt idx="747">
                  <c:v>4.5936319521524549E-2</c:v>
                </c:pt>
                <c:pt idx="748">
                  <c:v>4.5971295625347741E-2</c:v>
                </c:pt>
                <c:pt idx="749">
                  <c:v>4.6005814035779968E-2</c:v>
                </c:pt>
                <c:pt idx="750">
                  <c:v>4.6039874752578092E-2</c:v>
                </c:pt>
                <c:pt idx="751">
                  <c:v>4.6073477775580018E-2</c:v>
                </c:pt>
                <c:pt idx="752">
                  <c:v>4.6106623104704703E-2</c:v>
                </c:pt>
                <c:pt idx="753">
                  <c:v>4.6139310739871098E-2</c:v>
                </c:pt>
                <c:pt idx="754">
                  <c:v>4.6176107595561344E-2</c:v>
                </c:pt>
                <c:pt idx="755">
                  <c:v>4.6207814457508434E-2</c:v>
                </c:pt>
                <c:pt idx="756">
                  <c:v>4.6239063625092003E-2</c:v>
                </c:pt>
                <c:pt idx="757">
                  <c:v>4.6269855098149959E-2</c:v>
                </c:pt>
                <c:pt idx="758">
                  <c:v>4.6300188876682302E-2</c:v>
                </c:pt>
                <c:pt idx="759">
                  <c:v>4.633006496052694E-2</c:v>
                </c:pt>
                <c:pt idx="760">
                  <c:v>4.6359483349440733E-2</c:v>
                </c:pt>
                <c:pt idx="761">
                  <c:v>4.6388444043504728E-2</c:v>
                </c:pt>
                <c:pt idx="762">
                  <c:v>4.6416947042475787E-2</c:v>
                </c:pt>
                <c:pt idx="763">
                  <c:v>4.6444992346191816E-2</c:v>
                </c:pt>
                <c:pt idx="764">
                  <c:v>4.6472579954733861E-2</c:v>
                </c:pt>
                <c:pt idx="765">
                  <c:v>4.6499709868020878E-2</c:v>
                </c:pt>
                <c:pt idx="766">
                  <c:v>4.6526382085728679E-2</c:v>
                </c:pt>
                <c:pt idx="767">
                  <c:v>4.6552596607938312E-2</c:v>
                </c:pt>
                <c:pt idx="768">
                  <c:v>4.6578353434406639E-2</c:v>
                </c:pt>
                <c:pt idx="769">
                  <c:v>4.6603652565133658E-2</c:v>
                </c:pt>
                <c:pt idx="770">
                  <c:v>4.6628494000038323E-2</c:v>
                </c:pt>
                <c:pt idx="771">
                  <c:v>4.6652877738877496E-2</c:v>
                </c:pt>
                <c:pt idx="772">
                  <c:v>4.667680378181327E-2</c:v>
                </c:pt>
                <c:pt idx="773">
                  <c:v>4.6700272128602505E-2</c:v>
                </c:pt>
                <c:pt idx="774">
                  <c:v>4.6723282779164155E-2</c:v>
                </c:pt>
                <c:pt idx="775">
                  <c:v>4.674604062538501E-2</c:v>
                </c:pt>
                <c:pt idx="776">
                  <c:v>4.6768813479269866E-2</c:v>
                </c:pt>
                <c:pt idx="777">
                  <c:v>4.6791602953801803E-2</c:v>
                </c:pt>
                <c:pt idx="778">
                  <c:v>4.681440904922396E-2</c:v>
                </c:pt>
                <c:pt idx="779">
                  <c:v>4.6837231765374243E-2</c:v>
                </c:pt>
                <c:pt idx="780">
                  <c:v>4.68600711023337E-2</c:v>
                </c:pt>
                <c:pt idx="781">
                  <c:v>4.6882927060102331E-2</c:v>
                </c:pt>
                <c:pt idx="782">
                  <c:v>4.6905799638680135E-2</c:v>
                </c:pt>
                <c:pt idx="783">
                  <c:v>4.6928688838067112E-2</c:v>
                </c:pt>
                <c:pt idx="784">
                  <c:v>4.6951594658344309E-2</c:v>
                </c:pt>
                <c:pt idx="785">
                  <c:v>4.6974517099349633E-2</c:v>
                </c:pt>
                <c:pt idx="786">
                  <c:v>4.6997456161164131E-2</c:v>
                </c:pt>
                <c:pt idx="787">
                  <c:v>4.7020411843787802E-2</c:v>
                </c:pt>
                <c:pt idx="788">
                  <c:v>4.7043384147382739E-2</c:v>
                </c:pt>
                <c:pt idx="789">
                  <c:v>4.7066373071705803E-2</c:v>
                </c:pt>
                <c:pt idx="790">
                  <c:v>4.7089378616756994E-2</c:v>
                </c:pt>
                <c:pt idx="791">
                  <c:v>4.7112400782779451E-2</c:v>
                </c:pt>
                <c:pt idx="792">
                  <c:v>4.7135439569611082E-2</c:v>
                </c:pt>
                <c:pt idx="793">
                  <c:v>4.7158494977332932E-2</c:v>
                </c:pt>
                <c:pt idx="794">
                  <c:v>4.718156700578291E-2</c:v>
                </c:pt>
                <c:pt idx="795">
                  <c:v>4.7204655655204153E-2</c:v>
                </c:pt>
                <c:pt idx="796">
                  <c:v>4.7227760925353524E-2</c:v>
                </c:pt>
                <c:pt idx="797">
                  <c:v>4.725088281647416E-2</c:v>
                </c:pt>
                <c:pt idx="798">
                  <c:v>4.727402132840397E-2</c:v>
                </c:pt>
                <c:pt idx="799">
                  <c:v>4.7297176461142953E-2</c:v>
                </c:pt>
                <c:pt idx="800">
                  <c:v>4.7320348214853203E-2</c:v>
                </c:pt>
                <c:pt idx="801">
                  <c:v>4.7343536589372626E-2</c:v>
                </c:pt>
                <c:pt idx="802">
                  <c:v>4.7366741584701222E-2</c:v>
                </c:pt>
                <c:pt idx="803">
                  <c:v>4.7389963201001084E-2</c:v>
                </c:pt>
                <c:pt idx="804">
                  <c:v>4.741320143811012E-2</c:v>
                </c:pt>
                <c:pt idx="805">
                  <c:v>4.7436456296190421E-2</c:v>
                </c:pt>
                <c:pt idx="806">
                  <c:v>4.7463053628755691E-2</c:v>
                </c:pt>
                <c:pt idx="807">
                  <c:v>4.7486344103029321E-2</c:v>
                </c:pt>
                <c:pt idx="808">
                  <c:v>4.7509651198112124E-2</c:v>
                </c:pt>
                <c:pt idx="809">
                  <c:v>4.7532974914166193E-2</c:v>
                </c:pt>
                <c:pt idx="810">
                  <c:v>4.7556315251029435E-2</c:v>
                </c:pt>
                <c:pt idx="811">
                  <c:v>4.7579672208782897E-2</c:v>
                </c:pt>
                <c:pt idx="812">
                  <c:v>4.7603045787426579E-2</c:v>
                </c:pt>
                <c:pt idx="813">
                  <c:v>4.762643598696048E-2</c:v>
                </c:pt>
                <c:pt idx="814">
                  <c:v>4.7649842807465648E-2</c:v>
                </c:pt>
                <c:pt idx="815">
                  <c:v>4.7673266248942081E-2</c:v>
                </c:pt>
                <c:pt idx="816">
                  <c:v>4.7696706311227688E-2</c:v>
                </c:pt>
                <c:pt idx="817">
                  <c:v>4.7739351319652013E-2</c:v>
                </c:pt>
                <c:pt idx="818">
                  <c:v>4.7743636298550607E-2</c:v>
                </c:pt>
                <c:pt idx="819">
                  <c:v>4.7767126223750012E-2</c:v>
                </c:pt>
                <c:pt idx="820">
                  <c:v>4.7790632769677543E-2</c:v>
                </c:pt>
                <c:pt idx="821">
                  <c:v>4.7814155936657388E-2</c:v>
                </c:pt>
                <c:pt idx="822">
                  <c:v>4.7837695724527451E-2</c:v>
                </c:pt>
                <c:pt idx="823">
                  <c:v>4.7861252133368781E-2</c:v>
                </c:pt>
                <c:pt idx="824">
                  <c:v>4.7884825163100331E-2</c:v>
                </c:pt>
                <c:pt idx="825">
                  <c:v>4.7908414813803146E-2</c:v>
                </c:pt>
                <c:pt idx="826">
                  <c:v>4.7932021085477228E-2</c:v>
                </c:pt>
                <c:pt idx="827">
                  <c:v>4.7955643978041529E-2</c:v>
                </c:pt>
                <c:pt idx="828">
                  <c:v>4.7979283491577096E-2</c:v>
                </c:pt>
                <c:pt idx="829">
                  <c:v>4.8002939626164975E-2</c:v>
                </c:pt>
                <c:pt idx="830">
                  <c:v>4.8026612381562028E-2</c:v>
                </c:pt>
                <c:pt idx="831">
                  <c:v>4.8050301758011393E-2</c:v>
                </c:pt>
                <c:pt idx="832">
                  <c:v>4.8074007755350978E-2</c:v>
                </c:pt>
                <c:pt idx="833">
                  <c:v>4.8097730373823921E-2</c:v>
                </c:pt>
                <c:pt idx="834">
                  <c:v>4.8121469613106038E-2</c:v>
                </c:pt>
                <c:pt idx="835">
                  <c:v>4.8145225473440467E-2</c:v>
                </c:pt>
                <c:pt idx="836">
                  <c:v>4.8168997954746162E-2</c:v>
                </c:pt>
                <c:pt idx="837">
                  <c:v>4.8192787057023123E-2</c:v>
                </c:pt>
                <c:pt idx="838">
                  <c:v>4.8216592780190304E-2</c:v>
                </c:pt>
                <c:pt idx="839">
                  <c:v>4.8240415124490843E-2</c:v>
                </c:pt>
                <c:pt idx="840">
                  <c:v>4.8264254089843694E-2</c:v>
                </c:pt>
                <c:pt idx="841">
                  <c:v>4.8288109676005719E-2</c:v>
                </c:pt>
                <c:pt idx="842">
                  <c:v>4.8311981883220056E-2</c:v>
                </c:pt>
                <c:pt idx="843">
                  <c:v>4.8335870711567752E-2</c:v>
                </c:pt>
                <c:pt idx="844">
                  <c:v>4.8359776160805668E-2</c:v>
                </c:pt>
                <c:pt idx="845">
                  <c:v>4.8383698231014849E-2</c:v>
                </c:pt>
                <c:pt idx="846">
                  <c:v>4.8407636922357389E-2</c:v>
                </c:pt>
                <c:pt idx="847">
                  <c:v>4.8431592234590148E-2</c:v>
                </c:pt>
                <c:pt idx="848">
                  <c:v>4.845556416787522E-2</c:v>
                </c:pt>
                <c:pt idx="849">
                  <c:v>4.8479552722212604E-2</c:v>
                </c:pt>
                <c:pt idx="850">
                  <c:v>4.8503557897602301E-2</c:v>
                </c:pt>
                <c:pt idx="851">
                  <c:v>4.8527579694044309E-2</c:v>
                </c:pt>
                <c:pt idx="852">
                  <c:v>4.8551618111376538E-2</c:v>
                </c:pt>
                <c:pt idx="853">
                  <c:v>4.8575673149842125E-2</c:v>
                </c:pt>
                <c:pt idx="854">
                  <c:v>4.8599744809360024E-2</c:v>
                </c:pt>
                <c:pt idx="855">
                  <c:v>4.8623833089849189E-2</c:v>
                </c:pt>
                <c:pt idx="856">
                  <c:v>4.8647937991390666E-2</c:v>
                </c:pt>
                <c:pt idx="857">
                  <c:v>4.8672059514065502E-2</c:v>
                </c:pt>
                <c:pt idx="858">
                  <c:v>4.8709596332565296E-2</c:v>
                </c:pt>
                <c:pt idx="859">
                  <c:v>4.8733762295563407E-2</c:v>
                </c:pt>
                <c:pt idx="860">
                  <c:v>4.8757944887232181E-2</c:v>
                </c:pt>
                <c:pt idx="861">
                  <c:v>4.8782144107652657E-2</c:v>
                </c:pt>
                <c:pt idx="862">
                  <c:v>4.8806359956743803E-2</c:v>
                </c:pt>
                <c:pt idx="863">
                  <c:v>4.8830592434586657E-2</c:v>
                </c:pt>
                <c:pt idx="864">
                  <c:v>4.8854841541181214E-2</c:v>
                </c:pt>
                <c:pt idx="865">
                  <c:v>4.8879107276500473E-2</c:v>
                </c:pt>
                <c:pt idx="866">
                  <c:v>4.8903389640598448E-2</c:v>
                </c:pt>
                <c:pt idx="867">
                  <c:v>4.8927688633475151E-2</c:v>
                </c:pt>
                <c:pt idx="868">
                  <c:v>4.8955863682345058E-2</c:v>
                </c:pt>
                <c:pt idx="869">
                  <c:v>4.8980196530036268E-2</c:v>
                </c:pt>
                <c:pt idx="870">
                  <c:v>4.9008025851087211E-2</c:v>
                </c:pt>
                <c:pt idx="871">
                  <c:v>4.9032394315376981E-2</c:v>
                </c:pt>
                <c:pt idx="872">
                  <c:v>4.905677940080011E-2</c:v>
                </c:pt>
                <c:pt idx="873">
                  <c:v>4.9081181107356597E-2</c:v>
                </c:pt>
                <c:pt idx="874">
                  <c:v>4.9105599434965397E-2</c:v>
                </c:pt>
                <c:pt idx="875">
                  <c:v>4.9130034383707555E-2</c:v>
                </c:pt>
                <c:pt idx="876">
                  <c:v>4.9154485953502025E-2</c:v>
                </c:pt>
                <c:pt idx="877">
                  <c:v>4.9178954144429854E-2</c:v>
                </c:pt>
                <c:pt idx="878">
                  <c:v>4.9203438956491041E-2</c:v>
                </c:pt>
                <c:pt idx="879">
                  <c:v>4.9227940389766633E-2</c:v>
                </c:pt>
                <c:pt idx="880">
                  <c:v>4.9252458444094538E-2</c:v>
                </c:pt>
                <c:pt idx="881">
                  <c:v>4.9276993119555801E-2</c:v>
                </c:pt>
                <c:pt idx="882">
                  <c:v>4.9301544416150422E-2</c:v>
                </c:pt>
                <c:pt idx="883">
                  <c:v>4.9326112333878402E-2</c:v>
                </c:pt>
                <c:pt idx="884">
                  <c:v>4.9350696872739741E-2</c:v>
                </c:pt>
                <c:pt idx="885">
                  <c:v>4.9375298032734438E-2</c:v>
                </c:pt>
                <c:pt idx="886">
                  <c:v>4.9399915813862494E-2</c:v>
                </c:pt>
                <c:pt idx="887">
                  <c:v>4.9424550216204954E-2</c:v>
                </c:pt>
                <c:pt idx="888">
                  <c:v>4.9449201239680773E-2</c:v>
                </c:pt>
                <c:pt idx="889">
                  <c:v>4.9473868884289951E-2</c:v>
                </c:pt>
                <c:pt idx="890">
                  <c:v>4.9498553150113533E-2</c:v>
                </c:pt>
                <c:pt idx="891">
                  <c:v>4.9523254037070474E-2</c:v>
                </c:pt>
                <c:pt idx="892">
                  <c:v>4.954797154524182E-2</c:v>
                </c:pt>
                <c:pt idx="893">
                  <c:v>4.9572705674465478E-2</c:v>
                </c:pt>
                <c:pt idx="894">
                  <c:v>4.9597456424903541E-2</c:v>
                </c:pt>
                <c:pt idx="895">
                  <c:v>4.9622223796637055E-2</c:v>
                </c:pt>
                <c:pt idx="896">
                  <c:v>4.9647007789422881E-2</c:v>
                </c:pt>
                <c:pt idx="897">
                  <c:v>4.9671808403342066E-2</c:v>
                </c:pt>
                <c:pt idx="898">
                  <c:v>4.9696625638637748E-2</c:v>
                </c:pt>
                <c:pt idx="899">
                  <c:v>4.9721459494985742E-2</c:v>
                </c:pt>
                <c:pt idx="900">
                  <c:v>4.9746309972548142E-2</c:v>
                </c:pt>
                <c:pt idx="901">
                  <c:v>4.9771177071405992E-2</c:v>
                </c:pt>
                <c:pt idx="902">
                  <c:v>4.9796060791397201E-2</c:v>
                </c:pt>
                <c:pt idx="903">
                  <c:v>4.9820961132602815E-2</c:v>
                </c:pt>
                <c:pt idx="904">
                  <c:v>4.9845878094941787E-2</c:v>
                </c:pt>
                <c:pt idx="905">
                  <c:v>4.987081167857621E-2</c:v>
                </c:pt>
                <c:pt idx="906">
                  <c:v>4.9895761883343992E-2</c:v>
                </c:pt>
                <c:pt idx="907">
                  <c:v>4.9920728709407225E-2</c:v>
                </c:pt>
                <c:pt idx="908">
                  <c:v>4.9945712156684863E-2</c:v>
                </c:pt>
                <c:pt idx="909">
                  <c:v>4.9970712225176905E-2</c:v>
                </c:pt>
                <c:pt idx="910">
                  <c:v>4.9995728914964399E-2</c:v>
                </c:pt>
                <c:pt idx="911">
                  <c:v>5.0020762225885251E-2</c:v>
                </c:pt>
                <c:pt idx="912">
                  <c:v>5.0045812158020508E-2</c:v>
                </c:pt>
                <c:pt idx="913">
                  <c:v>5.0070878711532263E-2</c:v>
                </c:pt>
                <c:pt idx="914">
                  <c:v>5.009596188609633E-2</c:v>
                </c:pt>
                <c:pt idx="915">
                  <c:v>5.0121061682036894E-2</c:v>
                </c:pt>
                <c:pt idx="916">
                  <c:v>5.0146178099272909E-2</c:v>
                </c:pt>
                <c:pt idx="917">
                  <c:v>5.0171311137561236E-2</c:v>
                </c:pt>
                <c:pt idx="918">
                  <c:v>5.0196460797307108E-2</c:v>
                </c:pt>
                <c:pt idx="919">
                  <c:v>5.0221627078186337E-2</c:v>
                </c:pt>
                <c:pt idx="920">
                  <c:v>5.0246809980442064E-2</c:v>
                </c:pt>
                <c:pt idx="921">
                  <c:v>5.0272009503993242E-2</c:v>
                </c:pt>
                <c:pt idx="922">
                  <c:v>5.0302493222967315E-2</c:v>
                </c:pt>
                <c:pt idx="923">
                  <c:v>5.0322458414738813E-2</c:v>
                </c:pt>
                <c:pt idx="924">
                  <c:v>5.0347707801933206E-2</c:v>
                </c:pt>
                <c:pt idx="925">
                  <c:v>5.0372973810504096E-2</c:v>
                </c:pt>
                <c:pt idx="926">
                  <c:v>5.0398256440370437E-2</c:v>
                </c:pt>
                <c:pt idx="927">
                  <c:v>5.0423555691532229E-2</c:v>
                </c:pt>
                <c:pt idx="928">
                  <c:v>5.0448871563908426E-2</c:v>
                </c:pt>
                <c:pt idx="929">
                  <c:v>5.0474204057742167E-2</c:v>
                </c:pt>
                <c:pt idx="930">
                  <c:v>5.0499530926072511E-2</c:v>
                </c:pt>
                <c:pt idx="931">
                  <c:v>5.0524601602084385E-2</c:v>
                </c:pt>
                <c:pt idx="932">
                  <c:v>5.0549344662202955E-2</c:v>
                </c:pt>
                <c:pt idx="933">
                  <c:v>5.057376010626613E-2</c:v>
                </c:pt>
                <c:pt idx="934">
                  <c:v>5.0597847934517048E-2</c:v>
                </c:pt>
                <c:pt idx="935">
                  <c:v>5.0621608146631525E-2</c:v>
                </c:pt>
                <c:pt idx="936">
                  <c:v>5.0645040742609559E-2</c:v>
                </c:pt>
                <c:pt idx="937">
                  <c:v>5.0668145722532199E-2</c:v>
                </c:pt>
                <c:pt idx="938">
                  <c:v>5.0690923086156303E-2</c:v>
                </c:pt>
                <c:pt idx="939">
                  <c:v>5.071337283356292E-2</c:v>
                </c:pt>
                <c:pt idx="940">
                  <c:v>5.0735494964427863E-2</c:v>
                </c:pt>
                <c:pt idx="941">
                  <c:v>5.0757289479075318E-2</c:v>
                </c:pt>
                <c:pt idx="942">
                  <c:v>5.0778756377019008E-2</c:v>
                </c:pt>
                <c:pt idx="943">
                  <c:v>5.0799895658583116E-2</c:v>
                </c:pt>
                <c:pt idx="944">
                  <c:v>5.0820707323524505E-2</c:v>
                </c:pt>
                <c:pt idx="945">
                  <c:v>5.0841191371762129E-2</c:v>
                </c:pt>
                <c:pt idx="946">
                  <c:v>5.0861347803377033E-2</c:v>
                </c:pt>
                <c:pt idx="947">
                  <c:v>5.0881176618126078E-2</c:v>
                </c:pt>
                <c:pt idx="948">
                  <c:v>5.0900677816252404E-2</c:v>
                </c:pt>
                <c:pt idx="949">
                  <c:v>5.0919851397350779E-2</c:v>
                </c:pt>
                <c:pt idx="950">
                  <c:v>5.0938697361583296E-2</c:v>
                </c:pt>
                <c:pt idx="951">
                  <c:v>5.0957215708868908E-2</c:v>
                </c:pt>
                <c:pt idx="952">
                  <c:v>5.0975406439045523E-2</c:v>
                </c:pt>
                <c:pt idx="953">
                  <c:v>5.0993269552194187E-2</c:v>
                </c:pt>
                <c:pt idx="954">
                  <c:v>5.10108050483149E-2</c:v>
                </c:pt>
                <c:pt idx="955">
                  <c:v>5.102801292724557E-2</c:v>
                </c:pt>
                <c:pt idx="956">
                  <c:v>5.1044893188986196E-2</c:v>
                </c:pt>
                <c:pt idx="957">
                  <c:v>5.1075582802538141E-2</c:v>
                </c:pt>
                <c:pt idx="958">
                  <c:v>5.1091671924200874E-2</c:v>
                </c:pt>
                <c:pt idx="959">
                  <c:v>5.110743333817188E-2</c:v>
                </c:pt>
                <c:pt idx="960">
                  <c:v>5.1122867044343108E-2</c:v>
                </c:pt>
                <c:pt idx="961">
                  <c:v>5.1142619684705903E-2</c:v>
                </c:pt>
                <c:pt idx="962">
                  <c:v>5.115275133271887E-2</c:v>
                </c:pt>
                <c:pt idx="963">
                  <c:v>5.1167201914707292E-2</c:v>
                </c:pt>
                <c:pt idx="964">
                  <c:v>5.1181324788436663E-2</c:v>
                </c:pt>
                <c:pt idx="965">
                  <c:v>5.119511995371788E-2</c:v>
                </c:pt>
                <c:pt idx="966">
                  <c:v>5.1208587410469894E-2</c:v>
                </c:pt>
                <c:pt idx="967">
                  <c:v>5.1221727158665693E-2</c:v>
                </c:pt>
                <c:pt idx="968">
                  <c:v>5.1234539198062132E-2</c:v>
                </c:pt>
                <c:pt idx="969">
                  <c:v>5.1247023528659216E-2</c:v>
                </c:pt>
                <c:pt idx="970">
                  <c:v>5.1259180150321867E-2</c:v>
                </c:pt>
                <c:pt idx="971">
                  <c:v>5.1271009062915006E-2</c:v>
                </c:pt>
                <c:pt idx="972">
                  <c:v>5.1282510266384605E-2</c:v>
                </c:pt>
                <c:pt idx="973">
                  <c:v>5.1291166346920658E-2</c:v>
                </c:pt>
                <c:pt idx="974">
                  <c:v>5.1301868676552065E-2</c:v>
                </c:pt>
                <c:pt idx="975">
                  <c:v>5.1312243388264012E-2</c:v>
                </c:pt>
                <c:pt idx="976">
                  <c:v>5.1322290481975452E-2</c:v>
                </c:pt>
                <c:pt idx="977">
                  <c:v>5.1332009957848479E-2</c:v>
                </c:pt>
                <c:pt idx="978">
                  <c:v>5.1341401815558907E-2</c:v>
                </c:pt>
                <c:pt idx="979">
                  <c:v>5.1350466055268829E-2</c:v>
                </c:pt>
                <c:pt idx="980">
                  <c:v>5.1359202676897198E-2</c:v>
                </c:pt>
                <c:pt idx="981">
                  <c:v>5.1367611680362968E-2</c:v>
                </c:pt>
                <c:pt idx="982">
                  <c:v>5.1375693065828232E-2</c:v>
                </c:pt>
                <c:pt idx="983">
                  <c:v>5.1383446833049851E-2</c:v>
                </c:pt>
                <c:pt idx="984">
                  <c:v>5.1390872982027824E-2</c:v>
                </c:pt>
                <c:pt idx="985">
                  <c:v>5.1397971513005292E-2</c:v>
                </c:pt>
                <c:pt idx="986">
                  <c:v>5.1404742425658068E-2</c:v>
                </c:pt>
                <c:pt idx="987">
                  <c:v>5.1411185720148245E-2</c:v>
                </c:pt>
                <c:pt idx="988">
                  <c:v>5.1417301396475823E-2</c:v>
                </c:pt>
                <c:pt idx="989">
                  <c:v>5.1423089454397664E-2</c:v>
                </c:pt>
                <c:pt idx="990">
                  <c:v>5.1428549894075859E-2</c:v>
                </c:pt>
                <c:pt idx="991">
                  <c:v>5.1433682715510409E-2</c:v>
                </c:pt>
                <c:pt idx="992">
                  <c:v>5.1438487918620268E-2</c:v>
                </c:pt>
                <c:pt idx="993">
                  <c:v>5.1442965503486482E-2</c:v>
                </c:pt>
                <c:pt idx="994">
                  <c:v>5.1447115469946958E-2</c:v>
                </c:pt>
                <c:pt idx="995">
                  <c:v>5.1450937818082743E-2</c:v>
                </c:pt>
                <c:pt idx="996">
                  <c:v>5.1454432547893836E-2</c:v>
                </c:pt>
                <c:pt idx="997">
                  <c:v>5.1457599659299191E-2</c:v>
                </c:pt>
                <c:pt idx="998">
                  <c:v>5.1460439152460902E-2</c:v>
                </c:pt>
                <c:pt idx="999">
                  <c:v>5.1462951027135828E-2</c:v>
                </c:pt>
                <c:pt idx="1000">
                  <c:v>5.1465135283405017E-2</c:v>
                </c:pt>
                <c:pt idx="1001">
                  <c:v>5.146699192143056E-2</c:v>
                </c:pt>
                <c:pt idx="1002">
                  <c:v>5.1468520940888274E-2</c:v>
                </c:pt>
                <c:pt idx="1003">
                  <c:v>5.1469722342102342E-2</c:v>
                </c:pt>
                <c:pt idx="1004">
                  <c:v>5.1470596124829626E-2</c:v>
                </c:pt>
                <c:pt idx="1005">
                  <c:v>5.1471142289232219E-2</c:v>
                </c:pt>
                <c:pt idx="1006">
                  <c:v>5.1471360835229074E-2</c:v>
                </c:pt>
                <c:pt idx="1007">
                  <c:v>5.1471251762820192E-2</c:v>
                </c:pt>
                <c:pt idx="1008">
                  <c:v>5.1470815072005571E-2</c:v>
                </c:pt>
                <c:pt idx="1009">
                  <c:v>5.1470050762704167E-2</c:v>
                </c:pt>
                <c:pt idx="1010">
                  <c:v>5.1468958835078071E-2</c:v>
                </c:pt>
                <c:pt idx="1011">
                  <c:v>5.1467539289046238E-2</c:v>
                </c:pt>
                <c:pt idx="1012">
                  <c:v>5.1465792124608667E-2</c:v>
                </c:pt>
                <c:pt idx="1013">
                  <c:v>5.1463717341846404E-2</c:v>
                </c:pt>
                <c:pt idx="1014">
                  <c:v>5.1461314940597358E-2</c:v>
                </c:pt>
                <c:pt idx="1015">
                  <c:v>5.1458584921104666E-2</c:v>
                </c:pt>
                <c:pt idx="1016">
                  <c:v>5.1455527283206237E-2</c:v>
                </c:pt>
                <c:pt idx="1017">
                  <c:v>5.145214202690207E-2</c:v>
                </c:pt>
                <c:pt idx="1018">
                  <c:v>5.1448429152192166E-2</c:v>
                </c:pt>
                <c:pt idx="1019">
                  <c:v>5.1444388659319662E-2</c:v>
                </c:pt>
                <c:pt idx="1020">
                  <c:v>5.1440020548041421E-2</c:v>
                </c:pt>
                <c:pt idx="1021">
                  <c:v>5.1435324818357442E-2</c:v>
                </c:pt>
                <c:pt idx="1022">
                  <c:v>5.1430301470429818E-2</c:v>
                </c:pt>
                <c:pt idx="1023">
                  <c:v>5.1424950504177502E-2</c:v>
                </c:pt>
                <c:pt idx="1024">
                  <c:v>5.1419271919681542E-2</c:v>
                </c:pt>
                <c:pt idx="1025">
                  <c:v>5.1413265716941936E-2</c:v>
                </c:pt>
                <c:pt idx="1026">
                  <c:v>5.1406931895958685E-2</c:v>
                </c:pt>
                <c:pt idx="1027">
                  <c:v>5.1400270456731789E-2</c:v>
                </c:pt>
                <c:pt idx="1028">
                  <c:v>5.1393281399342294E-2</c:v>
                </c:pt>
                <c:pt idx="1029">
                  <c:v>5.1385964723709154E-2</c:v>
                </c:pt>
                <c:pt idx="1030">
                  <c:v>5.1378320429832369E-2</c:v>
                </c:pt>
                <c:pt idx="1031">
                  <c:v>5.1370348517955078E-2</c:v>
                </c:pt>
                <c:pt idx="1032">
                  <c:v>5.1362048987834141E-2</c:v>
                </c:pt>
                <c:pt idx="1033">
                  <c:v>5.1353421839631652E-2</c:v>
                </c:pt>
                <c:pt idx="1034">
                  <c:v>5.1344632302724458E-2</c:v>
                </c:pt>
                <c:pt idx="1035">
                  <c:v>5.1335896346080823E-2</c:v>
                </c:pt>
                <c:pt idx="1036">
                  <c:v>5.1327215270736692E-2</c:v>
                </c:pt>
                <c:pt idx="1037">
                  <c:v>5.1318589076692067E-2</c:v>
                </c:pt>
                <c:pt idx="1038">
                  <c:v>5.1310017763784854E-2</c:v>
                </c:pt>
                <c:pt idx="1039">
                  <c:v>5.1301501332339239E-2</c:v>
                </c:pt>
                <c:pt idx="1040">
                  <c:v>5.1293039782112082E-2</c:v>
                </c:pt>
                <c:pt idx="1041">
                  <c:v>5.1284633113265476E-2</c:v>
                </c:pt>
                <c:pt idx="1042">
                  <c:v>5.1276281325556283E-2</c:v>
                </c:pt>
                <c:pt idx="1043">
                  <c:v>5.1267984419146595E-2</c:v>
                </c:pt>
                <c:pt idx="1044">
                  <c:v>5.1259742394036412E-2</c:v>
                </c:pt>
                <c:pt idx="1045">
                  <c:v>5.1251555250225733E-2</c:v>
                </c:pt>
                <c:pt idx="1046">
                  <c:v>5.1243422987552467E-2</c:v>
                </c:pt>
                <c:pt idx="1047">
                  <c:v>5.1235345606259752E-2</c:v>
                </c:pt>
                <c:pt idx="1048">
                  <c:v>5.1227323106185496E-2</c:v>
                </c:pt>
                <c:pt idx="1049">
                  <c:v>5.1219355487329699E-2</c:v>
                </c:pt>
                <c:pt idx="1050">
                  <c:v>5.1211442749773406E-2</c:v>
                </c:pt>
                <c:pt idx="1051">
                  <c:v>5.1203584893273479E-2</c:v>
                </c:pt>
                <c:pt idx="1052">
                  <c:v>5.119578191823515E-2</c:v>
                </c:pt>
                <c:pt idx="1053">
                  <c:v>5.1188033824334234E-2</c:v>
                </c:pt>
                <c:pt idx="1054">
                  <c:v>5.1180340611732822E-2</c:v>
                </c:pt>
                <c:pt idx="1055">
                  <c:v>5.1172702280268823E-2</c:v>
                </c:pt>
                <c:pt idx="1056">
                  <c:v>5.1165118830023282E-2</c:v>
                </c:pt>
                <c:pt idx="1057">
                  <c:v>5.1157590261077246E-2</c:v>
                </c:pt>
                <c:pt idx="1058">
                  <c:v>5.1150116573187576E-2</c:v>
                </c:pt>
                <c:pt idx="1059">
                  <c:v>5.1142697766678458E-2</c:v>
                </c:pt>
                <c:pt idx="1060">
                  <c:v>5.1135333841387798E-2</c:v>
                </c:pt>
                <c:pt idx="1061">
                  <c:v>5.1128024797153504E-2</c:v>
                </c:pt>
                <c:pt idx="1062">
                  <c:v>5.1120770634299761E-2</c:v>
                </c:pt>
                <c:pt idx="1063">
                  <c:v>5.1113571352583431E-2</c:v>
                </c:pt>
                <c:pt idx="1064">
                  <c:v>5.1106426952004513E-2</c:v>
                </c:pt>
                <c:pt idx="1065">
                  <c:v>5.1098329124275033E-2</c:v>
                </c:pt>
                <c:pt idx="1066">
                  <c:v>5.1091302326307098E-2</c:v>
                </c:pt>
                <c:pt idx="1067">
                  <c:v>5.1084330409476575E-2</c:v>
                </c:pt>
                <c:pt idx="1068">
                  <c:v>5.1077413373945557E-2</c:v>
                </c:pt>
                <c:pt idx="1069">
                  <c:v>5.1070551219470905E-2</c:v>
                </c:pt>
                <c:pt idx="1070">
                  <c:v>5.1063743946214712E-2</c:v>
                </c:pt>
                <c:pt idx="1071">
                  <c:v>5.1056991554176978E-2</c:v>
                </c:pt>
                <c:pt idx="1072">
                  <c:v>5.1050294043276656E-2</c:v>
                </c:pt>
                <c:pt idx="1073">
                  <c:v>5.1043651413513746E-2</c:v>
                </c:pt>
                <c:pt idx="1074">
                  <c:v>5.1037063664888249E-2</c:v>
                </c:pt>
                <c:pt idx="1075">
                  <c:v>5.1030530797481211E-2</c:v>
                </c:pt>
                <c:pt idx="1076">
                  <c:v>5.1024052811292631E-2</c:v>
                </c:pt>
                <c:pt idx="1077">
                  <c:v>5.101762970607937E-2</c:v>
                </c:pt>
                <c:pt idx="1078">
                  <c:v>5.1011261482165615E-2</c:v>
                </c:pt>
                <c:pt idx="1079">
                  <c:v>5.1004948139389272E-2</c:v>
                </c:pt>
                <c:pt idx="1080">
                  <c:v>5.0998689677750342E-2</c:v>
                </c:pt>
                <c:pt idx="1081">
                  <c:v>5.0992486097248824E-2</c:v>
                </c:pt>
                <c:pt idx="1082">
                  <c:v>5.0986337397884718E-2</c:v>
                </c:pt>
                <c:pt idx="1083">
                  <c:v>5.0980243579658024E-2</c:v>
                </c:pt>
                <c:pt idx="1084">
                  <c:v>5.097420464264979E-2</c:v>
                </c:pt>
                <c:pt idx="1085">
                  <c:v>5.0968220586616875E-2</c:v>
                </c:pt>
                <c:pt idx="1086">
                  <c:v>5.0962291411802418E-2</c:v>
                </c:pt>
                <c:pt idx="1087">
                  <c:v>5.0956417118206421E-2</c:v>
                </c:pt>
                <c:pt idx="1088">
                  <c:v>5.0950597705585743E-2</c:v>
                </c:pt>
                <c:pt idx="1089">
                  <c:v>5.0944833174102477E-2</c:v>
                </c:pt>
                <c:pt idx="1090">
                  <c:v>5.0939123523837671E-2</c:v>
                </c:pt>
                <c:pt idx="1091">
                  <c:v>5.093346875462923E-2</c:v>
                </c:pt>
                <c:pt idx="1092">
                  <c:v>5.0927868866477155E-2</c:v>
                </c:pt>
                <c:pt idx="1093">
                  <c:v>5.0922323859543539E-2</c:v>
                </c:pt>
                <c:pt idx="1094">
                  <c:v>5.0916833733666289E-2</c:v>
                </c:pt>
                <c:pt idx="1095">
                  <c:v>5.0911398488926451E-2</c:v>
                </c:pt>
                <c:pt idx="1096">
                  <c:v>5.0906018125405073E-2</c:v>
                </c:pt>
                <c:pt idx="1097">
                  <c:v>5.0900692642777967E-2</c:v>
                </c:pt>
                <c:pt idx="1098">
                  <c:v>5.089542204136932E-2</c:v>
                </c:pt>
                <c:pt idx="1099">
                  <c:v>5.0890206320935993E-2</c:v>
                </c:pt>
                <c:pt idx="1100">
                  <c:v>5.0885045481802171E-2</c:v>
                </c:pt>
                <c:pt idx="1101">
                  <c:v>5.0879939523562623E-2</c:v>
                </c:pt>
                <c:pt idx="1102">
                  <c:v>5.0874888446541533E-2</c:v>
                </c:pt>
                <c:pt idx="1103">
                  <c:v>5.0869892250495763E-2</c:v>
                </c:pt>
                <c:pt idx="1104">
                  <c:v>5.0864950935668451E-2</c:v>
                </c:pt>
                <c:pt idx="1105">
                  <c:v>5.0860064501897506E-2</c:v>
                </c:pt>
                <c:pt idx="1106">
                  <c:v>5.0855232949182927E-2</c:v>
                </c:pt>
                <c:pt idx="1107">
                  <c:v>5.0850456277524714E-2</c:v>
                </c:pt>
                <c:pt idx="1108">
                  <c:v>5.0845734486922867E-2</c:v>
                </c:pt>
                <c:pt idx="1109">
                  <c:v>5.0841067577458432E-2</c:v>
                </c:pt>
                <c:pt idx="1110">
                  <c:v>5.0836455549050363E-2</c:v>
                </c:pt>
                <c:pt idx="1111">
                  <c:v>5.0831898401698661E-2</c:v>
                </c:pt>
                <c:pt idx="1112">
                  <c:v>5.0827396135484371E-2</c:v>
                </c:pt>
                <c:pt idx="1113">
                  <c:v>5.0822948750326447E-2</c:v>
                </c:pt>
                <c:pt idx="1114">
                  <c:v>5.0818556246143842E-2</c:v>
                </c:pt>
                <c:pt idx="1115">
                  <c:v>5.081421862309865E-2</c:v>
                </c:pt>
                <c:pt idx="1116">
                  <c:v>5.0809935881190871E-2</c:v>
                </c:pt>
                <c:pt idx="1117">
                  <c:v>5.0805108520027842E-2</c:v>
                </c:pt>
                <c:pt idx="1118">
                  <c:v>5.0800943380325814E-2</c:v>
                </c:pt>
                <c:pt idx="1119">
                  <c:v>5.0796833121680152E-2</c:v>
                </c:pt>
                <c:pt idx="1120">
                  <c:v>5.0792777744090856E-2</c:v>
                </c:pt>
                <c:pt idx="1121">
                  <c:v>5.0788777247476879E-2</c:v>
                </c:pt>
                <c:pt idx="1122">
                  <c:v>5.0784831632000316E-2</c:v>
                </c:pt>
                <c:pt idx="1123">
                  <c:v>5.0780940897499072E-2</c:v>
                </c:pt>
                <c:pt idx="1124">
                  <c:v>5.0777105044054194E-2</c:v>
                </c:pt>
                <c:pt idx="1125">
                  <c:v>5.0773324071665682E-2</c:v>
                </c:pt>
                <c:pt idx="1126">
                  <c:v>5.0769597980333536E-2</c:v>
                </c:pt>
                <c:pt idx="1127">
                  <c:v>5.076592676997671E-2</c:v>
                </c:pt>
                <c:pt idx="1128">
                  <c:v>5.0775409317875608E-2</c:v>
                </c:pt>
                <c:pt idx="1129">
                  <c:v>5.0758748992513203E-2</c:v>
                </c:pt>
                <c:pt idx="1130">
                  <c:v>5.0755242425406522E-2</c:v>
                </c:pt>
                <c:pt idx="1131">
                  <c:v>5.075179073927516E-2</c:v>
                </c:pt>
                <c:pt idx="1132">
                  <c:v>5.0748393934038072E-2</c:v>
                </c:pt>
                <c:pt idx="1133">
                  <c:v>5.0745052010019442E-2</c:v>
                </c:pt>
                <c:pt idx="1134">
                  <c:v>5.0741764966976133E-2</c:v>
                </c:pt>
                <c:pt idx="1135">
                  <c:v>5.0738532804989189E-2</c:v>
                </c:pt>
                <c:pt idx="1136">
                  <c:v>5.0735355523977566E-2</c:v>
                </c:pt>
                <c:pt idx="1137">
                  <c:v>5.0732233124022308E-2</c:v>
                </c:pt>
                <c:pt idx="1138">
                  <c:v>5.072916560504237E-2</c:v>
                </c:pt>
                <c:pt idx="1139">
                  <c:v>5.0726152967118798E-2</c:v>
                </c:pt>
                <c:pt idx="1140">
                  <c:v>5.0723195210332639E-2</c:v>
                </c:pt>
                <c:pt idx="1141">
                  <c:v>5.0720292334440753E-2</c:v>
                </c:pt>
                <c:pt idx="1142">
                  <c:v>5.0717444339524187E-2</c:v>
                </c:pt>
                <c:pt idx="1143">
                  <c:v>5.0714651225663987E-2</c:v>
                </c:pt>
                <c:pt idx="1144">
                  <c:v>5.0711912992860153E-2</c:v>
                </c:pt>
                <c:pt idx="1145">
                  <c:v>5.0709229641031639E-2</c:v>
                </c:pt>
                <c:pt idx="1146">
                  <c:v>5.0706601170259491E-2</c:v>
                </c:pt>
                <c:pt idx="1147">
                  <c:v>5.0704027580462663E-2</c:v>
                </c:pt>
                <c:pt idx="1148">
                  <c:v>5.0701508871722201E-2</c:v>
                </c:pt>
                <c:pt idx="1149">
                  <c:v>5.0699045043957058E-2</c:v>
                </c:pt>
                <c:pt idx="1150">
                  <c:v>5.0696636097329328E-2</c:v>
                </c:pt>
                <c:pt idx="1151">
                  <c:v>5.0694282031514826E-2</c:v>
                </c:pt>
                <c:pt idx="1152">
                  <c:v>5.0691982846756689E-2</c:v>
                </c:pt>
                <c:pt idx="1153">
                  <c:v>5.0689738542973872E-2</c:v>
                </c:pt>
                <c:pt idx="1154">
                  <c:v>5.0687549120328468E-2</c:v>
                </c:pt>
                <c:pt idx="1155">
                  <c:v>5.0685414578577337E-2</c:v>
                </c:pt>
                <c:pt idx="1156">
                  <c:v>5.0683334917882572E-2</c:v>
                </c:pt>
                <c:pt idx="1157">
                  <c:v>5.0681310138163127E-2</c:v>
                </c:pt>
                <c:pt idx="1158">
                  <c:v>5.0679340239500048E-2</c:v>
                </c:pt>
                <c:pt idx="1159">
                  <c:v>5.0677425221812289E-2</c:v>
                </c:pt>
                <c:pt idx="1160">
                  <c:v>5.0675565085180896E-2</c:v>
                </c:pt>
                <c:pt idx="1161">
                  <c:v>5.0673759829443776E-2</c:v>
                </c:pt>
                <c:pt idx="1162">
                  <c:v>5.0672009454681977E-2</c:v>
                </c:pt>
                <c:pt idx="1163">
                  <c:v>5.0670313960976543E-2</c:v>
                </c:pt>
                <c:pt idx="1164">
                  <c:v>5.0668673348327475E-2</c:v>
                </c:pt>
                <c:pt idx="1165">
                  <c:v>5.0667087616572681E-2</c:v>
                </c:pt>
                <c:pt idx="1166">
                  <c:v>5.0665556765874253E-2</c:v>
                </c:pt>
                <c:pt idx="1167">
                  <c:v>5.0664080796151145E-2</c:v>
                </c:pt>
                <c:pt idx="1168">
                  <c:v>5.0662659707484403E-2</c:v>
                </c:pt>
                <c:pt idx="1169">
                  <c:v>5.0671556972627652E-2</c:v>
                </c:pt>
                <c:pt idx="1170">
                  <c:v>5.0659982172995832E-2</c:v>
                </c:pt>
                <c:pt idx="1171">
                  <c:v>5.0658725727174003E-2</c:v>
                </c:pt>
                <c:pt idx="1172">
                  <c:v>5.065752416240854E-2</c:v>
                </c:pt>
                <c:pt idx="1173">
                  <c:v>5.065637747878049E-2</c:v>
                </c:pt>
                <c:pt idx="1174">
                  <c:v>5.065528567588462E-2</c:v>
                </c:pt>
                <c:pt idx="1175">
                  <c:v>5.0654248754126163E-2</c:v>
                </c:pt>
                <c:pt idx="1176">
                  <c:v>5.065326671326198E-2</c:v>
                </c:pt>
                <c:pt idx="1177">
                  <c:v>5.0652339553535208E-2</c:v>
                </c:pt>
                <c:pt idx="1178">
                  <c:v>5.0665288995284108E-2</c:v>
                </c:pt>
                <c:pt idx="1179">
                  <c:v>5.0650649876926579E-2</c:v>
                </c:pt>
                <c:pt idx="1180">
                  <c:v>5.0649887360125767E-2</c:v>
                </c:pt>
                <c:pt idx="1181">
                  <c:v>5.0649179724219229E-2</c:v>
                </c:pt>
                <c:pt idx="1182">
                  <c:v>5.0648526969369057E-2</c:v>
                </c:pt>
                <c:pt idx="1183">
                  <c:v>5.0647929095494204E-2</c:v>
                </c:pt>
                <c:pt idx="1184">
                  <c:v>5.0647386102594671E-2</c:v>
                </c:pt>
                <c:pt idx="1185">
                  <c:v>5.0646897990670459E-2</c:v>
                </c:pt>
                <c:pt idx="1186">
                  <c:v>5.0646464759883658E-2</c:v>
                </c:pt>
                <c:pt idx="1187">
                  <c:v>5.0646086409910085E-2</c:v>
                </c:pt>
                <c:pt idx="1188">
                  <c:v>5.0645762941073924E-2</c:v>
                </c:pt>
                <c:pt idx="1189">
                  <c:v>5.0645494352969944E-2</c:v>
                </c:pt>
                <c:pt idx="1190">
                  <c:v>5.0645266692427304E-2</c:v>
                </c:pt>
                <c:pt idx="1191">
                  <c:v>5.0644996992773583E-2</c:v>
                </c:pt>
                <c:pt idx="1192">
                  <c:v>5.064467130018957E-2</c:v>
                </c:pt>
                <c:pt idx="1193">
                  <c:v>5.064428961475631E-2</c:v>
                </c:pt>
                <c:pt idx="1194">
                  <c:v>5.0643851936635897E-2</c:v>
                </c:pt>
                <c:pt idx="1195">
                  <c:v>5.0643358265747285E-2</c:v>
                </c:pt>
                <c:pt idx="1196">
                  <c:v>5.0642808602009426E-2</c:v>
                </c:pt>
                <c:pt idx="1197">
                  <c:v>5.0642202945422321E-2</c:v>
                </c:pt>
                <c:pt idx="1198">
                  <c:v>5.0641541296148063E-2</c:v>
                </c:pt>
                <c:pt idx="1199">
                  <c:v>5.0640823654024558E-2</c:v>
                </c:pt>
                <c:pt idx="1200">
                  <c:v>5.0640050019132854E-2</c:v>
                </c:pt>
                <c:pt idx="1201">
                  <c:v>5.0639220391310857E-2</c:v>
                </c:pt>
                <c:pt idx="1202">
                  <c:v>5.0638334770801707E-2</c:v>
                </c:pt>
                <c:pt idx="1203">
                  <c:v>5.0637393157605404E-2</c:v>
                </c:pt>
                <c:pt idx="1204">
                  <c:v>5.0636395551478808E-2</c:v>
                </c:pt>
                <c:pt idx="1205">
                  <c:v>5.0635341952584012E-2</c:v>
                </c:pt>
                <c:pt idx="1206">
                  <c:v>5.063423236083997E-2</c:v>
                </c:pt>
                <c:pt idx="1207">
                  <c:v>5.0633066776408775E-2</c:v>
                </c:pt>
                <c:pt idx="1208">
                  <c:v>5.063184519920938E-2</c:v>
                </c:pt>
                <c:pt idx="1209">
                  <c:v>5.0630567629160739E-2</c:v>
                </c:pt>
                <c:pt idx="1210">
                  <c:v>5.0629234066262851E-2</c:v>
                </c:pt>
                <c:pt idx="1211">
                  <c:v>5.0627844510677811E-2</c:v>
                </c:pt>
                <c:pt idx="1212">
                  <c:v>5.062639896232457E-2</c:v>
                </c:pt>
                <c:pt idx="1213">
                  <c:v>5.062489742120313E-2</c:v>
                </c:pt>
                <c:pt idx="1214">
                  <c:v>5.0623339887151397E-2</c:v>
                </c:pt>
                <c:pt idx="1215">
                  <c:v>5.0621726360412511E-2</c:v>
                </c:pt>
                <c:pt idx="1216">
                  <c:v>5.0620056840824379E-2</c:v>
                </c:pt>
                <c:pt idx="1217">
                  <c:v>5.0618331328468047E-2</c:v>
                </c:pt>
                <c:pt idx="1218">
                  <c:v>5.0616549823343515E-2</c:v>
                </c:pt>
                <c:pt idx="1219">
                  <c:v>5.0614712325450784E-2</c:v>
                </c:pt>
                <c:pt idx="1220">
                  <c:v>5.0612818834789852E-2</c:v>
                </c:pt>
                <c:pt idx="1221">
                  <c:v>5.0610869351279675E-2</c:v>
                </c:pt>
                <c:pt idx="1222">
                  <c:v>5.0608863875082344E-2</c:v>
                </c:pt>
                <c:pt idx="1223">
                  <c:v>5.0606802406035767E-2</c:v>
                </c:pt>
                <c:pt idx="1224">
                  <c:v>5.060468494422099E-2</c:v>
                </c:pt>
                <c:pt idx="1225">
                  <c:v>5.0602511489638013E-2</c:v>
                </c:pt>
                <c:pt idx="1226">
                  <c:v>5.0600282042286837E-2</c:v>
                </c:pt>
                <c:pt idx="1227">
                  <c:v>5.0597996602167461E-2</c:v>
                </c:pt>
                <c:pt idx="1228">
                  <c:v>5.0595655169279885E-2</c:v>
                </c:pt>
                <c:pt idx="1229">
                  <c:v>5.0593257743624109E-2</c:v>
                </c:pt>
                <c:pt idx="1230">
                  <c:v>5.0590804325200134E-2</c:v>
                </c:pt>
                <c:pt idx="1231">
                  <c:v>5.0588294913926912E-2</c:v>
                </c:pt>
                <c:pt idx="1232">
                  <c:v>5.0585729509966537E-2</c:v>
                </c:pt>
                <c:pt idx="1233">
                  <c:v>5.0596369241622696E-2</c:v>
                </c:pt>
                <c:pt idx="1234">
                  <c:v>5.0586664458970317E-2</c:v>
                </c:pt>
                <c:pt idx="1235">
                  <c:v>5.0583914316712685E-2</c:v>
                </c:pt>
                <c:pt idx="1236">
                  <c:v>5.0581108166234033E-2</c:v>
                </c:pt>
                <c:pt idx="1237">
                  <c:v>5.0578246007534362E-2</c:v>
                </c:pt>
                <c:pt idx="1238">
                  <c:v>5.0575327840559632E-2</c:v>
                </c:pt>
                <c:pt idx="1239">
                  <c:v>5.0572353665390889E-2</c:v>
                </c:pt>
                <c:pt idx="1240">
                  <c:v>5.0572607300989614E-2</c:v>
                </c:pt>
                <c:pt idx="1241">
                  <c:v>5.0566237290363324E-2</c:v>
                </c:pt>
                <c:pt idx="1242">
                  <c:v>5.0563095090504502E-2</c:v>
                </c:pt>
                <c:pt idx="1243">
                  <c:v>5.055989688247868E-2</c:v>
                </c:pt>
                <c:pt idx="1244">
                  <c:v>5.0556642666231839E-2</c:v>
                </c:pt>
                <c:pt idx="1245">
                  <c:v>5.0553332441763972E-2</c:v>
                </c:pt>
                <c:pt idx="1246">
                  <c:v>5.0549966209102092E-2</c:v>
                </c:pt>
                <c:pt idx="1247">
                  <c:v>5.0546543968219192E-2</c:v>
                </c:pt>
                <c:pt idx="1248">
                  <c:v>5.0546313892625705E-2</c:v>
                </c:pt>
                <c:pt idx="1249">
                  <c:v>5.0539531461952412E-2</c:v>
                </c:pt>
                <c:pt idx="1250">
                  <c:v>5.0535941196568533E-2</c:v>
                </c:pt>
                <c:pt idx="1251">
                  <c:v>5.0532294922936614E-2</c:v>
                </c:pt>
                <c:pt idx="1252">
                  <c:v>5.0528592641218749E-2</c:v>
                </c:pt>
                <c:pt idx="1253">
                  <c:v>5.0524834351306877E-2</c:v>
                </c:pt>
                <c:pt idx="1254">
                  <c:v>5.0521020053228012E-2</c:v>
                </c:pt>
                <c:pt idx="1255">
                  <c:v>5.0517149747009167E-2</c:v>
                </c:pt>
                <c:pt idx="1256">
                  <c:v>5.0513223432596309E-2</c:v>
                </c:pt>
                <c:pt idx="1257">
                  <c:v>5.0512448591742698E-2</c:v>
                </c:pt>
                <c:pt idx="1258">
                  <c:v>5.050520277943172E-2</c:v>
                </c:pt>
                <c:pt idx="1259">
                  <c:v>5.0501108440652961E-2</c:v>
                </c:pt>
                <c:pt idx="1260">
                  <c:v>5.049695809370721E-2</c:v>
                </c:pt>
                <c:pt idx="1261">
                  <c:v>5.0492751738702532E-2</c:v>
                </c:pt>
                <c:pt idx="1262">
                  <c:v>5.0488489375584887E-2</c:v>
                </c:pt>
                <c:pt idx="1263">
                  <c:v>5.0484171004300256E-2</c:v>
                </c:pt>
                <c:pt idx="1264">
                  <c:v>5.0479796624956684E-2</c:v>
                </c:pt>
                <c:pt idx="1265">
                  <c:v>5.0475366237473139E-2</c:v>
                </c:pt>
                <c:pt idx="1266">
                  <c:v>5.047087984195768E-2</c:v>
                </c:pt>
                <c:pt idx="1267">
                  <c:v>5.0466337438302242E-2</c:v>
                </c:pt>
                <c:pt idx="1268">
                  <c:v>5.0461739026614889E-2</c:v>
                </c:pt>
                <c:pt idx="1269">
                  <c:v>5.045708460681457E-2</c:v>
                </c:pt>
                <c:pt idx="1270">
                  <c:v>5.0452374178982337E-2</c:v>
                </c:pt>
                <c:pt idx="1271">
                  <c:v>5.0447607743064157E-2</c:v>
                </c:pt>
                <c:pt idx="1272">
                  <c:v>5.0442785299114064E-2</c:v>
                </c:pt>
                <c:pt idx="1273">
                  <c:v>5.0441040447676555E-2</c:v>
                </c:pt>
                <c:pt idx="1274">
                  <c:v>5.0432972387064089E-2</c:v>
                </c:pt>
                <c:pt idx="1275">
                  <c:v>5.0427981918991234E-2</c:v>
                </c:pt>
                <c:pt idx="1276">
                  <c:v>5.0422935442859439E-2</c:v>
                </c:pt>
                <c:pt idx="1277">
                  <c:v>5.0417832958749763E-2</c:v>
                </c:pt>
                <c:pt idx="1278">
                  <c:v>5.0412674466635186E-2</c:v>
                </c:pt>
                <c:pt idx="1279">
                  <c:v>5.0407459966488696E-2</c:v>
                </c:pt>
                <c:pt idx="1280">
                  <c:v>5.0402189458337306E-2</c:v>
                </c:pt>
                <c:pt idx="1281">
                  <c:v>5.0396862942235041E-2</c:v>
                </c:pt>
                <c:pt idx="1282">
                  <c:v>5.0391480418127875E-2</c:v>
                </c:pt>
                <c:pt idx="1283">
                  <c:v>5.0386041886042829E-2</c:v>
                </c:pt>
                <c:pt idx="1284">
                  <c:v>5.0371224061257491E-2</c:v>
                </c:pt>
                <c:pt idx="1285">
                  <c:v>5.0365651048052129E-2</c:v>
                </c:pt>
                <c:pt idx="1286">
                  <c:v>5.0360022042159613E-2</c:v>
                </c:pt>
                <c:pt idx="1287">
                  <c:v>5.0354337043579944E-2</c:v>
                </c:pt>
                <c:pt idx="1288">
                  <c:v>5.0348596052394168E-2</c:v>
                </c:pt>
                <c:pt idx="1289">
                  <c:v>5.0342799068521238E-2</c:v>
                </c:pt>
                <c:pt idx="1290">
                  <c:v>5.0336946092042201E-2</c:v>
                </c:pt>
                <c:pt idx="1291">
                  <c:v>5.033103712287601E-2</c:v>
                </c:pt>
                <c:pt idx="1292">
                  <c:v>5.0325072161103712E-2</c:v>
                </c:pt>
                <c:pt idx="1293">
                  <c:v>5.0319051206482168E-2</c:v>
                </c:pt>
                <c:pt idx="1294">
                  <c:v>5.0312974259497656E-2</c:v>
                </c:pt>
                <c:pt idx="1295">
                  <c:v>5.0306841319744944E-2</c:v>
                </c:pt>
                <c:pt idx="1296">
                  <c:v>5.0300652387305078E-2</c:v>
                </c:pt>
                <c:pt idx="1297">
                  <c:v>5.0294407462259105E-2</c:v>
                </c:pt>
                <c:pt idx="1298">
                  <c:v>5.0288106544525979E-2</c:v>
                </c:pt>
                <c:pt idx="1299">
                  <c:v>5.0281749634267792E-2</c:v>
                </c:pt>
                <c:pt idx="1300">
                  <c:v>5.0275336731322451E-2</c:v>
                </c:pt>
                <c:pt idx="1301">
                  <c:v>5.0268867835852049E-2</c:v>
                </c:pt>
                <c:pt idx="1302">
                  <c:v>5.0262342947613448E-2</c:v>
                </c:pt>
                <c:pt idx="1303">
                  <c:v>5.0255762066930831E-2</c:v>
                </c:pt>
                <c:pt idx="1304">
                  <c:v>5.0249125193398969E-2</c:v>
                </c:pt>
                <c:pt idx="1305">
                  <c:v>5.0242432327423092E-2</c:v>
                </c:pt>
                <c:pt idx="1306">
                  <c:v>5.0235683468760062E-2</c:v>
                </c:pt>
                <c:pt idx="1307">
                  <c:v>5.022887861757197E-2</c:v>
                </c:pt>
                <c:pt idx="1308">
                  <c:v>5.0222017773696725E-2</c:v>
                </c:pt>
                <c:pt idx="1309">
                  <c:v>5.0215100937215373E-2</c:v>
                </c:pt>
                <c:pt idx="1310">
                  <c:v>5.020812810820896E-2</c:v>
                </c:pt>
                <c:pt idx="1311">
                  <c:v>5.020109928659644E-2</c:v>
                </c:pt>
                <c:pt idx="1312">
                  <c:v>5.0194014472377813E-2</c:v>
                </c:pt>
                <c:pt idx="1313">
                  <c:v>5.0186873665472032E-2</c:v>
                </c:pt>
                <c:pt idx="1314">
                  <c:v>5.0179676866122236E-2</c:v>
                </c:pt>
                <c:pt idx="1315">
                  <c:v>5.0172424074085287E-2</c:v>
                </c:pt>
                <c:pt idx="1316">
                  <c:v>5.0165115289523277E-2</c:v>
                </c:pt>
                <c:pt idx="1317">
                  <c:v>5.0157750512436206E-2</c:v>
                </c:pt>
                <c:pt idx="1318">
                  <c:v>5.0150329742661981E-2</c:v>
                </c:pt>
                <c:pt idx="1319">
                  <c:v>5.0142852980443742E-2</c:v>
                </c:pt>
                <c:pt idx="1320">
                  <c:v>5.0135320225619395E-2</c:v>
                </c:pt>
                <c:pt idx="1321">
                  <c:v>5.0127731478188942E-2</c:v>
                </c:pt>
                <c:pt idx="1322">
                  <c:v>5.0120086738233427E-2</c:v>
                </c:pt>
                <c:pt idx="1323">
                  <c:v>5.0112386005833898E-2</c:v>
                </c:pt>
                <c:pt idx="1324">
                  <c:v>5.0104629280585122E-2</c:v>
                </c:pt>
                <c:pt idx="1325">
                  <c:v>5.0096816563054425E-2</c:v>
                </c:pt>
                <c:pt idx="1326">
                  <c:v>5.008894785291762E-2</c:v>
                </c:pt>
                <c:pt idx="1327">
                  <c:v>5.0081023150093662E-2</c:v>
                </c:pt>
                <c:pt idx="1328">
                  <c:v>5.0073042454906735E-2</c:v>
                </c:pt>
                <c:pt idx="1329">
                  <c:v>5.0065005767194748E-2</c:v>
                </c:pt>
                <c:pt idx="1330">
                  <c:v>5.0056913086957699E-2</c:v>
                </c:pt>
                <c:pt idx="1331">
                  <c:v>5.0048764414033498E-2</c:v>
                </c:pt>
                <c:pt idx="1332">
                  <c:v>5.0040559748746327E-2</c:v>
                </c:pt>
                <c:pt idx="1333">
                  <c:v>5.003229909085305E-2</c:v>
                </c:pt>
                <c:pt idx="1334">
                  <c:v>5.0023982440434711E-2</c:v>
                </c:pt>
                <c:pt idx="1335">
                  <c:v>5.0015609797572358E-2</c:v>
                </c:pt>
                <c:pt idx="1336">
                  <c:v>5.000718116226599E-2</c:v>
                </c:pt>
                <c:pt idx="1337">
                  <c:v>4.9998696534272469E-2</c:v>
                </c:pt>
                <c:pt idx="1338">
                  <c:v>4.9990155913915979E-2</c:v>
                </c:pt>
                <c:pt idx="1339">
                  <c:v>4.9981559301115475E-2</c:v>
                </c:pt>
                <c:pt idx="1340">
                  <c:v>4.9972906695627817E-2</c:v>
                </c:pt>
                <c:pt idx="1341">
                  <c:v>4.9964198097939283E-2</c:v>
                </c:pt>
                <c:pt idx="1342">
                  <c:v>4.995543350748255E-2</c:v>
                </c:pt>
                <c:pt idx="1343">
                  <c:v>4.9946612924662848E-2</c:v>
                </c:pt>
                <c:pt idx="1344">
                  <c:v>4.9937736349399131E-2</c:v>
                </c:pt>
                <c:pt idx="1345">
                  <c:v>4.9928803781610354E-2</c:v>
                </c:pt>
                <c:pt idx="1346">
                  <c:v>4.9919815221377561E-2</c:v>
                </c:pt>
                <c:pt idx="1347">
                  <c:v>4.9910770668781801E-2</c:v>
                </c:pt>
                <c:pt idx="1348">
                  <c:v>4.9901670123579933E-2</c:v>
                </c:pt>
                <c:pt idx="1349">
                  <c:v>4.9892513585934051E-2</c:v>
                </c:pt>
                <c:pt idx="1350">
                  <c:v>4.98833010559252E-2</c:v>
                </c:pt>
                <c:pt idx="1351">
                  <c:v>4.9874032533391288E-2</c:v>
                </c:pt>
                <c:pt idx="1352">
                  <c:v>4.9864708018494408E-2</c:v>
                </c:pt>
                <c:pt idx="1353">
                  <c:v>4.9855327511072467E-2</c:v>
                </c:pt>
                <c:pt idx="1354">
                  <c:v>4.9845891011287558E-2</c:v>
                </c:pt>
                <c:pt idx="1355">
                  <c:v>4.9836398519058633E-2</c:v>
                </c:pt>
                <c:pt idx="1356">
                  <c:v>4.9826850034385695E-2</c:v>
                </c:pt>
                <c:pt idx="1357">
                  <c:v>4.9817245557430834E-2</c:v>
                </c:pt>
                <c:pt idx="1358">
                  <c:v>4.9807585087788819E-2</c:v>
                </c:pt>
                <c:pt idx="1359">
                  <c:v>4.9797868625945929E-2</c:v>
                </c:pt>
                <c:pt idx="1360">
                  <c:v>4.9788096171577978E-2</c:v>
                </c:pt>
                <c:pt idx="1361">
                  <c:v>4.9778267724847058E-2</c:v>
                </c:pt>
                <c:pt idx="1362">
                  <c:v>4.9768383285834217E-2</c:v>
                </c:pt>
                <c:pt idx="1363">
                  <c:v>4.9758442854296314E-2</c:v>
                </c:pt>
                <c:pt idx="1364">
                  <c:v>4.974844643047649E-2</c:v>
                </c:pt>
                <c:pt idx="1365">
                  <c:v>4.9738394014131604E-2</c:v>
                </c:pt>
                <c:pt idx="1366">
                  <c:v>4.9728285605585842E-2</c:v>
                </c:pt>
                <c:pt idx="1367">
                  <c:v>4.971812120451502E-2</c:v>
                </c:pt>
                <c:pt idx="1368">
                  <c:v>4.9707900811162276E-2</c:v>
                </c:pt>
                <c:pt idx="1369">
                  <c:v>4.9697624425365516E-2</c:v>
                </c:pt>
                <c:pt idx="1370">
                  <c:v>4.9687292047205789E-2</c:v>
                </c:pt>
                <c:pt idx="1371">
                  <c:v>4.9676903676764139E-2</c:v>
                </c:pt>
                <c:pt idx="1372">
                  <c:v>4.9666459313878475E-2</c:v>
                </c:pt>
                <c:pt idx="1373">
                  <c:v>4.96544543373445E-2</c:v>
                </c:pt>
                <c:pt idx="1374">
                  <c:v>4.9643889990870216E-2</c:v>
                </c:pt>
                <c:pt idx="1375">
                  <c:v>4.9633269652114009E-2</c:v>
                </c:pt>
                <c:pt idx="1376">
                  <c:v>4.9622593320994834E-2</c:v>
                </c:pt>
                <c:pt idx="1377">
                  <c:v>4.9610323237780918E-2</c:v>
                </c:pt>
                <c:pt idx="1378">
                  <c:v>4.9599526923154169E-2</c:v>
                </c:pt>
                <c:pt idx="1379">
                  <c:v>4.9588674616245498E-2</c:v>
                </c:pt>
                <c:pt idx="1380">
                  <c:v>4.9577766317054905E-2</c:v>
                </c:pt>
                <c:pt idx="1381">
                  <c:v>4.9566802025339252E-2</c:v>
                </c:pt>
                <c:pt idx="1382">
                  <c:v>4.9555781741584815E-2</c:v>
                </c:pt>
                <c:pt idx="1383">
                  <c:v>4.9544705465386363E-2</c:v>
                </c:pt>
                <c:pt idx="1384">
                  <c:v>4.9533573196905989E-2</c:v>
                </c:pt>
                <c:pt idx="1385">
                  <c:v>4.9522384936143693E-2</c:v>
                </c:pt>
                <c:pt idx="1386">
                  <c:v>4.9511140683261567E-2</c:v>
                </c:pt>
                <c:pt idx="1387">
                  <c:v>4.949984043809752E-2</c:v>
                </c:pt>
                <c:pt idx="1388">
                  <c:v>4.9498647968815757E-2</c:v>
                </c:pt>
                <c:pt idx="1389">
                  <c:v>4.947707197068052E-2</c:v>
                </c:pt>
                <c:pt idx="1390">
                  <c:v>4.9465603748589659E-2</c:v>
                </c:pt>
                <c:pt idx="1391">
                  <c:v>4.9454079534216877E-2</c:v>
                </c:pt>
                <c:pt idx="1392">
                  <c:v>4.9442499327724265E-2</c:v>
                </c:pt>
                <c:pt idx="1393">
                  <c:v>4.9430863128868685E-2</c:v>
                </c:pt>
                <c:pt idx="1394">
                  <c:v>4.9419170937893275E-2</c:v>
                </c:pt>
                <c:pt idx="1395">
                  <c:v>4.9407422754635943E-2</c:v>
                </c:pt>
                <c:pt idx="1396">
                  <c:v>4.9395618579177736E-2</c:v>
                </c:pt>
                <c:pt idx="1397">
                  <c:v>4.938375841135656E-2</c:v>
                </c:pt>
                <c:pt idx="1398">
                  <c:v>4.9371842251577647E-2</c:v>
                </c:pt>
                <c:pt idx="1399">
                  <c:v>4.9359870099273673E-2</c:v>
                </c:pt>
                <c:pt idx="1400">
                  <c:v>4.9347841954930916E-2</c:v>
                </c:pt>
                <c:pt idx="1401">
                  <c:v>4.9335757818387282E-2</c:v>
                </c:pt>
                <c:pt idx="1402">
                  <c:v>4.932361768972382E-2</c:v>
                </c:pt>
                <c:pt idx="1403">
                  <c:v>4.9311421568697389E-2</c:v>
                </c:pt>
                <c:pt idx="1404">
                  <c:v>4.9299169455632175E-2</c:v>
                </c:pt>
                <c:pt idx="1405">
                  <c:v>4.9286861350447131E-2</c:v>
                </c:pt>
                <c:pt idx="1406">
                  <c:v>4.9274497252818072E-2</c:v>
                </c:pt>
                <c:pt idx="1407">
                  <c:v>4.9262077163312323E-2</c:v>
                </c:pt>
                <c:pt idx="1408">
                  <c:v>4.9249601081524652E-2</c:v>
                </c:pt>
                <c:pt idx="1409">
                  <c:v>4.9237069007536105E-2</c:v>
                </c:pt>
                <c:pt idx="1410">
                  <c:v>4.9224480941508775E-2</c:v>
                </c:pt>
                <c:pt idx="1411">
                  <c:v>4.9211836883199522E-2</c:v>
                </c:pt>
                <c:pt idx="1412">
                  <c:v>4.9199136832851487E-2</c:v>
                </c:pt>
                <c:pt idx="1413">
                  <c:v>4.9186380790383621E-2</c:v>
                </c:pt>
                <c:pt idx="1414">
                  <c:v>4.9173568755795927E-2</c:v>
                </c:pt>
                <c:pt idx="1415">
                  <c:v>4.9160700729007356E-2</c:v>
                </c:pt>
                <c:pt idx="1416">
                  <c:v>4.9147776710261049E-2</c:v>
                </c:pt>
                <c:pt idx="1417">
                  <c:v>4.9134796699232819E-2</c:v>
                </c:pt>
                <c:pt idx="1418">
                  <c:v>4.9121760696165806E-2</c:v>
                </c:pt>
                <c:pt idx="1419">
                  <c:v>4.9108668700978964E-2</c:v>
                </c:pt>
                <c:pt idx="1420">
                  <c:v>4.9095520713753338E-2</c:v>
                </c:pt>
                <c:pt idx="1421">
                  <c:v>4.9082316734488929E-2</c:v>
                </c:pt>
                <c:pt idx="1422">
                  <c:v>4.906905676310469E-2</c:v>
                </c:pt>
                <c:pt idx="1423">
                  <c:v>4.9055740799600622E-2</c:v>
                </c:pt>
                <c:pt idx="1424">
                  <c:v>4.9042368844138817E-2</c:v>
                </c:pt>
                <c:pt idx="1425">
                  <c:v>4.9028940896557183E-2</c:v>
                </c:pt>
                <c:pt idx="1426">
                  <c:v>4.9015456956855719E-2</c:v>
                </c:pt>
                <c:pt idx="1427">
                  <c:v>4.9001917025277564E-2</c:v>
                </c:pt>
                <c:pt idx="1428">
                  <c:v>4.8988321101417487E-2</c:v>
                </c:pt>
                <c:pt idx="1429">
                  <c:v>4.897732850026297E-2</c:v>
                </c:pt>
                <c:pt idx="1430">
                  <c:v>4.8963600912451298E-2</c:v>
                </c:pt>
                <c:pt idx="1431">
                  <c:v>4.8949817318633869E-2</c:v>
                </c:pt>
                <c:pt idx="1432">
                  <c:v>4.8935977718837696E-2</c:v>
                </c:pt>
                <c:pt idx="1433">
                  <c:v>4.89220821130898E-2</c:v>
                </c:pt>
                <c:pt idx="1434">
                  <c:v>4.8908130501363153E-2</c:v>
                </c:pt>
                <c:pt idx="1435">
                  <c:v>4.8894122883738809E-2</c:v>
                </c:pt>
                <c:pt idx="1436">
                  <c:v>4.8880059260162742E-2</c:v>
                </c:pt>
                <c:pt idx="1437">
                  <c:v>4.8865939630743004E-2</c:v>
                </c:pt>
                <c:pt idx="1438">
                  <c:v>4.8851763995398555E-2</c:v>
                </c:pt>
                <c:pt idx="1439">
                  <c:v>4.8824884875640073E-2</c:v>
                </c:pt>
                <c:pt idx="1440">
                  <c:v>4.8810577053649551E-2</c:v>
                </c:pt>
                <c:pt idx="1441">
                  <c:v>4.879415669559406E-2</c:v>
                </c:pt>
                <c:pt idx="1442">
                  <c:v>4.877972889082538E-2</c:v>
                </c:pt>
                <c:pt idx="1443">
                  <c:v>4.8765245094261056E-2</c:v>
                </c:pt>
                <c:pt idx="1444">
                  <c:v>4.8750705305657949E-2</c:v>
                </c:pt>
                <c:pt idx="1445">
                  <c:v>4.8736109525097104E-2</c:v>
                </c:pt>
                <c:pt idx="1446">
                  <c:v>4.8721457752821662E-2</c:v>
                </c:pt>
                <c:pt idx="1447">
                  <c:v>4.870674998842639E-2</c:v>
                </c:pt>
                <c:pt idx="1448">
                  <c:v>4.8691986232235474E-2</c:v>
                </c:pt>
                <c:pt idx="1449">
                  <c:v>4.8677172937559021E-2</c:v>
                </c:pt>
                <c:pt idx="1450">
                  <c:v>4.866238279132129E-2</c:v>
                </c:pt>
                <c:pt idx="1451">
                  <c:v>4.8647636512517689E-2</c:v>
                </c:pt>
                <c:pt idx="1452">
                  <c:v>4.863293410131031E-2</c:v>
                </c:pt>
                <c:pt idx="1453">
                  <c:v>4.8618275557456014E-2</c:v>
                </c:pt>
                <c:pt idx="1454">
                  <c:v>4.8603660881197941E-2</c:v>
                </c:pt>
                <c:pt idx="1455">
                  <c:v>4.8589090072373997E-2</c:v>
                </c:pt>
                <c:pt idx="1456">
                  <c:v>4.857456313082209E-2</c:v>
                </c:pt>
                <c:pt idx="1457">
                  <c:v>4.8560080056947452E-2</c:v>
                </c:pt>
                <c:pt idx="1458">
                  <c:v>4.8545640850425897E-2</c:v>
                </c:pt>
                <c:pt idx="1459">
                  <c:v>4.8531245511419518E-2</c:v>
                </c:pt>
                <c:pt idx="1460">
                  <c:v>4.8516894039766223E-2</c:v>
                </c:pt>
                <c:pt idx="1461">
                  <c:v>4.8502586435628103E-2</c:v>
                </c:pt>
                <c:pt idx="1462">
                  <c:v>4.848832269900516E-2</c:v>
                </c:pt>
                <c:pt idx="1463">
                  <c:v>4.8474102829654253E-2</c:v>
                </c:pt>
                <c:pt idx="1464">
                  <c:v>4.8459926827818522E-2</c:v>
                </c:pt>
                <c:pt idx="1465">
                  <c:v>4.8445794693335875E-2</c:v>
                </c:pt>
                <c:pt idx="1466">
                  <c:v>4.8431706426287358E-2</c:v>
                </c:pt>
                <c:pt idx="1467">
                  <c:v>4.841766202667297E-2</c:v>
                </c:pt>
                <c:pt idx="1468">
                  <c:v>4.8403661494330619E-2</c:v>
                </c:pt>
                <c:pt idx="1469">
                  <c:v>4.838970482958449E-2</c:v>
                </c:pt>
                <c:pt idx="1470">
                  <c:v>4.8375792032110398E-2</c:v>
                </c:pt>
                <c:pt idx="1471">
                  <c:v>4.8361923102070437E-2</c:v>
                </c:pt>
                <c:pt idx="1472">
                  <c:v>4.8348098039383558E-2</c:v>
                </c:pt>
                <c:pt idx="1473">
                  <c:v>4.8334316844130809E-2</c:v>
                </c:pt>
                <c:pt idx="1474">
                  <c:v>4.8320579516150097E-2</c:v>
                </c:pt>
                <c:pt idx="1475">
                  <c:v>4.8306886055684561E-2</c:v>
                </c:pt>
                <c:pt idx="1476">
                  <c:v>4.8293236462410016E-2</c:v>
                </c:pt>
                <c:pt idx="1477">
                  <c:v>4.8279630736650647E-2</c:v>
                </c:pt>
                <c:pt idx="1478">
                  <c:v>4.8266068878082269E-2</c:v>
                </c:pt>
                <c:pt idx="1479">
                  <c:v>4.8252550886866974E-2</c:v>
                </c:pt>
                <c:pt idx="1480">
                  <c:v>4.8239076763085809E-2</c:v>
                </c:pt>
                <c:pt idx="1481">
                  <c:v>4.8225646506657727E-2</c:v>
                </c:pt>
                <c:pt idx="1482">
                  <c:v>4.8212260117501682E-2</c:v>
                </c:pt>
                <c:pt idx="1483">
                  <c:v>4.819891759569872E-2</c:v>
                </c:pt>
                <c:pt idx="1484">
                  <c:v>4.8185618941248842E-2</c:v>
                </c:pt>
                <c:pt idx="1485">
                  <c:v>4.8172364154071001E-2</c:v>
                </c:pt>
                <c:pt idx="1486">
                  <c:v>4.815915323432729E-2</c:v>
                </c:pt>
                <c:pt idx="1487">
                  <c:v>4.8145986181693523E-2</c:v>
                </c:pt>
                <c:pt idx="1488">
                  <c:v>4.8132862996493886E-2</c:v>
                </c:pt>
                <c:pt idx="1489">
                  <c:v>4.8119783678566286E-2</c:v>
                </c:pt>
                <c:pt idx="1490">
                  <c:v>4.8106748227910723E-2</c:v>
                </c:pt>
                <c:pt idx="1491">
                  <c:v>4.8093756644608243E-2</c:v>
                </c:pt>
                <c:pt idx="1492">
                  <c:v>4.8080808928496754E-2</c:v>
                </c:pt>
                <c:pt idx="1493">
                  <c:v>4.8066065253710155E-2</c:v>
                </c:pt>
                <c:pt idx="1494">
                  <c:v>4.8053211538965357E-2</c:v>
                </c:pt>
                <c:pt idx="1495">
                  <c:v>4.8040401691573642E-2</c:v>
                </c:pt>
                <c:pt idx="1496">
                  <c:v>4.8027635711210825E-2</c:v>
                </c:pt>
                <c:pt idx="1497">
                  <c:v>4.8014913598363185E-2</c:v>
                </c:pt>
                <c:pt idx="1498">
                  <c:v>4.8002235352706535E-2</c:v>
                </c:pt>
                <c:pt idx="1499">
                  <c:v>4.798960097415983E-2</c:v>
                </c:pt>
                <c:pt idx="1500">
                  <c:v>4.7977010463047254E-2</c:v>
                </c:pt>
                <c:pt idx="1501">
                  <c:v>4.7964463818963576E-2</c:v>
                </c:pt>
                <c:pt idx="1502">
                  <c:v>4.7951961042314029E-2</c:v>
                </c:pt>
                <c:pt idx="1503">
                  <c:v>4.7939502132855472E-2</c:v>
                </c:pt>
                <c:pt idx="1504">
                  <c:v>4.7927087090587905E-2</c:v>
                </c:pt>
                <c:pt idx="1505">
                  <c:v>4.791471591551133E-2</c:v>
                </c:pt>
                <c:pt idx="1506">
                  <c:v>4.7902388607706792E-2</c:v>
                </c:pt>
                <c:pt idx="1507">
                  <c:v>4.7890105167174291E-2</c:v>
                </c:pt>
                <c:pt idx="1508">
                  <c:v>4.7877865593751734E-2</c:v>
                </c:pt>
                <c:pt idx="1509">
                  <c:v>4.7865669887682261E-2</c:v>
                </c:pt>
                <c:pt idx="1510">
                  <c:v>4.7853518048641686E-2</c:v>
                </c:pt>
                <c:pt idx="1511">
                  <c:v>4.7841410076873148E-2</c:v>
                </c:pt>
                <c:pt idx="1512">
                  <c:v>4.78293459722956E-2</c:v>
                </c:pt>
                <c:pt idx="1513">
                  <c:v>4.7817325734746952E-2</c:v>
                </c:pt>
                <c:pt idx="1514">
                  <c:v>4.7805349364632432E-2</c:v>
                </c:pt>
                <c:pt idx="1515">
                  <c:v>4.7793416861627858E-2</c:v>
                </c:pt>
                <c:pt idx="1516">
                  <c:v>4.778152822589532E-2</c:v>
                </c:pt>
                <c:pt idx="1517">
                  <c:v>4.7769683457110634E-2</c:v>
                </c:pt>
                <c:pt idx="1518">
                  <c:v>4.7757882555679032E-2</c:v>
                </c:pt>
                <c:pt idx="1519">
                  <c:v>4.7746125521276328E-2</c:v>
                </c:pt>
                <c:pt idx="1520">
                  <c:v>4.7734412354145661E-2</c:v>
                </c:pt>
                <c:pt idx="1521">
                  <c:v>4.7722743054043892E-2</c:v>
                </c:pt>
                <c:pt idx="1522">
                  <c:v>4.7711117621214161E-2</c:v>
                </c:pt>
                <c:pt idx="1523">
                  <c:v>4.7699536055413327E-2</c:v>
                </c:pt>
                <c:pt idx="1524">
                  <c:v>4.7687998356884531E-2</c:v>
                </c:pt>
                <c:pt idx="1525">
                  <c:v>4.7676504525546726E-2</c:v>
                </c:pt>
                <c:pt idx="1526">
                  <c:v>4.7665054561156772E-2</c:v>
                </c:pt>
                <c:pt idx="1527">
                  <c:v>4.7653648464038856E-2</c:v>
                </c:pt>
                <c:pt idx="1528">
                  <c:v>4.7642286233949838E-2</c:v>
                </c:pt>
                <c:pt idx="1529">
                  <c:v>4.7630967870970764E-2</c:v>
                </c:pt>
                <c:pt idx="1530">
                  <c:v>4.7619693375101635E-2</c:v>
                </c:pt>
                <c:pt idx="1531">
                  <c:v>4.7608462746423497E-2</c:v>
                </c:pt>
                <c:pt idx="1532">
                  <c:v>4.7597275984855303E-2</c:v>
                </c:pt>
                <c:pt idx="1533">
                  <c:v>4.7586133090397054E-2</c:v>
                </c:pt>
                <c:pt idx="1534">
                  <c:v>4.7575034062967703E-2</c:v>
                </c:pt>
                <c:pt idx="1535">
                  <c:v>4.7563978902729342E-2</c:v>
                </c:pt>
                <c:pt idx="1536">
                  <c:v>4.7552967609600927E-2</c:v>
                </c:pt>
                <c:pt idx="1537">
                  <c:v>4.7542000183420363E-2</c:v>
                </c:pt>
                <c:pt idx="1538">
                  <c:v>4.753107662443079E-2</c:v>
                </c:pt>
                <c:pt idx="1539">
                  <c:v>4.7520196932551162E-2</c:v>
                </c:pt>
                <c:pt idx="1540">
                  <c:v>4.7509361107700432E-2</c:v>
                </c:pt>
                <c:pt idx="1541">
                  <c:v>4.74985691498786E-2</c:v>
                </c:pt>
                <c:pt idx="1542">
                  <c:v>4.7487821059247759E-2</c:v>
                </c:pt>
                <c:pt idx="1543">
                  <c:v>4.7486418563019273E-2</c:v>
                </c:pt>
                <c:pt idx="1544">
                  <c:v>4.7466456478991725E-2</c:v>
                </c:pt>
                <c:pt idx="1545">
                  <c:v>4.7462826239150768E-2</c:v>
                </c:pt>
                <c:pt idx="1546">
                  <c:v>4.7445267367094424E-2</c:v>
                </c:pt>
                <c:pt idx="1547">
                  <c:v>4.743473861168912E-2</c:v>
                </c:pt>
                <c:pt idx="1548">
                  <c:v>4.7424253723231669E-2</c:v>
                </c:pt>
                <c:pt idx="1549">
                  <c:v>4.7413812701965208E-2</c:v>
                </c:pt>
                <c:pt idx="1550">
                  <c:v>4.7403415547646599E-2</c:v>
                </c:pt>
                <c:pt idx="1551">
                  <c:v>4.7393062260356889E-2</c:v>
                </c:pt>
                <c:pt idx="1552">
                  <c:v>4.7382752840177123E-2</c:v>
                </c:pt>
                <c:pt idx="1553">
                  <c:v>4.7372487287107301E-2</c:v>
                </c:pt>
                <c:pt idx="1554">
                  <c:v>4.7362265600985332E-2</c:v>
                </c:pt>
                <c:pt idx="1555">
                  <c:v>4.7352087781730168E-2</c:v>
                </c:pt>
                <c:pt idx="1556">
                  <c:v>4.7341953829747041E-2</c:v>
                </c:pt>
                <c:pt idx="1557">
                  <c:v>4.7331863744549674E-2</c:v>
                </c:pt>
                <c:pt idx="1558">
                  <c:v>4.7321817526462251E-2</c:v>
                </c:pt>
                <c:pt idx="1559">
                  <c:v>4.7311815175403726E-2</c:v>
                </c:pt>
                <c:pt idx="1560">
                  <c:v>4.73018566913741E-2</c:v>
                </c:pt>
                <c:pt idx="1561">
                  <c:v>4.7291942074211279E-2</c:v>
                </c:pt>
                <c:pt idx="1562">
                  <c:v>4.7282071324077357E-2</c:v>
                </c:pt>
                <c:pt idx="1563">
                  <c:v>4.7272244441134426E-2</c:v>
                </c:pt>
                <c:pt idx="1564">
                  <c:v>4.7262461424896207E-2</c:v>
                </c:pt>
                <c:pt idx="1565">
                  <c:v>4.7252722276011072E-2</c:v>
                </c:pt>
                <c:pt idx="1566">
                  <c:v>4.7243026993749604E-2</c:v>
                </c:pt>
                <c:pt idx="1567">
                  <c:v>4.723337557859808E-2</c:v>
                </c:pt>
                <c:pt idx="1568">
                  <c:v>4.7223768030394409E-2</c:v>
                </c:pt>
                <c:pt idx="1569">
                  <c:v>4.7214204349138589E-2</c:v>
                </c:pt>
                <c:pt idx="1570">
                  <c:v>4.7204684534992714E-2</c:v>
                </c:pt>
                <c:pt idx="1571">
                  <c:v>4.7195208587632598E-2</c:v>
                </c:pt>
                <c:pt idx="1572">
                  <c:v>4.7185776507382426E-2</c:v>
                </c:pt>
                <c:pt idx="1573">
                  <c:v>4.7176388293999061E-2</c:v>
                </c:pt>
                <c:pt idx="1574">
                  <c:v>4.7167043947563547E-2</c:v>
                </c:pt>
                <c:pt idx="1575">
                  <c:v>4.7157743468156932E-2</c:v>
                </c:pt>
                <c:pt idx="1576">
                  <c:v>4.7148486855698168E-2</c:v>
                </c:pt>
                <c:pt idx="1577">
                  <c:v>4.7139274110106211E-2</c:v>
                </c:pt>
                <c:pt idx="1578">
                  <c:v>4.7130105231462105E-2</c:v>
                </c:pt>
                <c:pt idx="1579">
                  <c:v>4.7120980219765851E-2</c:v>
                </c:pt>
                <c:pt idx="1580">
                  <c:v>4.710672954480466E-2</c:v>
                </c:pt>
                <c:pt idx="1581">
                  <c:v>4.7097717333808298E-2</c:v>
                </c:pt>
                <c:pt idx="1582">
                  <c:v>4.7088748989678741E-2</c:v>
                </c:pt>
                <c:pt idx="1583">
                  <c:v>4.7079824512578083E-2</c:v>
                </c:pt>
                <c:pt idx="1584">
                  <c:v>4.7069678824688266E-2</c:v>
                </c:pt>
                <c:pt idx="1585">
                  <c:v>4.7060848348143836E-2</c:v>
                </c:pt>
                <c:pt idx="1586">
                  <c:v>4.7052061738385165E-2</c:v>
                </c:pt>
                <c:pt idx="1587">
                  <c:v>4.7043318995655392E-2</c:v>
                </c:pt>
                <c:pt idx="1588">
                  <c:v>4.7034620119792425E-2</c:v>
                </c:pt>
                <c:pt idx="1589">
                  <c:v>4.7025965110715218E-2</c:v>
                </c:pt>
                <c:pt idx="1590">
                  <c:v>4.7017353968747955E-2</c:v>
                </c:pt>
                <c:pt idx="1591">
                  <c:v>4.7008786693404359E-2</c:v>
                </c:pt>
                <c:pt idx="1592">
                  <c:v>4.7000263285251753E-2</c:v>
                </c:pt>
                <c:pt idx="1593">
                  <c:v>4.6991783743884907E-2</c:v>
                </c:pt>
                <c:pt idx="1594">
                  <c:v>4.6983348069303821E-2</c:v>
                </c:pt>
                <c:pt idx="1595">
                  <c:v>4.6974956261751633E-2</c:v>
                </c:pt>
                <c:pt idx="1596">
                  <c:v>4.6966608320904157E-2</c:v>
                </c:pt>
                <c:pt idx="1597">
                  <c:v>4.695830424708558E-2</c:v>
                </c:pt>
                <c:pt idx="1598">
                  <c:v>4.6950044040133809E-2</c:v>
                </c:pt>
                <c:pt idx="1599">
                  <c:v>4.6941827700048844E-2</c:v>
                </c:pt>
                <c:pt idx="1600">
                  <c:v>4.6933655226830684E-2</c:v>
                </c:pt>
                <c:pt idx="1601">
                  <c:v>4.692552662047933E-2</c:v>
                </c:pt>
                <c:pt idx="1602">
                  <c:v>4.6917441880832689E-2</c:v>
                </c:pt>
                <c:pt idx="1603">
                  <c:v>4.6909401008295992E-2</c:v>
                </c:pt>
                <c:pt idx="1604">
                  <c:v>4.6901404002301916E-2</c:v>
                </c:pt>
                <c:pt idx="1605">
                  <c:v>4.6893450863498831E-2</c:v>
                </c:pt>
                <c:pt idx="1606">
                  <c:v>4.6885541591400459E-2</c:v>
                </c:pt>
                <c:pt idx="1607">
                  <c:v>4.6877676186249939E-2</c:v>
                </c:pt>
                <c:pt idx="1608">
                  <c:v>4.6869854647885179E-2</c:v>
                </c:pt>
                <c:pt idx="1609">
                  <c:v>4.6862076976225131E-2</c:v>
                </c:pt>
                <c:pt idx="1610">
                  <c:v>4.6854343171593982E-2</c:v>
                </c:pt>
                <c:pt idx="1611">
                  <c:v>4.6846653233748592E-2</c:v>
                </c:pt>
                <c:pt idx="1612">
                  <c:v>4.6839007162607915E-2</c:v>
                </c:pt>
                <c:pt idx="1613">
                  <c:v>4.683140495841509E-2</c:v>
                </c:pt>
                <c:pt idx="1614">
                  <c:v>4.6823846621008025E-2</c:v>
                </c:pt>
                <c:pt idx="1615">
                  <c:v>4.6816332150548812E-2</c:v>
                </c:pt>
                <c:pt idx="1616">
                  <c:v>4.6808861546794311E-2</c:v>
                </c:pt>
                <c:pt idx="1617">
                  <c:v>4.6801434809987663E-2</c:v>
                </c:pt>
                <c:pt idx="1618">
                  <c:v>4.6794051939804682E-2</c:v>
                </c:pt>
                <c:pt idx="1619">
                  <c:v>4.6786712936650598E-2</c:v>
                </c:pt>
                <c:pt idx="1620">
                  <c:v>4.6779417800201228E-2</c:v>
                </c:pt>
                <c:pt idx="1621">
                  <c:v>4.6772166530618664E-2</c:v>
                </c:pt>
                <c:pt idx="1622">
                  <c:v>4.6764959127740813E-2</c:v>
                </c:pt>
                <c:pt idx="1623">
                  <c:v>4.6757795591729767E-2</c:v>
                </c:pt>
                <c:pt idx="1624">
                  <c:v>4.6750675922504481E-2</c:v>
                </c:pt>
                <c:pt idx="1625">
                  <c:v>4.6743600120064954E-2</c:v>
                </c:pt>
                <c:pt idx="1626">
                  <c:v>4.6736568184492233E-2</c:v>
                </c:pt>
                <c:pt idx="1627">
                  <c:v>4.6729580115624225E-2</c:v>
                </c:pt>
                <c:pt idx="1628">
                  <c:v>4.6722635913704069E-2</c:v>
                </c:pt>
                <c:pt idx="1629">
                  <c:v>4.671573557840758E-2</c:v>
                </c:pt>
                <c:pt idx="1630">
                  <c:v>4.6708879110058943E-2</c:v>
                </c:pt>
                <c:pt idx="1631">
                  <c:v>4.6702066508252926E-2</c:v>
                </c:pt>
                <c:pt idx="1632">
                  <c:v>4.6695297773556854E-2</c:v>
                </c:pt>
                <c:pt idx="1633">
                  <c:v>4.6688572905403403E-2</c:v>
                </c:pt>
                <c:pt idx="1634">
                  <c:v>4.6681891904035711E-2</c:v>
                </c:pt>
                <c:pt idx="1635">
                  <c:v>4.6675254769453778E-2</c:v>
                </c:pt>
                <c:pt idx="1636">
                  <c:v>4.6667723187288068E-2</c:v>
                </c:pt>
                <c:pt idx="1637">
                  <c:v>4.6661180053019224E-2</c:v>
                </c:pt>
                <c:pt idx="1638">
                  <c:v>4.6654680785374048E-2</c:v>
                </c:pt>
                <c:pt idx="1639">
                  <c:v>4.6648225384676723E-2</c:v>
                </c:pt>
                <c:pt idx="1640">
                  <c:v>4.6641813850684111E-2</c:v>
                </c:pt>
                <c:pt idx="1641">
                  <c:v>4.6635446183315166E-2</c:v>
                </c:pt>
                <c:pt idx="1642">
                  <c:v>4.6629122382975119E-2</c:v>
                </c:pt>
                <c:pt idx="1643">
                  <c:v>4.6622842449177693E-2</c:v>
                </c:pt>
                <c:pt idx="1644">
                  <c:v>4.6616606382247072E-2</c:v>
                </c:pt>
                <c:pt idx="1645">
                  <c:v>4.6610414181859072E-2</c:v>
                </c:pt>
                <c:pt idx="1646">
                  <c:v>4.6604265848499971E-2</c:v>
                </c:pt>
                <c:pt idx="1647">
                  <c:v>4.6598161381683489E-2</c:v>
                </c:pt>
                <c:pt idx="1648">
                  <c:v>4.659210078181486E-2</c:v>
                </c:pt>
                <c:pt idx="1649">
                  <c:v>4.6586084048650944E-2</c:v>
                </c:pt>
                <c:pt idx="1650">
                  <c:v>4.6580111182110695E-2</c:v>
                </c:pt>
                <c:pt idx="1651">
                  <c:v>4.6574182182356205E-2</c:v>
                </c:pt>
                <c:pt idx="1652">
                  <c:v>4.6568297049306429E-2</c:v>
                </c:pt>
                <c:pt idx="1653">
                  <c:v>4.6562455783123458E-2</c:v>
                </c:pt>
                <c:pt idx="1654">
                  <c:v>4.6556658383402061E-2</c:v>
                </c:pt>
                <c:pt idx="1655">
                  <c:v>4.6550904850628516E-2</c:v>
                </c:pt>
                <c:pt idx="1656">
                  <c:v>4.6545195184559685E-2</c:v>
                </c:pt>
                <c:pt idx="1657">
                  <c:v>4.653952938511452E-2</c:v>
                </c:pt>
                <c:pt idx="1658">
                  <c:v>4.6533907452455114E-2</c:v>
                </c:pt>
                <c:pt idx="1659">
                  <c:v>4.6528329386581468E-2</c:v>
                </c:pt>
                <c:pt idx="1660">
                  <c:v>4.6522795187493582E-2</c:v>
                </c:pt>
                <c:pt idx="1661">
                  <c:v>4.6517304854948316E-2</c:v>
                </c:pt>
                <c:pt idx="1662">
                  <c:v>4.6511858389269856E-2</c:v>
                </c:pt>
                <c:pt idx="1663">
                  <c:v>4.650645579005297E-2</c:v>
                </c:pt>
                <c:pt idx="1664">
                  <c:v>4.6501097057783936E-2</c:v>
                </c:pt>
                <c:pt idx="1665">
                  <c:v>4.6495782192138568E-2</c:v>
                </c:pt>
                <c:pt idx="1666">
                  <c:v>4.6490511193278961E-2</c:v>
                </c:pt>
                <c:pt idx="1667">
                  <c:v>4.6485284061124066E-2</c:v>
                </c:pt>
                <c:pt idx="1668">
                  <c:v>4.6480100795592838E-2</c:v>
                </c:pt>
                <c:pt idx="1669">
                  <c:v>4.647496139684737E-2</c:v>
                </c:pt>
                <c:pt idx="1670">
                  <c:v>4.6469865864725568E-2</c:v>
                </c:pt>
                <c:pt idx="1671">
                  <c:v>4.646481419930848E-2</c:v>
                </c:pt>
                <c:pt idx="1672">
                  <c:v>4.6459806400515058E-2</c:v>
                </c:pt>
                <c:pt idx="1673">
                  <c:v>4.6454842468588442E-2</c:v>
                </c:pt>
                <c:pt idx="1674">
                  <c:v>4.6449922403285493E-2</c:v>
                </c:pt>
                <c:pt idx="1675">
                  <c:v>4.6445046204687257E-2</c:v>
                </c:pt>
                <c:pt idx="1676">
                  <c:v>4.6440213872793734E-2</c:v>
                </c:pt>
                <c:pt idx="1677">
                  <c:v>4.6435425407523878E-2</c:v>
                </c:pt>
                <c:pt idx="1678">
                  <c:v>4.6430680809039782E-2</c:v>
                </c:pt>
                <c:pt idx="1679">
                  <c:v>4.6425980077098306E-2</c:v>
                </c:pt>
                <c:pt idx="1680">
                  <c:v>4.6421323212023635E-2</c:v>
                </c:pt>
                <c:pt idx="1681">
                  <c:v>4.6416710213491585E-2</c:v>
                </c:pt>
                <c:pt idx="1682">
                  <c:v>4.6412141081664249E-2</c:v>
                </c:pt>
                <c:pt idx="1683">
                  <c:v>4.6407615816541625E-2</c:v>
                </c:pt>
                <c:pt idx="1684">
                  <c:v>4.6403134418042669E-2</c:v>
                </c:pt>
                <c:pt idx="1685">
                  <c:v>4.6398696886248425E-2</c:v>
                </c:pt>
                <c:pt idx="1686">
                  <c:v>4.6394303221158895E-2</c:v>
                </c:pt>
                <c:pt idx="1687">
                  <c:v>4.6389953422693031E-2</c:v>
                </c:pt>
                <c:pt idx="1688">
                  <c:v>4.6385035938795172E-2</c:v>
                </c:pt>
                <c:pt idx="1689">
                  <c:v>4.6380780140318212E-2</c:v>
                </c:pt>
                <c:pt idx="1690">
                  <c:v>4.6376568208708058E-2</c:v>
                </c:pt>
                <c:pt idx="1691">
                  <c:v>4.6372400143478432E-2</c:v>
                </c:pt>
                <c:pt idx="1692">
                  <c:v>4.6368275945115611E-2</c:v>
                </c:pt>
                <c:pt idx="1693">
                  <c:v>4.6364195613376458E-2</c:v>
                </c:pt>
                <c:pt idx="1694">
                  <c:v>4.6360159148260971E-2</c:v>
                </c:pt>
                <c:pt idx="1695">
                  <c:v>4.6356166549850197E-2</c:v>
                </c:pt>
                <c:pt idx="1696">
                  <c:v>4.6352217818144137E-2</c:v>
                </c:pt>
                <c:pt idx="1697">
                  <c:v>4.6348312952818604E-2</c:v>
                </c:pt>
                <c:pt idx="1698">
                  <c:v>4.6355127515150363E-2</c:v>
                </c:pt>
                <c:pt idx="1699">
                  <c:v>4.6340634822605864E-2</c:v>
                </c:pt>
                <c:pt idx="1700">
                  <c:v>4.6336861557475517E-2</c:v>
                </c:pt>
                <c:pt idx="1701">
                  <c:v>4.6333132158887791E-2</c:v>
                </c:pt>
                <c:pt idx="1702">
                  <c:v>4.632944662716687E-2</c:v>
                </c:pt>
                <c:pt idx="1703">
                  <c:v>4.6325804961826478E-2</c:v>
                </c:pt>
                <c:pt idx="1704">
                  <c:v>4.6322207163190798E-2</c:v>
                </c:pt>
                <c:pt idx="1705">
                  <c:v>4.6318653231340878E-2</c:v>
                </c:pt>
                <c:pt idx="1706">
                  <c:v>4.6315143166114625E-2</c:v>
                </c:pt>
                <c:pt idx="1707">
                  <c:v>4.6311676967430992E-2</c:v>
                </c:pt>
                <c:pt idx="1708">
                  <c:v>4.6308254635452073E-2</c:v>
                </c:pt>
                <c:pt idx="1709">
                  <c:v>4.6304862843656869E-2</c:v>
                </c:pt>
                <c:pt idx="1710">
                  <c:v>4.6301484173173479E-2</c:v>
                </c:pt>
                <c:pt idx="1711">
                  <c:v>4.6298118518965925E-2</c:v>
                </c:pt>
                <c:pt idx="1712">
                  <c:v>4.6294765881277344E-2</c:v>
                </c:pt>
                <c:pt idx="1713">
                  <c:v>4.6291426259864599E-2</c:v>
                </c:pt>
                <c:pt idx="1714">
                  <c:v>4.6288099654808734E-2</c:v>
                </c:pt>
                <c:pt idx="1715">
                  <c:v>4.6284786066271844E-2</c:v>
                </c:pt>
                <c:pt idx="1716">
                  <c:v>4.6281485493848695E-2</c:v>
                </c:pt>
                <c:pt idx="1717">
                  <c:v>4.6278197937944521E-2</c:v>
                </c:pt>
                <c:pt idx="1718">
                  <c:v>4.6274923398397227E-2</c:v>
                </c:pt>
                <c:pt idx="1719">
                  <c:v>4.6271661875287862E-2</c:v>
                </c:pt>
                <c:pt idx="1720">
                  <c:v>4.6268413368454331E-2</c:v>
                </c:pt>
                <c:pt idx="1721">
                  <c:v>4.6265177878139774E-2</c:v>
                </c:pt>
                <c:pt idx="1722">
                  <c:v>4.6261955403857913E-2</c:v>
                </c:pt>
                <c:pt idx="1723">
                  <c:v>4.6258745946257118E-2</c:v>
                </c:pt>
                <c:pt idx="1724">
                  <c:v>4.6255549505013205E-2</c:v>
                </c:pt>
                <c:pt idx="1725">
                  <c:v>4.6252366080045126E-2</c:v>
                </c:pt>
                <c:pt idx="1726">
                  <c:v>4.6249195671514975E-2</c:v>
                </c:pt>
                <c:pt idx="1727">
                  <c:v>4.6246038279179613E-2</c:v>
                </c:pt>
                <c:pt idx="1728">
                  <c:v>4.6242893903363225E-2</c:v>
                </c:pt>
                <c:pt idx="1729">
                  <c:v>4.6239762543822671E-2</c:v>
                </c:pt>
                <c:pt idx="1730">
                  <c:v>4.6236644200801091E-2</c:v>
                </c:pt>
                <c:pt idx="1731">
                  <c:v>4.6233538874055347E-2</c:v>
                </c:pt>
                <c:pt idx="1732">
                  <c:v>4.6230446563666483E-2</c:v>
                </c:pt>
                <c:pt idx="1733">
                  <c:v>4.6227367269634501E-2</c:v>
                </c:pt>
                <c:pt idx="1734">
                  <c:v>4.6224300992040446E-2</c:v>
                </c:pt>
                <c:pt idx="1735">
                  <c:v>4.6221247730722226E-2</c:v>
                </c:pt>
                <c:pt idx="1736">
                  <c:v>4.6218207485679841E-2</c:v>
                </c:pt>
                <c:pt idx="1737">
                  <c:v>4.621518025715643E-2</c:v>
                </c:pt>
                <c:pt idx="1738">
                  <c:v>4.62121660449899E-2</c:v>
                </c:pt>
                <c:pt idx="1739">
                  <c:v>4.6209164849099205E-2</c:v>
                </c:pt>
                <c:pt idx="1740">
                  <c:v>4.6211174759284532E-2</c:v>
                </c:pt>
                <c:pt idx="1741">
                  <c:v>4.6208202562806708E-2</c:v>
                </c:pt>
                <c:pt idx="1742">
                  <c:v>4.6205243386035676E-2</c:v>
                </c:pt>
                <c:pt idx="1743">
                  <c:v>4.6202297228971442E-2</c:v>
                </c:pt>
                <c:pt idx="1744">
                  <c:v>4.6199364091614001E-2</c:v>
                </c:pt>
                <c:pt idx="1745">
                  <c:v>4.6196443973936338E-2</c:v>
                </c:pt>
                <c:pt idx="1746">
                  <c:v>4.6193536875992487E-2</c:v>
                </c:pt>
                <c:pt idx="1747">
                  <c:v>4.6190642797728408E-2</c:v>
                </c:pt>
                <c:pt idx="1748">
                  <c:v>4.6187761739171128E-2</c:v>
                </c:pt>
                <c:pt idx="1749">
                  <c:v>4.617782602260867E-2</c:v>
                </c:pt>
                <c:pt idx="1750">
                  <c:v>4.6174977304354048E-2</c:v>
                </c:pt>
                <c:pt idx="1751">
                  <c:v>4.6172141602051076E-2</c:v>
                </c:pt>
                <c:pt idx="1752">
                  <c:v>4.6172037810050526E-2</c:v>
                </c:pt>
                <c:pt idx="1753">
                  <c:v>4.6166509247002052E-2</c:v>
                </c:pt>
                <c:pt idx="1754">
                  <c:v>4.6163712594012862E-2</c:v>
                </c:pt>
                <c:pt idx="1755">
                  <c:v>4.6160928957380554E-2</c:v>
                </c:pt>
                <c:pt idx="1756">
                  <c:v>4.6158158337105126E-2</c:v>
                </c:pt>
                <c:pt idx="1757">
                  <c:v>4.615540073318658E-2</c:v>
                </c:pt>
                <c:pt idx="1758">
                  <c:v>4.6152656145624915E-2</c:v>
                </c:pt>
                <c:pt idx="1759">
                  <c:v>4.6149924574420131E-2</c:v>
                </c:pt>
                <c:pt idx="1760">
                  <c:v>4.614720601932909E-2</c:v>
                </c:pt>
                <c:pt idx="1761">
                  <c:v>4.6144500480919115E-2</c:v>
                </c:pt>
                <c:pt idx="1762">
                  <c:v>4.6141807958703929E-2</c:v>
                </c:pt>
                <c:pt idx="1763">
                  <c:v>4.6139128453007716E-2</c:v>
                </c:pt>
                <c:pt idx="1764">
                  <c:v>4.6136461963506292E-2</c:v>
                </c:pt>
                <c:pt idx="1765">
                  <c:v>4.6133808490442796E-2</c:v>
                </c:pt>
                <c:pt idx="1766">
                  <c:v>4.6131168033655134E-2</c:v>
                </c:pt>
                <c:pt idx="1767">
                  <c:v>4.61285405933054E-2</c:v>
                </c:pt>
                <c:pt idx="1768">
                  <c:v>4.6125926169312548E-2</c:v>
                </c:pt>
                <c:pt idx="1769">
                  <c:v>4.612332476159553E-2</c:v>
                </c:pt>
                <c:pt idx="1770">
                  <c:v>4.612073637031644E-2</c:v>
                </c:pt>
                <c:pt idx="1771">
                  <c:v>4.6118160995313184E-2</c:v>
                </c:pt>
                <c:pt idx="1772">
                  <c:v>4.611559863666681E-2</c:v>
                </c:pt>
                <c:pt idx="1773">
                  <c:v>4.6113049294458364E-2</c:v>
                </c:pt>
                <c:pt idx="1774">
                  <c:v>4.6110512968606798E-2</c:v>
                </c:pt>
                <c:pt idx="1775">
                  <c:v>4.6107989658950022E-2</c:v>
                </c:pt>
                <c:pt idx="1776">
                  <c:v>4.6105479365893265E-2</c:v>
                </c:pt>
                <c:pt idx="1777">
                  <c:v>4.6102982089031297E-2</c:v>
                </c:pt>
                <c:pt idx="1778">
                  <c:v>4.6100497828445164E-2</c:v>
                </c:pt>
                <c:pt idx="1779">
                  <c:v>4.6098026584378005E-2</c:v>
                </c:pt>
                <c:pt idx="1780">
                  <c:v>4.609556835658668E-2</c:v>
                </c:pt>
                <c:pt idx="1781">
                  <c:v>4.6093123145152237E-2</c:v>
                </c:pt>
                <c:pt idx="1782">
                  <c:v>4.6090690949993629E-2</c:v>
                </c:pt>
                <c:pt idx="1783">
                  <c:v>4.6088271771191902E-2</c:v>
                </c:pt>
                <c:pt idx="1784">
                  <c:v>4.6085865608990195E-2</c:v>
                </c:pt>
                <c:pt idx="1785">
                  <c:v>4.6083472462821184E-2</c:v>
                </c:pt>
                <c:pt idx="1786">
                  <c:v>4.6081092333252194E-2</c:v>
                </c:pt>
                <c:pt idx="1787">
                  <c:v>4.607805129257847E-2</c:v>
                </c:pt>
                <c:pt idx="1788">
                  <c:v>4.6075700914369744E-2</c:v>
                </c:pt>
                <c:pt idx="1789">
                  <c:v>4.607336355292313E-2</c:v>
                </c:pt>
                <c:pt idx="1790">
                  <c:v>4.6071039207509212E-2</c:v>
                </c:pt>
                <c:pt idx="1791">
                  <c:v>4.6068727878452176E-2</c:v>
                </c:pt>
                <c:pt idx="1792">
                  <c:v>4.6066429565833067E-2</c:v>
                </c:pt>
                <c:pt idx="1793">
                  <c:v>4.6064144269489793E-2</c:v>
                </c:pt>
                <c:pt idx="1794">
                  <c:v>4.6061871989584446E-2</c:v>
                </c:pt>
                <c:pt idx="1795">
                  <c:v>4.6059612726035981E-2</c:v>
                </c:pt>
                <c:pt idx="1796">
                  <c:v>4.6057366478844397E-2</c:v>
                </c:pt>
                <c:pt idx="1797">
                  <c:v>4.6055133247847602E-2</c:v>
                </c:pt>
                <c:pt idx="1798">
                  <c:v>4.6052913033450826E-2</c:v>
                </c:pt>
                <c:pt idx="1799">
                  <c:v>4.6050705835086747E-2</c:v>
                </c:pt>
                <c:pt idx="1800">
                  <c:v>4.6048511653322688E-2</c:v>
                </c:pt>
                <c:pt idx="1801">
                  <c:v>4.6046330487753417E-2</c:v>
                </c:pt>
                <c:pt idx="1802">
                  <c:v>4.6044162338622074E-2</c:v>
                </c:pt>
                <c:pt idx="1803">
                  <c:v>4.6053010972305186E-2</c:v>
                </c:pt>
                <c:pt idx="1804">
                  <c:v>4.6045062938537093E-2</c:v>
                </c:pt>
                <c:pt idx="1805">
                  <c:v>4.6042937021136827E-2</c:v>
                </c:pt>
                <c:pt idx="1806">
                  <c:v>4.6040824123470367E-2</c:v>
                </c:pt>
                <c:pt idx="1807">
                  <c:v>4.6038724245348613E-2</c:v>
                </c:pt>
                <c:pt idx="1808">
                  <c:v>4.6036637386987676E-2</c:v>
                </c:pt>
                <c:pt idx="1809">
                  <c:v>4.6034563548225479E-2</c:v>
                </c:pt>
                <c:pt idx="1810">
                  <c:v>4.6035258568765114E-2</c:v>
                </c:pt>
                <c:pt idx="1811">
                  <c:v>4.6030454929659369E-2</c:v>
                </c:pt>
                <c:pt idx="1812">
                  <c:v>4.6028420149882475E-2</c:v>
                </c:pt>
                <c:pt idx="1813">
                  <c:v>4.6026398389704314E-2</c:v>
                </c:pt>
                <c:pt idx="1814">
                  <c:v>4.6024389649178918E-2</c:v>
                </c:pt>
                <c:pt idx="1815">
                  <c:v>4.6022393928333301E-2</c:v>
                </c:pt>
                <c:pt idx="1816">
                  <c:v>4.6020411227086409E-2</c:v>
                </c:pt>
                <c:pt idx="1817">
                  <c:v>4.6018441545573337E-2</c:v>
                </c:pt>
                <c:pt idx="1818">
                  <c:v>4.6019246144480275E-2</c:v>
                </c:pt>
                <c:pt idx="1819">
                  <c:v>4.6014541241343375E-2</c:v>
                </c:pt>
                <c:pt idx="1820">
                  <c:v>4.6012610618734559E-2</c:v>
                </c:pt>
                <c:pt idx="1821">
                  <c:v>4.6010693015697456E-2</c:v>
                </c:pt>
                <c:pt idx="1822">
                  <c:v>4.6008788432367151E-2</c:v>
                </c:pt>
                <c:pt idx="1823">
                  <c:v>4.6006896868635579E-2</c:v>
                </c:pt>
                <c:pt idx="1824">
                  <c:v>4.6005018324610798E-2</c:v>
                </c:pt>
                <c:pt idx="1825">
                  <c:v>4.6003152800130717E-2</c:v>
                </c:pt>
                <c:pt idx="1826">
                  <c:v>4.6001300295384448E-2</c:v>
                </c:pt>
                <c:pt idx="1827">
                  <c:v>4.6002228296324332E-2</c:v>
                </c:pt>
                <c:pt idx="1828">
                  <c:v>4.599763434471512E-2</c:v>
                </c:pt>
                <c:pt idx="1829">
                  <c:v>4.5995820898873115E-2</c:v>
                </c:pt>
                <c:pt idx="1830">
                  <c:v>4.5994020472656848E-2</c:v>
                </c:pt>
                <c:pt idx="1831">
                  <c:v>4.5992233066012307E-2</c:v>
                </c:pt>
                <c:pt idx="1832">
                  <c:v>4.5990458679074551E-2</c:v>
                </c:pt>
                <c:pt idx="1833">
                  <c:v>4.5988697311789568E-2</c:v>
                </c:pt>
                <c:pt idx="1834">
                  <c:v>4.5986948964076298E-2</c:v>
                </c:pt>
                <c:pt idx="1835">
                  <c:v>4.5985213636042806E-2</c:v>
                </c:pt>
                <c:pt idx="1836">
                  <c:v>4.5983491327608046E-2</c:v>
                </c:pt>
                <c:pt idx="1837">
                  <c:v>4.5981782038853065E-2</c:v>
                </c:pt>
                <c:pt idx="1838">
                  <c:v>4.5980085769669797E-2</c:v>
                </c:pt>
                <c:pt idx="1839">
                  <c:v>4.5978402520166314E-2</c:v>
                </c:pt>
                <c:pt idx="1840">
                  <c:v>4.597673229031559E-2</c:v>
                </c:pt>
                <c:pt idx="1841">
                  <c:v>4.5975075080090619E-2</c:v>
                </c:pt>
                <c:pt idx="1842">
                  <c:v>4.597343088946438E-2</c:v>
                </c:pt>
                <c:pt idx="1843">
                  <c:v>4.597457860148868E-2</c:v>
                </c:pt>
                <c:pt idx="1844">
                  <c:v>4.5970181567116151E-2</c:v>
                </c:pt>
                <c:pt idx="1845">
                  <c:v>4.5968576435367156E-2</c:v>
                </c:pt>
                <c:pt idx="1846">
                  <c:v>4.5966984323324953E-2</c:v>
                </c:pt>
                <c:pt idx="1847">
                  <c:v>4.5965405230800435E-2</c:v>
                </c:pt>
                <c:pt idx="1848">
                  <c:v>4.596383915798271E-2</c:v>
                </c:pt>
                <c:pt idx="1849">
                  <c:v>4.5962286104763724E-2</c:v>
                </c:pt>
                <c:pt idx="1850">
                  <c:v>4.5960746071197496E-2</c:v>
                </c:pt>
                <c:pt idx="1851">
                  <c:v>4.5959219057230001E-2</c:v>
                </c:pt>
                <c:pt idx="1852">
                  <c:v>4.5957705062861239E-2</c:v>
                </c:pt>
                <c:pt idx="1853">
                  <c:v>4.594977985868498E-2</c:v>
                </c:pt>
                <c:pt idx="1854">
                  <c:v>4.5948297856606146E-2</c:v>
                </c:pt>
                <c:pt idx="1855">
                  <c:v>4.5946828870803147E-2</c:v>
                </c:pt>
                <c:pt idx="1856">
                  <c:v>4.5945372901357029E-2</c:v>
                </c:pt>
                <c:pt idx="1857">
                  <c:v>4.5943929948348838E-2</c:v>
                </c:pt>
                <c:pt idx="1858">
                  <c:v>4.5942500011616483E-2</c:v>
                </c:pt>
                <c:pt idx="1859">
                  <c:v>4.5941083091241008E-2</c:v>
                </c:pt>
                <c:pt idx="1860">
                  <c:v>4.5939679187060323E-2</c:v>
                </c:pt>
                <c:pt idx="1861">
                  <c:v>4.5938288299398611E-2</c:v>
                </c:pt>
                <c:pt idx="1862">
                  <c:v>4.5936910427931688E-2</c:v>
                </c:pt>
                <c:pt idx="1863">
                  <c:v>4.5935545572821646E-2</c:v>
                </c:pt>
                <c:pt idx="1864">
                  <c:v>4.5934193734068485E-2</c:v>
                </c:pt>
                <c:pt idx="1865">
                  <c:v>4.5932854911753251E-2</c:v>
                </c:pt>
                <c:pt idx="1866">
                  <c:v>4.5931529105713853E-2</c:v>
                </c:pt>
                <c:pt idx="1867">
                  <c:v>4.5930216315869243E-2</c:v>
                </c:pt>
                <c:pt idx="1868">
                  <c:v>4.5928916542543607E-2</c:v>
                </c:pt>
                <c:pt idx="1869">
                  <c:v>4.5927629785493806E-2</c:v>
                </c:pt>
                <c:pt idx="1870">
                  <c:v>4.5926356044800887E-2</c:v>
                </c:pt>
                <c:pt idx="1871">
                  <c:v>4.5925095320302756E-2</c:v>
                </c:pt>
                <c:pt idx="1872">
                  <c:v>4.5923847612242552E-2</c:v>
                </c:pt>
                <c:pt idx="1873">
                  <c:v>4.592261292053923E-2</c:v>
                </c:pt>
                <c:pt idx="1874">
                  <c:v>4.5921391245030696E-2</c:v>
                </c:pt>
                <c:pt idx="1875">
                  <c:v>4.5920182586122182E-2</c:v>
                </c:pt>
                <c:pt idx="1876">
                  <c:v>4.5918986943246365E-2</c:v>
                </c:pt>
                <c:pt idx="1877">
                  <c:v>4.5917804317051614E-2</c:v>
                </c:pt>
                <c:pt idx="1878">
                  <c:v>4.5916634706808512E-2</c:v>
                </c:pt>
                <c:pt idx="1879">
                  <c:v>4.5915478113084385E-2</c:v>
                </c:pt>
                <c:pt idx="1880">
                  <c:v>4.5914334535717138E-2</c:v>
                </c:pt>
                <c:pt idx="1881">
                  <c:v>4.5913203974544681E-2</c:v>
                </c:pt>
                <c:pt idx="1882">
                  <c:v>4.5912086429810151E-2</c:v>
                </c:pt>
                <c:pt idx="1883">
                  <c:v>4.5910981901432502E-2</c:v>
                </c:pt>
                <c:pt idx="1884">
                  <c:v>4.5909890389330688E-2</c:v>
                </c:pt>
                <c:pt idx="1885">
                  <c:v>4.5908811893585755E-2</c:v>
                </c:pt>
                <c:pt idx="1886">
                  <c:v>4.5907746414197703E-2</c:v>
                </c:pt>
                <c:pt idx="1887">
                  <c:v>4.590669395100444E-2</c:v>
                </c:pt>
                <c:pt idx="1888">
                  <c:v>4.5905654504330151E-2</c:v>
                </c:pt>
                <c:pt idx="1889">
                  <c:v>4.5904628073850651E-2</c:v>
                </c:pt>
                <c:pt idx="1890">
                  <c:v>4.5903614659809078E-2</c:v>
                </c:pt>
                <c:pt idx="1891">
                  <c:v>4.590261426204334E-2</c:v>
                </c:pt>
                <c:pt idx="1892">
                  <c:v>4.5901626880634483E-2</c:v>
                </c:pt>
                <c:pt idx="1893">
                  <c:v>4.5900652515501461E-2</c:v>
                </c:pt>
                <c:pt idx="1894">
                  <c:v>4.5899691166806367E-2</c:v>
                </c:pt>
                <c:pt idx="1895">
                  <c:v>4.5898742834225015E-2</c:v>
                </c:pt>
                <c:pt idx="1896">
                  <c:v>4.5897807518162637E-2</c:v>
                </c:pt>
                <c:pt idx="1897">
                  <c:v>4.5896885218376093E-2</c:v>
                </c:pt>
                <c:pt idx="1898">
                  <c:v>4.5895975934865385E-2</c:v>
                </c:pt>
                <c:pt idx="1899">
                  <c:v>4.5895079667792604E-2</c:v>
                </c:pt>
                <c:pt idx="1900">
                  <c:v>4.5894196416914612E-2</c:v>
                </c:pt>
                <c:pt idx="1901">
                  <c:v>4.5893326182474548E-2</c:v>
                </c:pt>
                <c:pt idx="1902">
                  <c:v>4.5892468964391364E-2</c:v>
                </c:pt>
                <c:pt idx="1903">
                  <c:v>4.5891624762502969E-2</c:v>
                </c:pt>
                <c:pt idx="1904">
                  <c:v>4.5890793577052502E-2</c:v>
                </c:pt>
                <c:pt idx="1905">
                  <c:v>4.588997540787787E-2</c:v>
                </c:pt>
                <c:pt idx="1906">
                  <c:v>4.5889170255060119E-2</c:v>
                </c:pt>
                <c:pt idx="1907">
                  <c:v>4.5888378118599249E-2</c:v>
                </c:pt>
                <c:pt idx="1908">
                  <c:v>4.588759899849526E-2</c:v>
                </c:pt>
                <c:pt idx="1909">
                  <c:v>4.5886832894667107E-2</c:v>
                </c:pt>
                <c:pt idx="1910">
                  <c:v>4.5886079807033742E-2</c:v>
                </c:pt>
                <c:pt idx="1911">
                  <c:v>4.5885339736000397E-2</c:v>
                </c:pt>
                <c:pt idx="1912">
                  <c:v>4.5884612681080794E-2</c:v>
                </c:pt>
                <c:pt idx="1913">
                  <c:v>4.5883898642599119E-2</c:v>
                </c:pt>
                <c:pt idx="1914">
                  <c:v>4.5883197620474325E-2</c:v>
                </c:pt>
                <c:pt idx="1915">
                  <c:v>4.588250961454432E-2</c:v>
                </c:pt>
                <c:pt idx="1916">
                  <c:v>4.588183462489015E-2</c:v>
                </c:pt>
                <c:pt idx="1917">
                  <c:v>4.5881172651917046E-2</c:v>
                </c:pt>
                <c:pt idx="1918">
                  <c:v>4.5880523694976638E-2</c:v>
                </c:pt>
                <c:pt idx="1919">
                  <c:v>4.5879887754393112E-2</c:v>
                </c:pt>
                <c:pt idx="1920">
                  <c:v>4.587926483008542E-2</c:v>
                </c:pt>
                <c:pt idx="1921">
                  <c:v>4.5878654922296702E-2</c:v>
                </c:pt>
                <c:pt idx="1922">
                  <c:v>4.5878058030621727E-2</c:v>
                </c:pt>
                <c:pt idx="1923">
                  <c:v>4.5877474155384679E-2</c:v>
                </c:pt>
                <c:pt idx="1924">
                  <c:v>4.5876903296504512E-2</c:v>
                </c:pt>
                <c:pt idx="1925">
                  <c:v>4.5876345453819134E-2</c:v>
                </c:pt>
                <c:pt idx="1926">
                  <c:v>4.587580062765273E-2</c:v>
                </c:pt>
                <c:pt idx="1927">
                  <c:v>4.587526881776216E-2</c:v>
                </c:pt>
                <c:pt idx="1928">
                  <c:v>4.5874750024147426E-2</c:v>
                </c:pt>
                <c:pt idx="1929">
                  <c:v>4.5874244246970619E-2</c:v>
                </c:pt>
                <c:pt idx="1930">
                  <c:v>4.5873751485988601E-2</c:v>
                </c:pt>
                <c:pt idx="1931">
                  <c:v>4.587327174144451E-2</c:v>
                </c:pt>
                <c:pt idx="1932">
                  <c:v>4.5872805013014162E-2</c:v>
                </c:pt>
                <c:pt idx="1933">
                  <c:v>4.5872351301102787E-2</c:v>
                </c:pt>
                <c:pt idx="1934">
                  <c:v>4.5871910605386201E-2</c:v>
                </c:pt>
                <c:pt idx="1935">
                  <c:v>4.5871482926269636E-2</c:v>
                </c:pt>
                <c:pt idx="1936">
                  <c:v>4.5871068263185766E-2</c:v>
                </c:pt>
                <c:pt idx="1937">
                  <c:v>4.5870666616458777E-2</c:v>
                </c:pt>
                <c:pt idx="1938">
                  <c:v>4.5870277986169716E-2</c:v>
                </c:pt>
                <c:pt idx="1939">
                  <c:v>4.586990237215649E-2</c:v>
                </c:pt>
                <c:pt idx="1940">
                  <c:v>4.5869539774500145E-2</c:v>
                </c:pt>
                <c:pt idx="1941">
                  <c:v>4.5869190193200682E-2</c:v>
                </c:pt>
                <c:pt idx="1942">
                  <c:v>4.5868853628177053E-2</c:v>
                </c:pt>
                <c:pt idx="1943">
                  <c:v>4.5868530079591352E-2</c:v>
                </c:pt>
                <c:pt idx="1944">
                  <c:v>4.5868219547119393E-2</c:v>
                </c:pt>
                <c:pt idx="1945">
                  <c:v>4.5867922031085362E-2</c:v>
                </c:pt>
                <c:pt idx="1946">
                  <c:v>4.5867637531408212E-2</c:v>
                </c:pt>
                <c:pt idx="1947">
                  <c:v>4.5867328327203749E-2</c:v>
                </c:pt>
                <c:pt idx="1948">
                  <c:v>4.5867071719685182E-2</c:v>
                </c:pt>
                <c:pt idx="1949">
                  <c:v>4.5866828128523496E-2</c:v>
                </c:pt>
                <c:pt idx="1950">
                  <c:v>4.5866597553394506E-2</c:v>
                </c:pt>
                <c:pt idx="1951">
                  <c:v>4.5866379994865536E-2</c:v>
                </c:pt>
                <c:pt idx="1952">
                  <c:v>4.5866175452612401E-2</c:v>
                </c:pt>
                <c:pt idx="1953">
                  <c:v>4.5865983926635101E-2</c:v>
                </c:pt>
                <c:pt idx="1954">
                  <c:v>4.5865805417014682E-2</c:v>
                </c:pt>
                <c:pt idx="1955">
                  <c:v>4.5865639923751145E-2</c:v>
                </c:pt>
                <c:pt idx="1956">
                  <c:v>4.5865487446763442E-2</c:v>
                </c:pt>
                <c:pt idx="1957">
                  <c:v>4.5865347986132621E-2</c:v>
                </c:pt>
                <c:pt idx="1958">
                  <c:v>4.5865221541858681E-2</c:v>
                </c:pt>
                <c:pt idx="1959">
                  <c:v>4.5865108113860575E-2</c:v>
                </c:pt>
                <c:pt idx="1960">
                  <c:v>4.5865007702219351E-2</c:v>
                </c:pt>
                <c:pt idx="1961">
                  <c:v>4.5864920306772916E-2</c:v>
                </c:pt>
                <c:pt idx="1962">
                  <c:v>4.5864845927845455E-2</c:v>
                </c:pt>
                <c:pt idx="1963">
                  <c:v>4.5864784565031735E-2</c:v>
                </c:pt>
                <c:pt idx="1964">
                  <c:v>4.586473621873699E-2</c:v>
                </c:pt>
                <c:pt idx="1965">
                  <c:v>4.5864700888799126E-2</c:v>
                </c:pt>
                <c:pt idx="1966">
                  <c:v>4.586467857505605E-2</c:v>
                </c:pt>
                <c:pt idx="1967">
                  <c:v>4.5864669277750902E-2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931840"/>
        <c:axId val="780933760"/>
      </c:lineChart>
      <c:dateAx>
        <c:axId val="780931840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933760"/>
        <c:crosses val="autoZero"/>
        <c:auto val="1"/>
        <c:lblOffset val="100"/>
        <c:baseTimeUnit val="days"/>
        <c:majorUnit val="3"/>
        <c:majorTimeUnit val="months"/>
      </c:dateAx>
      <c:valAx>
        <c:axId val="780933760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09318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_AUDYC3M#0015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47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41807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52765</v>
      </c>
      <c r="D28" s="3">
        <f>MIN(_xll.ohPack(Selected!J1:J126))</f>
        <v>0.2535485172696042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0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49" workbookViewId="0">
      <selection activeCell="I85" sqref="I85"/>
    </sheetView>
  </sheetViews>
  <sheetFormatPr defaultRowHeight="11.25" x14ac:dyDescent="0.2"/>
  <cols>
    <col min="1" max="1" width="17" style="53" hidden="1" customWidth="1"/>
    <col min="2" max="2" width="24.14062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obj_001f8#0002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41807</v>
      </c>
      <c r="J5" s="148">
        <f>_xll.qlRateHelperLatestDate($B5,Trigger)</f>
        <v>41899</v>
      </c>
    </row>
    <row r="6" spans="1:14" x14ac:dyDescent="0.2">
      <c r="B6" s="245" t="str">
        <f>FRAs!G3</f>
        <v>obj_00220#0002</v>
      </c>
      <c r="C6" s="157" t="str">
        <f>_xll.qlRateHelperQuoteName(B6)</f>
        <v>AUD1x4F_Quote</v>
      </c>
      <c r="D6" s="156">
        <f>_xll.qlRateHelperQuoteValue($B6,Trigger)</f>
        <v>2.6800000000000001E-2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41837</v>
      </c>
      <c r="J6" s="153">
        <f>_xll.qlRateHelperLatestDate($B6,Trigger)</f>
        <v>41929</v>
      </c>
    </row>
    <row r="7" spans="1:14" x14ac:dyDescent="0.2">
      <c r="B7" s="244" t="str">
        <f>FRAs!G5</f>
        <v>obj_00223#0002</v>
      </c>
      <c r="C7" s="152" t="str">
        <f>_xll.qlRateHelperQuoteName(B7)</f>
        <v>AUD2x5F_Quote</v>
      </c>
      <c r="D7" s="151">
        <f>_xll.qlRateHelperQuoteValue($B7,Trigger)</f>
        <v>2.6699999999999998E-2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4" t="str">
        <f>FRAs!G6</f>
        <v>obj_0021f#0002</v>
      </c>
      <c r="C8" s="152" t="str">
        <f>_xll.qlRateHelperQuoteName(B8)</f>
        <v>AUD3x6F_Quote</v>
      </c>
      <c r="D8" s="151">
        <f>_xll.qlRateHelperQuoteValue($B8,Trigger)</f>
        <v>2.6550000000000004E-2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41899</v>
      </c>
      <c r="J8" s="148">
        <f>_xll.qlRateHelperLatestDate($B8,Trigger)</f>
        <v>41990</v>
      </c>
    </row>
    <row r="9" spans="1:14" x14ac:dyDescent="0.2">
      <c r="B9" s="244" t="str">
        <f>FRAs!G7</f>
        <v>obj_00221#0002</v>
      </c>
      <c r="C9" s="152" t="str">
        <f>_xll.qlRateHelperQuoteName(B9)</f>
        <v>AUD4x7F_Quote</v>
      </c>
      <c r="D9" s="151">
        <f>_xll.qlRateHelperQuoteValue($B9,Trigger)</f>
        <v>2.6550000000000004E-2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41929</v>
      </c>
      <c r="J9" s="148">
        <f>_xll.qlRateHelperLatestDate($B9,Trigger)</f>
        <v>42023</v>
      </c>
    </row>
    <row r="10" spans="1:14" x14ac:dyDescent="0.2">
      <c r="B10" s="244" t="str">
        <f>FRAs!G8</f>
        <v>obj_00222#0002</v>
      </c>
      <c r="C10" s="152" t="str">
        <f>_xll.qlRateHelperQuoteName(B10)</f>
        <v>AUD5x8F_Quote</v>
      </c>
      <c r="D10" s="151">
        <f>_xll.qlRateHelperQuoteValue($B10,Trigger)</f>
        <v>2.6550000000000004E-2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41960</v>
      </c>
      <c r="J10" s="148">
        <f>_xll.qlRateHelperLatestDate($B10,Trigger)</f>
        <v>42052</v>
      </c>
    </row>
    <row r="11" spans="1:14" x14ac:dyDescent="0.2">
      <c r="B11" s="244" t="str">
        <f>FRAs!G9</f>
        <v>obj_0021e#0002</v>
      </c>
      <c r="C11" s="152" t="str">
        <f>_xll.qlRateHelperQuoteName(B11)</f>
        <v>AUD6x9F_Quote</v>
      </c>
      <c r="D11" s="151">
        <f>_xll.qlRateHelperQuoteValue($B11,Trigger)</f>
        <v>2.665E-2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41990</v>
      </c>
      <c r="J11" s="148">
        <f>_xll.qlRateHelperLatestDate($B11,Trigger)</f>
        <v>42080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obj_0024d#0002</v>
      </c>
      <c r="C12" s="157" t="str">
        <f>_xll.qlRateHelperQuoteName(B12)</f>
        <v>AUDFUT3MM4_Quote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obj_0023d#0002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obj_0022d#0002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 t="e">
        <f>_xll.qlFuturesRateHelperConvexityAdjustment($B14,Trigger)</f>
        <v>#NUM!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obj_00232#0002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obj_0022e#0002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obj_0023f#0002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obj_0022c#0002</v>
      </c>
      <c r="C18" s="152" t="str">
        <f>_xll.qlRateHelperQuoteName(B18)</f>
        <v>AUDFUT3MZ4_Quote</v>
      </c>
      <c r="D18" s="158">
        <f>_xll.qlRateHelperQuoteValue($B18,Trigger)</f>
        <v>97.335000000000008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obj_0024a#0002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obj_0023e#0002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obj_00242#0002</v>
      </c>
      <c r="C21" s="152" t="str">
        <f>_xll.qlRateHelperQuoteName(B21)</f>
        <v>AUDFUT3MH5_Quote</v>
      </c>
      <c r="D21" s="158">
        <f>_xll.qlRateHelperQuoteValue($B21,Trigger)</f>
        <v>97.295000000000002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obj_0022b#0002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obj_0022a#0002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obj_00233#0002</v>
      </c>
      <c r="C24" s="152" t="str">
        <f>_xll.qlRateHelperQuoteName(B24)</f>
        <v>AUDFUT3MM5_Quote</v>
      </c>
      <c r="D24" s="158">
        <f>_xll.qlRateHelperQuoteValue($B24,Trigger)</f>
        <v>97.204999999999998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obj_0023b#0002</v>
      </c>
      <c r="C25" s="152" t="str">
        <f>_xll.qlRateHelperQuoteName(B25)</f>
        <v>AUDFUT3MU5_Quote</v>
      </c>
      <c r="D25" s="158">
        <f>_xll.qlRateHelperQuoteValue($B25,Trigger)</f>
        <v>97.10499999999999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obj_00231#0002</v>
      </c>
      <c r="C26" s="152" t="str">
        <f>_xll.qlRateHelperQuoteName(B26)</f>
        <v>AUDFUT3MZ5_Quote</v>
      </c>
      <c r="D26" s="158">
        <f>_xll.qlRateHelperQuoteValue($B26,Trigger)</f>
        <v>96.995000000000005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obj_00230#0002</v>
      </c>
      <c r="C27" s="152" t="str">
        <f>_xll.qlRateHelperQuoteName(B27)</f>
        <v>AUDFUT3MH6_Quote</v>
      </c>
      <c r="D27" s="158">
        <f>_xll.qlRateHelperQuoteValue($B27,Trigger)</f>
        <v>96.905000000000001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obj_00241#0002</v>
      </c>
      <c r="C28" s="152" t="str">
        <f>_xll.qlRateHelperQuoteName(B28)</f>
        <v>AUDFUT3MM6_Quote</v>
      </c>
      <c r="D28" s="158">
        <f>_xll.qlRateHelperQuoteValue($B28,Trigger)</f>
        <v>96.805000000000007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obj_00225#0002</v>
      </c>
      <c r="C29" s="152" t="str">
        <f>_xll.qlRateHelperQuoteName(B29)</f>
        <v>AUDFUT3MU6_Quote</v>
      </c>
      <c r="D29" s="158">
        <f>_xll.qlRateHelperQuoteValue($B29,Trigger)</f>
        <v>96.715000000000003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obj_0023a#0002</v>
      </c>
      <c r="C30" s="152" t="str">
        <f>_xll.qlRateHelperQuoteName(B30)</f>
        <v>AUDFUT3MZ6_Quote</v>
      </c>
      <c r="D30" s="158">
        <f>_xll.qlRateHelperQuoteValue($B30,Trigger)</f>
        <v>96.62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obj_00235#0002</v>
      </c>
      <c r="C31" s="152" t="str">
        <f>_xll.qlRateHelperQuoteName(B31)</f>
        <v>AUDFUT3MH7_Quote</v>
      </c>
      <c r="D31" s="158">
        <f>_xll.qlRateHelperQuoteValue($B31,Trigger)</f>
        <v>96.525000000000006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obj_00234#0002</v>
      </c>
      <c r="C32" s="152" t="str">
        <f>_xll.qlRateHelperQuoteName(B32)</f>
        <v>AUDFUT3MM7_Quote</v>
      </c>
      <c r="D32" s="158">
        <f>_xll.qlRateHelperQuoteValue($B32,Trigger)</f>
        <v>96.425000000000011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obj_00226#0002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obj_00243#0002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obj_00247#0002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obj_00228#0002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obj_00249#0002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obj_00245#0002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obj_00244#0002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obj_00238#0002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obj_00239#0002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obj_0024c#0002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obj_00236#0002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obj_00229#0002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obj_00237#0002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obj_00224#0002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obj_0024b#0002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obj_00246#0002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obj_0023c#0002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obj_00227#0002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obj_00248#0002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obj_00240#0002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obj_0022f#0002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e">
        <f>Swaps!#REF!</f>
        <v>#REF!</v>
      </c>
      <c r="C54" s="157" t="e">
        <f>_xll.qlRateHelperQuoteName(B54)</f>
        <v>#VALUE!</v>
      </c>
      <c r="D54" s="156" t="e">
        <f>_xll.qlRateHelperQuoteValue($B54,Trigger)</f>
        <v>#VALUE!</v>
      </c>
      <c r="E54" s="156" t="e">
        <f>_xll.qlSwapRateHelperSpread($B54,Trigger)</f>
        <v>#VALUE!</v>
      </c>
      <c r="F54" s="155" t="b">
        <v>0</v>
      </c>
      <c r="G54" s="155">
        <v>40</v>
      </c>
      <c r="H54" s="155">
        <v>1</v>
      </c>
      <c r="I54" s="154" t="e">
        <f>_xll.qlRateHelperEarliestDate($B54,Trigger)</f>
        <v>#VALUE!</v>
      </c>
      <c r="J54" s="153" t="e">
        <f>_xll.qlRateHelperLatestDate($B54,Trigger)</f>
        <v>#VALUE!</v>
      </c>
    </row>
    <row r="55" spans="1:14" x14ac:dyDescent="0.2">
      <c r="B55" s="244" t="e">
        <f>Swaps!#REF!</f>
        <v>#REF!</v>
      </c>
      <c r="C55" s="152" t="e">
        <f>_xll.qlRateHelperQuoteName(B55)</f>
        <v>#VALUE!</v>
      </c>
      <c r="D55" s="151" t="e">
        <f>_xll.qlRateHelperQuoteValue($B55,Trigger)</f>
        <v>#VALUE!</v>
      </c>
      <c r="E55" s="151" t="e">
        <f>_xll.qlSwapRateHelperSpread($B55,Trigger)</f>
        <v>#VALUE!</v>
      </c>
      <c r="F55" s="150" t="b">
        <v>0</v>
      </c>
      <c r="G55" s="150">
        <v>40</v>
      </c>
      <c r="H55" s="150">
        <v>1</v>
      </c>
      <c r="I55" s="149" t="e">
        <f>_xll.qlRateHelperEarliestDate($B55,Trigger)</f>
        <v>#VALUE!</v>
      </c>
      <c r="J55" s="148" t="e">
        <f>_xll.qlRateHelperLatestDate($B55,Trigger)</f>
        <v>#VALUE!</v>
      </c>
    </row>
    <row r="56" spans="1:14" x14ac:dyDescent="0.2">
      <c r="B56" s="244" t="e">
        <f>Swaps!#REF!</f>
        <v>#REF!</v>
      </c>
      <c r="C56" s="152" t="e">
        <f>_xll.qlRateHelperQuoteName(B56)</f>
        <v>#VALUE!</v>
      </c>
      <c r="D56" s="151" t="e">
        <f>_xll.qlRateHelperQuoteValue($B56,Trigger)</f>
        <v>#VALUE!</v>
      </c>
      <c r="E56" s="151" t="e">
        <f>_xll.qlSwapRateHelperSpread($B56,Trigger)</f>
        <v>#VALUE!</v>
      </c>
      <c r="F56" s="150" t="b">
        <v>0</v>
      </c>
      <c r="G56" s="150">
        <v>40</v>
      </c>
      <c r="H56" s="150">
        <v>1</v>
      </c>
      <c r="I56" s="149" t="e">
        <f>_xll.qlRateHelperEarliestDate($B56,Trigger)</f>
        <v>#VALUE!</v>
      </c>
      <c r="J56" s="148" t="e">
        <f>_xll.qlRateHelperLatestDate($B56,Trigger)</f>
        <v>#VALUE!</v>
      </c>
    </row>
    <row r="57" spans="1:14" x14ac:dyDescent="0.2">
      <c r="B57" s="244" t="e">
        <f>Swaps!#REF!</f>
        <v>#REF!</v>
      </c>
      <c r="C57" s="152" t="e">
        <f>_xll.qlRateHelperQuoteName(B57)</f>
        <v>#VALUE!</v>
      </c>
      <c r="D57" s="151" t="e">
        <f>_xll.qlRateHelperQuoteValue($B57,Trigger)</f>
        <v>#VALUE!</v>
      </c>
      <c r="E57" s="151" t="e">
        <f>_xll.qlSwapRateHelperSpread($B57,Trigger)</f>
        <v>#VALUE!</v>
      </c>
      <c r="F57" s="150" t="b">
        <v>0</v>
      </c>
      <c r="G57" s="150">
        <v>40</v>
      </c>
      <c r="H57" s="150">
        <v>1</v>
      </c>
      <c r="I57" s="149" t="e">
        <f>_xll.qlRateHelperEarliestDate($B57,Trigger)</f>
        <v>#VALUE!</v>
      </c>
      <c r="J57" s="148" t="e">
        <f>_xll.qlRateHelperLatestDate($B57,Trigger)</f>
        <v>#VALUE!</v>
      </c>
    </row>
    <row r="58" spans="1:14" x14ac:dyDescent="0.2">
      <c r="B58" s="244" t="e">
        <f>Swaps!#REF!</f>
        <v>#REF!</v>
      </c>
      <c r="C58" s="152" t="e">
        <f>_xll.qlRateHelperQuoteName(B58)</f>
        <v>#VALUE!</v>
      </c>
      <c r="D58" s="151" t="e">
        <f>_xll.qlRateHelperQuoteValue($B58,Trigger)</f>
        <v>#VALUE!</v>
      </c>
      <c r="E58" s="151" t="e">
        <f>_xll.qlSwapRateHelperSpread($B58,Trigger)</f>
        <v>#VALUE!</v>
      </c>
      <c r="F58" s="150" t="b">
        <v>0</v>
      </c>
      <c r="G58" s="150">
        <v>40</v>
      </c>
      <c r="H58" s="150">
        <v>1</v>
      </c>
      <c r="I58" s="149" t="e">
        <f>_xll.qlRateHelperEarliestDate($B58,Trigger)</f>
        <v>#VALUE!</v>
      </c>
      <c r="J58" s="148" t="e">
        <f>_xll.qlRateHelperLatestDate($B58,Trigger)</f>
        <v>#VALUE!</v>
      </c>
    </row>
    <row r="59" spans="1:14" x14ac:dyDescent="0.2">
      <c r="B59" s="244" t="e">
        <f>Swaps!#REF!</f>
        <v>#REF!</v>
      </c>
      <c r="C59" s="152" t="e">
        <f>_xll.qlRateHelperQuoteName(B59)</f>
        <v>#VALUE!</v>
      </c>
      <c r="D59" s="151" t="e">
        <f>_xll.qlRateHelperQuoteValue($B59,Trigger)</f>
        <v>#VALUE!</v>
      </c>
      <c r="E59" s="151" t="e">
        <f>_xll.qlSwapRateHelperSpread($B59,Trigger)</f>
        <v>#VALUE!</v>
      </c>
      <c r="F59" s="150" t="b">
        <v>0</v>
      </c>
      <c r="G59" s="150">
        <v>40</v>
      </c>
      <c r="H59" s="150">
        <v>1</v>
      </c>
      <c r="I59" s="149" t="e">
        <f>_xll.qlRateHelperEarliestDate($B59,Trigger)</f>
        <v>#VALUE!</v>
      </c>
      <c r="J59" s="148" t="e">
        <f>_xll.qlRateHelperLatestDate($B59,Trigger)</f>
        <v>#VALUE!</v>
      </c>
    </row>
    <row r="60" spans="1:14" x14ac:dyDescent="0.2">
      <c r="B60" s="100" t="e">
        <f>Swaps!#REF!</f>
        <v>#REF!</v>
      </c>
      <c r="C60" s="147" t="e">
        <f>_xll.qlRateHelperQuoteName(B60)</f>
        <v>#VALUE!</v>
      </c>
      <c r="D60" s="146" t="e">
        <f>_xll.qlRateHelperQuoteValue($B60,Trigger)</f>
        <v>#VALUE!</v>
      </c>
      <c r="E60" s="146" t="e">
        <f>_xll.qlSwapRateHelperSpread($B60,Trigger)</f>
        <v>#VALUE!</v>
      </c>
      <c r="F60" s="145" t="b">
        <v>0</v>
      </c>
      <c r="G60" s="145">
        <v>40</v>
      </c>
      <c r="H60" s="145">
        <v>1</v>
      </c>
      <c r="I60" s="144" t="e">
        <f>_xll.qlRateHelperEarliestDate($B60,Trigger)</f>
        <v>#VALUE!</v>
      </c>
      <c r="J60" s="143" t="e">
        <f>_xll.qlRateHelperLatestDate($B60,Trigger)</f>
        <v>#VALUE!</v>
      </c>
    </row>
    <row r="61" spans="1:14" x14ac:dyDescent="0.2">
      <c r="B61" s="244" t="str">
        <f>Swaps!K5</f>
        <v>obj_001f9#0026</v>
      </c>
      <c r="C61" s="152" t="str">
        <f>_xll.qlRateHelperQuoteName(B61)</f>
        <v>AUDQM3AB1Y_Quote</v>
      </c>
      <c r="D61" s="151">
        <f>_xll.qlRateHelperQuoteValue($B61,Trigger)</f>
        <v>2.6825000000000002E-2</v>
      </c>
      <c r="E61" s="151">
        <f>_xll.qlSwapRateHelperSpread($B61,Trigger)</f>
        <v>0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41807</v>
      </c>
      <c r="J61" s="148">
        <f>_xll.qlRateHelperLatestDate($B61,Trigger)</f>
        <v>42172</v>
      </c>
      <c r="L61" s="79"/>
    </row>
    <row r="62" spans="1:14" x14ac:dyDescent="0.2">
      <c r="B62" s="244" t="str">
        <f>Swaps!K6</f>
        <v>obj_00200#0009</v>
      </c>
      <c r="C62" s="152" t="str">
        <f>_xll.qlRateHelperQuoteName(B62)</f>
        <v>AUDQM3AB15M_Quote</v>
      </c>
      <c r="D62" s="151" t="e">
        <f>_xll.qlRateHelperQuoteValue($B62,Trigger)</f>
        <v>#NUM!</v>
      </c>
      <c r="E62" s="151">
        <f>_xll.qlSwapRateHelperSpread($B62,Trigger)</f>
        <v>0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41807</v>
      </c>
      <c r="J62" s="148">
        <f>_xll.qlRateHelperLatestDate($B62,Trigger)</f>
        <v>42264</v>
      </c>
      <c r="L62" s="79"/>
    </row>
    <row r="63" spans="1:14" x14ac:dyDescent="0.2">
      <c r="B63" s="244" t="str">
        <f>Swaps!K7</f>
        <v>obj_0021b#0009</v>
      </c>
      <c r="C63" s="152" t="str">
        <f>_xll.qlRateHelperQuoteName(B63)</f>
        <v>AUDQM3AB18M_Quote</v>
      </c>
      <c r="D63" s="151" t="e">
        <f>_xll.qlRateHelperQuoteValue($B63,Trigger)</f>
        <v>#NUM!</v>
      </c>
      <c r="E63" s="151">
        <f>_xll.qlSwapRateHelperSpread($B63,Trigger)</f>
        <v>0</v>
      </c>
      <c r="F63" s="150" t="b">
        <v>0</v>
      </c>
      <c r="G63" s="150">
        <v>50</v>
      </c>
      <c r="H63" s="150">
        <v>1</v>
      </c>
      <c r="I63" s="149">
        <f>_xll.qlRateHelperEarliestDate($B63,Trigger)</f>
        <v>41807</v>
      </c>
      <c r="J63" s="148">
        <f>_xll.qlRateHelperLatestDate($B63,Trigger)</f>
        <v>42355</v>
      </c>
      <c r="L63" s="79"/>
    </row>
    <row r="64" spans="1:14" x14ac:dyDescent="0.2">
      <c r="B64" s="244" t="str">
        <f>Swaps!K8</f>
        <v>obj_001fd#0009</v>
      </c>
      <c r="C64" s="152" t="str">
        <f>_xll.qlRateHelperQuoteName(B64)</f>
        <v>AUDQM3AB21M_Quote</v>
      </c>
      <c r="D64" s="151" t="e">
        <f>_xll.qlRateHelperQuoteValue($B64,Trigger)</f>
        <v>#NUM!</v>
      </c>
      <c r="E64" s="151">
        <f>_xll.qlSwapRateHelperSpread($B64,Trigger)</f>
        <v>0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41807</v>
      </c>
      <c r="J64" s="148">
        <f>_xll.qlRateHelperLatestDate($B64,Trigger)</f>
        <v>42446</v>
      </c>
      <c r="L64" s="79"/>
    </row>
    <row r="65" spans="2:12" x14ac:dyDescent="0.2">
      <c r="B65" s="244" t="str">
        <f>Swaps!K9</f>
        <v>obj_001ff#0009</v>
      </c>
      <c r="C65" s="152" t="str">
        <f>_xll.qlRateHelperQuoteName(B65)</f>
        <v>AUDQM3AB2Y_Quote</v>
      </c>
      <c r="D65" s="151">
        <f>_xll.qlRateHelperQuoteValue($B65,Trigger)</f>
        <v>2.8099999999999997E-2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41807</v>
      </c>
      <c r="J65" s="148">
        <f>_xll.qlRateHelperLatestDate($B65,Trigger)</f>
        <v>42538</v>
      </c>
      <c r="L65" s="79"/>
    </row>
    <row r="66" spans="2:12" x14ac:dyDescent="0.2">
      <c r="B66" s="244" t="str">
        <f>Swaps!K10</f>
        <v>obj_001fa#0009</v>
      </c>
      <c r="C66" s="152" t="str">
        <f>_xll.qlRateHelperQuoteName(B66)</f>
        <v>AUDQM3AB3Y_Quote</v>
      </c>
      <c r="D66" s="151">
        <f>_xll.qlRateHelperQuoteValue($B66,Trigger)</f>
        <v>2.9575000000000001E-2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41807</v>
      </c>
      <c r="J66" s="148">
        <f>_xll.qlRateHelperLatestDate($B66,Trigger)</f>
        <v>42905</v>
      </c>
      <c r="L66" s="79"/>
    </row>
    <row r="67" spans="2:12" x14ac:dyDescent="0.2">
      <c r="B67" s="245" t="str">
        <f>Swaps!K11</f>
        <v>obj_00206#0003</v>
      </c>
      <c r="C67" s="157" t="str">
        <f>_xll.qlRateHelperQuoteName(B67)</f>
        <v>AUDSM6AB4Y_Quote</v>
      </c>
      <c r="D67" s="156">
        <f>_xll.qlRateHelperQuoteValue($B67,Trigger)</f>
        <v>3.2050000000000002E-2</v>
      </c>
      <c r="E67" s="156">
        <f>_xll.qlSwapRateHelperSpread($B67,Trigger)</f>
        <v>7.2499999999999995E-4</v>
      </c>
      <c r="F67" s="155" t="b">
        <v>1</v>
      </c>
      <c r="G67" s="155">
        <v>50</v>
      </c>
      <c r="H67" s="155">
        <v>1</v>
      </c>
      <c r="I67" s="154">
        <f>_xll.qlRateHelperEarliestDate($B67,Trigger)</f>
        <v>41807</v>
      </c>
      <c r="J67" s="153">
        <f>_xll.qlRateHelperLatestDate($B67,Trigger)</f>
        <v>43269</v>
      </c>
      <c r="L67" s="79"/>
    </row>
    <row r="68" spans="2:12" x14ac:dyDescent="0.2">
      <c r="B68" s="244" t="str">
        <f>Swaps!K12</f>
        <v>obj_00216#0003</v>
      </c>
      <c r="C68" s="152" t="str">
        <f>_xll.qlRateHelperQuoteName(B68)</f>
        <v>AUDSM6AB5Y_Quote</v>
      </c>
      <c r="D68" s="151">
        <f>_xll.qlRateHelperQuoteValue($B68,Trigger)</f>
        <v>3.3775000000000006E-2</v>
      </c>
      <c r="E68" s="151">
        <f>_xll.qlSwapRateHelperSpread($B68,Trigger)</f>
        <v>7.5000000000000002E-4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41807</v>
      </c>
      <c r="J68" s="148">
        <f>_xll.qlRateHelperLatestDate($B68,Trigger)</f>
        <v>43633</v>
      </c>
      <c r="L68" s="79"/>
    </row>
    <row r="69" spans="2:12" x14ac:dyDescent="0.2">
      <c r="B69" s="244" t="str">
        <f>Swaps!K13</f>
        <v>obj_00207#0003</v>
      </c>
      <c r="C69" s="152" t="str">
        <f>_xll.qlRateHelperQuoteName(B69)</f>
        <v>AUDSM6AB6Y_Quote</v>
      </c>
      <c r="D69" s="151">
        <f>_xll.qlRateHelperQuoteValue($B69,Trigger)</f>
        <v>3.5450000000000002E-2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41807</v>
      </c>
      <c r="J69" s="148">
        <f>_xll.qlRateHelperLatestDate($B69,Trigger)</f>
        <v>43999</v>
      </c>
      <c r="L69" s="79"/>
    </row>
    <row r="70" spans="2:12" x14ac:dyDescent="0.2">
      <c r="B70" s="244" t="str">
        <f>Swaps!K14</f>
        <v>obj_00204#0003</v>
      </c>
      <c r="C70" s="152" t="str">
        <f>_xll.qlRateHelperQuoteName(B70)</f>
        <v>AUDSM6AB7Y_Quote</v>
      </c>
      <c r="D70" s="151">
        <f>_xll.qlRateHelperQuoteValue($B70,Trigger)</f>
        <v>3.6950000000000004E-2</v>
      </c>
      <c r="E70" s="151">
        <f>_xll.qlSwapRateHelperSpread($B70,Trigger)</f>
        <v>7.6250000000000005E-4</v>
      </c>
      <c r="F70" s="150" t="b">
        <v>1</v>
      </c>
      <c r="G70" s="150">
        <v>50</v>
      </c>
      <c r="H70" s="150">
        <v>1</v>
      </c>
      <c r="I70" s="149">
        <f>_xll.qlRateHelperEarliestDate($B70,Trigger)</f>
        <v>41807</v>
      </c>
      <c r="J70" s="148">
        <f>_xll.qlRateHelperLatestDate($B70,Trigger)</f>
        <v>44364</v>
      </c>
      <c r="L70" s="79"/>
    </row>
    <row r="71" spans="2:12" x14ac:dyDescent="0.2">
      <c r="B71" s="244" t="str">
        <f>Swaps!K15</f>
        <v>obj_00203#0003</v>
      </c>
      <c r="C71" s="152" t="str">
        <f>_xll.qlRateHelperQuoteName(B71)</f>
        <v>AUDSM6AB8Y_Quote</v>
      </c>
      <c r="D71" s="151">
        <f>_xll.qlRateHelperQuoteValue($B71,Trigger)</f>
        <v>3.8249999999999999E-2</v>
      </c>
      <c r="E71" s="151" t="e">
        <f>_xll.qlSwapRateHelperSpread($B71,Trigger)</f>
        <v>#NUM!</v>
      </c>
      <c r="F71" s="150" t="b">
        <v>0</v>
      </c>
      <c r="G71" s="150">
        <v>50</v>
      </c>
      <c r="H71" s="150">
        <v>1</v>
      </c>
      <c r="I71" s="149">
        <f>_xll.qlRateHelperEarliestDate($B71,Trigger)</f>
        <v>41807</v>
      </c>
      <c r="J71" s="148">
        <f>_xll.qlRateHelperLatestDate($B71,Trigger)</f>
        <v>44729</v>
      </c>
      <c r="L71" s="79"/>
    </row>
    <row r="72" spans="2:12" x14ac:dyDescent="0.2">
      <c r="B72" s="244" t="str">
        <f>Swaps!K16</f>
        <v>obj_00201#0003</v>
      </c>
      <c r="C72" s="152" t="str">
        <f>_xll.qlRateHelperQuoteName(B72)</f>
        <v>AUDSM6AB9Y_Quote</v>
      </c>
      <c r="D72" s="151">
        <f>_xll.qlRateHelperQuoteValue($B72,Trigger)</f>
        <v>3.9324999999999999E-2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41807</v>
      </c>
      <c r="J72" s="148">
        <f>_xll.qlRateHelperLatestDate($B72,Trigger)</f>
        <v>45096</v>
      </c>
      <c r="L72" s="79"/>
    </row>
    <row r="73" spans="2:12" x14ac:dyDescent="0.2">
      <c r="B73" s="244" t="str">
        <f>Swaps!K17</f>
        <v>obj_00208#0003</v>
      </c>
      <c r="C73" s="152" t="str">
        <f>_xll.qlRateHelperQuoteName(B73)</f>
        <v>AUDSM6AB10Y_Quote</v>
      </c>
      <c r="D73" s="151">
        <f>_xll.qlRateHelperQuoteValue($B73,Trigger)</f>
        <v>4.0299999999999996E-2</v>
      </c>
      <c r="E73" s="151">
        <f>_xll.qlSwapRateHelperSpread($B73,Trigger)</f>
        <v>7.6250000000000005E-4</v>
      </c>
      <c r="F73" s="150" t="b">
        <v>1</v>
      </c>
      <c r="G73" s="150">
        <v>50</v>
      </c>
      <c r="H73" s="150">
        <v>1</v>
      </c>
      <c r="I73" s="149">
        <f>_xll.qlRateHelperEarliestDate($B73,Trigger)</f>
        <v>41807</v>
      </c>
      <c r="J73" s="148">
        <f>_xll.qlRateHelperLatestDate($B73,Trigger)</f>
        <v>45460</v>
      </c>
      <c r="L73" s="79"/>
    </row>
    <row r="74" spans="2:12" x14ac:dyDescent="0.2">
      <c r="B74" s="244" t="str">
        <f>Swaps!K18</f>
        <v>obj_00202#0003</v>
      </c>
      <c r="C74" s="152" t="str">
        <f>_xll.qlRateHelperQuoteName(B74)</f>
        <v>AUDSM6AB11Y_Quote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41807</v>
      </c>
      <c r="J74" s="148">
        <f>_xll.qlRateHelperLatestDate($B74,Trigger)</f>
        <v>45825</v>
      </c>
      <c r="L74" s="79"/>
    </row>
    <row r="75" spans="2:12" x14ac:dyDescent="0.2">
      <c r="B75" s="244" t="str">
        <f>Swaps!K19</f>
        <v>obj_00211#0003</v>
      </c>
      <c r="C75" s="152" t="str">
        <f>_xll.qlRateHelperQuoteName(B75)</f>
        <v>AUDSM6AB12Y_Quote</v>
      </c>
      <c r="D75" s="151">
        <f>_xll.qlRateHelperQuoteValue($B75,Trigger)</f>
        <v>4.1875000000000002E-2</v>
      </c>
      <c r="E75" s="151">
        <f>_xll.qlSwapRateHelperSpread($B75,Trigger)</f>
        <v>6.9999999999999999E-4</v>
      </c>
      <c r="F75" s="150" t="b">
        <v>1</v>
      </c>
      <c r="G75" s="150">
        <v>50</v>
      </c>
      <c r="H75" s="150">
        <v>1</v>
      </c>
      <c r="I75" s="149">
        <f>_xll.qlRateHelperEarliestDate($B75,Trigger)</f>
        <v>41807</v>
      </c>
      <c r="J75" s="148">
        <f>_xll.qlRateHelperLatestDate($B75,Trigger)</f>
        <v>46190</v>
      </c>
      <c r="L75" s="79"/>
    </row>
    <row r="76" spans="2:12" x14ac:dyDescent="0.2">
      <c r="B76" s="244" t="str">
        <f>Swaps!K20</f>
        <v>obj_0020f#0003</v>
      </c>
      <c r="C76" s="152" t="str">
        <f>_xll.qlRateHelperQuoteName(B76)</f>
        <v>AUDSM6AB13Y_Quote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41807</v>
      </c>
      <c r="J76" s="148">
        <f>_xll.qlRateHelperLatestDate($B76,Trigger)</f>
        <v>46555</v>
      </c>
      <c r="L76" s="79"/>
    </row>
    <row r="77" spans="2:12" x14ac:dyDescent="0.2">
      <c r="B77" s="244" t="str">
        <f>Swaps!K21</f>
        <v>obj_0021c#0003</v>
      </c>
      <c r="C77" s="152" t="str">
        <f>_xll.qlRateHelperQuoteName(B77)</f>
        <v>AUDSM6AB14Y_Quote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41807</v>
      </c>
      <c r="J77" s="148">
        <f>_xll.qlRateHelperLatestDate($B77,Trigger)</f>
        <v>46923</v>
      </c>
      <c r="L77" s="79"/>
    </row>
    <row r="78" spans="2:12" x14ac:dyDescent="0.2">
      <c r="B78" s="244" t="str">
        <f>Swaps!K22</f>
        <v>obj_00205#0003</v>
      </c>
      <c r="C78" s="152" t="str">
        <f>_xll.qlRateHelperQuoteName(B78)</f>
        <v>AUDSM6AB15Y_Quote</v>
      </c>
      <c r="D78" s="151">
        <f>_xll.qlRateHelperQuoteValue($B78,Trigger)</f>
        <v>4.335E-2</v>
      </c>
      <c r="E78" s="151">
        <f>_xll.qlSwapRateHelperSpread($B78,Trigger)</f>
        <v>6.1249999999999998E-4</v>
      </c>
      <c r="F78" s="150" t="b">
        <v>1</v>
      </c>
      <c r="G78" s="150">
        <v>50</v>
      </c>
      <c r="H78" s="150">
        <v>1</v>
      </c>
      <c r="I78" s="149">
        <f>_xll.qlRateHelperEarliestDate($B78,Trigger)</f>
        <v>41807</v>
      </c>
      <c r="J78" s="148">
        <f>_xll.qlRateHelperLatestDate($B78,Trigger)</f>
        <v>47287</v>
      </c>
      <c r="L78" s="79"/>
    </row>
    <row r="79" spans="2:12" x14ac:dyDescent="0.2">
      <c r="B79" s="244" t="str">
        <f>Swaps!K23</f>
        <v>obj_00213#0003</v>
      </c>
      <c r="C79" s="152" t="str">
        <f>_xll.qlRateHelperQuoteName(B79)</f>
        <v>AUDSM6AB16Y_Quote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41807</v>
      </c>
      <c r="J79" s="148">
        <f>_xll.qlRateHelperLatestDate($B79,Trigger)</f>
        <v>47651</v>
      </c>
      <c r="L79" s="79"/>
    </row>
    <row r="80" spans="2:12" x14ac:dyDescent="0.2">
      <c r="B80" s="244" t="str">
        <f>Swaps!K24</f>
        <v>obj_00219#0003</v>
      </c>
      <c r="C80" s="152" t="str">
        <f>_xll.qlRateHelperQuoteName(B80)</f>
        <v>AUDSM6AB17Y_Quote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41807</v>
      </c>
      <c r="J80" s="148">
        <f>_xll.qlRateHelperLatestDate($B80,Trigger)</f>
        <v>48016</v>
      </c>
      <c r="L80" s="79"/>
    </row>
    <row r="81" spans="2:12" x14ac:dyDescent="0.2">
      <c r="B81" s="244" t="str">
        <f>Swaps!K25</f>
        <v>obj_0020d#0003</v>
      </c>
      <c r="C81" s="152" t="str">
        <f>_xll.qlRateHelperQuoteName(B81)</f>
        <v>AUDSM6AB18Y_Quote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41807</v>
      </c>
      <c r="J81" s="148">
        <f>_xll.qlRateHelperLatestDate($B81,Trigger)</f>
        <v>48382</v>
      </c>
      <c r="L81" s="79"/>
    </row>
    <row r="82" spans="2:12" x14ac:dyDescent="0.2">
      <c r="B82" s="244" t="str">
        <f>Swaps!K26</f>
        <v>obj_001fb#0003</v>
      </c>
      <c r="C82" s="152" t="str">
        <f>_xll.qlRateHelperQuoteName(B82)</f>
        <v>AUDSM6AB19Y_Quote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41807</v>
      </c>
      <c r="J82" s="148">
        <f>_xll.qlRateHelperLatestDate($B82,Trigger)</f>
        <v>48747</v>
      </c>
      <c r="L82" s="79"/>
    </row>
    <row r="83" spans="2:12" x14ac:dyDescent="0.2">
      <c r="B83" s="244" t="str">
        <f>Swaps!K27</f>
        <v>obj_00217#0003</v>
      </c>
      <c r="C83" s="152" t="str">
        <f>_xll.qlRateHelperQuoteName(B83)</f>
        <v>AUDSM6AB20Y_Quote</v>
      </c>
      <c r="D83" s="151">
        <f>_xll.qlRateHelperQuoteValue($B83,Trigger)</f>
        <v>4.4574999999999997E-2</v>
      </c>
      <c r="E83" s="151">
        <f>_xll.qlSwapRateHelperSpread($B83,Trigger)</f>
        <v>4.75E-4</v>
      </c>
      <c r="F83" s="150" t="b">
        <v>1</v>
      </c>
      <c r="G83" s="150">
        <v>50</v>
      </c>
      <c r="H83" s="150">
        <v>1</v>
      </c>
      <c r="I83" s="149">
        <f>_xll.qlRateHelperEarliestDate($B83,Trigger)</f>
        <v>41807</v>
      </c>
      <c r="J83" s="148">
        <f>_xll.qlRateHelperLatestDate($B83,Trigger)</f>
        <v>49114</v>
      </c>
      <c r="L83" s="79"/>
    </row>
    <row r="84" spans="2:12" x14ac:dyDescent="0.2">
      <c r="B84" s="244" t="str">
        <f>Swaps!K28</f>
        <v>obj_0021d#0003</v>
      </c>
      <c r="C84" s="152" t="str">
        <f>_xll.qlRateHelperQuoteName(B84)</f>
        <v>AUDSM6AB21Y_Quote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41807</v>
      </c>
      <c r="J84" s="148">
        <f>_xll.qlRateHelperLatestDate($B84,Trigger)</f>
        <v>49478</v>
      </c>
      <c r="L84" s="79"/>
    </row>
    <row r="85" spans="2:12" x14ac:dyDescent="0.2">
      <c r="B85" s="244" t="str">
        <f>Swaps!K29</f>
        <v>obj_001fe#0003</v>
      </c>
      <c r="C85" s="152" t="str">
        <f>_xll.qlRateHelperQuoteName(B85)</f>
        <v>AUDSM6AB22Y_Quote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41807</v>
      </c>
      <c r="J85" s="148">
        <f>_xll.qlRateHelperLatestDate($B85,Trigger)</f>
        <v>49843</v>
      </c>
      <c r="L85" s="79"/>
    </row>
    <row r="86" spans="2:12" x14ac:dyDescent="0.2">
      <c r="B86" s="244" t="str">
        <f>Swaps!K30</f>
        <v>obj_00214#0003</v>
      </c>
      <c r="C86" s="152" t="str">
        <f>_xll.qlRateHelperQuoteName(B86)</f>
        <v>AUDSM6AB23Y_Quote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41807</v>
      </c>
      <c r="J86" s="148">
        <f>_xll.qlRateHelperLatestDate($B86,Trigger)</f>
        <v>50208</v>
      </c>
      <c r="L86" s="79"/>
    </row>
    <row r="87" spans="2:12" x14ac:dyDescent="0.2">
      <c r="B87" s="244" t="str">
        <f>Swaps!K31</f>
        <v>obj_00215#0003</v>
      </c>
      <c r="C87" s="152" t="str">
        <f>_xll.qlRateHelperQuoteName(B87)</f>
        <v>AUDSM6AB24Y_Quote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41807</v>
      </c>
      <c r="J87" s="148">
        <f>_xll.qlRateHelperLatestDate($B87,Trigger)</f>
        <v>50573</v>
      </c>
      <c r="L87" s="79"/>
    </row>
    <row r="88" spans="2:12" x14ac:dyDescent="0.2">
      <c r="B88" s="244" t="str">
        <f>Swaps!K32</f>
        <v>obj_00218#0003</v>
      </c>
      <c r="C88" s="152" t="str">
        <f>_xll.qlRateHelperQuoteName(B88)</f>
        <v>AUDSM6AB25Y_Quote</v>
      </c>
      <c r="D88" s="151">
        <f>_xll.qlRateHelperQuoteValue($B88,Trigger)</f>
        <v>4.4925E-2</v>
      </c>
      <c r="E88" s="151">
        <f>_xll.qlSwapRateHelperSpread($B88,Trigger)</f>
        <v>3.7500000000000001E-4</v>
      </c>
      <c r="F88" s="150" t="b">
        <v>1</v>
      </c>
      <c r="G88" s="150">
        <v>50</v>
      </c>
      <c r="H88" s="150">
        <v>1</v>
      </c>
      <c r="I88" s="149">
        <f>_xll.qlRateHelperEarliestDate($B88,Trigger)</f>
        <v>41807</v>
      </c>
      <c r="J88" s="148">
        <f>_xll.qlRateHelperLatestDate($B88,Trigger)</f>
        <v>50938</v>
      </c>
      <c r="L88" s="79"/>
    </row>
    <row r="89" spans="2:12" x14ac:dyDescent="0.2">
      <c r="B89" s="244" t="str">
        <f>Swaps!K33</f>
        <v>obj_0020c#0003</v>
      </c>
      <c r="C89" s="152" t="str">
        <f>_xll.qlRateHelperQuoteName(B89)</f>
        <v>AUDSM6AB26Y_Quote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41807</v>
      </c>
      <c r="J89" s="148">
        <f>_xll.qlRateHelperLatestDate($B89,Trigger)</f>
        <v>51305</v>
      </c>
      <c r="L89" s="79"/>
    </row>
    <row r="90" spans="2:12" x14ac:dyDescent="0.2">
      <c r="B90" s="244" t="str">
        <f>Swaps!K34</f>
        <v>obj_0021a#0003</v>
      </c>
      <c r="C90" s="152" t="str">
        <f>_xll.qlRateHelperQuoteName(B90)</f>
        <v>AUDSM6AB27Y_Quote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41807</v>
      </c>
      <c r="J90" s="148">
        <f>_xll.qlRateHelperLatestDate($B90,Trigger)</f>
        <v>51669</v>
      </c>
      <c r="L90" s="79"/>
    </row>
    <row r="91" spans="2:12" x14ac:dyDescent="0.2">
      <c r="B91" s="244" t="str">
        <f>Swaps!K35</f>
        <v>obj_0020a#0003</v>
      </c>
      <c r="C91" s="152" t="str">
        <f>_xll.qlRateHelperQuoteName(B91)</f>
        <v>AUDSM6AB28Y_Quote</v>
      </c>
      <c r="D91" s="151" t="e">
        <f>_xll.qlRateHelperQuoteValue($B91,Trigger)</f>
        <v>#NUM!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41807</v>
      </c>
      <c r="J91" s="148">
        <f>_xll.qlRateHelperLatestDate($B91,Trigger)</f>
        <v>52034</v>
      </c>
      <c r="L91" s="79"/>
    </row>
    <row r="92" spans="2:12" x14ac:dyDescent="0.2">
      <c r="B92" s="244" t="str">
        <f>Swaps!K36</f>
        <v>obj_0020b#0003</v>
      </c>
      <c r="C92" s="152" t="str">
        <f>_xll.qlRateHelperQuoteName(B92)</f>
        <v>AUDSM6AB29Y_Quote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41807</v>
      </c>
      <c r="J92" s="148">
        <f>_xll.qlRateHelperLatestDate($B92,Trigger)</f>
        <v>52399</v>
      </c>
      <c r="L92" s="79"/>
    </row>
    <row r="93" spans="2:12" x14ac:dyDescent="0.2">
      <c r="B93" s="244" t="str">
        <f>Swaps!K37</f>
        <v>obj_00210#0003</v>
      </c>
      <c r="C93" s="152" t="str">
        <f>_xll.qlRateHelperQuoteName(B93)</f>
        <v>AUDSM6AB30Y_Quote</v>
      </c>
      <c r="D93" s="151">
        <f>_xll.qlRateHelperQuoteValue($B93,Trigger)</f>
        <v>4.4999999999999998E-2</v>
      </c>
      <c r="E93" s="151">
        <f>_xll.qlSwapRateHelperSpread($B93,Trigger)</f>
        <v>2.7500000000000002E-4</v>
      </c>
      <c r="F93" s="150" t="b">
        <v>1</v>
      </c>
      <c r="G93" s="150">
        <v>50</v>
      </c>
      <c r="H93" s="150">
        <v>1</v>
      </c>
      <c r="I93" s="149">
        <f>_xll.qlRateHelperEarliestDate($B93,Trigger)</f>
        <v>41807</v>
      </c>
      <c r="J93" s="148">
        <f>_xll.qlRateHelperLatestDate($B93,Trigger)</f>
        <v>52765</v>
      </c>
      <c r="L93" s="79"/>
    </row>
    <row r="94" spans="2:12" x14ac:dyDescent="0.2">
      <c r="B94" s="244" t="str">
        <f>Swaps!K38</f>
        <v>obj_00209#0003</v>
      </c>
      <c r="C94" s="152" t="str">
        <f>_xll.qlRateHelperQuoteName(B94)</f>
        <v>AUDSM6AB35Y_Quote</v>
      </c>
      <c r="D94" s="151" t="e">
        <f>_xll.qlRateHelperQuoteValue($B94,Trigger)</f>
        <v>#NUM!</v>
      </c>
      <c r="E94" s="151" t="e">
        <f>_xll.qlSwapRateHelperSpread($B94,Trigger)</f>
        <v>#NUM!</v>
      </c>
      <c r="F94" s="150" t="b">
        <v>0</v>
      </c>
      <c r="G94" s="150">
        <v>50</v>
      </c>
      <c r="H94" s="150">
        <v>1</v>
      </c>
      <c r="I94" s="149">
        <f>_xll.qlRateHelperEarliestDate($B94,Trigger)</f>
        <v>41807</v>
      </c>
      <c r="J94" s="148">
        <f>_xll.qlRateHelperLatestDate($B94,Trigger)</f>
        <v>54591</v>
      </c>
      <c r="L94" s="79"/>
    </row>
    <row r="95" spans="2:12" x14ac:dyDescent="0.2">
      <c r="B95" s="244" t="str">
        <f>Swaps!K39</f>
        <v>obj_00212#0003</v>
      </c>
      <c r="C95" s="152" t="str">
        <f>_xll.qlRateHelperQuoteName(B95)</f>
        <v>AUDSM6AB40Y_Quote</v>
      </c>
      <c r="D95" s="151">
        <f>_xll.qlRateHelperQuoteValue($B95,Trigger)</f>
        <v>4.4600000000000001E-2</v>
      </c>
      <c r="E95" s="151" t="e">
        <f>_xll.qlSwapRateHelperSpread($B95,Trigger)</f>
        <v>#NUM!</v>
      </c>
      <c r="F95" s="150" t="b">
        <v>0</v>
      </c>
      <c r="G95" s="150">
        <v>50</v>
      </c>
      <c r="H95" s="150">
        <v>1</v>
      </c>
      <c r="I95" s="149">
        <f>_xll.qlRateHelperEarliestDate($B95,Trigger)</f>
        <v>41807</v>
      </c>
      <c r="J95" s="148">
        <f>_xll.qlRateHelperLatestDate($B95,Trigger)</f>
        <v>56417</v>
      </c>
      <c r="L95" s="79"/>
    </row>
    <row r="96" spans="2:12" x14ac:dyDescent="0.2">
      <c r="B96" s="244" t="str">
        <f>Swaps!K40</f>
        <v>obj_0020e#0003</v>
      </c>
      <c r="C96" s="152" t="str">
        <f>_xll.qlRateHelperQuoteName(B96)</f>
        <v>AUDSM6AB50Y_Quote</v>
      </c>
      <c r="D96" s="151" t="e">
        <f>_xll.qlRateHelperQuoteValue($B96,Trigger)</f>
        <v>#NUM!</v>
      </c>
      <c r="E96" s="151" t="e">
        <f>_xll.qlSwapRateHelperSpread($B96,Trigger)</f>
        <v>#NUM!</v>
      </c>
      <c r="F96" s="150" t="b">
        <v>0</v>
      </c>
      <c r="G96" s="150">
        <v>50</v>
      </c>
      <c r="H96" s="150">
        <v>1</v>
      </c>
      <c r="I96" s="149">
        <f>_xll.qlRateHelperEarliestDate($B96,Trigger)</f>
        <v>41807</v>
      </c>
      <c r="J96" s="148">
        <f>_xll.qlRateHelperLatestDate($B96,Trigger)</f>
        <v>60070</v>
      </c>
      <c r="L96" s="79"/>
    </row>
    <row r="97" spans="2:12" x14ac:dyDescent="0.2">
      <c r="B97" s="100" t="str">
        <f>Swaps!K41</f>
        <v>obj_001fc#0003</v>
      </c>
      <c r="C97" s="147" t="str">
        <f>_xll.qlRateHelperQuoteName(B97)</f>
        <v>AUDSM6AB60Y_Quote</v>
      </c>
      <c r="D97" s="146" t="e">
        <f>_xll.qlRateHelperQuoteValue($B97,Trigger)</f>
        <v>#NUM!</v>
      </c>
      <c r="E97" s="146" t="e">
        <f>_xll.qlSwapRateHelperSpread($B97,Trigger)</f>
        <v>#NUM!</v>
      </c>
      <c r="F97" s="145" t="b">
        <v>0</v>
      </c>
      <c r="G97" s="145">
        <v>50</v>
      </c>
      <c r="H97" s="145">
        <v>1</v>
      </c>
      <c r="I97" s="144">
        <f>_xll.qlRateHelperEarliestDate($B97,Trigger)</f>
        <v>41807</v>
      </c>
      <c r="J97" s="143">
        <f>_xll.qlRateHelperLatestDate($B97,Trigger)</f>
        <v>63723</v>
      </c>
      <c r="L97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B3" sqref="B3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5.7109375" style="142" customWidth="1"/>
    <col min="6" max="7" width="8.7109375" style="69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obj_001f8</v>
      </c>
      <c r="E2" s="60" t="str">
        <f>_xll.qlRateHelperQuoteName(D2)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41807</v>
      </c>
      <c r="I2" s="71">
        <f>_xll.qlRateHelperLatestDate($D2)</f>
        <v>41899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obj_00232</v>
      </c>
      <c r="E3" s="60" t="str">
        <f>_xll.qlRateHelperQuoteName(D3)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0.98674650354873816</v>
      </c>
      <c r="M3" s="62"/>
    </row>
    <row r="4" spans="1:13" x14ac:dyDescent="0.2">
      <c r="A4" s="63" t="s">
        <v>50</v>
      </c>
      <c r="B4" s="64">
        <v>2</v>
      </c>
      <c r="D4" s="60" t="str">
        <v>obj_0022c</v>
      </c>
      <c r="E4" s="60" t="str">
        <f>_xll.qlRateHelperQuoteName(D4)</f>
        <v>AUDFUT3MZ4_Quote</v>
      </c>
      <c r="F4" s="61">
        <f>_xll.qlRateHelperRate($D4)</f>
        <v>2.6649999999999952E-2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0.98030469312011204</v>
      </c>
      <c r="M4" s="62"/>
    </row>
    <row r="5" spans="1:13" x14ac:dyDescent="0.2">
      <c r="A5" s="63" t="s">
        <v>49</v>
      </c>
      <c r="B5" s="65" t="s">
        <v>48</v>
      </c>
      <c r="D5" s="60" t="str">
        <v>obj_00242</v>
      </c>
      <c r="E5" s="60" t="str">
        <f>_xll.qlRateHelperQuoteName(D5)</f>
        <v>AUDFUT3MH5_Quote</v>
      </c>
      <c r="F5" s="61">
        <f>_xll.qlRateHelperRate($D5)</f>
        <v>2.7050000000000018E-2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0.97359502106296403</v>
      </c>
      <c r="M5" s="62"/>
    </row>
    <row r="6" spans="1:13" x14ac:dyDescent="0.2">
      <c r="A6" s="141"/>
      <c r="B6" s="141"/>
      <c r="D6" s="60" t="str">
        <v>obj_00233</v>
      </c>
      <c r="E6" s="60" t="str">
        <f>_xll.qlRateHelperQuoteName(D6)</f>
        <v>AUDFUT3MM5_Quote</v>
      </c>
      <c r="F6" s="61">
        <f>_xll.qlRateHelperRate($D6)</f>
        <v>2.795000000000003E-2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0.96685655219662869</v>
      </c>
      <c r="M6" s="62"/>
    </row>
    <row r="7" spans="1:13" x14ac:dyDescent="0.2">
      <c r="A7" s="141"/>
      <c r="B7" s="141"/>
      <c r="D7" s="60" t="str">
        <v>obj_0023b</v>
      </c>
      <c r="E7" s="60" t="str">
        <f>_xll.qlRateHelperQuoteName(D7)</f>
        <v>AUDFUT3MU5_Quote</v>
      </c>
      <c r="F7" s="61">
        <f>_xll.qlRateHelperRate($D7)</f>
        <v>2.8950000000000142E-2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0.96000262845566153</v>
      </c>
      <c r="M7" s="62"/>
    </row>
    <row r="8" spans="1:13" x14ac:dyDescent="0.2">
      <c r="A8" s="141"/>
      <c r="D8" s="60" t="str">
        <v>obj_00231</v>
      </c>
      <c r="E8" s="60" t="str">
        <f>_xll.qlRateHelperQuoteName(D8)</f>
        <v>AUDFUT3MZ5_Quote</v>
      </c>
      <c r="F8" s="61">
        <f>_xll.qlRateHelperRate($D8)</f>
        <v>3.004999999999991E-2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0.95286385080235125</v>
      </c>
      <c r="M8" s="62"/>
    </row>
    <row r="9" spans="1:13" x14ac:dyDescent="0.2">
      <c r="A9" s="141"/>
      <c r="D9" s="60" t="str">
        <v>obj_00230</v>
      </c>
      <c r="E9" s="60" t="str">
        <f>_xll.qlRateHelperQuoteName(D9)</f>
        <v>AUDFUT3MH6_Quote</v>
      </c>
      <c r="F9" s="61">
        <f>_xll.qlRateHelperRate($D9)</f>
        <v>3.0950000000000033E-2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0.94548800818750756</v>
      </c>
      <c r="M9" s="62"/>
    </row>
    <row r="10" spans="1:13" x14ac:dyDescent="0.2">
      <c r="A10" s="141"/>
      <c r="D10" s="60" t="str">
        <v>obj_00241</v>
      </c>
      <c r="E10" s="60" t="str">
        <f>_xll.qlRateHelperQuoteName(D10)</f>
        <v>AUDFUT3MM6_Quote</v>
      </c>
      <c r="F10" s="61">
        <f>_xll.qlRateHelperRate($D10)</f>
        <v>3.1949999999999923E-2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0.93801533172264484</v>
      </c>
      <c r="M10" s="62"/>
    </row>
    <row r="11" spans="1:13" x14ac:dyDescent="0.2">
      <c r="D11" s="60" t="str">
        <v>obj_001fa</v>
      </c>
      <c r="E11" s="60" t="str">
        <f>_xll.qlRateHelperQuoteName(D11)</f>
        <v>AUDQM3AB3Y_Quote</v>
      </c>
      <c r="F11" s="61">
        <f>_xll.qlRateHelperRate($D11)</f>
        <v>2.9575000000000001E-2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41807</v>
      </c>
      <c r="I11" s="71">
        <f>_xll.qlRateHelperLatestDate($D11)</f>
        <v>42905</v>
      </c>
      <c r="J11" s="57">
        <v>0.91505054315209233</v>
      </c>
      <c r="M11" s="62"/>
    </row>
    <row r="12" spans="1:13" x14ac:dyDescent="0.2">
      <c r="A12" s="66"/>
      <c r="D12" s="60" t="str">
        <v>obj_00206</v>
      </c>
      <c r="E12" s="60" t="str">
        <f>_xll.qlRateHelperQuoteName(D12)</f>
        <v>AUDSM6AB4Y_Quote</v>
      </c>
      <c r="F12" s="61">
        <f>_xll.qlRateHelperRate($D12)</f>
        <v>3.2050000000000002E-2</v>
      </c>
      <c r="G12" s="61">
        <f>IF(ISERROR(_xll.qlSwapRateHelperSpread($D12)),IF(ISERROR(_xll.qlFuturesRateHelperConvexityAdjustment($D12)),"--",_xll.qlFuturesRateHelperConvexityAdjustment($D12)),_xll.qlSwapRateHelperSpread($D12))</f>
        <v>7.2499999999999995E-4</v>
      </c>
      <c r="H12" s="70">
        <f>_xll.qlRateHelperEarliestDate($D12)</f>
        <v>41807</v>
      </c>
      <c r="I12" s="71">
        <f>_xll.qlRateHelperLatestDate($D12)</f>
        <v>43269</v>
      </c>
      <c r="J12" s="57">
        <v>0.8825270494894959</v>
      </c>
      <c r="M12" s="62"/>
    </row>
    <row r="13" spans="1:13" x14ac:dyDescent="0.2">
      <c r="A13" s="66"/>
      <c r="D13" s="60" t="str">
        <v>obj_00216</v>
      </c>
      <c r="E13" s="60" t="str">
        <f>_xll.qlRateHelperQuoteName(D13)</f>
        <v>AUDSM6AB5Y_Quote</v>
      </c>
      <c r="F13" s="61">
        <f>_xll.qlRateHelperRate($D13)</f>
        <v>3.3775000000000006E-2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41807</v>
      </c>
      <c r="I13" s="71">
        <f>_xll.qlRateHelperLatestDate($D13)</f>
        <v>43633</v>
      </c>
      <c r="J13" s="57">
        <v>0.84796685287251083</v>
      </c>
      <c r="M13" s="62"/>
    </row>
    <row r="14" spans="1:13" x14ac:dyDescent="0.2">
      <c r="D14" s="60" t="str">
        <v>obj_00204</v>
      </c>
      <c r="E14" s="60" t="str">
        <f>_xll.qlRateHelperQuoteName(D14)</f>
        <v>AUDSM6AB7Y_Quote</v>
      </c>
      <c r="F14" s="61">
        <f>_xll.qlRateHelperRate($D14)</f>
        <v>3.6950000000000004E-2</v>
      </c>
      <c r="G14" s="61">
        <f>IF(ISERROR(_xll.qlSwapRateHelperSpread($D14)),IF(ISERROR(_xll.qlFuturesRateHelperConvexityAdjustment($D14)),"--",_xll.qlFuturesRateHelperConvexityAdjustment($D14)),_xll.qlSwapRateHelperSpread($D14))</f>
        <v>7.6250000000000005E-4</v>
      </c>
      <c r="H14" s="70">
        <f>_xll.qlRateHelperEarliestDate($D14)</f>
        <v>41807</v>
      </c>
      <c r="I14" s="71">
        <f>_xll.qlRateHelperLatestDate($D14)</f>
        <v>44364</v>
      </c>
      <c r="J14" s="57">
        <v>0.77534970309316731</v>
      </c>
      <c r="M14" s="62"/>
    </row>
    <row r="15" spans="1:13" x14ac:dyDescent="0.2">
      <c r="D15" s="60" t="str">
        <v>obj_00208</v>
      </c>
      <c r="E15" s="60" t="str">
        <f>_xll.qlRateHelperQuoteName(D15)</f>
        <v>AUDSM6AB10Y_Quote</v>
      </c>
      <c r="F15" s="61">
        <f>_xll.qlRateHelperRate($D15)</f>
        <v>4.0299999999999996E-2</v>
      </c>
      <c r="G15" s="61">
        <f>IF(ISERROR(_xll.qlSwapRateHelperSpread($D15)),IF(ISERROR(_xll.qlFuturesRateHelperConvexityAdjustment($D15)),"--",_xll.qlFuturesRateHelperConvexityAdjustment($D15)),_xll.qlSwapRateHelperSpread($D15))</f>
        <v>7.6250000000000005E-4</v>
      </c>
      <c r="H15" s="70">
        <f>_xll.qlRateHelperEarliestDate($D15)</f>
        <v>41807</v>
      </c>
      <c r="I15" s="71">
        <f>_xll.qlRateHelperLatestDate($D15)</f>
        <v>45460</v>
      </c>
      <c r="J15" s="57">
        <v>0.67012853772735004</v>
      </c>
      <c r="M15" s="62"/>
    </row>
    <row r="16" spans="1:13" x14ac:dyDescent="0.2">
      <c r="D16" s="60" t="str">
        <v>obj_00211</v>
      </c>
      <c r="E16" s="60" t="str">
        <f>_xll.qlRateHelperQuoteName(D16)</f>
        <v>AUDSM6AB12Y_Quote</v>
      </c>
      <c r="F16" s="61">
        <f>_xll.qlRateHelperRate($D16)</f>
        <v>4.1875000000000002E-2</v>
      </c>
      <c r="G16" s="61">
        <f>IF(ISERROR(_xll.qlSwapRateHelperSpread($D16)),IF(ISERROR(_xll.qlFuturesRateHelperConvexityAdjustment($D16)),"--",_xll.qlFuturesRateHelperConvexityAdjustment($D16)),_xll.qlSwapRateHelperSpread($D16))</f>
        <v>6.9999999999999999E-4</v>
      </c>
      <c r="H16" s="70">
        <f>_xll.qlRateHelperEarliestDate($D16)</f>
        <v>41807</v>
      </c>
      <c r="I16" s="71">
        <f>_xll.qlRateHelperLatestDate($D16)</f>
        <v>46190</v>
      </c>
      <c r="J16" s="57">
        <v>0.60488575258833355</v>
      </c>
      <c r="M16" s="62"/>
    </row>
    <row r="17" spans="4:13" x14ac:dyDescent="0.2">
      <c r="D17" s="60" t="str">
        <v>obj_00205</v>
      </c>
      <c r="E17" s="60" t="str">
        <f>_xll.qlRateHelperQuoteName(D17)</f>
        <v>AUDSM6AB15Y_Quote</v>
      </c>
      <c r="F17" s="61">
        <f>_xll.qlRateHelperRate($D17)</f>
        <v>4.335E-2</v>
      </c>
      <c r="G17" s="61">
        <f>IF(ISERROR(_xll.qlSwapRateHelperSpread($D17)),IF(ISERROR(_xll.qlFuturesRateHelperConvexityAdjustment($D17)),"--",_xll.qlFuturesRateHelperConvexityAdjustment($D17)),_xll.qlSwapRateHelperSpread($D17))</f>
        <v>6.1249999999999998E-4</v>
      </c>
      <c r="H17" s="70">
        <f>_xll.qlRateHelperEarliestDate($D17)</f>
        <v>41807</v>
      </c>
      <c r="I17" s="71">
        <f>_xll.qlRateHelperLatestDate($D17)</f>
        <v>47287</v>
      </c>
      <c r="J17" s="57">
        <v>0.51910757246898487</v>
      </c>
      <c r="M17" s="62"/>
    </row>
    <row r="18" spans="4:13" x14ac:dyDescent="0.2">
      <c r="D18" s="60" t="str">
        <v>obj_00217</v>
      </c>
      <c r="E18" s="60" t="str">
        <f>_xll.qlRateHelperQuoteName(D18)</f>
        <v>AUDSM6AB20Y_Quote</v>
      </c>
      <c r="F18" s="61">
        <f>_xll.qlRateHelperRate($D18)</f>
        <v>4.4574999999999997E-2</v>
      </c>
      <c r="G18" s="61">
        <f>IF(ISERROR(_xll.qlSwapRateHelperSpread($D18)),IF(ISERROR(_xll.qlFuturesRateHelperConvexityAdjustment($D18)),"--",_xll.qlFuturesRateHelperConvexityAdjustment($D18)),_xll.qlSwapRateHelperSpread($D18))</f>
        <v>4.75E-4</v>
      </c>
      <c r="H18" s="70">
        <f>_xll.qlRateHelperEarliestDate($D18)</f>
        <v>41807</v>
      </c>
      <c r="I18" s="71">
        <f>_xll.qlRateHelperLatestDate($D18)</f>
        <v>49114</v>
      </c>
      <c r="J18" s="57">
        <v>0.40421442597134827</v>
      </c>
      <c r="M18" s="62"/>
    </row>
    <row r="19" spans="4:13" x14ac:dyDescent="0.2">
      <c r="D19" s="60" t="str">
        <v>obj_00218</v>
      </c>
      <c r="E19" s="60" t="str">
        <f>_xll.qlRateHelperQuoteName(D19)</f>
        <v>AUDSM6AB25Y_Quote</v>
      </c>
      <c r="F19" s="61">
        <f>_xll.qlRateHelperRate($D19)</f>
        <v>4.4925E-2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41807</v>
      </c>
      <c r="I19" s="71">
        <f>_xll.qlRateHelperLatestDate($D19)</f>
        <v>50938</v>
      </c>
      <c r="J19" s="57">
        <v>0.31921186980415828</v>
      </c>
      <c r="M19" s="62"/>
    </row>
    <row r="20" spans="4:13" x14ac:dyDescent="0.2">
      <c r="D20" s="60" t="str">
        <v>obj_00210</v>
      </c>
      <c r="E20" s="60" t="str">
        <f>_xll.qlRateHelperQuoteName(D20)</f>
        <v>AUDSM6AB30Y_Quote</v>
      </c>
      <c r="F20" s="61">
        <f>_xll.qlRateHelperRate($D20)</f>
        <v>4.4999999999999998E-2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41807</v>
      </c>
      <c r="I20" s="71">
        <f>_xll.qlRateHelperLatestDate($D20)</f>
        <v>52765</v>
      </c>
      <c r="J20" s="57">
        <v>0.2535485172696042</v>
      </c>
      <c r="M20" s="62"/>
    </row>
    <row r="21" spans="4:13" x14ac:dyDescent="0.2">
      <c r="D21" s="60" t="e">
        <v>#N/A</v>
      </c>
      <c r="E21" s="60" t="e">
        <f>_xll.qlRateHelperQuoteName(D21)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_xll.qlRateHelperQuoteName(D22)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_xll.qlRateHelperQuoteName(D23)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_xll.qlRateHelperQuoteName(D24)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_xll.qlRateHelperQuoteName(D25)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_xll.qlRateHelperQuoteName(D26)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_xll.qlRateHelperQuoteName(D27)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_xll.qlRateHelperQuoteName(D28)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_xll.qlRateHelperQuoteName(D29)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_xll.qlRateHelperQuoteName(D30)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_xll.qlRateHelperQuoteName(D31)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_xll.qlRateHelperQuoteName(D32)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_xll.qlRateHelperQuoteName(D33)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_xll.qlRateHelperQuoteName(D34)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_xll.qlRateHelperQuoteName(D35)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_xll.qlRateHelperQuoteName(D36)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_xll.qlRateHelperQuoteName(D37)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_xll.qlRateHelperQuoteName(D38)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_xll.qlRateHelperQuoteName(D39)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_xll.qlRateHelperQuoteName(D40)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_xll.qlRateHelperQuoteName(D41)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_xll.qlRateHelperQuoteName(D42)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_xll.qlRateHelperQuoteName(D43)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_xll.qlRateHelperQuoteName(D44)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_xll.qlRateHelperQuoteName(D45)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_xll.qlRateHelperQuoteName(D46)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_xll.qlRateHelperQuoteName(D47)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_xll.qlRateHelperQuoteName(D48)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_xll.qlRateHelperQuoteName(D49)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_xll.qlRateHelperQuoteName(D50)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_xll.qlRateHelperQuoteName(D51)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_xll.qlRateHelperQuoteName(D52)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_xll.qlRateHelperQuoteName(D53)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_xll.qlRateHelperQuoteName(D54)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_xll.qlRateHelperQuoteName(D55)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_xll.qlRateHelperQuoteName(D56)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_xll.qlRateHelperQuoteName(D57)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_xll.qlRateHelperQuoteName(D58)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_xll.qlRateHelperQuoteName(D59)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_xll.qlRateHelperQuoteName(D60)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_xll.qlRateHelperQuoteName(D61)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_xll.qlRateHelperQuoteName(D62)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_xll.qlRateHelperQuoteName(D63)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_xll.qlRateHelperQuoteName(D64)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_xll.qlRateHelperQuoteName(D65)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_xll.qlRateHelperQuoteName(D66)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_xll.qlRateHelperQuoteName(D67)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_xll.qlRateHelperQuoteName(D68)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_xll.qlRateHelperQuoteName(D69)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_xll.qlRateHelperQuoteName(D70)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_xll.qlRateHelperQuoteName(D71)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_xll.qlRateHelperQuoteName(D72)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_xll.qlRateHelperQuoteName(D73)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_xll.qlRateHelperQuoteName(D74)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_xll.qlRateHelperQuoteName(D75)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_xll.qlRateHelperQuoteName(D76)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_xll.qlRateHelperQuoteName(D77)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_xll.qlRateHelperQuoteName(D78)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_xll.qlRateHelperQuoteName(D79)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_xll.qlRateHelperQuoteName(D80)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_xll.qlRateHelperQuoteName(D81)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_xll.qlRateHelperQuoteName(D82)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_xll.qlRateHelperQuoteName(D83)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_xll.qlRateHelperQuoteName(D84)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_xll.qlRateHelperQuoteName(D85)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_xll.qlRateHelperQuoteName(D86)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_xll.qlRateHelperQuoteName(D87)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_xll.qlRateHelperQuoteName(D88)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_xll.qlRateHelperQuoteName(D89)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_xll.qlRateHelperQuoteName(D90)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_xll.qlRateHelperQuoteName(D91)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_xll.qlRateHelperQuoteName(D92)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_xll.qlRateHelperQuoteName(D93)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_xll.qlRateHelperQuoteName(D94)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_xll.qlRateHelperQuoteName(D95)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_xll.qlRateHelperQuoteName(D96)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_xll.qlRateHelperQuoteName(D97)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_xll.qlRateHelperQuoteName(D98)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_xll.qlRateHelperQuoteName(D99)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_xll.qlRateHelperQuoteName(D100)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_xll.qlRateHelperQuoteName(D101)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_xll.qlRateHelperQuoteName(D102)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_xll.qlRateHelperQuoteName(D103)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_xll.qlRateHelperQuoteName(D104)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_xll.qlRateHelperQuoteName(D105)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_xll.qlRateHelperQuoteName(D106)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_xll.qlRateHelperQuoteName(D107)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_xll.qlRateHelperQuoteName(D108)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_xll.qlRateHelperQuoteName(D109)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_xll.qlRateHelperQuoteName(D110)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_xll.qlRateHelperQuoteName(D111)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_xll.qlRateHelperQuoteName(D112)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_xll.qlRateHelperQuoteName(D113)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_xll.qlRateHelperQuoteName(D114)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_xll.qlRateHelperQuoteName(D115)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_xll.qlRateHelperQuoteName(D116)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_xll.qlRateHelperQuoteName(D117)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_xll.qlRateHelperQuoteName(D118)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_xll.qlRateHelperQuoteName(D119)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_xll.qlRateHelperQuoteName(D120)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_xll.qlRateHelperQuoteName(D121)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_xll.qlRateHelperQuoteName(D122)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_xll.qlRateHelperQuoteName(D123)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_xll.qlRateHelperQuoteName(D124)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_xll.qlRateHelperQuoteName(D125)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7" t="e">
        <f>_xll.qlRateHelperQuoteName(D126)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3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9" t="s">
        <v>156</v>
      </c>
      <c r="C3" s="249">
        <v>0</v>
      </c>
      <c r="D3" s="100" t="s">
        <v>148</v>
      </c>
      <c r="E3" s="261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obj_001f7#0002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9" t="s">
        <v>81</v>
      </c>
      <c r="C4" s="249">
        <v>0</v>
      </c>
      <c r="D4" s="100" t="s">
        <v>148</v>
      </c>
      <c r="E4" s="261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obj_001f3#0002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9" t="s">
        <v>80</v>
      </c>
      <c r="C5" s="249">
        <v>0</v>
      </c>
      <c r="D5" s="100" t="s">
        <v>148</v>
      </c>
      <c r="E5" s="261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obj_001f5#0002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9" t="s">
        <v>79</v>
      </c>
      <c r="C6" s="249">
        <v>0</v>
      </c>
      <c r="D6" s="100" t="s">
        <v>148</v>
      </c>
      <c r="E6" s="261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obj_001f6#0002</v>
      </c>
      <c r="I6" s="248" t="str">
        <f>Currency&amp;B6&amp;"D"&amp;QuoteSuffix</f>
        <v>AUD3MD_Quote</v>
      </c>
      <c r="J6" s="102" t="str">
        <f>_xll.qlDepositRateHelper(,I6,H6,Permanent,Trigger,ObjectOverwrite)</f>
        <v>obj_001f8#0002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obj_00220#0002</v>
      </c>
      <c r="H3" s="242" t="s">
        <v>113</v>
      </c>
      <c r="I3" s="92"/>
    </row>
    <row r="4" spans="1:9" x14ac:dyDescent="0.2">
      <c r="A4" s="94"/>
      <c r="B4" s="135" t="s">
        <v>81</v>
      </c>
      <c r="C4" s="262">
        <v>1</v>
      </c>
      <c r="D4" s="263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obj_001f4#0002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2">
        <v>2</v>
      </c>
      <c r="D5" s="263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obj_00223#0002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2">
        <v>3</v>
      </c>
      <c r="D6" s="263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obj_0021f#0002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2">
        <v>4</v>
      </c>
      <c r="D7" s="263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obj_00221#0002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2">
        <v>5</v>
      </c>
      <c r="D8" s="263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obj_00222#0002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2">
        <v>6</v>
      </c>
      <c r="D9" s="263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obj_0021e#0002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8" width="24.425781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0" t="str">
        <f t="shared" ref="G3:G44" si="2">Currency&amp;"FUT"&amp;IndexTenor&amp;D3&amp;"ConvAdj"&amp;QuoteSuffix</f>
        <v>AUDFUT3MM4ConvAdj_Quote</v>
      </c>
      <c r="H3" s="117" t="str">
        <f>_xll.qlFuturesRateHelper(,$F3,$D3,$E3,$G3,Permanent,Trigger,ObjectOverwrite)</f>
        <v>obj_0024d#0002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0" t="str">
        <f t="shared" si="2"/>
        <v>AUDFUT3MN4ConvAdj_Quote</v>
      </c>
      <c r="H4" s="121" t="str">
        <f>_xll.qlFuturesRateHelper(,$F4,$D4,$E4,$G4,Permanent,Trigger,ObjectOverwrite)</f>
        <v>obj_0023d#0002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0" t="str">
        <f t="shared" si="2"/>
        <v>AUDFUT3MQ4ConvAdj_Quote</v>
      </c>
      <c r="H5" s="121" t="str">
        <f>_xll.qlFuturesRateHelper(,$F5,$D5,$E5,$G5,Permanent,Trigger,ObjectOverwrite)</f>
        <v>obj_0022d#0002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0" t="str">
        <f t="shared" si="2"/>
        <v>AUDFUT3MU4ConvAdj_Quote</v>
      </c>
      <c r="H6" s="121" t="str">
        <f>_xll.qlFuturesRateHelper(,$F6,$D6,$E6,$G6,Permanent,Trigger,ObjectOverwrite)</f>
        <v>obj_00232#0002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0" t="str">
        <f t="shared" si="2"/>
        <v>AUDFUT3MV4ConvAdj_Quote</v>
      </c>
      <c r="H7" s="121" t="str">
        <f>_xll.qlFuturesRateHelper(,$F7,$D7,$E7,$G7,Permanent,Trigger,ObjectOverwrite)</f>
        <v>obj_0022e#0002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0" t="str">
        <f t="shared" si="2"/>
        <v>AUDFUT3MX4ConvAdj_Quote</v>
      </c>
      <c r="H8" s="121" t="str">
        <f>_xll.qlFuturesRateHelper(,$F8,$D8,$E8,$G8,Permanent,Trigger,ObjectOverwrite)</f>
        <v>obj_0023f#0002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0" t="str">
        <f t="shared" si="2"/>
        <v>AUDFUT3MZ4ConvAdj_Quote</v>
      </c>
      <c r="H9" s="121" t="str">
        <f>_xll.qlFuturesRateHelper(,$F9,$D9,$E9,$G9,Permanent,Trigger,ObjectOverwrite)</f>
        <v>obj_0022c#0002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0" t="str">
        <f t="shared" si="2"/>
        <v>AUDFUT3MF5ConvAdj_Quote</v>
      </c>
      <c r="H10" s="121" t="str">
        <f>_xll.qlFuturesRateHelper(,$F10,$D10,$E10,$G10,Permanent,Trigger,ObjectOverwrite)</f>
        <v>obj_0024a#0002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0" t="str">
        <f t="shared" si="2"/>
        <v>AUDFUT3MG5ConvAdj_Quote</v>
      </c>
      <c r="H11" s="121" t="str">
        <f>_xll.qlFuturesRateHelper(,$F11,$D11,$E11,$G11,Permanent,Trigger,ObjectOverwrite)</f>
        <v>obj_0023e#0002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0" t="str">
        <f t="shared" si="2"/>
        <v>AUDFUT3MH5ConvAdj_Quote</v>
      </c>
      <c r="H12" s="121" t="str">
        <f>_xll.qlFuturesRateHelper(,$F12,$D12,$E12,$G12,Permanent,Trigger,ObjectOverwrite)</f>
        <v>obj_00242#0002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0" t="str">
        <f t="shared" si="2"/>
        <v>AUDFUT3MJ5ConvAdj_Quote</v>
      </c>
      <c r="H13" s="121" t="str">
        <f>_xll.qlFuturesRateHelper(,$F13,$D13,$E13,$G13,Permanent,Trigger,ObjectOverwrite)</f>
        <v>obj_0022b#0002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0" t="str">
        <f t="shared" si="2"/>
        <v>AUDFUT3MK5ConvAdj_Quote</v>
      </c>
      <c r="H14" s="121" t="str">
        <f>_xll.qlFuturesRateHelper(,$F14,$D14,$E14,$G14,Permanent,Trigger,ObjectOverwrite)</f>
        <v>obj_0022a#0002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0" t="str">
        <f t="shared" si="2"/>
        <v>AUDFUT3MM5ConvAdj_Quote</v>
      </c>
      <c r="H15" s="121" t="str">
        <f>_xll.qlFuturesRateHelper(,$F15,$D15,$E15,$G15,Permanent,Trigger,ObjectOverwrite)</f>
        <v>obj_00233#0002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0" t="str">
        <f t="shared" si="2"/>
        <v>AUDFUT3MU5ConvAdj_Quote</v>
      </c>
      <c r="H16" s="121" t="str">
        <f>_xll.qlFuturesRateHelper(,$F16,$D16,$E16,$G16,Permanent,Trigger,ObjectOverwrite)</f>
        <v>obj_0023b#0002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0" t="str">
        <f t="shared" si="2"/>
        <v>AUDFUT3MZ5ConvAdj_Quote</v>
      </c>
      <c r="H17" s="121" t="str">
        <f>_xll.qlFuturesRateHelper(,$F17,$D17,$E17,$G17,Permanent,Trigger,ObjectOverwrite)</f>
        <v>obj_00231#0002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0" t="str">
        <f t="shared" si="2"/>
        <v>AUDFUT3MH6ConvAdj_Quote</v>
      </c>
      <c r="H18" s="121" t="str">
        <f>_xll.qlFuturesRateHelper(,$F18,$D18,$E18,$G18,Permanent,Trigger,ObjectOverwrite)</f>
        <v>obj_00230#0002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0" t="str">
        <f t="shared" si="2"/>
        <v>AUDFUT3MM6ConvAdj_Quote</v>
      </c>
      <c r="H19" s="121" t="str">
        <f>_xll.qlFuturesRateHelper(,$F19,$D19,$E19,$G19,Permanent,Trigger,ObjectOverwrite)</f>
        <v>obj_00241#0002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0" t="str">
        <f t="shared" si="2"/>
        <v>AUDFUT3MU6ConvAdj_Quote</v>
      </c>
      <c r="H20" s="121" t="str">
        <f>_xll.qlFuturesRateHelper(,$F20,$D20,$E20,$G20,Permanent,Trigger,ObjectOverwrite)</f>
        <v>obj_00225#0002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0" t="str">
        <f t="shared" si="2"/>
        <v>AUDFUT3MZ6ConvAdj_Quote</v>
      </c>
      <c r="H21" s="121" t="str">
        <f>_xll.qlFuturesRateHelper(,$F21,$D21,$E21,$G21,Permanent,Trigger,ObjectOverwrite)</f>
        <v>obj_0023a#0002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0" t="str">
        <f t="shared" si="2"/>
        <v>AUDFUT3MH7ConvAdj_Quote</v>
      </c>
      <c r="H22" s="121" t="str">
        <f>_xll.qlFuturesRateHelper(,$F22,$D22,$E22,$G22,Permanent,Trigger,ObjectOverwrite)</f>
        <v>obj_00235#0002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0" t="str">
        <f t="shared" si="2"/>
        <v>AUDFUT3MM7ConvAdj_Quote</v>
      </c>
      <c r="H23" s="121" t="str">
        <f>_xll.qlFuturesRateHelper(,$F23,$D23,$E23,$G23,Permanent,Trigger,ObjectOverwrite)</f>
        <v>obj_00234#0002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0" t="str">
        <f t="shared" si="2"/>
        <v>AUDFUT3MU7ConvAdj_Quote</v>
      </c>
      <c r="H24" s="121" t="str">
        <f>_xll.qlFuturesRateHelper(,$F24,$D24,$E24,$G24,Permanent,Trigger,ObjectOverwrite)</f>
        <v>obj_00226#0002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0" t="str">
        <f t="shared" si="2"/>
        <v>AUDFUT3MZ7ConvAdj_Quote</v>
      </c>
      <c r="H25" s="121" t="str">
        <f>_xll.qlFuturesRateHelper(,$F25,$D25,$E25,$G25,Permanent,Trigger,ObjectOverwrite)</f>
        <v>obj_00243#0002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0" t="str">
        <f t="shared" si="2"/>
        <v>AUDFUT3MH8ConvAdj_Quote</v>
      </c>
      <c r="H26" s="121" t="str">
        <f>_xll.qlFuturesRateHelper(,$F26,$D26,$E26,$G26,Permanent,Trigger,ObjectOverwrite)</f>
        <v>obj_00247#0002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0" t="str">
        <f t="shared" si="2"/>
        <v>AUDFUT3MM8ConvAdj_Quote</v>
      </c>
      <c r="H27" s="121" t="str">
        <f>_xll.qlFuturesRateHelper(,$F27,$D27,$E27,$G27,Permanent,Trigger,ObjectOverwrite)</f>
        <v>obj_00228#0002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0" t="str">
        <f t="shared" si="2"/>
        <v>AUDFUT3MU8ConvAdj_Quote</v>
      </c>
      <c r="H28" s="121" t="str">
        <f>_xll.qlFuturesRateHelper(,$F28,$D28,$E28,$G28,Permanent,Trigger,ObjectOverwrite)</f>
        <v>obj_00249#0002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0" t="str">
        <f t="shared" si="2"/>
        <v>AUDFUT3MZ8ConvAdj_Quote</v>
      </c>
      <c r="H29" s="121" t="str">
        <f>_xll.qlFuturesRateHelper(,$F29,$D29,$E29,$G29,Permanent,Trigger,ObjectOverwrite)</f>
        <v>obj_00245#0002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0" t="str">
        <f t="shared" si="2"/>
        <v>AUDFUT3MH9ConvAdj_Quote</v>
      </c>
      <c r="H30" s="121" t="str">
        <f>_xll.qlFuturesRateHelper(,$F30,$D30,$E30,$G30,Permanent,Trigger,ObjectOverwrite)</f>
        <v>obj_00244#0002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0" t="str">
        <f t="shared" si="2"/>
        <v>AUDFUT3MM9ConvAdj_Quote</v>
      </c>
      <c r="H31" s="121" t="str">
        <f>_xll.qlFuturesRateHelper(,$F31,$D31,$E31,$G31,Permanent,Trigger,ObjectOverwrite)</f>
        <v>obj_00238#0002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0" t="str">
        <f t="shared" si="2"/>
        <v>AUDFUT3MU9ConvAdj_Quote</v>
      </c>
      <c r="H32" s="121" t="str">
        <f>_xll.qlFuturesRateHelper(,$F32,$D32,$E32,$G32,Permanent,Trigger,ObjectOverwrite)</f>
        <v>obj_00239#0002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0" t="str">
        <f t="shared" si="2"/>
        <v>AUDFUT3MZ9ConvAdj_Quote</v>
      </c>
      <c r="H33" s="121" t="str">
        <f>_xll.qlFuturesRateHelper(,$F33,$D33,$E33,$G33,Permanent,Trigger,ObjectOverwrite)</f>
        <v>obj_0024c#0002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0" t="str">
        <f t="shared" si="2"/>
        <v>AUDFUT3MH0ConvAdj_Quote</v>
      </c>
      <c r="H34" s="121" t="str">
        <f>_xll.qlFuturesRateHelper(,$F34,$D34,$E34,$G34,Permanent,Trigger,ObjectOverwrite)</f>
        <v>obj_00236#0002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0" t="str">
        <f t="shared" si="2"/>
        <v>AUDFUT3MM0ConvAdj_Quote</v>
      </c>
      <c r="H35" s="121" t="str">
        <f>_xll.qlFuturesRateHelper(,$F35,$D35,$E35,$G35,Permanent,Trigger,ObjectOverwrite)</f>
        <v>obj_00229#0002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0" t="str">
        <f t="shared" si="2"/>
        <v>AUDFUT3MU0ConvAdj_Quote</v>
      </c>
      <c r="H36" s="121" t="str">
        <f>_xll.qlFuturesRateHelper(,$F36,$D36,$E36,$G36,Permanent,Trigger,ObjectOverwrite)</f>
        <v>obj_00237#0002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0" t="str">
        <f t="shared" si="2"/>
        <v>AUDFUT3MZ0ConvAdj_Quote</v>
      </c>
      <c r="H37" s="121" t="str">
        <f>_xll.qlFuturesRateHelper(,$F37,$D37,$E37,$G37,Permanent,Trigger,ObjectOverwrite)</f>
        <v>obj_00224#0002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0" t="str">
        <f t="shared" si="2"/>
        <v>AUDFUT3MH1ConvAdj_Quote</v>
      </c>
      <c r="H38" s="121" t="str">
        <f>_xll.qlFuturesRateHelper(,$F38,$D38,$E38,$G38,Permanent,Trigger,ObjectOverwrite)</f>
        <v>obj_0024b#0002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0" t="str">
        <f t="shared" si="2"/>
        <v>AUDFUT3MM1ConvAdj_Quote</v>
      </c>
      <c r="H39" s="121" t="str">
        <f>_xll.qlFuturesRateHelper(,$F39,$D39,$E39,$G39,Permanent,Trigger,ObjectOverwrite)</f>
        <v>obj_00246#0002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0" t="str">
        <f t="shared" si="2"/>
        <v>AUDFUT3MU1ConvAdj_Quote</v>
      </c>
      <c r="H40" s="121" t="str">
        <f>_xll.qlFuturesRateHelper(,$F40,$D40,$E40,$G40,Permanent,Trigger,ObjectOverwrite)</f>
        <v>obj_0023c#0002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0" t="str">
        <f t="shared" si="2"/>
        <v>AUDFUT3MZ1ConvAdj_Quote</v>
      </c>
      <c r="H41" s="121" t="str">
        <f>_xll.qlFuturesRateHelper(,$F41,$D41,$E41,$G41,Permanent,Trigger,ObjectOverwrite)</f>
        <v>obj_00227#0002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0" t="str">
        <f t="shared" si="2"/>
        <v>AUDFUT3MH2ConvAdj_Quote</v>
      </c>
      <c r="H42" s="121" t="str">
        <f>_xll.qlFuturesRateHelper(,$F42,$D42,$E42,$G42,Permanent,Trigger,ObjectOverwrite)</f>
        <v>obj_00248#0002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0" t="str">
        <f t="shared" si="2"/>
        <v>AUDFUT3MM2ConvAdj_Quote</v>
      </c>
      <c r="H43" s="121" t="str">
        <f>_xll.qlFuturesRateHelper(,$F43,$D43,$E43,$G43,Permanent,Trigger,ObjectOverwrite)</f>
        <v>obj_00240#0002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0" t="str">
        <f t="shared" si="2"/>
        <v>AUDFUT3MU2ConvAdj_Quote</v>
      </c>
      <c r="H44" s="121" t="str">
        <f>_xll.qlFuturesRateHelper(,$F44,$D44,$E44,$G44,Permanent,Trigger,ObjectOverwrite)</f>
        <v>obj_0022f#0002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obj_001f2#0031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1" t="s">
        <v>98</v>
      </c>
      <c r="C5" s="252" t="s">
        <v>36</v>
      </c>
      <c r="D5" s="251" t="s">
        <v>159</v>
      </c>
      <c r="E5" s="251" t="s">
        <v>160</v>
      </c>
      <c r="F5" s="251" t="s">
        <v>161</v>
      </c>
      <c r="G5" s="253" t="s">
        <v>97</v>
      </c>
      <c r="H5" s="253" t="s">
        <v>155</v>
      </c>
      <c r="I5" s="258">
        <v>0</v>
      </c>
      <c r="J5" s="254" t="str">
        <f t="shared" ref="J5:J41" si="0">Currency&amp;$D5&amp;$E5&amp;$C5&amp;"_Quote"</f>
        <v>AUDQM3AB1Y_Quote</v>
      </c>
      <c r="K5" s="255" t="str">
        <f>_xll.qlSwapRateHelper2(,$J5,$C5,Calendar,$F5,$G5,$H5,$K$3,$I5,B5,Discounting,Permanent,,ObjectOverwrite)</f>
        <v>obj_001f9#0026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1" t="s">
        <v>98</v>
      </c>
      <c r="C6" s="252" t="s">
        <v>35</v>
      </c>
      <c r="D6" s="251" t="s">
        <v>159</v>
      </c>
      <c r="E6" s="251" t="s">
        <v>160</v>
      </c>
      <c r="F6" s="251" t="s">
        <v>161</v>
      </c>
      <c r="G6" s="256" t="s">
        <v>97</v>
      </c>
      <c r="H6" s="253" t="s">
        <v>155</v>
      </c>
      <c r="I6" s="258">
        <v>0</v>
      </c>
      <c r="J6" s="254" t="str">
        <f t="shared" si="0"/>
        <v>AUDQM3AB15M_Quote</v>
      </c>
      <c r="K6" s="255" t="str">
        <f>_xll.qlSwapRateHelper2(,$J6,$C6,Calendar,$F6,$G6,$H6,$K$3,$I6,B6,Discounting,Permanent,,ObjectOverwrite)</f>
        <v>obj_00200#0009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1" t="s">
        <v>98</v>
      </c>
      <c r="C7" s="252" t="s">
        <v>34</v>
      </c>
      <c r="D7" s="251" t="s">
        <v>159</v>
      </c>
      <c r="E7" s="251" t="s">
        <v>160</v>
      </c>
      <c r="F7" s="251" t="s">
        <v>161</v>
      </c>
      <c r="G7" s="256" t="s">
        <v>97</v>
      </c>
      <c r="H7" s="253" t="s">
        <v>155</v>
      </c>
      <c r="I7" s="258">
        <v>0</v>
      </c>
      <c r="J7" s="254" t="str">
        <f t="shared" si="0"/>
        <v>AUDQM3AB18M_Quote</v>
      </c>
      <c r="K7" s="255" t="str">
        <f>_xll.qlSwapRateHelper2(,$J7,$C7,Calendar,$F7,$G7,$H7,$K$3,$I7,B7,Discounting,Permanent,,ObjectOverwrite)</f>
        <v>obj_0021b#0009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1" t="s">
        <v>98</v>
      </c>
      <c r="C8" s="252" t="s">
        <v>33</v>
      </c>
      <c r="D8" s="251" t="s">
        <v>159</v>
      </c>
      <c r="E8" s="251" t="s">
        <v>160</v>
      </c>
      <c r="F8" s="251" t="s">
        <v>161</v>
      </c>
      <c r="G8" s="256" t="s">
        <v>97</v>
      </c>
      <c r="H8" s="253" t="s">
        <v>155</v>
      </c>
      <c r="I8" s="258">
        <v>0</v>
      </c>
      <c r="J8" s="254" t="str">
        <f t="shared" si="0"/>
        <v>AUDQM3AB21M_Quote</v>
      </c>
      <c r="K8" s="255" t="str">
        <f>_xll.qlSwapRateHelper2(,$J8,$C8,Calendar,$F8,$G8,$H8,$K$3,$I8,B8,Discounting,Permanent,,ObjectOverwrite)</f>
        <v>obj_001fd#0009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1" t="s">
        <v>98</v>
      </c>
      <c r="C9" s="257" t="s">
        <v>32</v>
      </c>
      <c r="D9" s="251" t="s">
        <v>159</v>
      </c>
      <c r="E9" s="251" t="s">
        <v>160</v>
      </c>
      <c r="F9" s="251" t="s">
        <v>161</v>
      </c>
      <c r="G9" s="256" t="s">
        <v>97</v>
      </c>
      <c r="H9" s="253" t="s">
        <v>155</v>
      </c>
      <c r="I9" s="258">
        <v>0</v>
      </c>
      <c r="J9" s="254" t="str">
        <f t="shared" si="0"/>
        <v>AUDQM3AB2Y_Quote</v>
      </c>
      <c r="K9" s="255" t="str">
        <f>_xll.qlSwapRateHelper2(,$J9,$C9,Calendar,$F9,$G9,$H9,$K$3,$I9,B9,Discounting,Permanent,,ObjectOverwrite)</f>
        <v>obj_001ff#0009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1" t="s">
        <v>98</v>
      </c>
      <c r="C10" s="257" t="s">
        <v>31</v>
      </c>
      <c r="D10" s="251" t="s">
        <v>159</v>
      </c>
      <c r="E10" s="251" t="s">
        <v>160</v>
      </c>
      <c r="F10" s="251" t="s">
        <v>161</v>
      </c>
      <c r="G10" s="256" t="s">
        <v>97</v>
      </c>
      <c r="H10" s="253" t="s">
        <v>155</v>
      </c>
      <c r="I10" s="258">
        <v>0</v>
      </c>
      <c r="J10" s="254" t="str">
        <f t="shared" si="0"/>
        <v>AUDQM3AB3Y_Quote</v>
      </c>
      <c r="K10" s="255" t="str">
        <f>_xll.qlSwapRateHelper2(,$J10,$C10,Calendar,$F10,$G10,$H10,$K$3,$I10,B10,Discounting,Permanent,,ObjectOverwrite)</f>
        <v>obj_001fa#0009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obj_00206#0003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obj_00216#0003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obj_00207#0003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obj_00204#0003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obj_00203#0003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obj_00201#0003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obj_00208#0003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obj_00202#0003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obj_00211#0003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obj_0020f#0003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obj_0021c#0003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obj_00205#0003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obj_00213#0003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obj_00219#0003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obj_0020d#0003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obj_001fb#0003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obj_00217#0003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obj_0021d#0003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obj_001fe#0003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obj_00214#0003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obj_00215#0003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obj_00218#0003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obj_0020c#0003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obj_0021a#0003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obj_0020a#0003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obj_0020b#0003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obj_00210#0003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obj_00209#0003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obj_00212#0003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obj_0020e#0003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obj_001fc#0003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9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42172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2.6621302546587653E-2</v>
      </c>
      <c r="K3" s="232">
        <f>MAX(_xll.ohPack($Z$19:INDEX($Z$19:$Z$3552,MATCH(E3+1,$Y$19:$Y$3552,1),1)))</f>
        <v>2.7960836609361776E-2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41729</v>
      </c>
      <c r="D4" s="170">
        <v>24</v>
      </c>
      <c r="E4" s="207">
        <f t="shared" si="0"/>
        <v>42538</v>
      </c>
      <c r="F4" s="229">
        <f t="shared" ref="F4:F16" si="1">IF(D4&lt;=12,1,IF(D4&lt;=24,3,IF(D4&lt;=120,6,IF(D4&lt;=240,12,IF(D4&lt;=360,36,60)))))</f>
        <v>3</v>
      </c>
      <c r="G4" s="230">
        <f t="shared" ref="G4:G16" si="2">ROUNDDOWN(J4*10,2)/10</f>
        <v>2.6000000000000002E-2</v>
      </c>
      <c r="H4" s="231">
        <f t="shared" ref="H4:H16" si="3">IF(K4-J4&gt;1%,(QUOTIENT(K4*10000,50)+1)*0.5%,(QUOTIENT(K4*10000,10)+1)*0.1%)</f>
        <v>3.2000000000000001E-2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2.6621302546587653E-2</v>
      </c>
      <c r="K4" s="232">
        <f>MAX(_xll.ohPack($Z$19:INDEX($Z$19:$Z$3552,MATCH(E4+1,$Y$19:$Y$3552,1),1)))</f>
        <v>3.197111147807298E-2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7">
        <f t="shared" si="0"/>
        <v>43633</v>
      </c>
      <c r="F5" s="229">
        <f t="shared" si="1"/>
        <v>6</v>
      </c>
      <c r="G5" s="230">
        <f t="shared" si="2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2.6621302546587653E-2</v>
      </c>
      <c r="K5" s="232">
        <f>MAX(_xll.ohPack($Z$19:INDEX($Z$19:$Z$3552,MATCH(E5+1,$Y$19:$Y$3552,1),1)))</f>
        <v>4.2513153905483034E-2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41639</v>
      </c>
      <c r="D6" s="170">
        <v>120</v>
      </c>
      <c r="E6" s="207">
        <f t="shared" si="0"/>
        <v>45460</v>
      </c>
      <c r="F6" s="229">
        <f t="shared" si="1"/>
        <v>6</v>
      </c>
      <c r="G6" s="230">
        <f t="shared" si="2"/>
        <v>2.6000000000000002E-2</v>
      </c>
      <c r="H6" s="231">
        <f t="shared" si="3"/>
        <v>5.5E-2</v>
      </c>
      <c r="I6" s="232">
        <f t="shared" si="4"/>
        <v>5.0000000000000001E-3</v>
      </c>
      <c r="J6" s="231">
        <f>MIN(_xll.ohPack($Z$19:INDEX($Z$19:$Z$3552,MATCH(E6+1,$Y$19:$Y$3552,1),1)))</f>
        <v>2.6621302546587653E-2</v>
      </c>
      <c r="K6" s="232">
        <f>MAX(_xll.ohPack($Z$19:INDEX($Z$19:$Z$3552,MATCH(E6+1,$Y$19:$Y$3552,1),1)))</f>
        <v>5.0951902734013885E-2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49112</v>
      </c>
      <c r="F7" s="229">
        <f t="shared" si="1"/>
        <v>12</v>
      </c>
      <c r="G7" s="230">
        <f t="shared" si="2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2.6621302546587653E-2</v>
      </c>
      <c r="K7" s="232">
        <f>MAX(_xll.ohPack($Z$19:INDEX($Z$19:$Z$3552,MATCH(E7+1,$Y$19:$Y$3552,1),1)))</f>
        <v>5.1800615821983573E-2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52765</v>
      </c>
      <c r="F8" s="229">
        <f t="shared" si="1"/>
        <v>36</v>
      </c>
      <c r="G8" s="230">
        <f t="shared" si="2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2.6621302546587653E-2</v>
      </c>
      <c r="K8" s="232">
        <f>MAX(_xll.ohPack($Z$19:INDEX($Z$19:$Z$3552,MATCH(E8+1,$Y$19:$Y$3552,1),1)))</f>
        <v>5.1800615821983573E-2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63722</v>
      </c>
      <c r="F9" s="229">
        <f t="shared" si="1"/>
        <v>60</v>
      </c>
      <c r="G9" s="230">
        <f t="shared" si="2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2.6621302546587653E-2</v>
      </c>
      <c r="K9" s="232">
        <f>MAX(_xll.ohPack($Z$19:INDEX($Z$19:$Z$3552,MATCH(E9+1,$Y$19:$Y$3552,1),1)))</f>
        <v>5.1800615821983573E-2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42172</v>
      </c>
      <c r="F10" s="233">
        <f t="shared" si="1"/>
        <v>1</v>
      </c>
      <c r="G10" s="234">
        <f t="shared" si="2"/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2.6521190685312446E-2</v>
      </c>
      <c r="K10" s="236">
        <f>MAX(_xll.ohPack($AA$19:INDEX($AA$19:$AA$3552,MATCH(E10+1,$Y$19:$Y$3552,1),1)))</f>
        <v>2.7367356846137447E-2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41729</v>
      </c>
      <c r="D11" s="170">
        <v>24</v>
      </c>
      <c r="E11" s="207">
        <f t="shared" si="0"/>
        <v>42538</v>
      </c>
      <c r="F11" s="229">
        <f t="shared" si="1"/>
        <v>3</v>
      </c>
      <c r="G11" s="230">
        <f t="shared" si="2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MIN(_xll.ohPack($AA$19:INDEX($AA$19:$AA$3552,MATCH(E11+1,$Y$19:$Y$3552,1),1)))</f>
        <v>2.6521190685312446E-2</v>
      </c>
      <c r="K11" s="232">
        <f>MAX(_xll.ohPack($AA$19:INDEX($AA$19:$AA$3552,MATCH(E11+1,$Y$19:$Y$3552,1),1)))</f>
        <v>3.143201019313091E-2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41639</v>
      </c>
      <c r="D12" s="170">
        <v>60</v>
      </c>
      <c r="E12" s="207">
        <f t="shared" si="0"/>
        <v>43633</v>
      </c>
      <c r="F12" s="229">
        <f t="shared" si="1"/>
        <v>6</v>
      </c>
      <c r="G12" s="230">
        <f t="shared" si="2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2.6521190685312446E-2</v>
      </c>
      <c r="K12" s="232">
        <f>MAX(_xll.ohPack($AA$19:INDEX($AA$19:$AA$3552,MATCH(E12+1,$Y$19:$Y$3552,1),1)))</f>
        <v>4.1843295080489236E-2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41639</v>
      </c>
      <c r="D13" s="170">
        <v>120</v>
      </c>
      <c r="E13" s="207">
        <f t="shared" si="0"/>
        <v>45460</v>
      </c>
      <c r="F13" s="229">
        <f t="shared" si="1"/>
        <v>6</v>
      </c>
      <c r="G13" s="230">
        <f t="shared" si="2"/>
        <v>2.6000000000000002E-2</v>
      </c>
      <c r="H13" s="231">
        <f t="shared" si="3"/>
        <v>5.5E-2</v>
      </c>
      <c r="I13" s="232">
        <f t="shared" si="4"/>
        <v>5.0000000000000001E-3</v>
      </c>
      <c r="J13" s="231">
        <f>MIN(_xll.ohPack($AA$19:INDEX($AA$19:$AA$3552,MATCH(E13+1,$Y$19:$Y$3552,1),1)))</f>
        <v>2.6521190685312446E-2</v>
      </c>
      <c r="K13" s="232">
        <f>MAX(_xll.ohPack($AA$19:INDEX($AA$19:$AA$3552,MATCH(E13+1,$Y$19:$Y$3552,1),1)))</f>
        <v>5.0474204057742167E-2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49112</v>
      </c>
      <c r="F14" s="229">
        <f t="shared" si="1"/>
        <v>12</v>
      </c>
      <c r="G14" s="230">
        <f t="shared" si="2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2.6521190685312446E-2</v>
      </c>
      <c r="K14" s="232">
        <f>MAX(_xll.ohPack($AA$19:INDEX($AA$19:$AA$3552,MATCH(E14+1,$Y$19:$Y$3552,1),1)))</f>
        <v>5.1471360835229074E-2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52765</v>
      </c>
      <c r="F15" s="229">
        <f t="shared" si="1"/>
        <v>36</v>
      </c>
      <c r="G15" s="230">
        <f t="shared" si="2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2.6521190685312446E-2</v>
      </c>
      <c r="K15" s="232">
        <f>MAX(_xll.ohPack($AA$19:INDEX($AA$19:$AA$3552,MATCH(E15+1,$Y$19:$Y$3552,1),1)))</f>
        <v>5.1471360835229074E-2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63722</v>
      </c>
      <c r="F16" s="229">
        <f t="shared" si="1"/>
        <v>60</v>
      </c>
      <c r="G16" s="230">
        <f t="shared" si="2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2.6521190685312446E-2</v>
      </c>
      <c r="K16" s="232">
        <f>MAX(_xll.ohPack($AA$19:INDEX($AA$19:$AA$3552,MATCH(E16+1,$Y$19:$Y$3552,1),1)))</f>
        <v>5.1471360835229074E-2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obj_00250#0028</v>
      </c>
      <c r="AA17" s="176" t="str">
        <f>_xll.qlOvernightIndex(,"Aonia",NDays,Currency,Calendar,"actual/365 (fixed)",YieldCurve,,YieldCurve)</f>
        <v>obj_0024f#0015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obj_00220#0002</v>
      </c>
      <c r="N19" s="183" t="str">
        <f>_xll.qlRateHelperQuoteName(M19)</f>
        <v>AUD1x4F_Quote</v>
      </c>
      <c r="O19" s="181">
        <f>_xll.qlRateHelperEarliestDate(M19)</f>
        <v>41837</v>
      </c>
      <c r="P19" s="196">
        <f>_xll.qlRateHelperQuoteValue(M19,"ohTrigger(Trigger,RecalcTrigger))")</f>
        <v>2.6800000000000001E-2</v>
      </c>
      <c r="Q19" s="193" t="e">
        <f>NA()</f>
        <v>#N/A</v>
      </c>
      <c r="R19" s="181">
        <f>_xll.qlInterestRateIndexFixingDate(IborIndex,O19)</f>
        <v>41837</v>
      </c>
      <c r="S19" s="196">
        <f>_xll.qlIndexFixing(IborIndex,R19,TRUE,RecalcTrigger)</f>
        <v>2.672166977623331E-2</v>
      </c>
      <c r="T19" s="212">
        <f>S19-P19</f>
        <v>-7.833022376669066E-5</v>
      </c>
      <c r="U19" s="197">
        <f t="array" ref="U19">MAX(ABS(T19:T24))</f>
        <v>9.9999999999083461E-5</v>
      </c>
      <c r="V19" s="175"/>
      <c r="W19" s="183" t="s">
        <v>138</v>
      </c>
      <c r="X19" s="184">
        <f>_xll.qlSettingsEvaluationDate(Trigger)</f>
        <v>41807</v>
      </c>
      <c r="Y19" s="184">
        <f>_xll.qlCalendarAdvance(Calendar,X19,NDays&amp;"D")</f>
        <v>41807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2.6683886268193957E-2</v>
      </c>
    </row>
    <row r="20" spans="1:27" ht="12" thickBot="1" x14ac:dyDescent="0.25">
      <c r="J20" s="163"/>
      <c r="M20" s="183" t="str">
        <v>obj_00223#0002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2.6699999999999998E-2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2.6684202274465649E-2</v>
      </c>
      <c r="T20" s="212">
        <f>S20-P20</f>
        <v>-1.5797725534349299E-5</v>
      </c>
      <c r="W20" s="183" t="str">
        <f>W19</f>
        <v>1D</v>
      </c>
      <c r="X20" s="181">
        <f>_xll.qlCalendarAdvance(Calendar,X19,W20,"f",FALSE)</f>
        <v>41808</v>
      </c>
      <c r="Y20" s="184">
        <f>_xll.qlCalendarAdvance(Calendar,X20,NDays&amp;"D")</f>
        <v>41808</v>
      </c>
      <c r="Z20" s="185">
        <v>2.6749247046210498E-2</v>
      </c>
      <c r="AA20" s="182">
        <v>2.6683870181885005E-2</v>
      </c>
    </row>
    <row r="21" spans="1:27" x14ac:dyDescent="0.2">
      <c r="M21" s="183" t="str">
        <v>obj_0021f#0002</v>
      </c>
      <c r="N21" s="183" t="str">
        <f>_xll.qlRateHelperQuoteName(M21)</f>
        <v>AUD3x6F_Quote</v>
      </c>
      <c r="O21" s="181">
        <f>_xll.qlRateHelperEarliestDate(M21)</f>
        <v>41899</v>
      </c>
      <c r="P21" s="196">
        <f>_xll.qlRateHelperQuoteValue(M21,"ohTrigger(Trigger,RecalcTrigger))")</f>
        <v>2.6550000000000004E-2</v>
      </c>
      <c r="Q21" s="193" t="e">
        <f>NA()</f>
        <v>#N/A</v>
      </c>
      <c r="R21" s="181">
        <f>_xll.qlInterestRateIndexFixingDate(IborIndex,O21)</f>
        <v>41899</v>
      </c>
      <c r="S21" s="196">
        <f>_xll.qlIndexFixing(IborIndex,R21,TRUE,RecalcTrigger)</f>
        <v>2.6649999999999088E-2</v>
      </c>
      <c r="T21" s="212">
        <f t="shared" ref="T21:T24" si="6">S21-P21</f>
        <v>9.9999999999083461E-5</v>
      </c>
      <c r="W21" s="183" t="str">
        <f t="shared" ref="W21:W84" si="7">W20</f>
        <v>1D</v>
      </c>
      <c r="X21" s="181">
        <f>_xll.qlCalendarAdvance(Calendar,X20,W21,"f",FALSE)</f>
        <v>41809</v>
      </c>
      <c r="Y21" s="184">
        <f>_xll.qlCalendarAdvance(Calendar,X21,NDays&amp;"D")</f>
        <v>41809</v>
      </c>
      <c r="Z21" s="185">
        <v>2.674847818874598E-2</v>
      </c>
      <c r="AA21" s="182">
        <v>2.6683838009267102E-2</v>
      </c>
    </row>
    <row r="22" spans="1:27" x14ac:dyDescent="0.2">
      <c r="M22" s="183" t="str">
        <v>obj_00221#0002</v>
      </c>
      <c r="N22" s="183" t="str">
        <f>_xll.qlRateHelperQuoteName(M22)</f>
        <v>AUD4x7F_Quote</v>
      </c>
      <c r="O22" s="181">
        <f>_xll.qlRateHelperEarliestDate(M22)</f>
        <v>41929</v>
      </c>
      <c r="P22" s="196">
        <f>_xll.qlRateHelperQuoteValue(M22,"ohTrigger(Trigger,RecalcTrigger))")</f>
        <v>2.6550000000000004E-2</v>
      </c>
      <c r="Q22" s="193" t="e">
        <f>NA()</f>
        <v>#N/A</v>
      </c>
      <c r="R22" s="181">
        <f>_xll.qlInterestRateIndexFixingDate(IborIndex,O22)</f>
        <v>41929</v>
      </c>
      <c r="S22" s="196">
        <f>_xll.qlIndexFixing(IborIndex,R22,TRUE,RecalcTrigger)</f>
        <v>2.6628770180537262E-2</v>
      </c>
      <c r="T22" s="212">
        <f t="shared" si="6"/>
        <v>7.8770180537257595E-5</v>
      </c>
      <c r="W22" s="183" t="str">
        <f t="shared" si="7"/>
        <v>1D</v>
      </c>
      <c r="X22" s="181">
        <f>_xll.qlCalendarAdvance(Calendar,X21,W22,"f",FALSE)</f>
        <v>41810</v>
      </c>
      <c r="Y22" s="184">
        <f>_xll.qlCalendarAdvance(Calendar,X22,NDays&amp;"D")</f>
        <v>41810</v>
      </c>
      <c r="Z22" s="185">
        <v>2.6748601398116963E-2</v>
      </c>
      <c r="AA22" s="182">
        <v>2.6685670832680513E-2</v>
      </c>
    </row>
    <row r="23" spans="1:27" x14ac:dyDescent="0.2">
      <c r="M23" s="183" t="str">
        <v>obj_00222#0002</v>
      </c>
      <c r="N23" s="183" t="str">
        <f>_xll.qlRateHelperQuoteName(M23)</f>
        <v>AUD5x8F_Quote</v>
      </c>
      <c r="O23" s="181">
        <f>_xll.qlRateHelperEarliestDate(M23)</f>
        <v>41960</v>
      </c>
      <c r="P23" s="196">
        <f>_xll.qlRateHelperQuoteValue(M23,"ohTrigger(Trigger,RecalcTrigger))")</f>
        <v>2.6550000000000004E-2</v>
      </c>
      <c r="Q23" s="193" t="e">
        <f>NA()</f>
        <v>#N/A</v>
      </c>
      <c r="R23" s="181">
        <f>_xll.qlInterestRateIndexFixingDate(IborIndex,O23)</f>
        <v>41960</v>
      </c>
      <c r="S23" s="196">
        <f>_xll.qlIndexFixing(IborIndex,R23,TRUE,RecalcTrigger)</f>
        <v>2.6624470789814541E-2</v>
      </c>
      <c r="T23" s="212">
        <f t="shared" si="6"/>
        <v>7.4470789814536781E-5</v>
      </c>
      <c r="W23" s="183" t="str">
        <f t="shared" si="7"/>
        <v>1D</v>
      </c>
      <c r="X23" s="181">
        <f>_xll.qlCalendarAdvance(Calendar,X22,W23,"f",FALSE)</f>
        <v>41813</v>
      </c>
      <c r="Y23" s="184">
        <f>_xll.qlCalendarAdvance(Calendar,X23,NDays&amp;"D")</f>
        <v>41813</v>
      </c>
      <c r="Z23" s="185">
        <v>2.6745249517627606E-2</v>
      </c>
      <c r="AA23" s="182">
        <v>2.6683548455543882E-2</v>
      </c>
    </row>
    <row r="24" spans="1:27" ht="12" thickBot="1" x14ac:dyDescent="0.25">
      <c r="M24" s="183" t="str">
        <v>obj_0021e#0002</v>
      </c>
      <c r="N24" s="183" t="str">
        <f>_xll.qlRateHelperQuoteName(M24)</f>
        <v>AUD6x9F_Quote</v>
      </c>
      <c r="O24" s="181">
        <f>_xll.qlRateHelperEarliestDate(M24)</f>
        <v>41990</v>
      </c>
      <c r="P24" s="196">
        <f>_xll.qlRateHelperQuoteValue(M24,"ohTrigger(Trigger,RecalcTrigger))")</f>
        <v>2.665E-2</v>
      </c>
      <c r="Q24" s="193" t="e">
        <f>NA()</f>
        <v>#N/A</v>
      </c>
      <c r="R24" s="181">
        <f>_xll.qlInterestRateIndexFixingDate(IborIndex,O24)</f>
        <v>41990</v>
      </c>
      <c r="S24" s="196">
        <f>_xll.qlIndexFixing(IborIndex,R24,TRUE,RecalcTrigger)</f>
        <v>2.6649999999999646E-2</v>
      </c>
      <c r="T24" s="212">
        <f t="shared" si="6"/>
        <v>-3.5388358909926865E-16</v>
      </c>
      <c r="W24" s="183" t="str">
        <f t="shared" si="7"/>
        <v>1D</v>
      </c>
      <c r="X24" s="181">
        <f>_xll.qlCalendarAdvance(Calendar,X23,W24,"f",FALSE)</f>
        <v>41814</v>
      </c>
      <c r="Y24" s="184">
        <f>_xll.qlCalendarAdvance(Calendar,X24,NDays&amp;"D")</f>
        <v>41814</v>
      </c>
      <c r="Z24" s="185">
        <v>2.6744405488414481E-2</v>
      </c>
      <c r="AA24" s="182">
        <v>2.6683435851300175E-2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41815</v>
      </c>
      <c r="Y25" s="184">
        <f>_xll.qlCalendarAdvance(Calendar,X25,NDays&amp;"D")</f>
        <v>41815</v>
      </c>
      <c r="Z25" s="185">
        <v>2.6743547294180822E-2</v>
      </c>
      <c r="AA25" s="182">
        <v>2.6683307160747516E-2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41816</v>
      </c>
      <c r="Y26" s="184">
        <f>_xll.qlCalendarAdvance(Calendar,X26,NDays&amp;"D")</f>
        <v>41816</v>
      </c>
      <c r="Z26" s="185">
        <v>2.6742675224704079E-2</v>
      </c>
      <c r="AA26" s="182">
        <v>2.6683162383885906E-2</v>
      </c>
    </row>
    <row r="27" spans="1:27" x14ac:dyDescent="0.2">
      <c r="M27" s="208" t="str">
        <f t="array" ref="M27:M60">_xll.ohFilter(RateHelpers!B12:B53,RateHelpers!M12:M53)</f>
        <v>obj_00232#0002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2.6649999999999088E-2</v>
      </c>
      <c r="T27" s="212">
        <f t="shared" ref="T27:T60" si="8">S27-P27</f>
        <v>-8.6389229103644993E-16</v>
      </c>
      <c r="U27" s="197">
        <f t="array" ref="U27">MAX(ABS(T27:T34))</f>
        <v>2.8453732425770539E-12</v>
      </c>
      <c r="W27" s="183" t="str">
        <f t="shared" si="7"/>
        <v>1D</v>
      </c>
      <c r="X27" s="181">
        <f>_xll.qlCalendarAdvance(Calendar,X26,W27,"f",FALSE)</f>
        <v>41817</v>
      </c>
      <c r="Y27" s="184">
        <f>_xll.qlCalendarAdvance(Calendar,X27,NDays&amp;"D")</f>
        <v>41817</v>
      </c>
      <c r="Z27" s="185">
        <v>2.6742611800807569E-2</v>
      </c>
      <c r="AA27" s="182">
        <v>2.6684769867219758E-2</v>
      </c>
    </row>
    <row r="28" spans="1:27" x14ac:dyDescent="0.2">
      <c r="M28" s="208" t="str">
        <v>obj_0022c#0002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2.6649999999999952E-2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2.6649999999999646E-2</v>
      </c>
      <c r="T28" s="212">
        <f t="shared" si="8"/>
        <v>-3.0531133177191805E-16</v>
      </c>
      <c r="W28" s="183" t="str">
        <f t="shared" si="7"/>
        <v>1D</v>
      </c>
      <c r="X28" s="181">
        <f>_xll.qlCalendarAdvance(Calendar,X27,W28,"f",FALSE)</f>
        <v>41820</v>
      </c>
      <c r="Y28" s="184">
        <f>_xll.qlCalendarAdvance(Calendar,X28,NDays&amp;"D")</f>
        <v>41820</v>
      </c>
      <c r="Z28" s="185">
        <v>2.6739053989867811E-2</v>
      </c>
      <c r="AA28" s="182">
        <v>2.6682422413349949E-2</v>
      </c>
    </row>
    <row r="29" spans="1:27" x14ac:dyDescent="0.2">
      <c r="M29" s="208" t="str">
        <v>obj_00242#0002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2.7050000000000018E-2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2.7049999998910695E-2</v>
      </c>
      <c r="T29" s="212">
        <f t="shared" si="8"/>
        <v>-1.089323076186588E-12</v>
      </c>
      <c r="W29" s="183" t="str">
        <f t="shared" si="7"/>
        <v>1D</v>
      </c>
      <c r="X29" s="181">
        <f>_xll.qlCalendarAdvance(Calendar,X28,W29,"f",FALSE)</f>
        <v>41821</v>
      </c>
      <c r="Y29" s="184">
        <f>_xll.qlCalendarAdvance(Calendar,X29,NDays&amp;"D")</f>
        <v>41821</v>
      </c>
      <c r="Z29" s="185">
        <v>2.6738116890805755E-2</v>
      </c>
      <c r="AA29" s="182">
        <v>2.6682197204943581E-2</v>
      </c>
    </row>
    <row r="30" spans="1:27" x14ac:dyDescent="0.2">
      <c r="M30" s="208" t="str">
        <v>obj_00233#0002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2.795000000000003E-2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2.7949999997430971E-2</v>
      </c>
      <c r="T30" s="212">
        <f t="shared" si="8"/>
        <v>-2.5690595484295642E-12</v>
      </c>
      <c r="W30" s="183" t="str">
        <f t="shared" si="7"/>
        <v>1D</v>
      </c>
      <c r="X30" s="181">
        <f>_xll.qlCalendarAdvance(Calendar,X29,W30,"f",FALSE)</f>
        <v>41822</v>
      </c>
      <c r="Y30" s="184">
        <f>_xll.qlCalendarAdvance(Calendar,X30,NDays&amp;"D")</f>
        <v>41822</v>
      </c>
      <c r="Z30" s="185">
        <v>2.6737167655153885E-2</v>
      </c>
      <c r="AA30" s="182">
        <v>2.6681955910147215E-2</v>
      </c>
    </row>
    <row r="31" spans="1:27" x14ac:dyDescent="0.2">
      <c r="M31" s="208" t="str">
        <v>obj_0023b#0002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2.8950000000000142E-2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2.8950000002232502E-2</v>
      </c>
      <c r="T31" s="212">
        <f t="shared" si="8"/>
        <v>2.2323601300833218E-12</v>
      </c>
      <c r="W31" s="183" t="str">
        <f t="shared" si="7"/>
        <v>1D</v>
      </c>
      <c r="X31" s="181">
        <f>_xll.qlCalendarAdvance(Calendar,X30,W31,"f",FALSE)</f>
        <v>41823</v>
      </c>
      <c r="Y31" s="184">
        <f>_xll.qlCalendarAdvance(Calendar,X31,NDays&amp;"D")</f>
        <v>41823</v>
      </c>
      <c r="Z31" s="185">
        <v>2.6736206572687014E-2</v>
      </c>
      <c r="AA31" s="182">
        <v>2.6681698529122944E-2</v>
      </c>
    </row>
    <row r="32" spans="1:27" x14ac:dyDescent="0.2">
      <c r="M32" s="208" t="str">
        <v>obj_00231#0002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3.004999999999991E-2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3.0050000002845283E-2</v>
      </c>
      <c r="T32" s="212">
        <f t="shared" si="8"/>
        <v>2.8453732425770539E-12</v>
      </c>
      <c r="W32" s="183" t="str">
        <f t="shared" si="7"/>
        <v>1D</v>
      </c>
      <c r="X32" s="181">
        <f>_xll.qlCalendarAdvance(Calendar,X31,W32,"f",FALSE)</f>
        <v>41824</v>
      </c>
      <c r="Y32" s="184">
        <f>_xll.qlCalendarAdvance(Calendar,X32,NDays&amp;"D")</f>
        <v>41824</v>
      </c>
      <c r="Z32" s="185">
        <v>2.673637445526475E-2</v>
      </c>
      <c r="AA32" s="182">
        <v>2.6683080556994348E-2</v>
      </c>
    </row>
    <row r="33" spans="10:27" x14ac:dyDescent="0.2">
      <c r="M33" s="208" t="str">
        <v>obj_00230#0002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3.0950000000000033E-2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3.0949999998905606E-2</v>
      </c>
      <c r="T33" s="212">
        <f t="shared" si="8"/>
        <v>-1.0944266326529117E-12</v>
      </c>
      <c r="W33" s="183" t="str">
        <f t="shared" si="7"/>
        <v>1D</v>
      </c>
      <c r="X33" s="181">
        <f>_xll.qlCalendarAdvance(Calendar,X32,W33,"f",FALSE)</f>
        <v>41827</v>
      </c>
      <c r="Y33" s="184">
        <f>_xll.qlCalendarAdvance(Calendar,X33,NDays&amp;"D")</f>
        <v>41827</v>
      </c>
      <c r="Z33" s="185">
        <v>2.6732249570167475E-2</v>
      </c>
      <c r="AA33" s="182">
        <v>2.6680508141612158E-2</v>
      </c>
    </row>
    <row r="34" spans="10:27" x14ac:dyDescent="0.2">
      <c r="M34" s="208" t="str">
        <v>obj_00241#0002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3.1949999999999923E-2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3.1949999998578171E-2</v>
      </c>
      <c r="T34" s="212">
        <f t="shared" si="8"/>
        <v>-1.4217516053349755E-12</v>
      </c>
      <c r="W34" s="183" t="str">
        <f t="shared" si="7"/>
        <v>1D</v>
      </c>
      <c r="X34" s="181">
        <f>_xll.qlCalendarAdvance(Calendar,X33,W34,"f",FALSE)</f>
        <v>41828</v>
      </c>
      <c r="Y34" s="184">
        <f>_xll.qlCalendarAdvance(Calendar,X34,NDays&amp;"D")</f>
        <v>41828</v>
      </c>
      <c r="Z34" s="185">
        <v>2.6731233600247751E-2</v>
      </c>
      <c r="AA34" s="182">
        <v>2.6680170328962083E-2</v>
      </c>
    </row>
    <row r="35" spans="10:27" x14ac:dyDescent="0.2">
      <c r="M35" s="208" t="str">
        <v>obj_00225#0002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3.2849999999999935E-2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3.2231866621033056E-2</v>
      </c>
      <c r="T35" s="212">
        <f t="shared" si="8"/>
        <v>-6.1813337896687859E-4</v>
      </c>
      <c r="W35" s="183" t="str">
        <f t="shared" si="7"/>
        <v>1D</v>
      </c>
      <c r="X35" s="181">
        <f>_xll.qlCalendarAdvance(Calendar,X34,W35,"f",FALSE)</f>
        <v>41829</v>
      </c>
      <c r="Y35" s="184">
        <f>_xll.qlCalendarAdvance(Calendar,X35,NDays&amp;"D")</f>
        <v>41829</v>
      </c>
      <c r="Z35" s="185">
        <v>2.6730207522159238E-2</v>
      </c>
      <c r="AA35" s="182">
        <v>2.6679816430003056E-2</v>
      </c>
    </row>
    <row r="36" spans="10:27" x14ac:dyDescent="0.2">
      <c r="M36" s="208" t="str">
        <v>obj_0023a#0002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3.3799999999999941E-2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3.2664368058011935E-2</v>
      </c>
      <c r="T36" s="212">
        <f t="shared" si="8"/>
        <v>-1.1356319419880065E-3</v>
      </c>
      <c r="W36" s="183" t="str">
        <f t="shared" si="7"/>
        <v>1D</v>
      </c>
      <c r="X36" s="181">
        <f>_xll.qlCalendarAdvance(Calendar,X35,W36,"f",FALSE)</f>
        <v>41830</v>
      </c>
      <c r="Y36" s="184">
        <f>_xll.qlCalendarAdvance(Calendar,X36,NDays&amp;"D")</f>
        <v>41830</v>
      </c>
      <c r="Z36" s="185">
        <v>2.6729171625678519E-2</v>
      </c>
      <c r="AA36" s="182">
        <v>2.6679446444735078E-2</v>
      </c>
    </row>
    <row r="37" spans="10:27" x14ac:dyDescent="0.2">
      <c r="M37" s="208" t="str">
        <v>obj_00235#0002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3.4749999999999948E-2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3.3478138767394805E-2</v>
      </c>
      <c r="T37" s="212">
        <f t="shared" si="8"/>
        <v>-1.2718612326051426E-3</v>
      </c>
      <c r="W37" s="183" t="str">
        <f t="shared" si="7"/>
        <v>1D</v>
      </c>
      <c r="X37" s="181">
        <f>_xll.qlCalendarAdvance(Calendar,X36,W37,"f",FALSE)</f>
        <v>41831</v>
      </c>
      <c r="Y37" s="184">
        <f>_xll.qlCalendarAdvance(Calendar,X37,NDays&amp;"D")</f>
        <v>41831</v>
      </c>
      <c r="Z37" s="185">
        <v>2.6728849474968914E-2</v>
      </c>
      <c r="AA37" s="182">
        <v>2.6680602902004285E-2</v>
      </c>
    </row>
    <row r="38" spans="10:27" x14ac:dyDescent="0.2">
      <c r="M38" s="208" t="str">
        <v>obj_00234#0002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3.5749999999999837E-2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3.4793804384758584E-2</v>
      </c>
      <c r="T38" s="212">
        <f t="shared" si="8"/>
        <v>-9.5619561524125374E-4</v>
      </c>
      <c r="W38" s="183" t="str">
        <f t="shared" si="7"/>
        <v>1D</v>
      </c>
      <c r="X38" s="181">
        <f>_xll.qlCalendarAdvance(Calendar,X37,W38,"f",FALSE)</f>
        <v>41834</v>
      </c>
      <c r="Y38" s="184">
        <f>_xll.qlCalendarAdvance(Calendar,X38,NDays&amp;"D")</f>
        <v>41834</v>
      </c>
      <c r="Z38" s="185">
        <v>2.6724935651283054E-2</v>
      </c>
      <c r="AA38" s="182">
        <v>2.6677805640411556E-2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41835</v>
      </c>
      <c r="Y39" s="184">
        <f>_xll.qlCalendarAdvance(Calendar,X39,NDays&amp;"D")</f>
        <v>41835</v>
      </c>
      <c r="Z39" s="185">
        <v>2.6723855009431724E-2</v>
      </c>
      <c r="AA39" s="182">
        <v>2.6677355223517774E-2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41836</v>
      </c>
      <c r="Y40" s="184">
        <f>_xll.qlCalendarAdvance(Calendar,X40,NDays&amp;"D")</f>
        <v>41836</v>
      </c>
      <c r="Z40" s="185">
        <v>2.6722766287824714E-2</v>
      </c>
      <c r="AA40" s="182">
        <v>2.667688872031504E-2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41837</v>
      </c>
      <c r="Y41" s="184">
        <f>_xll.qlCalendarAdvance(Calendar,X41,NDays&amp;"D")</f>
        <v>41837</v>
      </c>
      <c r="Z41" s="185">
        <v>2.672166977623331E-2</v>
      </c>
      <c r="AA41" s="182">
        <v>2.6676406130803354E-2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41838</v>
      </c>
      <c r="Y42" s="184">
        <f>_xll.qlCalendarAdvance(Calendar,X42,NDays&amp;"D")</f>
        <v>41838</v>
      </c>
      <c r="Z42" s="185">
        <v>2.6721271330770784E-2</v>
      </c>
      <c r="AA42" s="182">
        <v>2.6677336902357632E-2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41841</v>
      </c>
      <c r="Y43" s="184">
        <f>_xll.qlCalendarAdvance(Calendar,X43,NDays&amp;"D")</f>
        <v>41841</v>
      </c>
      <c r="Z43" s="185">
        <v>2.671721162546534E-2</v>
      </c>
      <c r="AA43" s="182">
        <v>2.6674314909667096E-2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41842</v>
      </c>
      <c r="Y44" s="184">
        <f>_xll.qlCalendarAdvance(Calendar,X44,NDays&amp;"D")</f>
        <v>41842</v>
      </c>
      <c r="Z44" s="185">
        <v>2.6716080510526551E-2</v>
      </c>
      <c r="AA44" s="182">
        <v>2.6673751888610653E-2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41843</v>
      </c>
      <c r="Y45" s="184">
        <f>_xll.qlCalendarAdvance(Calendar,X45,NDays&amp;"D")</f>
        <v>41843</v>
      </c>
      <c r="Z45" s="185">
        <v>2.6714943344231967E-2</v>
      </c>
      <c r="AA45" s="182">
        <v>2.6673172781164212E-2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41844</v>
      </c>
      <c r="Y46" s="184">
        <f>_xll.qlCalendarAdvance(Calendar,X46,NDays&amp;"D")</f>
        <v>41844</v>
      </c>
      <c r="Z46" s="185">
        <v>2.6713800416349354E-2</v>
      </c>
      <c r="AA46" s="182">
        <v>2.6672577587489865E-2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41845</v>
      </c>
      <c r="Y47" s="184">
        <f>_xll.qlCalendarAdvance(Calendar,X47,NDays&amp;"D")</f>
        <v>41845</v>
      </c>
      <c r="Z47" s="185">
        <v>2.671335825437551E-2</v>
      </c>
      <c r="AA47" s="182">
        <v>2.66732825580814E-2</v>
      </c>
    </row>
    <row r="48" spans="10:27" x14ac:dyDescent="0.2">
      <c r="J48" s="214" t="b">
        <v>1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41848</v>
      </c>
      <c r="Y48" s="184">
        <f>_xll.qlCalendarAdvance(Calendar,X48,NDays&amp;"D")</f>
        <v>41848</v>
      </c>
      <c r="Z48" s="185">
        <v>2.6709176884343187E-2</v>
      </c>
      <c r="AA48" s="182">
        <v>2.6670035949459825E-2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41849</v>
      </c>
      <c r="Y49" s="184">
        <f>_xll.qlCalendarAdvance(Calendar,X49,NDays&amp;"D")</f>
        <v>41849</v>
      </c>
      <c r="Z49" s="185">
        <v>2.6708009495066819E-2</v>
      </c>
      <c r="AA49" s="182">
        <v>2.6669360324159674E-2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41850</v>
      </c>
      <c r="Y50" s="184">
        <f>_xll.qlCalendarAdvance(Calendar,X50,NDays&amp;"D")</f>
        <v>41850</v>
      </c>
      <c r="Z50" s="185">
        <v>2.6706838082817805E-2</v>
      </c>
      <c r="AA50" s="182">
        <v>2.6668668612550572E-2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41851</v>
      </c>
      <c r="Y51" s="184">
        <f>_xll.qlCalendarAdvance(Calendar,X51,NDays&amp;"D")</f>
        <v>41851</v>
      </c>
      <c r="Z51" s="185">
        <v>2.6705662937363029E-2</v>
      </c>
      <c r="AA51" s="182">
        <v>2.6667960814632519E-2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41852</v>
      </c>
      <c r="Y52" s="184">
        <f>_xll.qlCalendarAdvance(Calendar,X52,NDays&amp;"D")</f>
        <v>41852</v>
      </c>
      <c r="Z52" s="185">
        <v>2.6705207536446715E-2</v>
      </c>
      <c r="AA52" s="182">
        <v>2.6669033283228949E-2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41856</v>
      </c>
      <c r="Y53" s="184">
        <f>_xll.qlCalendarAdvance(Calendar,X53,NDays&amp;"D")</f>
        <v>41856</v>
      </c>
      <c r="Z53" s="185">
        <v>2.6699741353866512E-2</v>
      </c>
      <c r="AA53" s="182">
        <v>2.6664180530326931E-2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41857</v>
      </c>
      <c r="Y54" s="184">
        <f>_xll.qlCalendarAdvance(Calendar,X54,NDays&amp;"D")</f>
        <v>41857</v>
      </c>
      <c r="Z54" s="185">
        <v>2.6698549894288735E-2</v>
      </c>
      <c r="AA54" s="182">
        <v>2.6663376214474122E-2</v>
      </c>
    </row>
    <row r="55" spans="10:27" x14ac:dyDescent="0.2">
      <c r="J55" s="214" t="b">
        <v>1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41858</v>
      </c>
      <c r="Y55" s="184">
        <f>_xll.qlCalendarAdvance(Calendar,X55,NDays&amp;"D")</f>
        <v>41858</v>
      </c>
      <c r="Z55" s="185">
        <v>2.6697356729870732E-2</v>
      </c>
      <c r="AA55" s="182">
        <v>2.6662555812393407E-2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41859</v>
      </c>
      <c r="Y56" s="184">
        <f>_xll.qlCalendarAdvance(Calendar,X56,NDays&amp;"D")</f>
        <v>41859</v>
      </c>
      <c r="Z56" s="185">
        <v>2.6696916466893605E-2</v>
      </c>
      <c r="AA56" s="182">
        <v>2.6662808835964395E-2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41862</v>
      </c>
      <c r="Y57" s="184">
        <f>_xll.qlCalendarAdvance(Calendar,X57,NDays&amp;"D")</f>
        <v>41862</v>
      </c>
      <c r="Z57" s="185">
        <v>2.669257281910322E-2</v>
      </c>
      <c r="AA57" s="182">
        <v>2.6659113340737894E-2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41863</v>
      </c>
      <c r="Y58" s="184">
        <f>_xll.qlCalendarAdvance(Calendar,X58,NDays&amp;"D")</f>
        <v>41863</v>
      </c>
      <c r="Z58" s="185">
        <v>2.6691375476959104E-2</v>
      </c>
      <c r="AA58" s="182">
        <v>2.6658212507031376E-2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41864</v>
      </c>
      <c r="Y59" s="184">
        <f>_xll.qlCalendarAdvance(Calendar,X59,NDays&amp;"D")</f>
        <v>41864</v>
      </c>
      <c r="Z59" s="185">
        <v>2.6690178168561954E-2</v>
      </c>
      <c r="AA59" s="182">
        <v>2.6657295587096952E-2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41865</v>
      </c>
      <c r="Y60" s="184">
        <f>_xll.qlCalendarAdvance(Calendar,X60,NDays&amp;"D")</f>
        <v>41865</v>
      </c>
      <c r="Z60" s="185">
        <v>2.6688981183673369E-2</v>
      </c>
      <c r="AA60" s="182">
        <v>2.665636258077253E-2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41866</v>
      </c>
      <c r="Y61" s="184">
        <f>_xll.qlCalendarAdvance(Calendar,X61,NDays&amp;"D")</f>
        <v>41866</v>
      </c>
      <c r="Z61" s="185">
        <v>2.6688582334823539E-2</v>
      </c>
      <c r="AA61" s="182">
        <v>2.665638945833974E-2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41869</v>
      </c>
      <c r="Y62" s="184">
        <f>_xll.qlCalendarAdvance(Calendar,X62,NDays&amp;"D")</f>
        <v>41869</v>
      </c>
      <c r="Z62" s="185">
        <v>2.6684202274465649E-2</v>
      </c>
      <c r="AA62" s="182">
        <v>2.6652469692304281E-2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41870</v>
      </c>
      <c r="Y63" s="184">
        <f>_xll.qlCalendarAdvance(Calendar,X63,NDays&amp;"D")</f>
        <v>41870</v>
      </c>
      <c r="Z63" s="185">
        <v>2.6683011253558798E-2</v>
      </c>
      <c r="AA63" s="182">
        <v>2.6651456254435102E-2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41871</v>
      </c>
      <c r="Y64" s="184">
        <f>_xll.qlCalendarAdvance(Calendar,X64,NDays&amp;"D")</f>
        <v>41871</v>
      </c>
      <c r="Z64" s="185">
        <v>2.6681822294733613E-2</v>
      </c>
      <c r="AA64" s="182">
        <v>2.6650426730256971E-2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41872</v>
      </c>
      <c r="Y65" s="184">
        <f>_xll.qlCalendarAdvance(Calendar,X65,NDays&amp;"D")</f>
        <v>41872</v>
      </c>
      <c r="Z65" s="185">
        <v>2.6680635687749046E-2</v>
      </c>
      <c r="AA65" s="182">
        <v>2.6649381119688842E-2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41873</v>
      </c>
      <c r="Y66" s="184">
        <f>_xll.qlCalendarAdvance(Calendar,X66,NDays&amp;"D")</f>
        <v>41873</v>
      </c>
      <c r="Z66" s="185">
        <v>2.6680302428522203E-2</v>
      </c>
      <c r="AA66" s="182">
        <v>2.6649181736517761E-2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41876</v>
      </c>
      <c r="Y67" s="184">
        <f>_xll.qlCalendarAdvance(Calendar,X67,NDays&amp;"D")</f>
        <v>41876</v>
      </c>
      <c r="Z67" s="185">
        <v>2.6675918573429505E-2</v>
      </c>
      <c r="AA67" s="182">
        <v>2.664503781456995E-2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41877</v>
      </c>
      <c r="Y68" s="184">
        <f>_xll.qlCalendarAdvance(Calendar,X68,NDays&amp;"D")</f>
        <v>41877</v>
      </c>
      <c r="Z68" s="185">
        <v>2.6674748072050832E-2</v>
      </c>
      <c r="AA68" s="182">
        <v>2.6643911772457063E-2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41878</v>
      </c>
      <c r="Y69" s="184">
        <f>_xll.qlCalendarAdvance(Calendar,X69,NDays&amp;"D")</f>
        <v>41878</v>
      </c>
      <c r="Z69" s="185">
        <v>2.6673581661070023E-2</v>
      </c>
      <c r="AA69" s="182">
        <v>2.6642769644116271E-2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41879</v>
      </c>
      <c r="Y70" s="184">
        <f>_xll.qlCalendarAdvance(Calendar,X70,NDays&amp;"D")</f>
        <v>41879</v>
      </c>
      <c r="Z70" s="185">
        <v>2.6672419630246913E-2</v>
      </c>
      <c r="AA70" s="182">
        <v>2.6641611429385481E-2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41880</v>
      </c>
      <c r="Y71" s="184">
        <f>_xll.qlCalendarAdvance(Calendar,X71,NDays&amp;"D")</f>
        <v>41880</v>
      </c>
      <c r="Z71" s="185">
        <v>2.6670811460273683E-2</v>
      </c>
      <c r="AA71" s="182">
        <v>2.6641185670606509E-2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U72" s="172" t="s">
        <v>134</v>
      </c>
      <c r="W72" s="183" t="str">
        <f t="shared" si="7"/>
        <v>1D</v>
      </c>
      <c r="X72" s="181">
        <f>_xll.qlCalendarAdvance(Calendar,X71,W72,"f",FALSE)</f>
        <v>41883</v>
      </c>
      <c r="Y72" s="184">
        <f>_xll.qlCalendarAdvance(Calendar,X72,NDays&amp;"D")</f>
        <v>41883</v>
      </c>
      <c r="Z72" s="185">
        <v>2.6667356314901806E-2</v>
      </c>
      <c r="AA72" s="182">
        <v>2.6636817707534899E-2</v>
      </c>
    </row>
    <row r="73" spans="10:27" x14ac:dyDescent="0.2">
      <c r="M73" s="183" t="str">
        <f t="array" ref="M73:M78">_xll.ohFilter(RateHelpers!B61:B66,IF(ISERROR(RateHelpers!D61:D66),FALSE,TRUE))</f>
        <v>obj_001f9#0026</v>
      </c>
      <c r="N73" s="183" t="str">
        <f>_xll.qlRateHelperQuoteName(M73)</f>
        <v>AUDQM3AB1Y_Quote</v>
      </c>
      <c r="O73" s="181">
        <f>_xll.qlRateHelperLatestDate(M73,Trigger)</f>
        <v>42172</v>
      </c>
      <c r="P73" s="191">
        <f>_xll.qlRateHelperQuoteValue(M73,_xll.ohTrigger(RecalcTrigger,YieldCurve))</f>
        <v>2.6825000000000002E-2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obj_00252#0084</v>
      </c>
      <c r="S73" s="194">
        <f>_xll.qlIndexFixing(R73,$X$19,TRUE,Trigger)</f>
        <v>2.6775273457206181E-2</v>
      </c>
      <c r="T73" s="212">
        <f t="shared" ref="T73:T77" si="10">S73-P73</f>
        <v>-4.9726542793820244E-5</v>
      </c>
      <c r="U73" s="197">
        <f t="array" ref="U73">MAX(ABS(T73:T75))</f>
        <v>4.9726542793820244E-5</v>
      </c>
      <c r="W73" s="183" t="str">
        <f t="shared" si="7"/>
        <v>1D</v>
      </c>
      <c r="X73" s="181">
        <f>_xll.qlCalendarAdvance(Calendar,X72,W73,"f",FALSE)</f>
        <v>41884</v>
      </c>
      <c r="Y73" s="184">
        <f>_xll.qlCalendarAdvance(Calendar,X73,NDays&amp;"D")</f>
        <v>41884</v>
      </c>
      <c r="Z73" s="185">
        <v>2.6666215764370008E-2</v>
      </c>
      <c r="AA73" s="182">
        <v>2.6635579061259351E-2</v>
      </c>
    </row>
    <row r="74" spans="10:27" x14ac:dyDescent="0.2">
      <c r="M74" s="183" t="str">
        <v>obj_001ff#0009</v>
      </c>
      <c r="N74" s="183" t="str">
        <f>_xll.qlRateHelperQuoteName(M74)</f>
        <v>AUDQM3AB2Y_Quote</v>
      </c>
      <c r="O74" s="181">
        <f>_xll.qlRateHelperLatestDate(M74,Trigger)</f>
        <v>42538</v>
      </c>
      <c r="P74" s="191">
        <f>_xll.qlRateHelperQuoteValue(M74,_xll.ohTrigger(RecalcTrigger,YieldCurve))</f>
        <v>2.8099999999999997E-2</v>
      </c>
      <c r="Q74" s="192" t="str">
        <f t="shared" ref="Q74:Q78" si="11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obj_00251#0029</v>
      </c>
      <c r="S74" s="194">
        <f>_xll.qlIndexFixing(R74,$X$19,TRUE,Trigger)</f>
        <v>2.8123947839979877E-2</v>
      </c>
      <c r="T74" s="212">
        <f t="shared" si="10"/>
        <v>2.3947839979880647E-5</v>
      </c>
      <c r="W74" s="183" t="str">
        <f t="shared" si="7"/>
        <v>1D</v>
      </c>
      <c r="X74" s="181">
        <f>_xll.qlCalendarAdvance(Calendar,X73,W74,"f",FALSE)</f>
        <v>41885</v>
      </c>
      <c r="Y74" s="184">
        <f>_xll.qlCalendarAdvance(Calendar,X74,NDays&amp;"D")</f>
        <v>41885</v>
      </c>
      <c r="Z74" s="185">
        <v>2.6665081284332894E-2</v>
      </c>
      <c r="AA74" s="182">
        <v>2.6634324328674852E-2</v>
      </c>
    </row>
    <row r="75" spans="10:27" x14ac:dyDescent="0.2">
      <c r="M75" s="183" t="str">
        <v>obj_001fa#0009</v>
      </c>
      <c r="N75" s="183" t="str">
        <f>_xll.qlRateHelperQuoteName(M75)</f>
        <v>AUDQM3AB3Y_Quote</v>
      </c>
      <c r="O75" s="181">
        <f>_xll.qlRateHelperLatestDate(M75,Trigger)</f>
        <v>42905</v>
      </c>
      <c r="P75" s="191">
        <f>_xll.qlRateHelperQuoteValue(M75,_xll.ohTrigger(RecalcTrigger,YieldCurve))</f>
        <v>2.9575000000000001E-2</v>
      </c>
      <c r="Q75" s="192" t="str">
        <f t="shared" si="11"/>
        <v>3Y</v>
      </c>
      <c r="R75" s="193" t="str">
        <f>_xll.qlSwapIndex(,FamilyName,Q75,1,Currency,Calendar,"3M","Modified Following","actual/365 (fixed)",IborIndex,Discounting,,_xll.ohTrigger(Trigger,RecalcTrigger))</f>
        <v>obj_00253#0029</v>
      </c>
      <c r="S75" s="194">
        <f>_xll.qlIndexFixing(R75,$X$19,TRUE,Trigger)</f>
        <v>2.9564468697955169E-2</v>
      </c>
      <c r="T75" s="212">
        <f t="shared" si="10"/>
        <v>-1.0531302044831242E-5</v>
      </c>
      <c r="W75" s="183" t="str">
        <f t="shared" si="7"/>
        <v>1D</v>
      </c>
      <c r="X75" s="181">
        <f>_xll.qlCalendarAdvance(Calendar,X74,W75,"f",FALSE)</f>
        <v>41886</v>
      </c>
      <c r="Y75" s="184">
        <f>_xll.qlCalendarAdvance(Calendar,X75,NDays&amp;"D")</f>
        <v>41886</v>
      </c>
      <c r="Z75" s="185">
        <v>2.6663953167710419E-2</v>
      </c>
      <c r="AA75" s="182">
        <v>2.6633053509781401E-2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41887</v>
      </c>
      <c r="Y76" s="184">
        <f>_xll.qlCalendarAdvance(Calendar,X76,NDays&amp;"D")</f>
        <v>41887</v>
      </c>
      <c r="Z76" s="185">
        <v>2.6662831707421657E-2</v>
      </c>
      <c r="AA76" s="182">
        <v>2.6632401260795101E-2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41890</v>
      </c>
      <c r="Y77" s="184">
        <f>_xll.qlCalendarAdvance(Calendar,X77,NDays&amp;"D")</f>
        <v>41890</v>
      </c>
      <c r="Z77" s="185">
        <v>2.6659510193735903E-2</v>
      </c>
      <c r="AA77" s="182">
        <v>2.6627809371199129E-2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41891</v>
      </c>
      <c r="Y78" s="184">
        <f>_xll.qlCalendarAdvance(Calendar,X78,NDays&amp;"D")</f>
        <v>41891</v>
      </c>
      <c r="Z78" s="185">
        <v>2.665841828796113E-2</v>
      </c>
      <c r="AA78" s="182">
        <v>2.6626458120841967E-2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41892</v>
      </c>
      <c r="Y79" s="184">
        <f>_xll.qlCalendarAdvance(Calendar,X79,NDays&amp;"D")</f>
        <v>41892</v>
      </c>
      <c r="Z79" s="185">
        <v>2.6657334503110086E-2</v>
      </c>
      <c r="AA79" s="182">
        <v>2.6625090784094807E-2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41893</v>
      </c>
      <c r="Y80" s="184">
        <f>_xll.qlCalendarAdvance(Calendar,X80,NDays&amp;"D")</f>
        <v>41893</v>
      </c>
      <c r="Z80" s="185">
        <v>2.6656259132098275E-2</v>
      </c>
      <c r="AA80" s="182">
        <v>2.6623707361038695E-2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41894</v>
      </c>
      <c r="Y81" s="184">
        <f>_xll.qlCalendarAdvance(Calendar,X81,NDays&amp;"D")</f>
        <v>41894</v>
      </c>
      <c r="Z81" s="185">
        <v>2.6655192467843879E-2</v>
      </c>
      <c r="AA81" s="182">
        <v>2.6622828507218609E-2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41897</v>
      </c>
      <c r="Y82" s="184">
        <f>_xll.qlCalendarAdvance(Calendar,X82,NDays&amp;"D")</f>
        <v>41897</v>
      </c>
      <c r="Z82" s="185">
        <v>2.6652047644787395E-2</v>
      </c>
      <c r="AA82" s="182">
        <v>2.661801280580578E-2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41898</v>
      </c>
      <c r="Y83" s="184">
        <f>_xll.qlCalendarAdvance(Calendar,X83,NDays&amp;"D")</f>
        <v>41898</v>
      </c>
      <c r="Z83" s="185">
        <v>2.6651018736724871E-2</v>
      </c>
      <c r="AA83" s="182">
        <v>2.661654895120491E-2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41899</v>
      </c>
      <c r="Y84" s="184">
        <f>_xll.qlCalendarAdvance(Calendar,X84,NDays&amp;"D")</f>
        <v>41899</v>
      </c>
      <c r="Z84" s="185">
        <v>2.6649999999999088E-2</v>
      </c>
      <c r="AA84" s="182">
        <v>2.6615073423994495E-2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41900</v>
      </c>
      <c r="Y85" s="184">
        <f>_xll.qlCalendarAdvance(Calendar,X85,NDays&amp;"D")</f>
        <v>41900</v>
      </c>
      <c r="Z85" s="185">
        <v>2.6648991746438727E-2</v>
      </c>
      <c r="AA85" s="182">
        <v>2.6613603878810066E-2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41901</v>
      </c>
      <c r="Y86" s="184">
        <f>_xll.qlCalendarAdvance(Calendar,X86,NDays&amp;"D")</f>
        <v>41901</v>
      </c>
      <c r="Z86" s="185">
        <v>2.6647994363511809E-2</v>
      </c>
      <c r="AA86" s="182">
        <v>2.661263956817058E-2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41904</v>
      </c>
      <c r="Y87" s="184">
        <f>_xll.qlCalendarAdvance(Calendar,X87,NDays&amp;"D")</f>
        <v>41904</v>
      </c>
      <c r="Z87" s="185">
        <v>2.6645071502346292E-2</v>
      </c>
      <c r="AA87" s="182">
        <v>2.6607829654921034E-2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41905</v>
      </c>
      <c r="Y88" s="184">
        <f>_xll.qlCalendarAdvance(Calendar,X88,NDays&amp;"D")</f>
        <v>41905</v>
      </c>
      <c r="Z88" s="185">
        <v>2.6644121665763278E-2</v>
      </c>
      <c r="AA88" s="182">
        <v>2.660641208820147E-2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41906</v>
      </c>
      <c r="Y89" s="184">
        <f>_xll.qlCalendarAdvance(Calendar,X89,NDays&amp;"D")</f>
        <v>41906</v>
      </c>
      <c r="Z89" s="185">
        <v>2.6643184731716105E-2</v>
      </c>
      <c r="AA89" s="182">
        <v>2.6605004917207298E-2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41907</v>
      </c>
      <c r="Y90" s="184">
        <f>_xll.qlCalendarAdvance(Calendar,X90,NDays&amp;"D")</f>
        <v>41907</v>
      </c>
      <c r="Z90" s="185">
        <v>2.6644704918021764E-2</v>
      </c>
      <c r="AA90" s="182">
        <v>2.6603608141857471E-2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41908</v>
      </c>
      <c r="Y91" s="184">
        <f>_xll.qlCalendarAdvance(Calendar,X91,NDays&amp;"D")</f>
        <v>41908</v>
      </c>
      <c r="Z91" s="185">
        <v>2.6643200185555545E-2</v>
      </c>
      <c r="AA91" s="182">
        <v>2.6602787934963217E-2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41911</v>
      </c>
      <c r="Y92" s="184">
        <f>_xll.qlCalendarAdvance(Calendar,X92,NDays&amp;"D")</f>
        <v>41911</v>
      </c>
      <c r="Z92" s="185">
        <v>2.663870782279992E-2</v>
      </c>
      <c r="AA92" s="182">
        <v>2.6598124997549988E-2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41912</v>
      </c>
      <c r="Y93" s="184">
        <f>_xll.qlCalendarAdvance(Calendar,X93,NDays&amp;"D")</f>
        <v>41912</v>
      </c>
      <c r="Z93" s="185">
        <v>2.6638504079672592E-2</v>
      </c>
      <c r="AA93" s="182">
        <v>2.6596780200665027E-2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41913</v>
      </c>
      <c r="Y94" s="184">
        <f>_xll.qlCalendarAdvance(Calendar,X94,NDays&amp;"D")</f>
        <v>41913</v>
      </c>
      <c r="Z94" s="185">
        <v>2.6638345467561296E-2</v>
      </c>
      <c r="AA94" s="182">
        <v>2.6595445799505457E-2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41914</v>
      </c>
      <c r="Y95" s="184">
        <f>_xll.qlCalendarAdvance(Calendar,X95,NDays&amp;"D")</f>
        <v>41914</v>
      </c>
      <c r="Z95" s="185">
        <v>2.6636870893078403E-2</v>
      </c>
      <c r="AA95" s="182">
        <v>2.6594121794071279E-2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41915</v>
      </c>
      <c r="Y96" s="184">
        <f>_xll.qlCalendarAdvance(Calendar,X96,NDays&amp;"D")</f>
        <v>41915</v>
      </c>
      <c r="Z96" s="185">
        <v>2.6637465989391689E-2</v>
      </c>
      <c r="AA96" s="182">
        <v>2.65937696836821E-2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41919</v>
      </c>
      <c r="Y97" s="184">
        <f>_xll.qlCalendarAdvance(Calendar,X97,NDays&amp;"D")</f>
        <v>41919</v>
      </c>
      <c r="Z97" s="185">
        <v>2.6633090656831497E-2</v>
      </c>
      <c r="AA97" s="182">
        <v>2.6587657702132894E-2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41920</v>
      </c>
      <c r="Y98" s="184">
        <f>_xll.qlCalendarAdvance(Calendar,X98,NDays&amp;"D")</f>
        <v>41920</v>
      </c>
      <c r="Z98" s="185">
        <v>2.6632389722110711E-2</v>
      </c>
      <c r="AA98" s="182">
        <v>2.6586396070807927E-2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41921</v>
      </c>
      <c r="Y99" s="184">
        <f>_xll.qlCalendarAdvance(Calendar,X99,NDays&amp;"D")</f>
        <v>41921</v>
      </c>
      <c r="Z99" s="185">
        <v>2.6631708096207359E-2</v>
      </c>
      <c r="AA99" s="182">
        <v>2.6585144835208352E-2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41922</v>
      </c>
      <c r="Y100" s="184">
        <f>_xll.qlCalendarAdvance(Calendar,X100,NDays&amp;"D")</f>
        <v>41922</v>
      </c>
      <c r="Z100" s="185">
        <v>2.6632610998314286E-2</v>
      </c>
      <c r="AA100" s="182">
        <v>2.6584613059816485E-2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41925</v>
      </c>
      <c r="Y101" s="184">
        <f>_xll.qlCalendarAdvance(Calendar,X101,NDays&amp;"D")</f>
        <v>41925</v>
      </c>
      <c r="Z101" s="185">
        <v>2.662918272056284E-2</v>
      </c>
      <c r="AA101" s="182">
        <v>2.6580243849739782E-2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41926</v>
      </c>
      <c r="Y102" s="184">
        <f>_xll.qlCalendarAdvance(Calendar,X102,NDays&amp;"D")</f>
        <v>41926</v>
      </c>
      <c r="Z102" s="185">
        <v>2.6628603668590815E-2</v>
      </c>
      <c r="AA102" s="182">
        <v>2.6579044592605072E-2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41927</v>
      </c>
      <c r="Y103" s="184">
        <f>_xll.qlCalendarAdvance(Calendar,X103,NDays&amp;"D")</f>
        <v>41927</v>
      </c>
      <c r="Z103" s="185">
        <v>2.6628046337374419E-2</v>
      </c>
      <c r="AA103" s="182">
        <v>2.6577855731195754E-2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41928</v>
      </c>
      <c r="Y104" s="184">
        <f>_xll.qlCalendarAdvance(Calendar,X104,NDays&amp;"D")</f>
        <v>41928</v>
      </c>
      <c r="Z104" s="185">
        <v>2.6627511128901445E-2</v>
      </c>
      <c r="AA104" s="182">
        <v>2.6576677265349735E-2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41929</v>
      </c>
      <c r="Y105" s="184">
        <f>_xll.qlCalendarAdvance(Calendar,X105,NDays&amp;"D")</f>
        <v>41929</v>
      </c>
      <c r="Z105" s="185">
        <v>2.6628770180537262E-2</v>
      </c>
      <c r="AA105" s="182">
        <v>2.657628981766099E-2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41932</v>
      </c>
      <c r="Y106" s="184">
        <f>_xll.qlCalendarAdvance(Calendar,X106,NDays&amp;"D")</f>
        <v>41932</v>
      </c>
      <c r="Z106" s="185">
        <v>2.6625599562264748E-2</v>
      </c>
      <c r="AA106" s="182">
        <v>2.6572067359300622E-2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41933</v>
      </c>
      <c r="Y107" s="184">
        <f>_xll.qlCalendarAdvance(Calendar,X107,NDays&amp;"D")</f>
        <v>41933</v>
      </c>
      <c r="Z107" s="185">
        <v>2.6625180997369782E-2</v>
      </c>
      <c r="AA107" s="182">
        <v>2.6570940872000515E-2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41934</v>
      </c>
      <c r="Y108" s="184">
        <f>_xll.qlCalendarAdvance(Calendar,X108,NDays&amp;"D")</f>
        <v>41934</v>
      </c>
      <c r="Z108" s="185">
        <v>2.6624786967162601E-2</v>
      </c>
      <c r="AA108" s="182">
        <v>2.6569824780425799E-2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41935</v>
      </c>
      <c r="Y109" s="184">
        <f>_xll.qlCalendarAdvance(Calendar,X109,NDays&amp;"D")</f>
        <v>41935</v>
      </c>
      <c r="Z109" s="185">
        <v>2.6624417873635398E-2</v>
      </c>
      <c r="AA109" s="182">
        <v>2.6568719084576475E-2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41936</v>
      </c>
      <c r="Y110" s="184">
        <f>_xll.qlCalendarAdvance(Calendar,X110,NDays&amp;"D")</f>
        <v>41936</v>
      </c>
      <c r="Z110" s="185">
        <v>2.6627100959486026E-2</v>
      </c>
      <c r="AA110" s="182">
        <v>2.6568476038991339E-2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41939</v>
      </c>
      <c r="Y111" s="184">
        <f>_xll.qlCalendarAdvance(Calendar,X111,NDays&amp;"D")</f>
        <v>41939</v>
      </c>
      <c r="Z111" s="185">
        <v>2.6623198906150912E-2</v>
      </c>
      <c r="AA111" s="182">
        <v>2.6564400257865772E-2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41940</v>
      </c>
      <c r="Y112" s="184">
        <f>_xll.qlCalendarAdvance(Calendar,X112,NDays&amp;"D")</f>
        <v>41940</v>
      </c>
      <c r="Z112" s="185">
        <v>2.6622960525899492E-2</v>
      </c>
      <c r="AA112" s="182">
        <v>2.6563346540319221E-2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41941</v>
      </c>
      <c r="Y113" s="184">
        <f>_xll.qlCalendarAdvance(Calendar,X113,NDays&amp;"D")</f>
        <v>41941</v>
      </c>
      <c r="Z113" s="185">
        <v>2.6622749494282987E-2</v>
      </c>
      <c r="AA113" s="182">
        <v>2.6562303218660155E-2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41942</v>
      </c>
      <c r="Y114" s="184">
        <f>_xll.qlCalendarAdvance(Calendar,X114,NDays&amp;"D")</f>
        <v>41942</v>
      </c>
      <c r="Z114" s="185">
        <v>2.6622566213295354E-2</v>
      </c>
      <c r="AA114" s="182">
        <v>2.6561270292564387E-2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41943</v>
      </c>
      <c r="Y115" s="184">
        <f>_xll.qlCalendarAdvance(Calendar,X115,NDays&amp;"D")</f>
        <v>41943</v>
      </c>
      <c r="Z115" s="185">
        <v>2.6621302546587653E-2</v>
      </c>
      <c r="AA115" s="182">
        <v>2.6561171723699466E-2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41946</v>
      </c>
      <c r="Y116" s="184">
        <f>_xll.qlCalendarAdvance(Calendar,X116,NDays&amp;"D")</f>
        <v>41946</v>
      </c>
      <c r="Z116" s="185">
        <v>2.6622118635526784E-2</v>
      </c>
      <c r="AA116" s="182">
        <v>2.6557242545273141E-2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41947</v>
      </c>
      <c r="Y117" s="184">
        <f>_xll.qlCalendarAdvance(Calendar,X117,NDays&amp;"D")</f>
        <v>41947</v>
      </c>
      <c r="Z117" s="185">
        <v>2.6622080137610492E-2</v>
      </c>
      <c r="AA117" s="182">
        <v>2.6556261597642239E-2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41948</v>
      </c>
      <c r="Y118" s="184">
        <f>_xll.qlCalendarAdvance(Calendar,X118,NDays&amp;"D")</f>
        <v>41948</v>
      </c>
      <c r="Z118" s="185">
        <v>2.6622071802299151E-2</v>
      </c>
      <c r="AA118" s="182">
        <v>2.6555291045736729E-2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41949</v>
      </c>
      <c r="Y119" s="184">
        <f>_xll.qlCalendarAdvance(Calendar,X119,NDays&amp;"D")</f>
        <v>41949</v>
      </c>
      <c r="Z119" s="185">
        <v>2.662209403159024E-2</v>
      </c>
      <c r="AA119" s="182">
        <v>2.6554330889475564E-2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41950</v>
      </c>
      <c r="Y120" s="184">
        <f>_xll.qlCalendarAdvance(Calendar,X120,NDays&amp;"D")</f>
        <v>41950</v>
      </c>
      <c r="Z120" s="185">
        <v>2.6624682454332027E-2</v>
      </c>
      <c r="AA120" s="182">
        <v>2.6554376871677315E-2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41953</v>
      </c>
      <c r="Y121" s="184">
        <f>_xll.qlCalendarAdvance(Calendar,X121,NDays&amp;"D")</f>
        <v>41953</v>
      </c>
      <c r="Z121" s="185">
        <v>2.6622496634770815E-2</v>
      </c>
      <c r="AA121" s="182">
        <v>2.6550594221522728E-2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41954</v>
      </c>
      <c r="Y122" s="184">
        <f>_xll.qlCalendarAdvance(Calendar,X122,NDays&amp;"D")</f>
        <v>41954</v>
      </c>
      <c r="Z122" s="185">
        <v>2.6622677717073277E-2</v>
      </c>
      <c r="AA122" s="182">
        <v>2.6549686043726428E-2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41955</v>
      </c>
      <c r="Y123" s="184">
        <f>_xll.qlCalendarAdvance(Calendar,X123,NDays&amp;"D")</f>
        <v>41955</v>
      </c>
      <c r="Z123" s="185">
        <v>2.6622891775983318E-2</v>
      </c>
      <c r="AA123" s="182">
        <v>2.654878826165552E-2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41956</v>
      </c>
      <c r="Y124" s="184">
        <f>_xll.qlCalendarAdvance(Calendar,X124,NDays&amp;"D")</f>
        <v>41956</v>
      </c>
      <c r="Z124" s="185">
        <v>2.6623139213505471E-2</v>
      </c>
      <c r="AA124" s="182">
        <v>2.6547900875310004E-2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41957</v>
      </c>
      <c r="Y125" s="184">
        <f>_xll.qlCalendarAdvance(Calendar,X125,NDays&amp;"D")</f>
        <v>41957</v>
      </c>
      <c r="Z125" s="185">
        <v>2.6626248021641968E-2</v>
      </c>
      <c r="AA125" s="182">
        <v>2.6548091482843837E-2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41960</v>
      </c>
      <c r="Y126" s="184">
        <f>_xll.qlCalendarAdvance(Calendar,X126,NDays&amp;"D")</f>
        <v>41960</v>
      </c>
      <c r="Z126" s="185">
        <v>2.6624470789814541E-2</v>
      </c>
      <c r="AA126" s="182">
        <v>2.6544455286614532E-2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41961</v>
      </c>
      <c r="Y127" s="184">
        <f>_xll.qlCalendarAdvance(Calendar,X127,NDays&amp;"D")</f>
        <v>41961</v>
      </c>
      <c r="Z127" s="185">
        <v>2.6624891150482784E-2</v>
      </c>
      <c r="AA127" s="182">
        <v>2.6543619878733882E-2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41962</v>
      </c>
      <c r="Y128" s="184">
        <f>_xll.qlCalendarAdvance(Calendar,X128,NDays&amp;"D")</f>
        <v>41962</v>
      </c>
      <c r="Z128" s="185">
        <v>2.6625347301807045E-2</v>
      </c>
      <c r="AA128" s="182">
        <v>2.6542794866497577E-2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41963</v>
      </c>
      <c r="Y129" s="184">
        <f>_xll.qlCalendarAdvance(Calendar,X129,NDays&amp;"D")</f>
        <v>41963</v>
      </c>
      <c r="Z129" s="185">
        <v>2.6625839645796259E-2</v>
      </c>
      <c r="AA129" s="182">
        <v>2.6541980249905617E-2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41964</v>
      </c>
      <c r="Y130" s="184">
        <f>_xll.qlCalendarAdvance(Calendar,X130,NDays&amp;"D")</f>
        <v>41964</v>
      </c>
      <c r="Z130" s="185">
        <v>2.6629502614389882E-2</v>
      </c>
      <c r="AA130" s="182">
        <v>2.6542315557172017E-2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41967</v>
      </c>
      <c r="Y131" s="184">
        <f>_xll.qlCalendarAdvance(Calendar,X131,NDays&amp;"D")</f>
        <v>41967</v>
      </c>
      <c r="Z131" s="185">
        <v>2.6628178988672035E-2</v>
      </c>
      <c r="AA131" s="182">
        <v>2.6538825740548555E-2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41968</v>
      </c>
      <c r="Y132" s="184">
        <f>_xll.qlCalendarAdvance(Calendar,X132,NDays&amp;"D")</f>
        <v>41968</v>
      </c>
      <c r="Z132" s="185">
        <v>2.6628858326197533E-2</v>
      </c>
      <c r="AA132" s="182">
        <v>2.6538063102502507E-2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41969</v>
      </c>
      <c r="Y133" s="184">
        <f>_xll.qlCalendarAdvance(Calendar,X133,NDays&amp;"D")</f>
        <v>41969</v>
      </c>
      <c r="Z133" s="185">
        <v>2.6629576268480341E-2</v>
      </c>
      <c r="AA133" s="182">
        <v>2.6537310860019758E-2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41970</v>
      </c>
      <c r="Y134" s="184">
        <f>_xll.qlCalendarAdvance(Calendar,X134,NDays&amp;"D")</f>
        <v>41970</v>
      </c>
      <c r="Z134" s="185">
        <v>2.6630333217541734E-2</v>
      </c>
      <c r="AA134" s="182">
        <v>2.6536569013343447E-2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41971</v>
      </c>
      <c r="Y135" s="184">
        <f>_xll.qlCalendarAdvance(Calendar,X135,NDays&amp;"D")</f>
        <v>41971</v>
      </c>
      <c r="Z135" s="185">
        <v>2.6629427556036488E-2</v>
      </c>
      <c r="AA135" s="182">
        <v>2.6537049094526775E-2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41974</v>
      </c>
      <c r="Y136" s="184">
        <f>_xll.qlCalendarAdvance(Calendar,X136,NDays&amp;"D")</f>
        <v>41974</v>
      </c>
      <c r="Z136" s="185">
        <v>2.6631987777278689E-2</v>
      </c>
      <c r="AA136" s="182">
        <v>2.6533705583324796E-2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41975</v>
      </c>
      <c r="Y137" s="184">
        <f>_xll.qlCalendarAdvance(Calendar,X137,NDays&amp;"D")</f>
        <v>41975</v>
      </c>
      <c r="Z137" s="185">
        <v>2.663114384842253E-2</v>
      </c>
      <c r="AA137" s="182">
        <v>2.6533015715032304E-2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41976</v>
      </c>
      <c r="Y138" s="184">
        <f>_xll.qlCalendarAdvance(Calendar,X138,NDays&amp;"D")</f>
        <v>41976</v>
      </c>
      <c r="Z138" s="185">
        <v>2.6632096632463652E-2</v>
      </c>
      <c r="AA138" s="182">
        <v>2.6532336242465204E-2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41977</v>
      </c>
      <c r="Y139" s="184">
        <f>_xll.qlCalendarAdvance(Calendar,X139,NDays&amp;"D")</f>
        <v>41977</v>
      </c>
      <c r="Z139" s="185">
        <v>2.6633091106288372E-2</v>
      </c>
      <c r="AA139" s="182">
        <v>2.653166716554245E-2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41978</v>
      </c>
      <c r="Y140" s="184">
        <f>_xll.qlCalendarAdvance(Calendar,X140,NDays&amp;"D")</f>
        <v>41978</v>
      </c>
      <c r="Z140" s="185">
        <v>2.6634127680800437E-2</v>
      </c>
      <c r="AA140" s="182">
        <v>2.6532292094854085E-2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41981</v>
      </c>
      <c r="Y141" s="184">
        <f>_xll.qlCalendarAdvance(Calendar,X141,NDays&amp;"D")</f>
        <v>41981</v>
      </c>
      <c r="Z141" s="185">
        <v>2.6639413605768499E-2</v>
      </c>
      <c r="AA141" s="182">
        <v>2.6529094814781162E-2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41982</v>
      </c>
      <c r="Y142" s="184">
        <f>_xll.qlCalendarAdvance(Calendar,X142,NDays&amp;"D")</f>
        <v>41982</v>
      </c>
      <c r="Z142" s="185">
        <v>2.6638703203858232E-2</v>
      </c>
      <c r="AA142" s="182">
        <v>2.652847771640432E-2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41983</v>
      </c>
      <c r="Y143" s="184">
        <f>_xll.qlCalendarAdvance(Calendar,X143,NDays&amp;"D")</f>
        <v>41983</v>
      </c>
      <c r="Z143" s="185">
        <v>2.6639956445424398E-2</v>
      </c>
      <c r="AA143" s="182">
        <v>2.6527871013590776E-2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41984</v>
      </c>
      <c r="Y144" s="184">
        <f>_xll.qlCalendarAdvance(Calendar,X144,NDays&amp;"D")</f>
        <v>41984</v>
      </c>
      <c r="Z144" s="185">
        <v>2.6641254253139089E-2</v>
      </c>
      <c r="AA144" s="182">
        <v>2.6527274706502624E-2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41985</v>
      </c>
      <c r="Y145" s="184">
        <f>_xll.qlCalendarAdvance(Calendar,X145,NDays&amp;"D")</f>
        <v>41985</v>
      </c>
      <c r="Z145" s="185">
        <v>2.6642597037916854E-2</v>
      </c>
      <c r="AA145" s="182">
        <v>2.6528044558099911E-2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41988</v>
      </c>
      <c r="Y146" s="184">
        <f>_xll.qlCalendarAdvance(Calendar,X146,NDays&amp;"D")</f>
        <v>41988</v>
      </c>
      <c r="Z146" s="185">
        <v>2.6648985054916679E-2</v>
      </c>
      <c r="AA146" s="182">
        <v>2.6524993435079747E-2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41989</v>
      </c>
      <c r="Y147" s="184">
        <f>_xll.qlCalendarAdvance(Calendar,X147,NDays&amp;"D")</f>
        <v>41989</v>
      </c>
      <c r="Z147" s="185">
        <v>2.6648426166077509E-2</v>
      </c>
      <c r="AA147" s="182">
        <v>2.652444910645646E-2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41990</v>
      </c>
      <c r="Y148" s="184">
        <f>_xll.qlCalendarAdvance(Calendar,X148,NDays&amp;"D")</f>
        <v>41990</v>
      </c>
      <c r="Z148" s="185">
        <v>2.6649999999999646E-2</v>
      </c>
      <c r="AA148" s="182">
        <v>2.6523921296848219E-2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41991</v>
      </c>
      <c r="Y149" s="184">
        <f>_xll.qlCalendarAdvance(Calendar,X149,NDays&amp;"D")</f>
        <v>41991</v>
      </c>
      <c r="Z149" s="185">
        <v>2.6651621270979916E-2</v>
      </c>
      <c r="AA149" s="182">
        <v>2.6523434499575727E-2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41992</v>
      </c>
      <c r="Y150" s="184">
        <f>_xll.qlCalendarAdvance(Calendar,X150,NDays&amp;"D")</f>
        <v>41992</v>
      </c>
      <c r="Z150" s="185">
        <v>2.6653290362206934E-2</v>
      </c>
      <c r="AA150" s="182">
        <v>2.6524545328950509E-2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41995</v>
      </c>
      <c r="Y151" s="184">
        <f>_xll.qlCalendarAdvance(Calendar,X151,NDays&amp;"D")</f>
        <v>41995</v>
      </c>
      <c r="Z151" s="185">
        <v>2.6660846509948731E-2</v>
      </c>
      <c r="AA151" s="182">
        <v>2.6521958667469203E-2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41996</v>
      </c>
      <c r="Y152" s="184">
        <f>_xll.qlCalendarAdvance(Calendar,X152,NDays&amp;"D")</f>
        <v>41996</v>
      </c>
      <c r="Z152" s="185">
        <v>2.6660452482394386E-2</v>
      </c>
      <c r="AA152" s="182">
        <v>2.652170754864791E-2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41997</v>
      </c>
      <c r="Y153" s="184">
        <f>_xll.qlCalendarAdvance(Calendar,X153,NDays&amp;"D")</f>
        <v>41997</v>
      </c>
      <c r="Z153" s="185">
        <v>2.6662366339488597E-2</v>
      </c>
      <c r="AA153" s="182">
        <v>2.652513855095795E-2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42002</v>
      </c>
      <c r="Y154" s="184">
        <f>_xll.qlCalendarAdvance(Calendar,X154,NDays&amp;"D")</f>
        <v>42002</v>
      </c>
      <c r="Z154" s="185">
        <v>2.6675142157161606E-2</v>
      </c>
      <c r="AA154" s="182">
        <v>2.6521190685312446E-2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42003</v>
      </c>
      <c r="Y155" s="184">
        <f>_xll.qlCalendarAdvance(Calendar,X155,NDays&amp;"D")</f>
        <v>42003</v>
      </c>
      <c r="Z155" s="185">
        <v>2.6674914508539094E-2</v>
      </c>
      <c r="AA155" s="182">
        <v>2.652126951635525E-2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42004</v>
      </c>
      <c r="Y156" s="184">
        <f>_xll.qlCalendarAdvance(Calendar,X156,NDays&amp;"D")</f>
        <v>42004</v>
      </c>
      <c r="Z156" s="185">
        <v>2.6677186899295942E-2</v>
      </c>
      <c r="AA156" s="182">
        <v>2.6522445580881016E-2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42006</v>
      </c>
      <c r="Y157" s="184">
        <f>_xll.qlCalendarAdvance(Calendar,X157,NDays&amp;"D")</f>
        <v>42006</v>
      </c>
      <c r="Z157" s="185">
        <v>2.6681890247747253E-2</v>
      </c>
      <c r="AA157" s="182">
        <v>2.6523999134857961E-2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42009</v>
      </c>
      <c r="Y158" s="184">
        <f>_xll.qlCalendarAdvance(Calendar,X158,NDays&amp;"D")</f>
        <v>42009</v>
      </c>
      <c r="Z158" s="185">
        <v>2.6694675903218806E-2</v>
      </c>
      <c r="AA158" s="182">
        <v>2.6522732352042278E-2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42010</v>
      </c>
      <c r="Y159" s="184">
        <f>_xll.qlCalendarAdvance(Calendar,X159,NDays&amp;"D")</f>
        <v>42010</v>
      </c>
      <c r="Z159" s="185">
        <v>2.6694625627283253E-2</v>
      </c>
      <c r="AA159" s="182">
        <v>2.652314113294918E-2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42011</v>
      </c>
      <c r="Y160" s="184">
        <f>_xll.qlCalendarAdvance(Calendar,X160,NDays&amp;"D")</f>
        <v>42011</v>
      </c>
      <c r="Z160" s="185">
        <v>2.6694591217649093E-2</v>
      </c>
      <c r="AA160" s="182">
        <v>2.6523597049481484E-2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42012</v>
      </c>
      <c r="Y161" s="184">
        <f>_xll.qlCalendarAdvance(Calendar,X161,NDays&amp;"D")</f>
        <v>42012</v>
      </c>
      <c r="Z161" s="185">
        <v>2.6697296021469086E-2</v>
      </c>
      <c r="AA161" s="182">
        <v>2.6524100101720238E-2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42013</v>
      </c>
      <c r="Y162" s="184">
        <f>_xll.qlCalendarAdvance(Calendar,X162,NDays&amp;"D")</f>
        <v>42013</v>
      </c>
      <c r="Z162" s="185">
        <v>2.6700056576515949E-2</v>
      </c>
      <c r="AA162" s="182">
        <v>2.6527191014601069E-2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42016</v>
      </c>
      <c r="Y163" s="184">
        <f>_xll.qlCalendarAdvance(Calendar,X163,NDays&amp;"D")</f>
        <v>42016</v>
      </c>
      <c r="Z163" s="185">
        <v>2.6711549967335088E-2</v>
      </c>
      <c r="AA163" s="182">
        <v>2.6526583667658699E-2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42017</v>
      </c>
      <c r="Y164" s="184">
        <f>_xll.qlCalendarAdvance(Calendar,X164,NDays&amp;"D")</f>
        <v>42017</v>
      </c>
      <c r="Z164" s="185">
        <v>2.6711663863000563E-2</v>
      </c>
      <c r="AA164" s="182">
        <v>2.6527322398348652E-2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42018</v>
      </c>
      <c r="Y165" s="184">
        <f>_xll.qlCalendarAdvance(Calendar,X165,NDays&amp;"D")</f>
        <v>42018</v>
      </c>
      <c r="Z165" s="185">
        <v>2.6714708839731038E-2</v>
      </c>
      <c r="AA165" s="182">
        <v>2.6528108264745054E-2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42019</v>
      </c>
      <c r="Y166" s="184">
        <f>_xll.qlCalendarAdvance(Calendar,X166,NDays&amp;"D")</f>
        <v>42019</v>
      </c>
      <c r="Z166" s="185">
        <v>2.6717811833929704E-2</v>
      </c>
      <c r="AA166" s="182">
        <v>2.6528941266847905E-2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42020</v>
      </c>
      <c r="Y167" s="184">
        <f>_xll.qlCalendarAdvance(Calendar,X167,NDays&amp;"D")</f>
        <v>42020</v>
      </c>
      <c r="Z167" s="185">
        <v>2.6720973223317249E-2</v>
      </c>
      <c r="AA167" s="182">
        <v>2.6532692879113567E-2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42023</v>
      </c>
      <c r="Y168" s="184">
        <f>_xll.qlCalendarAdvance(Calendar,X168,NDays&amp;"D")</f>
        <v>42023</v>
      </c>
      <c r="Z168" s="185">
        <v>2.6733918398470807E-2</v>
      </c>
      <c r="AA168" s="182">
        <v>2.6532744632161709E-2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42024</v>
      </c>
      <c r="Y169" s="184">
        <f>_xll.qlCalendarAdvance(Calendar,X169,NDays&amp;"D")</f>
        <v>42024</v>
      </c>
      <c r="Z169" s="185">
        <v>2.673421028726829E-2</v>
      </c>
      <c r="AA169" s="182">
        <v>2.6533813312715759E-2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42025</v>
      </c>
      <c r="Y170" s="184">
        <f>_xll.qlCalendarAdvance(Calendar,X170,NDays&amp;"D")</f>
        <v>42025</v>
      </c>
      <c r="Z170" s="185">
        <v>2.673766931851872E-2</v>
      </c>
      <c r="AA170" s="182">
        <v>2.6534929128976259E-2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42026</v>
      </c>
      <c r="Y171" s="184">
        <f>_xll.qlCalendarAdvance(Calendar,X171,NDays&amp;"D")</f>
        <v>42026</v>
      </c>
      <c r="Z171" s="185">
        <v>2.6741189011352438E-2</v>
      </c>
      <c r="AA171" s="182">
        <v>2.6536092081024254E-2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42027</v>
      </c>
      <c r="Y172" s="184">
        <f>_xll.qlCalendarAdvance(Calendar,X172,NDays&amp;"D")</f>
        <v>42027</v>
      </c>
      <c r="Z172" s="185">
        <v>2.6744769743514449E-2</v>
      </c>
      <c r="AA172" s="182">
        <v>2.6542129790627089E-2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42031</v>
      </c>
      <c r="Y173" s="184">
        <f>_xll.qlCalendarAdvance(Calendar,X173,NDays&amp;"D")</f>
        <v>42031</v>
      </c>
      <c r="Z173" s="185">
        <v>2.6759710620523923E-2</v>
      </c>
      <c r="AA173" s="182">
        <v>2.6542613876212595E-2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42032</v>
      </c>
      <c r="Y174" s="184">
        <f>_xll.qlCalendarAdvance(Calendar,X174,NDays&amp;"D")</f>
        <v>42032</v>
      </c>
      <c r="Z174" s="185">
        <v>2.6763602215668231E-2</v>
      </c>
      <c r="AA174" s="182">
        <v>2.6544059642337192E-2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42033</v>
      </c>
      <c r="Y175" s="184">
        <f>_xll.qlCalendarAdvance(Calendar,X175,NDays&amp;"D")</f>
        <v>42033</v>
      </c>
      <c r="Z175" s="185">
        <v>2.6767557116705434E-2</v>
      </c>
      <c r="AA175" s="182">
        <v>2.6545552544168238E-2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42034</v>
      </c>
      <c r="Y176" s="184">
        <f>_xll.qlCalendarAdvance(Calendar,X176,NDays&amp;"D")</f>
        <v>42034</v>
      </c>
      <c r="Z176" s="185">
        <v>2.6771575701411164E-2</v>
      </c>
      <c r="AA176" s="182">
        <v>2.655062656363542E-2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42037</v>
      </c>
      <c r="Y177" s="184">
        <f>_xll.qlCalendarAdvance(Calendar,X177,NDays&amp;"D")</f>
        <v>42037</v>
      </c>
      <c r="Z177" s="185">
        <v>2.6787625046270112E-2</v>
      </c>
      <c r="AA177" s="182">
        <v>2.6551995508556914E-2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42038</v>
      </c>
      <c r="Y178" s="184">
        <f>_xll.qlCalendarAdvance(Calendar,X178,NDays&amp;"D")</f>
        <v>42038</v>
      </c>
      <c r="Z178" s="185">
        <v>2.678829443259122E-2</v>
      </c>
      <c r="AA178" s="182">
        <v>2.6553724088920205E-2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42039</v>
      </c>
      <c r="Y179" s="184">
        <f>_xll.qlCalendarAdvance(Calendar,X179,NDays&amp;"D")</f>
        <v>42039</v>
      </c>
      <c r="Z179" s="185">
        <v>2.6788981157952824E-2</v>
      </c>
      <c r="AA179" s="182">
        <v>2.6555499804989946E-2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42040</v>
      </c>
      <c r="Y180" s="184">
        <f>_xll.qlCalendarAdvance(Calendar,X180,NDays&amp;"D")</f>
        <v>42040</v>
      </c>
      <c r="Z180" s="185">
        <v>2.6793352221628691E-2</v>
      </c>
      <c r="AA180" s="182">
        <v>2.6557322656766136E-2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42041</v>
      </c>
      <c r="Y181" s="184">
        <f>_xll.qlCalendarAdvance(Calendar,X181,NDays&amp;"D")</f>
        <v>42041</v>
      </c>
      <c r="Z181" s="185">
        <v>2.6797789438806736E-2</v>
      </c>
      <c r="AA181" s="182">
        <v>2.6563058384725394E-2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42044</v>
      </c>
      <c r="Y182" s="184">
        <f>_xll.qlCalendarAdvance(Calendar,X182,NDays&amp;"D")</f>
        <v>42044</v>
      </c>
      <c r="Z182" s="185">
        <v>2.6819219585345697E-2</v>
      </c>
      <c r="AA182" s="182">
        <v>2.656508542085434E-2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42045</v>
      </c>
      <c r="Y183" s="184">
        <f>_xll.qlCalendarAdvance(Calendar,X183,NDays&amp;"D")</f>
        <v>42045</v>
      </c>
      <c r="Z183" s="185">
        <v>2.6820091303719196E-2</v>
      </c>
      <c r="AA183" s="182">
        <v>2.6567143951081729E-2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42046</v>
      </c>
      <c r="Y184" s="184">
        <f>_xll.qlCalendarAdvance(Calendar,X184,NDays&amp;"D")</f>
        <v>42046</v>
      </c>
      <c r="Z184" s="185">
        <v>2.6820981198205866E-2</v>
      </c>
      <c r="AA184" s="182">
        <v>2.6569249617096613E-2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42047</v>
      </c>
      <c r="Y185" s="184">
        <f>_xll.qlCalendarAdvance(Calendar,X185,NDays&amp;"D")</f>
        <v>42047</v>
      </c>
      <c r="Z185" s="185">
        <v>2.6825823359049924E-2</v>
      </c>
      <c r="AA185" s="182">
        <v>2.65714024187369E-2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42048</v>
      </c>
      <c r="Y186" s="184">
        <f>_xll.qlCalendarAdvance(Calendar,X186,NDays&amp;"D")</f>
        <v>42048</v>
      </c>
      <c r="Z186" s="185">
        <v>2.6830734347659344E-2</v>
      </c>
      <c r="AA186" s="182">
        <v>2.6577800192610915E-2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42051</v>
      </c>
      <c r="Y187" s="184">
        <f>_xll.qlCalendarAdvance(Calendar,X187,NDays&amp;"D")</f>
        <v>42051</v>
      </c>
      <c r="Z187" s="185">
        <v>2.6854145834539624E-2</v>
      </c>
      <c r="AA187" s="182">
        <v>2.6580484982686725E-2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42052</v>
      </c>
      <c r="Y188" s="184">
        <f>_xll.qlCalendarAdvance(Calendar,X188,NDays&amp;"D")</f>
        <v>42052</v>
      </c>
      <c r="Z188" s="185">
        <v>2.6855230825576282E-2</v>
      </c>
      <c r="AA188" s="182">
        <v>2.658287346302135E-2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42053</v>
      </c>
      <c r="Y189" s="184">
        <f>_xll.qlCalendarAdvance(Calendar,X189,NDays&amp;"D")</f>
        <v>42053</v>
      </c>
      <c r="Z189" s="185">
        <v>2.6856335079408836E-2</v>
      </c>
      <c r="AA189" s="182">
        <v>2.6585309078981378E-2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42054</v>
      </c>
      <c r="Y190" s="184">
        <f>_xll.qlCalendarAdvance(Calendar,X190,NDays&amp;"D")</f>
        <v>42054</v>
      </c>
      <c r="Z190" s="185">
        <v>2.6861667058018283E-2</v>
      </c>
      <c r="AA190" s="182">
        <v>2.6587791830647856E-2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42055</v>
      </c>
      <c r="Y191" s="184">
        <f>_xll.qlCalendarAdvance(Calendar,X191,NDays&amp;"D")</f>
        <v>42055</v>
      </c>
      <c r="Z191" s="185">
        <v>2.6867070538913979E-2</v>
      </c>
      <c r="AA191" s="182">
        <v>2.6594851988102446E-2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42058</v>
      </c>
      <c r="Y192" s="184">
        <f>_xll.qlCalendarAdvance(Calendar,X192,NDays&amp;"D")</f>
        <v>42058</v>
      </c>
      <c r="Z192" s="185">
        <v>2.6892531984185123E-2</v>
      </c>
      <c r="AA192" s="182">
        <v>2.6598194194621394E-2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42059</v>
      </c>
      <c r="Y193" s="184">
        <f>_xll.qlCalendarAdvance(Calendar,X193,NDays&amp;"D")</f>
        <v>42059</v>
      </c>
      <c r="Z193" s="185">
        <v>2.6893842602293133E-2</v>
      </c>
      <c r="AA193" s="182">
        <v>2.6600912624901163E-2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42060</v>
      </c>
      <c r="Y194" s="184">
        <f>_xll.qlCalendarAdvance(Calendar,X194,NDays&amp;"D")</f>
        <v>42060</v>
      </c>
      <c r="Z194" s="185">
        <v>2.6895173851258707E-2</v>
      </c>
      <c r="AA194" s="182">
        <v>2.6603678190887381E-2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42061</v>
      </c>
      <c r="Y195" s="184">
        <f>_xll.qlCalendarAdvance(Calendar,X195,NDays&amp;"D")</f>
        <v>42061</v>
      </c>
      <c r="Z195" s="185">
        <v>2.6901014370100264E-2</v>
      </c>
      <c r="AA195" s="182">
        <v>2.6606490892661094E-2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42062</v>
      </c>
      <c r="Y196" s="184">
        <f>_xll.qlCalendarAdvance(Calendar,X196,NDays&amp;"D")</f>
        <v>42062</v>
      </c>
      <c r="Z196" s="185">
        <v>2.6916069688877213E-2</v>
      </c>
      <c r="AA196" s="182">
        <v>2.6614213772145533E-2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42065</v>
      </c>
      <c r="Y197" s="184">
        <f>_xll.qlCalendarAdvance(Calendar,X197,NDays&amp;"D")</f>
        <v>42065</v>
      </c>
      <c r="Z197" s="185">
        <v>2.6939239876950634E-2</v>
      </c>
      <c r="AA197" s="182">
        <v>2.6618213056820439E-2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42066</v>
      </c>
      <c r="Y198" s="184">
        <f>_xll.qlCalendarAdvance(Calendar,X198,NDays&amp;"D")</f>
        <v>42066</v>
      </c>
      <c r="Z198" s="185">
        <v>2.6945577344664146E-2</v>
      </c>
      <c r="AA198" s="182">
        <v>2.6621261437126398E-2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42067</v>
      </c>
      <c r="Y199" s="184">
        <f>_xll.qlCalendarAdvance(Calendar,X199,NDays&amp;"D")</f>
        <v>42067</v>
      </c>
      <c r="Z199" s="185">
        <v>2.6951991092271182E-2</v>
      </c>
      <c r="AA199" s="182">
        <v>2.6624356953219852E-2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42068</v>
      </c>
      <c r="Y200" s="184">
        <f>_xll.qlCalendarAdvance(Calendar,X200,NDays&amp;"D")</f>
        <v>42068</v>
      </c>
      <c r="Z200" s="185">
        <v>2.6958481489595613E-2</v>
      </c>
      <c r="AA200" s="182">
        <v>2.6627499605019755E-2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42069</v>
      </c>
      <c r="Y201" s="184">
        <f>_xll.qlCalendarAdvance(Calendar,X201,NDays&amp;"D")</f>
        <v>42069</v>
      </c>
      <c r="Z201" s="185">
        <v>2.6979906634701799E-2</v>
      </c>
      <c r="AA201" s="182">
        <v>2.6635885545901832E-2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42072</v>
      </c>
      <c r="Y202" s="184">
        <f>_xll.qlCalendarAdvance(Calendar,X202,NDays&amp;"D")</f>
        <v>42072</v>
      </c>
      <c r="Z202" s="185">
        <v>2.6985216972719099E-2</v>
      </c>
      <c r="AA202" s="182">
        <v>2.6640541569608045E-2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42073</v>
      </c>
      <c r="Y203" s="184">
        <f>_xll.qlCalendarAdvance(Calendar,X203,NDays&amp;"D")</f>
        <v>42073</v>
      </c>
      <c r="Z203" s="185">
        <v>2.6992096166186755E-2</v>
      </c>
      <c r="AA203" s="182">
        <v>2.6643919900102286E-2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42074</v>
      </c>
      <c r="Y204" s="184">
        <f>_xll.qlCalendarAdvance(Calendar,X204,NDays&amp;"D")</f>
        <v>42074</v>
      </c>
      <c r="Z204" s="185">
        <v>2.6999054228446288E-2</v>
      </c>
      <c r="AA204" s="182">
        <v>2.6647345366384023E-2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42075</v>
      </c>
      <c r="Y205" s="184">
        <f>_xll.qlCalendarAdvance(Calendar,X205,NDays&amp;"D")</f>
        <v>42075</v>
      </c>
      <c r="Z205" s="185">
        <v>2.7006091529366488E-2</v>
      </c>
      <c r="AA205" s="182">
        <v>2.6650817968291163E-2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42076</v>
      </c>
      <c r="Y206" s="184">
        <f>_xll.qlCalendarAdvance(Calendar,X206,NDays&amp;"D")</f>
        <v>42076</v>
      </c>
      <c r="Z206" s="185">
        <v>2.7023661546827428E-2</v>
      </c>
      <c r="AA206" s="182">
        <v>2.6659867310587042E-2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42079</v>
      </c>
      <c r="Y207" s="184">
        <f>_xll.qlCalendarAdvance(Calendar,X207,NDays&amp;"D")</f>
        <v>42079</v>
      </c>
      <c r="Z207" s="185">
        <v>2.7035040517343536E-2</v>
      </c>
      <c r="AA207" s="182">
        <v>2.6665179733551536E-2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42080</v>
      </c>
      <c r="Y208" s="184">
        <f>_xll.qlCalendarAdvance(Calendar,X208,NDays&amp;"D")</f>
        <v>42080</v>
      </c>
      <c r="Z208" s="185">
        <v>2.7042479559894157E-2</v>
      </c>
      <c r="AA208" s="182">
        <v>2.6668893641358382E-2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42081</v>
      </c>
      <c r="Y209" s="184">
        <f>_xll.qlCalendarAdvance(Calendar,X209,NDays&amp;"D")</f>
        <v>42081</v>
      </c>
      <c r="Z209" s="185">
        <v>2.7049999998910695E-2</v>
      </c>
      <c r="AA209" s="182">
        <v>2.6672682820736426E-2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42082</v>
      </c>
      <c r="Y210" s="184">
        <f>_xll.qlCalendarAdvance(Calendar,X210,NDays&amp;"D")</f>
        <v>42082</v>
      </c>
      <c r="Z210" s="185">
        <v>2.7057601730038142E-2</v>
      </c>
      <c r="AA210" s="182">
        <v>2.6676552898566852E-2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42083</v>
      </c>
      <c r="Y211" s="184">
        <f>_xll.qlCalendarAdvance(Calendar,X211,NDays&amp;"D")</f>
        <v>42083</v>
      </c>
      <c r="Z211" s="185">
        <v>2.7076305852836983E-2</v>
      </c>
      <c r="AA211" s="182">
        <v>2.6686513629415508E-2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42086</v>
      </c>
      <c r="Y212" s="184">
        <f>_xll.qlCalendarAdvance(Calendar,X212,NDays&amp;"D")</f>
        <v>42086</v>
      </c>
      <c r="Z212" s="185">
        <v>2.7088803281842024E-2</v>
      </c>
      <c r="AA212" s="182">
        <v>2.669284219635748E-2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42087</v>
      </c>
      <c r="Y213" s="184">
        <f>_xll.qlCalendarAdvance(Calendar,X213,NDays&amp;"D")</f>
        <v>42087</v>
      </c>
      <c r="Z213" s="185">
        <v>2.7096797337158605E-2</v>
      </c>
      <c r="AA213" s="182">
        <v>2.6697116767260276E-2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42088</v>
      </c>
      <c r="Y214" s="184">
        <f>_xll.qlCalendarAdvance(Calendar,X214,NDays&amp;"D")</f>
        <v>42088</v>
      </c>
      <c r="Z214" s="185">
        <v>2.7104866863626381E-2</v>
      </c>
      <c r="AA214" s="182">
        <v>2.6701472236858592E-2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42089</v>
      </c>
      <c r="Y215" s="184">
        <f>_xll.qlCalendarAdvance(Calendar,X215,NDays&amp;"D")</f>
        <v>42089</v>
      </c>
      <c r="Z215" s="185">
        <v>2.7113010863342744E-2</v>
      </c>
      <c r="AA215" s="182">
        <v>2.6705908605152429E-2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42090</v>
      </c>
      <c r="Y216" s="184">
        <f>_xll.qlCalendarAdvance(Calendar,X216,NDays&amp;"D")</f>
        <v>42090</v>
      </c>
      <c r="Z216" s="185">
        <v>2.7132742502993908E-2</v>
      </c>
      <c r="AA216" s="182">
        <v>2.671700637725594E-2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42093</v>
      </c>
      <c r="Y217" s="184">
        <f>_xll.qlCalendarAdvance(Calendar,X217,NDays&amp;"D")</f>
        <v>42093</v>
      </c>
      <c r="Z217" s="185">
        <v>2.7146311636463451E-2</v>
      </c>
      <c r="AA217" s="182">
        <v>2.6724463064391468E-2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42094</v>
      </c>
      <c r="Y218" s="184">
        <f>_xll.qlCalendarAdvance(Calendar,X218,NDays&amp;"D")</f>
        <v>42094</v>
      </c>
      <c r="Z218" s="185">
        <v>2.7148959550492142E-2</v>
      </c>
      <c r="AA218" s="182">
        <v>2.6729303925838721E-2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42095</v>
      </c>
      <c r="Y219" s="184">
        <f>_xll.qlCalendarAdvance(Calendar,X219,NDays&amp;"D")</f>
        <v>42095</v>
      </c>
      <c r="Z219" s="185">
        <v>2.7157500187907538E-2</v>
      </c>
      <c r="AA219" s="182">
        <v>2.6734225685819402E-2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42096</v>
      </c>
      <c r="Y220" s="184">
        <f>_xll.qlCalendarAdvance(Calendar,X220,NDays&amp;"D")</f>
        <v>42096</v>
      </c>
      <c r="Z220" s="185">
        <v>2.7166109163400839E-2</v>
      </c>
      <c r="AA220" s="182">
        <v>2.6753478304466505E-2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42101</v>
      </c>
      <c r="Y221" s="184">
        <f>_xll.qlCalendarAdvance(Calendar,X221,NDays&amp;"D")</f>
        <v>42101</v>
      </c>
      <c r="Z221" s="185">
        <v>2.7210143802577871E-2</v>
      </c>
      <c r="AA221" s="182">
        <v>2.676545511790418E-2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42102</v>
      </c>
      <c r="Y222" s="184">
        <f>_xll.qlCalendarAdvance(Calendar,X222,NDays&amp;"D")</f>
        <v>42102</v>
      </c>
      <c r="Z222" s="185">
        <v>2.7219141620787878E-2</v>
      </c>
      <c r="AA222" s="182">
        <v>2.677094316859141E-2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42103</v>
      </c>
      <c r="Y223" s="184">
        <f>_xll.qlCalendarAdvance(Calendar,X223,NDays&amp;"D")</f>
        <v>42103</v>
      </c>
      <c r="Z223" s="185">
        <v>2.722820071510634E-2</v>
      </c>
      <c r="AA223" s="182">
        <v>2.6776512117893114E-2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42104</v>
      </c>
      <c r="Y224" s="184">
        <f>_xll.qlCalendarAdvance(Calendar,X224,NDays&amp;"D")</f>
        <v>42104</v>
      </c>
      <c r="Z224" s="185">
        <v>2.7237320076656673E-2</v>
      </c>
      <c r="AA224" s="182">
        <v>2.6789885734155309E-2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42107</v>
      </c>
      <c r="Y225" s="184">
        <f>_xll.qlCalendarAdvance(Calendar,X225,NDays&amp;"D")</f>
        <v>42107</v>
      </c>
      <c r="Z225" s="185">
        <v>2.7265029675840591E-2</v>
      </c>
      <c r="AA225" s="182">
        <v>2.679959690213618E-2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42108</v>
      </c>
      <c r="Y226" s="184">
        <f>_xll.qlCalendarAdvance(Calendar,X226,NDays&amp;"D")</f>
        <v>42108</v>
      </c>
      <c r="Z226" s="185">
        <v>2.7274380017426245E-2</v>
      </c>
      <c r="AA226" s="182">
        <v>2.6805570344915486E-2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42109</v>
      </c>
      <c r="Y227" s="184">
        <f>_xll.qlCalendarAdvance(Calendar,X227,NDays&amp;"D")</f>
        <v>42109</v>
      </c>
      <c r="Z227" s="185">
        <v>2.7283785581762948E-2</v>
      </c>
      <c r="AA227" s="182">
        <v>2.6811624686309266E-2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42110</v>
      </c>
      <c r="Y228" s="184">
        <f>_xll.qlCalendarAdvance(Calendar,X228,NDays&amp;"D")</f>
        <v>42110</v>
      </c>
      <c r="Z228" s="185">
        <v>2.7293245359934049E-2</v>
      </c>
      <c r="AA228" s="182">
        <v>2.6817759926479612E-2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42111</v>
      </c>
      <c r="Y229" s="184">
        <f>_xll.qlCalendarAdvance(Calendar,X229,NDays&amp;"D")</f>
        <v>42111</v>
      </c>
      <c r="Z229" s="185">
        <v>2.730275834301488E-2</v>
      </c>
      <c r="AA229" s="182">
        <v>2.6832272350346319E-2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42114</v>
      </c>
      <c r="Y230" s="184">
        <f>_xll.qlCalendarAdvance(Calendar,X230,NDays&amp;"D")</f>
        <v>42114</v>
      </c>
      <c r="Z230" s="185">
        <v>2.7331606432368483E-2</v>
      </c>
      <c r="AA230" s="182">
        <v>2.6843109874278293E-2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42115</v>
      </c>
      <c r="Y231" s="184">
        <f>_xll.qlCalendarAdvance(Calendar,X231,NDays&amp;"D")</f>
        <v>42115</v>
      </c>
      <c r="Z231" s="185">
        <v>2.7341322145699988E-2</v>
      </c>
      <c r="AA231" s="182">
        <v>2.684964960792624E-2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42116</v>
      </c>
      <c r="Y232" s="184">
        <f>_xll.qlCalendarAdvance(Calendar,X232,NDays&amp;"D")</f>
        <v>42116</v>
      </c>
      <c r="Z232" s="185">
        <v>2.735108601920835E-2</v>
      </c>
      <c r="AA232" s="182">
        <v>2.6856270240431801E-2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42117</v>
      </c>
      <c r="Y233" s="184">
        <f>_xll.qlCalendarAdvance(Calendar,X233,NDays&amp;"D")</f>
        <v>42117</v>
      </c>
      <c r="Z233" s="185">
        <v>2.7360897043921705E-2</v>
      </c>
      <c r="AA233" s="182">
        <v>2.6862971771632882E-2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42118</v>
      </c>
      <c r="Y234" s="184">
        <f>_xll.qlCalendarAdvance(Calendar,X234,NDays&amp;"D")</f>
        <v>42118</v>
      </c>
      <c r="Z234" s="185">
        <v>2.7370754210862838E-2</v>
      </c>
      <c r="AA234" s="182">
        <v>2.687862359706528E-2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42121</v>
      </c>
      <c r="Y235" s="184">
        <f>_xll.qlCalendarAdvance(Calendar,X235,NDays&amp;"D")</f>
        <v>42121</v>
      </c>
      <c r="Z235" s="185">
        <v>2.7400592475142756E-2</v>
      </c>
      <c r="AA235" s="182">
        <v>2.689058688379764E-2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42122</v>
      </c>
      <c r="Y236" s="184">
        <f>_xll.qlCalendarAdvance(Calendar,X236,NDays&amp;"D")</f>
        <v>42122</v>
      </c>
      <c r="Z236" s="185">
        <v>2.7410624121042095E-2</v>
      </c>
      <c r="AA236" s="182">
        <v>2.6897692908638415E-2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42123</v>
      </c>
      <c r="Y237" s="184">
        <f>_xll.qlCalendarAdvance(Calendar,X237,NDays&amp;"D")</f>
        <v>42123</v>
      </c>
      <c r="Z237" s="185">
        <v>2.7420696864150454E-2</v>
      </c>
      <c r="AA237" s="182">
        <v>2.6904879832336803E-2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42124</v>
      </c>
      <c r="Y238" s="184">
        <f>_xll.qlCalendarAdvance(Calendar,X238,NDays&amp;"D")</f>
        <v>42124</v>
      </c>
      <c r="Z238" s="185">
        <v>2.7437214910571172E-2</v>
      </c>
      <c r="AA238" s="182">
        <v>2.6912147654730711E-2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42125</v>
      </c>
      <c r="Y239" s="184">
        <f>_xll.qlCalendarAdvance(Calendar,X239,NDays&amp;"D")</f>
        <v>42125</v>
      </c>
      <c r="Z239" s="185">
        <v>2.7466626306188704E-2</v>
      </c>
      <c r="AA239" s="182">
        <v>2.6928939478850781E-2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42128</v>
      </c>
      <c r="Y240" s="184">
        <f>_xll.qlCalendarAdvance(Calendar,X240,NDays&amp;"D")</f>
        <v>42128</v>
      </c>
      <c r="Z240" s="185">
        <v>2.7478077746330452E-2</v>
      </c>
      <c r="AA240" s="182">
        <v>2.6942027932153056E-2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42129</v>
      </c>
      <c r="Y241" s="184">
        <f>_xll.qlCalendarAdvance(Calendar,X241,NDays&amp;"D")</f>
        <v>42129</v>
      </c>
      <c r="Z241" s="185">
        <v>2.7488382331084731E-2</v>
      </c>
      <c r="AA241" s="182">
        <v>2.6949700248429798E-2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42130</v>
      </c>
      <c r="Y242" s="184">
        <f>_xll.qlCalendarAdvance(Calendar,X242,NDays&amp;"D")</f>
        <v>42130</v>
      </c>
      <c r="Z242" s="185">
        <v>2.7498720469798267E-2</v>
      </c>
      <c r="AA242" s="182">
        <v>2.6957453463564152E-2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42131</v>
      </c>
      <c r="Y243" s="184">
        <f>_xll.qlCalendarAdvance(Calendar,X243,NDays&amp;"D")</f>
        <v>42131</v>
      </c>
      <c r="Z243" s="185">
        <v>2.7509091164271596E-2</v>
      </c>
      <c r="AA243" s="182">
        <v>2.6965287577475072E-2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42132</v>
      </c>
      <c r="Y244" s="184">
        <f>_xll.qlCalendarAdvance(Calendar,X244,NDays&amp;"D")</f>
        <v>42132</v>
      </c>
      <c r="Z244" s="185">
        <v>2.7532411644631404E-2</v>
      </c>
      <c r="AA244" s="182">
        <v>2.6983220000646645E-2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42135</v>
      </c>
      <c r="Y245" s="184">
        <f>_xll.qlCalendarAdvance(Calendar,X245,NDays&amp;"D")</f>
        <v>42135</v>
      </c>
      <c r="Z245" s="185">
        <v>2.755087953542985E-2</v>
      </c>
      <c r="AA245" s="182">
        <v>2.6997433021127559E-2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42136</v>
      </c>
      <c r="Y246" s="184">
        <f>_xll.qlCalendarAdvance(Calendar,X246,NDays&amp;"D")</f>
        <v>42136</v>
      </c>
      <c r="Z246" s="185">
        <v>2.7561398035368279E-2</v>
      </c>
      <c r="AA246" s="182">
        <v>2.7005671629083405E-2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42137</v>
      </c>
      <c r="Y247" s="184">
        <f>_xll.qlCalendarAdvance(Calendar,X247,NDays&amp;"D")</f>
        <v>42137</v>
      </c>
      <c r="Z247" s="185">
        <v>2.7571943101665303E-2</v>
      </c>
      <c r="AA247" s="182">
        <v>2.7013991135896864E-2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42138</v>
      </c>
      <c r="Y248" s="184">
        <f>_xll.qlCalendarAdvance(Calendar,X248,NDays&amp;"D")</f>
        <v>42138</v>
      </c>
      <c r="Z248" s="185">
        <v>2.7582513736050973E-2</v>
      </c>
      <c r="AA248" s="182">
        <v>2.702239154148689E-2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42139</v>
      </c>
      <c r="Y249" s="184">
        <f>_xll.qlCalendarAdvance(Calendar,X249,NDays&amp;"D")</f>
        <v>42139</v>
      </c>
      <c r="Z249" s="185">
        <v>2.7606070485942966E-2</v>
      </c>
      <c r="AA249" s="182">
        <v>2.7041465167747896E-2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42142</v>
      </c>
      <c r="Y250" s="184">
        <f>_xll.qlCalendarAdvance(Calendar,X250,NDays&amp;"D")</f>
        <v>42142</v>
      </c>
      <c r="Z250" s="185">
        <v>2.7625031988774681E-2</v>
      </c>
      <c r="AA250" s="182">
        <v>2.7056802152423121E-2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42143</v>
      </c>
      <c r="Y251" s="184">
        <f>_xll.qlCalendarAdvance(Calendar,X251,NDays&amp;"D")</f>
        <v>42143</v>
      </c>
      <c r="Z251" s="185">
        <v>2.7635715489231997E-2</v>
      </c>
      <c r="AA251" s="182">
        <v>2.7065607052382257E-2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42144</v>
      </c>
      <c r="Y252" s="184">
        <f>_xll.qlCalendarAdvance(Calendar,X252,NDays&amp;"D")</f>
        <v>42144</v>
      </c>
      <c r="Z252" s="185">
        <v>2.7646418567955678E-2</v>
      </c>
      <c r="AA252" s="182">
        <v>2.7074492851117959E-2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42145</v>
      </c>
      <c r="Y253" s="184">
        <f>_xll.qlCalendarAdvance(Calendar,X253,NDays&amp;"D")</f>
        <v>42145</v>
      </c>
      <c r="Z253" s="185">
        <v>2.7657140226607944E-2</v>
      </c>
      <c r="AA253" s="182">
        <v>2.7083459548792321E-2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42146</v>
      </c>
      <c r="Y254" s="184">
        <f>_xll.qlCalendarAdvance(Calendar,X254,NDays&amp;"D")</f>
        <v>42146</v>
      </c>
      <c r="Z254" s="185">
        <v>2.7680849139241518E-2</v>
      </c>
      <c r="AA254" s="182">
        <v>2.7103674985800762E-2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42149</v>
      </c>
      <c r="Y255" s="184">
        <f>_xll.qlCalendarAdvance(Calendar,X255,NDays&amp;"D")</f>
        <v>42149</v>
      </c>
      <c r="Z255" s="185">
        <v>2.7700192693320955E-2</v>
      </c>
      <c r="AA255" s="182">
        <v>2.712013532822799E-2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42150</v>
      </c>
      <c r="Y256" s="184">
        <f>_xll.qlCalendarAdvance(Calendar,X256,NDays&amp;"D")</f>
        <v>42150</v>
      </c>
      <c r="Z256" s="185">
        <v>2.7710992276143379E-2</v>
      </c>
      <c r="AA256" s="182">
        <v>2.7129506520271462E-2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42151</v>
      </c>
      <c r="Y257" s="184">
        <f>_xll.qlCalendarAdvance(Calendar,X257,NDays&amp;"D")</f>
        <v>42151</v>
      </c>
      <c r="Z257" s="185">
        <v>2.7721804448632519E-2</v>
      </c>
      <c r="AA257" s="182">
        <v>2.7138958611253594E-2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42152</v>
      </c>
      <c r="Y258" s="184">
        <f>_xll.qlCalendarAdvance(Calendar,X258,NDays&amp;"D")</f>
        <v>42152</v>
      </c>
      <c r="Z258" s="185">
        <v>2.7732628212374835E-2</v>
      </c>
      <c r="AA258" s="182">
        <v>2.7148491601255431E-2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42153</v>
      </c>
      <c r="Y259" s="184">
        <f>_xll.qlCalendarAdvance(Calendar,X259,NDays&amp;"D")</f>
        <v>42153</v>
      </c>
      <c r="Z259" s="185">
        <v>2.7756412412149808E-2</v>
      </c>
      <c r="AA259" s="182">
        <v>2.7169849460964755E-2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42156</v>
      </c>
      <c r="Y260" s="184">
        <f>_xll.qlCalendarAdvance(Calendar,X260,NDays&amp;"D")</f>
        <v>42156</v>
      </c>
      <c r="Z260" s="185">
        <v>2.7776019211220991E-2</v>
      </c>
      <c r="AA260" s="182">
        <v>2.7187432550244139E-2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42157</v>
      </c>
      <c r="Y261" s="184">
        <f>_xll.qlCalendarAdvance(Calendar,X261,NDays&amp;"D")</f>
        <v>42157</v>
      </c>
      <c r="Z261" s="185">
        <v>2.7786885954644663E-2</v>
      </c>
      <c r="AA261" s="182">
        <v>2.7197370034858226E-2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42158</v>
      </c>
      <c r="Y262" s="184">
        <f>_xll.qlCalendarAdvance(Calendar,X262,NDays&amp;"D")</f>
        <v>42158</v>
      </c>
      <c r="Z262" s="185">
        <v>2.7797758298612123E-2</v>
      </c>
      <c r="AA262" s="182">
        <v>2.7207388418492018E-2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42159</v>
      </c>
      <c r="Y263" s="184">
        <f>_xll.qlCalendarAdvance(Calendar,X263,NDays&amp;"D")</f>
        <v>42159</v>
      </c>
      <c r="Z263" s="185">
        <v>2.7808635244634065E-2</v>
      </c>
      <c r="AA263" s="182">
        <v>2.7217487700983423E-2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42160</v>
      </c>
      <c r="Y264" s="184">
        <f>_xll.qlCalendarAdvance(Calendar,X264,NDays&amp;"D")</f>
        <v>42160</v>
      </c>
      <c r="Z264" s="185">
        <v>2.7832425087012752E-2</v>
      </c>
      <c r="AA264" s="182">
        <v>2.7246190644350798E-2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42164</v>
      </c>
      <c r="Y265" s="184">
        <f>_xll.qlCalendarAdvance(Calendar,X265,NDays&amp;"D")</f>
        <v>42164</v>
      </c>
      <c r="Z265" s="185">
        <v>2.7863054057672743E-2</v>
      </c>
      <c r="AA265" s="182">
        <v>2.7269197598411843E-2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42165</v>
      </c>
      <c r="Y266" s="184">
        <f>_xll.qlCalendarAdvance(Calendar,X266,NDays&amp;"D")</f>
        <v>42165</v>
      </c>
      <c r="Z266" s="185">
        <v>2.7873937647136731E-2</v>
      </c>
      <c r="AA266" s="182">
        <v>2.7279782274859388E-2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42166</v>
      </c>
      <c r="Y267" s="184">
        <f>_xll.qlCalendarAdvance(Calendar,X267,NDays&amp;"D")</f>
        <v>42166</v>
      </c>
      <c r="Z267" s="185">
        <v>2.7884818848924426E-2</v>
      </c>
      <c r="AA267" s="182">
        <v>2.7290447850326638E-2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42167</v>
      </c>
      <c r="Y268" s="184">
        <f>_xll.qlCalendarAdvance(Calendar,X268,NDays&amp;"D")</f>
        <v>42167</v>
      </c>
      <c r="Z268" s="185">
        <v>2.7908551920371522E-2</v>
      </c>
      <c r="AA268" s="182">
        <v>2.7314092408696016E-2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42170</v>
      </c>
      <c r="Y269" s="184">
        <f>_xll.qlCalendarAdvance(Calendar,X269,NDays&amp;"D")</f>
        <v>42170</v>
      </c>
      <c r="Z269" s="185">
        <v>2.7928299807631458E-2</v>
      </c>
      <c r="AA269" s="182">
        <v>2.7333919142473739E-2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42171</v>
      </c>
      <c r="Y270" s="184">
        <f>_xll.qlCalendarAdvance(Calendar,X270,NDays&amp;"D")</f>
        <v>42171</v>
      </c>
      <c r="Z270" s="185">
        <v>2.7939154092179497E-2</v>
      </c>
      <c r="AA270" s="182">
        <v>2.7344989213120563E-2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42172</v>
      </c>
      <c r="Y271" s="184">
        <f>_xll.qlCalendarAdvance(Calendar,X271,NDays&amp;"D")</f>
        <v>42172</v>
      </c>
      <c r="Z271" s="185">
        <v>2.7949999997430971E-2</v>
      </c>
      <c r="AA271" s="182">
        <v>2.7356140182787092E-2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42173</v>
      </c>
      <c r="Y272" s="184">
        <f>_xll.qlCalendarAdvance(Calendar,X272,NDays&amp;"D")</f>
        <v>42173</v>
      </c>
      <c r="Z272" s="185">
        <v>2.7960836609361776E-2</v>
      </c>
      <c r="AA272" s="182">
        <v>2.7367356846137447E-2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42174</v>
      </c>
      <c r="Y273" s="184">
        <f>_xll.qlCalendarAdvance(Calendar,X273,NDays&amp;"D")</f>
        <v>42174</v>
      </c>
      <c r="Z273" s="185">
        <v>2.7984463106782178E-2</v>
      </c>
      <c r="AA273" s="182">
        <v>2.7391841533252286E-2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42177</v>
      </c>
      <c r="Y274" s="184">
        <f>_xll.qlCalendarAdvance(Calendar,X274,NDays&amp;"D")</f>
        <v>42177</v>
      </c>
      <c r="Z274" s="185">
        <v>2.8004090110304844E-2</v>
      </c>
      <c r="AA274" s="182">
        <v>2.7412180985577628E-2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42178</v>
      </c>
      <c r="Y275" s="184">
        <f>_xll.qlCalendarAdvance(Calendar,X275,NDays&amp;"D")</f>
        <v>42178</v>
      </c>
      <c r="Z275" s="185">
        <v>2.8014882620602435E-2</v>
      </c>
      <c r="AA275" s="182">
        <v>2.7423361186530437E-2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42179</v>
      </c>
      <c r="Y276" s="184">
        <f>_xll.qlCalendarAdvance(Calendar,X276,NDays&amp;"D")</f>
        <v>42179</v>
      </c>
      <c r="Z276" s="185">
        <v>2.8025667800217237E-2</v>
      </c>
      <c r="AA276" s="182">
        <v>2.7434531053920352E-2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42180</v>
      </c>
      <c r="Y277" s="184">
        <f>_xll.qlCalendarAdvance(Calendar,X277,NDays&amp;"D")</f>
        <v>42180</v>
      </c>
      <c r="Z277" s="185">
        <v>2.8036446156806415E-2</v>
      </c>
      <c r="AA277" s="182">
        <v>2.7445690587747373E-2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42181</v>
      </c>
      <c r="Y278" s="184">
        <f>_xll.qlCalendarAdvance(Calendar,X278,NDays&amp;"D")</f>
        <v>42181</v>
      </c>
      <c r="Z278" s="185">
        <v>2.8060000621351989E-2</v>
      </c>
      <c r="AA278" s="182">
        <v>2.7470042356854501E-2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42184</v>
      </c>
      <c r="Y279" s="184">
        <f>_xll.qlCalendarAdvance(Calendar,X279,NDays&amp;"D")</f>
        <v>42184</v>
      </c>
      <c r="Z279" s="185">
        <v>2.80795015062308E-2</v>
      </c>
      <c r="AA279" s="182">
        <v>2.7490225387345468E-2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42185</v>
      </c>
      <c r="Y280" s="184">
        <f>_xll.qlCalendarAdvance(Calendar,X280,NDays&amp;"D")</f>
        <v>42185</v>
      </c>
      <c r="Z280" s="185">
        <v>2.8090253362730817E-2</v>
      </c>
      <c r="AA280" s="182">
        <v>2.7501333253358018E-2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42186</v>
      </c>
      <c r="Y281" s="184">
        <f>_xll.qlCalendarAdvance(Calendar,X281,NDays&amp;"D")</f>
        <v>42186</v>
      </c>
      <c r="Z281" s="185">
        <v>2.810100144226008E-2</v>
      </c>
      <c r="AA281" s="182">
        <v>2.7512430785807673E-2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42187</v>
      </c>
      <c r="Y282" s="184">
        <f>_xll.qlCalendarAdvance(Calendar,X282,NDays&amp;"D")</f>
        <v>42187</v>
      </c>
      <c r="Z282" s="185">
        <v>2.8111746252512754E-2</v>
      </c>
      <c r="AA282" s="182">
        <v>2.7523517984613388E-2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42188</v>
      </c>
      <c r="Y283" s="184">
        <f>_xll.qlCalendarAdvance(Calendar,X283,NDays&amp;"D")</f>
        <v>42188</v>
      </c>
      <c r="Z283" s="185">
        <v>2.8141709074416443E-2</v>
      </c>
      <c r="AA283" s="182">
        <v>2.7547736792758275E-2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42191</v>
      </c>
      <c r="Y284" s="184">
        <f>_xll.qlCalendarAdvance(Calendar,X284,NDays&amp;"D")</f>
        <v>42191</v>
      </c>
      <c r="Z284" s="185">
        <v>2.8154702954845231E-2</v>
      </c>
      <c r="AA284" s="182">
        <v>2.7567763444288351E-2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42192</v>
      </c>
      <c r="Y285" s="184">
        <f>_xll.qlCalendarAdvance(Calendar,X285,NDays&amp;"D")</f>
        <v>42192</v>
      </c>
      <c r="Z285" s="185">
        <v>2.8165439034329161E-2</v>
      </c>
      <c r="AA285" s="182">
        <v>2.7578798975279595E-2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42193</v>
      </c>
      <c r="Y286" s="184">
        <f>_xll.qlCalendarAdvance(Calendar,X286,NDays&amp;"D")</f>
        <v>42193</v>
      </c>
      <c r="Z286" s="185">
        <v>2.8176174890820419E-2</v>
      </c>
      <c r="AA286" s="182">
        <v>2.7589824172707944E-2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42194</v>
      </c>
      <c r="Y287" s="184">
        <f>_xll.qlCalendarAdvance(Calendar,X287,NDays&amp;"D")</f>
        <v>42194</v>
      </c>
      <c r="Z287" s="185">
        <v>2.8186911032051929E-2</v>
      </c>
      <c r="AA287" s="182">
        <v>2.7600839036492353E-2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42195</v>
      </c>
      <c r="Y288" s="184">
        <f>_xll.qlCalendarAdvance(Calendar,X288,NDays&amp;"D")</f>
        <v>42195</v>
      </c>
      <c r="Z288" s="185">
        <v>2.8210524164091873E-2</v>
      </c>
      <c r="AA288" s="182">
        <v>2.7624924839937025E-2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42198</v>
      </c>
      <c r="Y289" s="184">
        <f>_xll.qlCalendarAdvance(Calendar,X289,NDays&amp;"D")</f>
        <v>42198</v>
      </c>
      <c r="Z289" s="185">
        <v>2.8229868599236315E-2</v>
      </c>
      <c r="AA289" s="182">
        <v>2.7644795156001045E-2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42199</v>
      </c>
      <c r="Y290" s="184">
        <f>_xll.qlCalendarAdvance(Calendar,X290,NDays&amp;"D")</f>
        <v>42199</v>
      </c>
      <c r="Z290" s="185">
        <v>2.824061378035677E-2</v>
      </c>
      <c r="AA290" s="182">
        <v>2.7655758351889936E-2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42200</v>
      </c>
      <c r="Y291" s="184">
        <f>_xll.qlCalendarAdvance(Calendar,X291,NDays&amp;"D")</f>
        <v>42200</v>
      </c>
      <c r="Z291" s="185">
        <v>2.8251362292732195E-2</v>
      </c>
      <c r="AA291" s="182">
        <v>2.766671121429698E-2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42201</v>
      </c>
      <c r="Y292" s="184">
        <f>_xll.qlCalendarAdvance(Calendar,X292,NDays&amp;"D")</f>
        <v>42201</v>
      </c>
      <c r="Z292" s="185">
        <v>2.8262114644131635E-2</v>
      </c>
      <c r="AA292" s="182">
        <v>2.7677653743060082E-2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42202</v>
      </c>
      <c r="Y293" s="184">
        <f>_xll.qlCalendarAdvance(Calendar,X293,NDays&amp;"D")</f>
        <v>42202</v>
      </c>
      <c r="Z293" s="185">
        <v>2.8285851127293277E-2</v>
      </c>
      <c r="AA293" s="182">
        <v>2.7701606497472223E-2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42205</v>
      </c>
      <c r="Y294" s="184">
        <f>_xll.qlCalendarAdvance(Calendar,X294,NDays&amp;"D")</f>
        <v>42205</v>
      </c>
      <c r="Z294" s="185">
        <v>2.8305172595602363E-2</v>
      </c>
      <c r="AA294" s="182">
        <v>2.7721320522159365E-2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42206</v>
      </c>
      <c r="Y295" s="184">
        <f>_xll.qlCalendarAdvance(Calendar,X295,NDays&amp;"D")</f>
        <v>42206</v>
      </c>
      <c r="Z295" s="185">
        <v>2.8315951758890106E-2</v>
      </c>
      <c r="AA295" s="182">
        <v>2.7732211382945904E-2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42207</v>
      </c>
      <c r="Y296" s="184">
        <f>_xll.qlCalendarAdvance(Calendar,X296,NDays&amp;"D")</f>
        <v>42207</v>
      </c>
      <c r="Z296" s="185">
        <v>2.8326737807945621E-2</v>
      </c>
      <c r="AA296" s="182">
        <v>2.7743091910250595E-2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42208</v>
      </c>
      <c r="Y297" s="184">
        <f>_xll.qlCalendarAdvance(Calendar,X297,NDays&amp;"D")</f>
        <v>42208</v>
      </c>
      <c r="Z297" s="185">
        <v>2.8337531250579365E-2</v>
      </c>
      <c r="AA297" s="182">
        <v>2.7753962103911345E-2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42209</v>
      </c>
      <c r="Y298" s="184">
        <f>_xll.qlCalendarAdvance(Calendar,X298,NDays&amp;"D")</f>
        <v>42209</v>
      </c>
      <c r="Z298" s="185">
        <v>2.8361448863631393E-2</v>
      </c>
      <c r="AA298" s="182">
        <v>2.7777781764391312E-2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42212</v>
      </c>
      <c r="Y299" s="184">
        <f>_xll.qlCalendarAdvance(Calendar,X299,NDays&amp;"D")</f>
        <v>42212</v>
      </c>
      <c r="Z299" s="185">
        <v>2.8380789113286148E-2</v>
      </c>
      <c r="AA299" s="182">
        <v>2.7797339542520172E-2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42213</v>
      </c>
      <c r="Y300" s="184">
        <f>_xll.qlCalendarAdvance(Calendar,X300,NDays&amp;"D")</f>
        <v>42213</v>
      </c>
      <c r="Z300" s="185">
        <v>2.839162714115186E-2</v>
      </c>
      <c r="AA300" s="182">
        <v>2.7808158068204358E-2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42214</v>
      </c>
      <c r="Y301" s="184">
        <f>_xll.qlCalendarAdvance(Calendar,X301,NDays&amp;"D")</f>
        <v>42214</v>
      </c>
      <c r="Z301" s="185">
        <v>2.8402475609570366E-2</v>
      </c>
      <c r="AA301" s="182">
        <v>2.7818966260244604E-2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42215</v>
      </c>
      <c r="Y302" s="184">
        <f>_xll.qlCalendarAdvance(Calendar,X302,NDays&amp;"D")</f>
        <v>42215</v>
      </c>
      <c r="Z302" s="185">
        <v>2.8413335026391755E-2</v>
      </c>
      <c r="AA302" s="182">
        <v>2.7829764118803002E-2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42216</v>
      </c>
      <c r="Y303" s="184">
        <f>_xll.qlCalendarAdvance(Calendar,X303,NDays&amp;"D")</f>
        <v>42216</v>
      </c>
      <c r="Z303" s="185">
        <v>2.8417581168629785E-2</v>
      </c>
      <c r="AA303" s="182">
        <v>2.7859896284196106E-2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42220</v>
      </c>
      <c r="Y304" s="184">
        <f>_xll.qlCalendarAdvance(Calendar,X304,NDays&amp;"D")</f>
        <v>42220</v>
      </c>
      <c r="Z304" s="185">
        <v>2.8467814111624613E-2</v>
      </c>
      <c r="AA304" s="182">
        <v>2.7883598407179022E-2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42221</v>
      </c>
      <c r="Y305" s="184">
        <f>_xll.qlCalendarAdvance(Calendar,X305,NDays&amp;"D")</f>
        <v>42221</v>
      </c>
      <c r="Z305" s="185">
        <v>2.847874988399535E-2</v>
      </c>
      <c r="AA305" s="182">
        <v>2.7894334264035869E-2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42222</v>
      </c>
      <c r="Y306" s="184">
        <f>_xll.qlCalendarAdvance(Calendar,X306,NDays&amp;"D")</f>
        <v>42222</v>
      </c>
      <c r="Z306" s="185">
        <v>2.848970015986672E-2</v>
      </c>
      <c r="AA306" s="182">
        <v>2.7905059787329822E-2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42223</v>
      </c>
      <c r="Y307" s="184">
        <f>_xll.qlCalendarAdvance(Calendar,X307,NDays&amp;"D")</f>
        <v>42223</v>
      </c>
      <c r="Z307" s="185">
        <v>2.8514138670857579E-2</v>
      </c>
      <c r="AA307" s="182">
        <v>2.7928613122572003E-2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42226</v>
      </c>
      <c r="Y308" s="184">
        <f>_xll.qlCalendarAdvance(Calendar,X308,NDays&amp;"D")</f>
        <v>42226</v>
      </c>
      <c r="Z308" s="185">
        <v>2.8533656456329395E-2</v>
      </c>
      <c r="AA308" s="182">
        <v>2.7947858544309367E-2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42227</v>
      </c>
      <c r="Y309" s="184">
        <f>_xll.qlCalendarAdvance(Calendar,X309,NDays&amp;"D")</f>
        <v>42227</v>
      </c>
      <c r="Z309" s="185">
        <v>2.8544686868230525E-2</v>
      </c>
      <c r="AA309" s="182">
        <v>2.7958532399626757E-2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42228</v>
      </c>
      <c r="Y310" s="184">
        <f>_xll.qlCalendarAdvance(Calendar,X310,NDays&amp;"D")</f>
        <v>42228</v>
      </c>
      <c r="Z310" s="185">
        <v>2.8555734831083444E-2</v>
      </c>
      <c r="AA310" s="182">
        <v>2.7969195921219159E-2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42229</v>
      </c>
      <c r="Y311" s="184">
        <f>_xll.qlCalendarAdvance(Calendar,X311,NDays&amp;"D")</f>
        <v>42229</v>
      </c>
      <c r="Z311" s="185">
        <v>2.8566800852815766E-2</v>
      </c>
      <c r="AA311" s="182">
        <v>2.7979849109248667E-2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42230</v>
      </c>
      <c r="Y312" s="184">
        <f>_xll.qlCalendarAdvance(Calendar,X312,NDays&amp;"D")</f>
        <v>42230</v>
      </c>
      <c r="Z312" s="185">
        <v>2.8591571782986405E-2</v>
      </c>
      <c r="AA312" s="182">
        <v>2.800326921199655E-2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42233</v>
      </c>
      <c r="Y313" s="184">
        <f>_xll.qlCalendarAdvance(Calendar,X313,NDays&amp;"D")</f>
        <v>42233</v>
      </c>
      <c r="Z313" s="185">
        <v>2.8611255687327447E-2</v>
      </c>
      <c r="AA313" s="182">
        <v>2.8022358525251478E-2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42234</v>
      </c>
      <c r="Y314" s="184">
        <f>_xll.qlCalendarAdvance(Calendar,X314,NDays&amp;"D")</f>
        <v>42234</v>
      </c>
      <c r="Z314" s="185">
        <v>2.8622419622598268E-2</v>
      </c>
      <c r="AA314" s="182">
        <v>2.8032960045223376E-2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42235</v>
      </c>
      <c r="Y315" s="184">
        <f>_xll.qlCalendarAdvance(Calendar,X315,NDays&amp;"D")</f>
        <v>42235</v>
      </c>
      <c r="Z315" s="185">
        <v>2.8633604664444548E-2</v>
      </c>
      <c r="AA315" s="182">
        <v>2.8043551231551334E-2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42236</v>
      </c>
      <c r="Y316" s="184">
        <f>_xll.qlCalendarAdvance(Calendar,X316,NDays&amp;"D")</f>
        <v>42236</v>
      </c>
      <c r="Z316" s="185">
        <v>2.8644811320837949E-2</v>
      </c>
      <c r="AA316" s="182">
        <v>2.8054132084316397E-2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42237</v>
      </c>
      <c r="Y317" s="184">
        <f>_xll.qlCalendarAdvance(Calendar,X317,NDays&amp;"D")</f>
        <v>42237</v>
      </c>
      <c r="Z317" s="185">
        <v>2.8669957751261983E-2</v>
      </c>
      <c r="AA317" s="182">
        <v>2.8077418906995815E-2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42240</v>
      </c>
      <c r="Y318" s="184">
        <f>_xll.qlCalendarAdvance(Calendar,X318,NDays&amp;"D")</f>
        <v>42240</v>
      </c>
      <c r="Z318" s="185">
        <v>2.8689864251499195E-2</v>
      </c>
      <c r="AA318" s="182">
        <v>2.809635215901829E-2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42241</v>
      </c>
      <c r="Y319" s="184">
        <f>_xll.qlCalendarAdvance(Calendar,X319,NDays&amp;"D")</f>
        <v>42241</v>
      </c>
      <c r="Z319" s="185">
        <v>2.8701186600393381E-2</v>
      </c>
      <c r="AA319" s="182">
        <v>2.8106881343725743E-2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42242</v>
      </c>
      <c r="Y320" s="184">
        <f>_xll.qlCalendarAdvance(Calendar,X320,NDays&amp;"D")</f>
        <v>42242</v>
      </c>
      <c r="Z320" s="185">
        <v>2.8712533611784455E-2</v>
      </c>
      <c r="AA320" s="182">
        <v>2.8117400194627162E-2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42243</v>
      </c>
      <c r="Y321" s="184">
        <f>_xll.qlCalendarAdvance(Calendar,X321,NDays&amp;"D")</f>
        <v>42243</v>
      </c>
      <c r="Z321" s="185">
        <v>2.8723905793685479E-2</v>
      </c>
      <c r="AA321" s="182">
        <v>2.8127908712046734E-2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42244</v>
      </c>
      <c r="Y322" s="184">
        <f>_xll.qlCalendarAdvance(Calendar,X322,NDays&amp;"D")</f>
        <v>42244</v>
      </c>
      <c r="Z322" s="185">
        <v>2.874946713130375E-2</v>
      </c>
      <c r="AA322" s="182">
        <v>2.8151062206705307E-2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42247</v>
      </c>
      <c r="Y323" s="184">
        <f>_xll.qlCalendarAdvance(Calendar,X323,NDays&amp;"D")</f>
        <v>42247</v>
      </c>
      <c r="Z323" s="185">
        <v>2.8762539730193264E-2</v>
      </c>
      <c r="AA323" s="182">
        <v>2.8169839445447709E-2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42248</v>
      </c>
      <c r="Y324" s="184">
        <f>_xll.qlCalendarAdvance(Calendar,X324,NDays&amp;"D")</f>
        <v>42248</v>
      </c>
      <c r="Z324" s="185">
        <v>2.8774027070261912E-2</v>
      </c>
      <c r="AA324" s="182">
        <v>2.8180296294647578E-2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42249</v>
      </c>
      <c r="Y325" s="184">
        <f>_xll.qlCalendarAdvance(Calendar,X325,NDays&amp;"D")</f>
        <v>42249</v>
      </c>
      <c r="Z325" s="185">
        <v>2.8785542537054891E-2</v>
      </c>
      <c r="AA325" s="182">
        <v>2.8190742810365599E-2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42250</v>
      </c>
      <c r="Y326" s="184">
        <f>_xll.qlCalendarAdvance(Calendar,X326,NDays&amp;"D")</f>
        <v>42250</v>
      </c>
      <c r="Z326" s="185">
        <v>2.8797086644164263E-2</v>
      </c>
      <c r="AA326" s="182">
        <v>2.8201178992358633E-2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42251</v>
      </c>
      <c r="Y327" s="184">
        <f>_xll.qlCalendarAdvance(Calendar,X327,NDays&amp;"D")</f>
        <v>42251</v>
      </c>
      <c r="Z327" s="185">
        <v>2.8808659905190999E-2</v>
      </c>
      <c r="AA327" s="182">
        <v>2.8224199110179485E-2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42254</v>
      </c>
      <c r="Y328" s="184">
        <f>_xll.qlCalendarAdvance(Calendar,X328,NDays&amp;"D")</f>
        <v>42254</v>
      </c>
      <c r="Z328" s="185">
        <v>2.8843559747863453E-2</v>
      </c>
      <c r="AA328" s="182">
        <v>2.8242820384053458E-2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42255</v>
      </c>
      <c r="Y329" s="184">
        <f>_xll.qlCalendarAdvance(Calendar,X329,NDays&amp;"D")</f>
        <v>42255</v>
      </c>
      <c r="Z329" s="185">
        <v>2.8855254760682437E-2</v>
      </c>
      <c r="AA329" s="182">
        <v>2.8253204897907835E-2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42256</v>
      </c>
      <c r="Y330" s="184">
        <f>_xll.qlCalendarAdvance(Calendar,X330,NDays&amp;"D")</f>
        <v>42256</v>
      </c>
      <c r="Z330" s="185">
        <v>2.8866981495513585E-2</v>
      </c>
      <c r="AA330" s="182">
        <v>2.8263579078199319E-2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42257</v>
      </c>
      <c r="Y331" s="184">
        <f>_xll.qlCalendarAdvance(Calendar,X331,NDays&amp;"D")</f>
        <v>42257</v>
      </c>
      <c r="Z331" s="185">
        <v>2.8878740465997046E-2</v>
      </c>
      <c r="AA331" s="182">
        <v>2.8273942924765816E-2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42258</v>
      </c>
      <c r="Y332" s="184">
        <f>_xll.qlCalendarAdvance(Calendar,X332,NDays&amp;"D")</f>
        <v>42258</v>
      </c>
      <c r="Z332" s="185">
        <v>2.8890532185777435E-2</v>
      </c>
      <c r="AA332" s="182">
        <v>2.8296829616499822E-2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42261</v>
      </c>
      <c r="Y333" s="184">
        <f>_xll.qlCalendarAdvance(Calendar,X333,NDays&amp;"D")</f>
        <v>42261</v>
      </c>
      <c r="Z333" s="185">
        <v>2.8926108977468255E-2</v>
      </c>
      <c r="AA333" s="182">
        <v>2.8315294974673444E-2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42262</v>
      </c>
      <c r="Y334" s="184">
        <f>_xll.qlCalendarAdvance(Calendar,X334,NDays&amp;"D")</f>
        <v>42262</v>
      </c>
      <c r="Z334" s="185">
        <v>2.8938036831035623E-2</v>
      </c>
      <c r="AA334" s="182">
        <v>2.8325607153101284E-2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42263</v>
      </c>
      <c r="Y335" s="184">
        <f>_xll.qlCalendarAdvance(Calendar,X335,NDays&amp;"D")</f>
        <v>42263</v>
      </c>
      <c r="Z335" s="185">
        <v>2.8950000002232502E-2</v>
      </c>
      <c r="AA335" s="182">
        <v>2.8335908997885184E-2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42264</v>
      </c>
      <c r="Y336" s="184">
        <f>_xll.qlCalendarAdvance(Calendar,X336,NDays&amp;"D")</f>
        <v>42264</v>
      </c>
      <c r="Z336" s="185">
        <v>2.8961998817988024E-2</v>
      </c>
      <c r="AA336" s="182">
        <v>2.8346208239948822E-2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42265</v>
      </c>
      <c r="Y337" s="184">
        <f>_xll.qlCalendarAdvance(Calendar,X337,NDays&amp;"D")</f>
        <v>42265</v>
      </c>
      <c r="Z337" s="185">
        <v>2.8974032772633947E-2</v>
      </c>
      <c r="AA337" s="182">
        <v>2.8369116099998818E-2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42268</v>
      </c>
      <c r="Y338" s="184">
        <f>_xll.qlCalendarAdvance(Calendar,X338,NDays&amp;"D")</f>
        <v>42268</v>
      </c>
      <c r="Z338" s="185">
        <v>2.9010334780778958E-2</v>
      </c>
      <c r="AA338" s="182">
        <v>2.8387734805029874E-2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42269</v>
      </c>
      <c r="Y339" s="184">
        <f>_xll.qlCalendarAdvance(Calendar,X339,NDays&amp;"D")</f>
        <v>42269</v>
      </c>
      <c r="Z339" s="185">
        <v>2.902249843066108E-2</v>
      </c>
      <c r="AA339" s="182">
        <v>2.8398206576470963E-2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42270</v>
      </c>
      <c r="Y340" s="184">
        <f>_xll.qlCalendarAdvance(Calendar,X340,NDays&amp;"D")</f>
        <v>42270</v>
      </c>
      <c r="Z340" s="185">
        <v>2.9034691703644609E-2</v>
      </c>
      <c r="AA340" s="182">
        <v>2.8408714399972279E-2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42271</v>
      </c>
      <c r="Y341" s="184">
        <f>_xll.qlCalendarAdvance(Calendar,X341,NDays&amp;"D")</f>
        <v>42271</v>
      </c>
      <c r="Z341" s="185">
        <v>2.9046913479420573E-2</v>
      </c>
      <c r="AA341" s="182">
        <v>2.8419258275533821E-2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42272</v>
      </c>
      <c r="Y342" s="184">
        <f>_xll.qlCalendarAdvance(Calendar,X342,NDays&amp;"D")</f>
        <v>42272</v>
      </c>
      <c r="Z342" s="185">
        <v>2.9089344289941636E-2</v>
      </c>
      <c r="AA342" s="182">
        <v>2.8442682312916544E-2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42275</v>
      </c>
      <c r="Y343" s="184">
        <f>_xll.qlCalendarAdvance(Calendar,X343,NDays&amp;"D")</f>
        <v>42275</v>
      </c>
      <c r="Z343" s="185">
        <v>2.9103627379339886E-2</v>
      </c>
      <c r="AA343" s="182">
        <v>2.8461794298787479E-2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42276</v>
      </c>
      <c r="Y344" s="184">
        <f>_xll.qlCalendarAdvance(Calendar,X344,NDays&amp;"D")</f>
        <v>42276</v>
      </c>
      <c r="Z344" s="185">
        <v>2.9108410688478643E-2</v>
      </c>
      <c r="AA344" s="182">
        <v>2.8472518434731198E-2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42277</v>
      </c>
      <c r="Y345" s="184">
        <f>_xll.qlCalendarAdvance(Calendar,X345,NDays&amp;"D")</f>
        <v>42277</v>
      </c>
      <c r="Z345" s="185">
        <v>2.9128354579717908E-2</v>
      </c>
      <c r="AA345" s="182">
        <v>2.8483278622897235E-2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42278</v>
      </c>
      <c r="Y346" s="184">
        <f>_xll.qlCalendarAdvance(Calendar,X346,NDays&amp;"D")</f>
        <v>42278</v>
      </c>
      <c r="Z346" s="185">
        <v>2.9163471437545382E-2</v>
      </c>
      <c r="AA346" s="182">
        <v>2.8494074863123497E-2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42279</v>
      </c>
      <c r="Y347" s="184">
        <f>_xll.qlCalendarAdvance(Calendar,X347,NDays&amp;"D")</f>
        <v>42279</v>
      </c>
      <c r="Z347" s="185">
        <v>2.9168315625180598E-2</v>
      </c>
      <c r="AA347" s="182">
        <v>2.8524588890428137E-2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42283</v>
      </c>
      <c r="Y348" s="184">
        <f>_xll.qlCalendarAdvance(Calendar,X348,NDays&amp;"D")</f>
        <v>42283</v>
      </c>
      <c r="Z348" s="185">
        <v>2.920297409964372E-2</v>
      </c>
      <c r="AA348" s="182">
        <v>2.8548596845806573E-2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42284</v>
      </c>
      <c r="Y349" s="184">
        <f>_xll.qlCalendarAdvance(Calendar,X349,NDays&amp;"D")</f>
        <v>42284</v>
      </c>
      <c r="Z349" s="185">
        <v>2.921546291166759E-2</v>
      </c>
      <c r="AA349" s="182">
        <v>2.8559609398718377E-2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42285</v>
      </c>
      <c r="Y350" s="184">
        <f>_xll.qlCalendarAdvance(Calendar,X350,NDays&amp;"D")</f>
        <v>42285</v>
      </c>
      <c r="Z350" s="185">
        <v>2.9227963689506191E-2</v>
      </c>
      <c r="AA350" s="182">
        <v>2.8570658003690408E-2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42286</v>
      </c>
      <c r="Y351" s="184">
        <f>_xll.qlCalendarAdvance(Calendar,X351,NDays&amp;"D")</f>
        <v>42286</v>
      </c>
      <c r="Z351" s="185">
        <v>2.9255607132431014E-2</v>
      </c>
      <c r="AA351" s="182">
        <v>2.8595115315748952E-2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42289</v>
      </c>
      <c r="Y352" s="184">
        <f>_xll.qlCalendarAdvance(Calendar,X352,NDays&amp;"D")</f>
        <v>42289</v>
      </c>
      <c r="Z352" s="185">
        <v>2.9278064290288307E-2</v>
      </c>
      <c r="AA352" s="182">
        <v>2.8615212944991253E-2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42290</v>
      </c>
      <c r="Y353" s="184">
        <f>_xll.qlCalendarAdvance(Calendar,X353,NDays&amp;"D")</f>
        <v>42290</v>
      </c>
      <c r="Z353" s="185">
        <v>2.9290608270539302E-2</v>
      </c>
      <c r="AA353" s="182">
        <v>2.8626441810588599E-2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42291</v>
      </c>
      <c r="Y354" s="184">
        <f>_xll.qlCalendarAdvance(Calendar,X354,NDays&amp;"D")</f>
        <v>42291</v>
      </c>
      <c r="Z354" s="185">
        <v>2.9303157565844153E-2</v>
      </c>
      <c r="AA354" s="182">
        <v>2.8637706728489309E-2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42292</v>
      </c>
      <c r="Y355" s="184">
        <f>_xll.qlCalendarAdvance(Calendar,X355,NDays&amp;"D")</f>
        <v>42292</v>
      </c>
      <c r="Z355" s="185">
        <v>2.9315711067692356E-2</v>
      </c>
      <c r="AA355" s="182">
        <v>2.86490076983692E-2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42293</v>
      </c>
      <c r="Y356" s="184">
        <f>_xll.qlCalendarAdvance(Calendar,X356,NDays&amp;"D")</f>
        <v>42293</v>
      </c>
      <c r="Z356" s="185">
        <v>2.9343297850547793E-2</v>
      </c>
      <c r="AA356" s="182">
        <v>2.8673982112336443E-2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42296</v>
      </c>
      <c r="Y357" s="184">
        <f>_xll.qlCalendarAdvance(Calendar,X357,NDays&amp;"D")</f>
        <v>42296</v>
      </c>
      <c r="Z357" s="185">
        <v>2.9365944969871615E-2</v>
      </c>
      <c r="AA357" s="182">
        <v>2.8694572099706717E-2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42297</v>
      </c>
      <c r="Y358" s="184">
        <f>_xll.qlCalendarAdvance(Calendar,X358,NDays&amp;"D")</f>
        <v>42297</v>
      </c>
      <c r="Z358" s="185">
        <v>2.9378502876325301E-2</v>
      </c>
      <c r="AA358" s="182">
        <v>2.8706053330374015E-2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42298</v>
      </c>
      <c r="Y359" s="184">
        <f>_xll.qlCalendarAdvance(Calendar,X359,NDays&amp;"D")</f>
        <v>42298</v>
      </c>
      <c r="Z359" s="185">
        <v>2.9391058337978285E-2</v>
      </c>
      <c r="AA359" s="182">
        <v>2.8717570613344678E-2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42299</v>
      </c>
      <c r="Y360" s="184">
        <f>_xll.qlCalendarAdvance(Calendar,X360,NDays&amp;"D")</f>
        <v>42299</v>
      </c>
      <c r="Z360" s="185">
        <v>2.9403610246224923E-2</v>
      </c>
      <c r="AA360" s="182">
        <v>2.8729123948375568E-2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42300</v>
      </c>
      <c r="Y361" s="184">
        <f>_xll.qlCalendarAdvance(Calendar,X361,NDays&amp;"D")</f>
        <v>42300</v>
      </c>
      <c r="Z361" s="185">
        <v>2.9431015590483525E-2</v>
      </c>
      <c r="AA361" s="182">
        <v>2.8754615776874031E-2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42303</v>
      </c>
      <c r="Y362" s="184">
        <f>_xll.qlCalendarAdvance(Calendar,X362,NDays&amp;"D")</f>
        <v>42303</v>
      </c>
      <c r="Z362" s="185">
        <v>2.9461150163605114E-2</v>
      </c>
      <c r="AA362" s="182">
        <v>2.877569781031708E-2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42304</v>
      </c>
      <c r="Y363" s="184">
        <f>_xll.qlCalendarAdvance(Calendar,X363,NDays&amp;"D")</f>
        <v>42304</v>
      </c>
      <c r="Z363" s="185">
        <v>2.9466277684163593E-2</v>
      </c>
      <c r="AA363" s="182">
        <v>2.878743140629747E-2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42305</v>
      </c>
      <c r="Y364" s="184">
        <f>_xll.qlCalendarAdvance(Calendar,X364,NDays&amp;"D")</f>
        <v>42305</v>
      </c>
      <c r="Z364" s="185">
        <v>2.9478784990459823E-2</v>
      </c>
      <c r="AA364" s="182">
        <v>2.8799201054419132E-2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42306</v>
      </c>
      <c r="Y365" s="184">
        <f>_xll.qlCalendarAdvance(Calendar,X365,NDays&amp;"D")</f>
        <v>42306</v>
      </c>
      <c r="Z365" s="185">
        <v>2.9491280982717277E-2</v>
      </c>
      <c r="AA365" s="182">
        <v>2.8811006754763113E-2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42307</v>
      </c>
      <c r="Y366" s="184">
        <f>_xll.qlCalendarAdvance(Calendar,X366,NDays&amp;"D")</f>
        <v>42307</v>
      </c>
      <c r="Z366" s="185">
        <v>2.9496428244798197E-2</v>
      </c>
      <c r="AA366" s="182">
        <v>2.8837016312927753E-2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42310</v>
      </c>
      <c r="Y367" s="184">
        <f>_xll.qlCalendarAdvance(Calendar,X367,NDays&amp;"D")</f>
        <v>42310</v>
      </c>
      <c r="Z367" s="185">
        <v>2.9541129636807079E-2</v>
      </c>
      <c r="AA367" s="182">
        <v>2.8858590078119084E-2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42311</v>
      </c>
      <c r="Y368" s="184">
        <f>_xll.qlCalendarAdvance(Calendar,X368,NDays&amp;"D")</f>
        <v>42311</v>
      </c>
      <c r="Z368" s="185">
        <v>2.9553552427837314E-2</v>
      </c>
      <c r="AA368" s="182">
        <v>2.8870576039412565E-2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42312</v>
      </c>
      <c r="Y369" s="184">
        <f>_xll.qlCalendarAdvance(Calendar,X369,NDays&amp;"D")</f>
        <v>42312</v>
      </c>
      <c r="Z369" s="185">
        <v>2.9565957252321001E-2</v>
      </c>
      <c r="AA369" s="182">
        <v>2.8882598053009412E-2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42313</v>
      </c>
      <c r="Y370" s="184">
        <f>_xll.qlCalendarAdvance(Calendar,X370,NDays&amp;"D")</f>
        <v>42313</v>
      </c>
      <c r="Z370" s="185">
        <v>2.9578343001458691E-2</v>
      </c>
      <c r="AA370" s="182">
        <v>2.889465611874753E-2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42314</v>
      </c>
      <c r="Y371" s="184">
        <f>_xll.qlCalendarAdvance(Calendar,X371,NDays&amp;"D")</f>
        <v>42314</v>
      </c>
      <c r="Z371" s="185">
        <v>2.9605043213085054E-2</v>
      </c>
      <c r="AA371" s="182">
        <v>2.8921183724063642E-2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42317</v>
      </c>
      <c r="Y372" s="184">
        <f>_xll.qlCalendarAdvance(Calendar,X372,NDays&amp;"D")</f>
        <v>42317</v>
      </c>
      <c r="Z372" s="185">
        <v>2.9627673068096116E-2</v>
      </c>
      <c r="AA372" s="182">
        <v>2.894324890416633E-2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42318</v>
      </c>
      <c r="Y373" s="184">
        <f>_xll.qlCalendarAdvance(Calendar,X373,NDays&amp;"D")</f>
        <v>42318</v>
      </c>
      <c r="Z373" s="185">
        <v>2.9639946808047747E-2</v>
      </c>
      <c r="AA373" s="182">
        <v>2.8955487231016042E-2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42319</v>
      </c>
      <c r="Y374" s="184">
        <f>_xll.qlCalendarAdvance(Calendar,X374,NDays&amp;"D")</f>
        <v>42319</v>
      </c>
      <c r="Z374" s="185">
        <v>2.9652194819579161E-2</v>
      </c>
      <c r="AA374" s="182">
        <v>2.8967761610169118E-2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42320</v>
      </c>
      <c r="Y375" s="184">
        <f>_xll.qlCalendarAdvance(Calendar,X375,NDays&amp;"D")</f>
        <v>42320</v>
      </c>
      <c r="Z375" s="185">
        <v>2.9664415993798411E-2</v>
      </c>
      <c r="AA375" s="182">
        <v>2.898007204162556E-2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42321</v>
      </c>
      <c r="Y376" s="184">
        <f>_xll.qlCalendarAdvance(Calendar,X376,NDays&amp;"D")</f>
        <v>42321</v>
      </c>
      <c r="Z376" s="185">
        <v>2.9690608551919843E-2</v>
      </c>
      <c r="AA376" s="182">
        <v>2.90071180139558E-2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42324</v>
      </c>
      <c r="Y377" s="184">
        <f>_xll.qlCalendarAdvance(Calendar,X377,NDays&amp;"D")</f>
        <v>42324</v>
      </c>
      <c r="Z377" s="185">
        <v>2.9713010139247799E-2</v>
      </c>
      <c r="AA377" s="182">
        <v>2.9029674289674512E-2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42325</v>
      </c>
      <c r="Y378" s="184">
        <f>_xll.qlCalendarAdvance(Calendar,X378,NDays&amp;"D")</f>
        <v>42325</v>
      </c>
      <c r="Z378" s="185">
        <v>2.9725080493067088E-2</v>
      </c>
      <c r="AA378" s="182">
        <v>2.9042164982404639E-2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42326</v>
      </c>
      <c r="Y379" s="184">
        <f>_xll.qlCalendarAdvance(Calendar,X379,NDays&amp;"D")</f>
        <v>42326</v>
      </c>
      <c r="Z379" s="185">
        <v>2.9737117355951168E-2</v>
      </c>
      <c r="AA379" s="182">
        <v>2.9054691727357085E-2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42327</v>
      </c>
      <c r="Y380" s="184">
        <f>_xll.qlCalendarAdvance(Calendar,X380,NDays&amp;"D")</f>
        <v>42327</v>
      </c>
      <c r="Z380" s="185">
        <v>2.9749119618917356E-2</v>
      </c>
      <c r="AA380" s="182">
        <v>2.9067254524531849E-2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42328</v>
      </c>
      <c r="Y381" s="184">
        <f>_xll.qlCalendarAdvance(Calendar,X381,NDays&amp;"D")</f>
        <v>42328</v>
      </c>
      <c r="Z381" s="185">
        <v>2.9774711826280734E-2</v>
      </c>
      <c r="AA381" s="182">
        <v>2.9094819186332353E-2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42331</v>
      </c>
      <c r="Y382" s="184">
        <f>_xll.qlCalendarAdvance(Calendar,X382,NDays&amp;"D")</f>
        <v>42331</v>
      </c>
      <c r="Z382" s="185">
        <v>2.9796760491538871E-2</v>
      </c>
      <c r="AA382" s="182">
        <v>2.9117866236102463E-2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42332</v>
      </c>
      <c r="Y383" s="184">
        <f>_xll.qlCalendarAdvance(Calendar,X383,NDays&amp;"D")</f>
        <v>42332</v>
      </c>
      <c r="Z383" s="185">
        <v>2.980857311976122E-2</v>
      </c>
      <c r="AA383" s="182">
        <v>2.9130609294631959E-2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42333</v>
      </c>
      <c r="Y384" s="184">
        <f>_xll.qlCalendarAdvance(Calendar,X384,NDays&amp;"D")</f>
        <v>42333</v>
      </c>
      <c r="Z384" s="185">
        <v>2.9820344493918478E-2</v>
      </c>
      <c r="AA384" s="182">
        <v>2.9143388405626913E-2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42334</v>
      </c>
      <c r="Y385" s="184">
        <f>_xll.qlCalendarAdvance(Calendar,X385,NDays&amp;"D")</f>
        <v>42334</v>
      </c>
      <c r="Z385" s="185">
        <v>2.9832073504944264E-2</v>
      </c>
      <c r="AA385" s="182">
        <v>2.9156203568763139E-2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42335</v>
      </c>
      <c r="Y386" s="184">
        <f>_xll.qlCalendarAdvance(Calendar,X386,NDays&amp;"D")</f>
        <v>42335</v>
      </c>
      <c r="Z386" s="185">
        <v>2.9856980685476098E-2</v>
      </c>
      <c r="AA386" s="182">
        <v>2.918428724505651E-2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42338</v>
      </c>
      <c r="Y387" s="184">
        <f>_xll.qlCalendarAdvance(Calendar,X387,NDays&amp;"D")</f>
        <v>42338</v>
      </c>
      <c r="Z387" s="185">
        <v>2.9871991972076479E-2</v>
      </c>
      <c r="AA387" s="182">
        <v>2.9207824744503785E-2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42339</v>
      </c>
      <c r="Y388" s="184">
        <f>_xll.qlCalendarAdvance(Calendar,X388,NDays&amp;"D")</f>
        <v>42339</v>
      </c>
      <c r="Z388" s="185">
        <v>2.9883522951897987E-2</v>
      </c>
      <c r="AA388" s="182">
        <v>2.9220820169237882E-2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42340</v>
      </c>
      <c r="Y389" s="184">
        <f>_xll.qlCalendarAdvance(Calendar,X389,NDays&amp;"D")</f>
        <v>42340</v>
      </c>
      <c r="Z389" s="185">
        <v>2.9895005100572056E-2</v>
      </c>
      <c r="AA389" s="182">
        <v>2.9233851646275344E-2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42341</v>
      </c>
      <c r="Y390" s="184">
        <f>_xll.qlCalendarAdvance(Calendar,X390,NDays&amp;"D")</f>
        <v>42341</v>
      </c>
      <c r="Z390" s="185">
        <v>2.9906437296867917E-2</v>
      </c>
      <c r="AA390" s="182">
        <v>2.9246919175697217E-2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42342</v>
      </c>
      <c r="Y391" s="184">
        <f>_xll.qlCalendarAdvance(Calendar,X391,NDays&amp;"D")</f>
        <v>42342</v>
      </c>
      <c r="Z391" s="185">
        <v>2.9917818419543236E-2</v>
      </c>
      <c r="AA391" s="182">
        <v>2.9275522193937441E-2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42345</v>
      </c>
      <c r="Y392" s="184">
        <f>_xll.qlCalendarAdvance(Calendar,X392,NDays&amp;"D")</f>
        <v>42345</v>
      </c>
      <c r="Z392" s="185">
        <v>2.9951644133263067E-2</v>
      </c>
      <c r="AA392" s="182">
        <v>2.9299549816337311E-2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42346</v>
      </c>
      <c r="Y393" s="184">
        <f>_xll.qlCalendarAdvance(Calendar,X393,NDays&amp;"D")</f>
        <v>42346</v>
      </c>
      <c r="Z393" s="185">
        <v>2.9962809748820811E-2</v>
      </c>
      <c r="AA393" s="182">
        <v>2.9312797607357055E-2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42347</v>
      </c>
      <c r="Y394" s="184">
        <f>_xll.qlCalendarAdvance(Calendar,X394,NDays&amp;"D")</f>
        <v>42347</v>
      </c>
      <c r="Z394" s="185">
        <v>2.9973918684387771E-2</v>
      </c>
      <c r="AA394" s="182">
        <v>2.932608145076121E-2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42348</v>
      </c>
      <c r="Y395" s="184">
        <f>_xll.qlCalendarAdvance(Calendar,X395,NDays&amp;"D")</f>
        <v>42348</v>
      </c>
      <c r="Z395" s="185">
        <v>2.9984969818660147E-2</v>
      </c>
      <c r="AA395" s="182">
        <v>2.933940134646873E-2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42349</v>
      </c>
      <c r="Y396" s="184">
        <f>_xll.qlCalendarAdvance(Calendar,X396,NDays&amp;"D")</f>
        <v>42349</v>
      </c>
      <c r="Z396" s="185">
        <v>2.9995962030324352E-2</v>
      </c>
      <c r="AA396" s="182">
        <v>2.9368524037054481E-2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42352</v>
      </c>
      <c r="Y397" s="184">
        <f>_xll.qlCalendarAdvance(Calendar,X397,NDays&amp;"D")</f>
        <v>42352</v>
      </c>
      <c r="Z397" s="185">
        <v>3.0028573916376158E-2</v>
      </c>
      <c r="AA397" s="182">
        <v>2.9393041452899782E-2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42353</v>
      </c>
      <c r="Y398" s="184">
        <f>_xll.qlCalendarAdvance(Calendar,X398,NDays&amp;"D")</f>
        <v>42353</v>
      </c>
      <c r="Z398" s="185">
        <v>3.0039319224271371E-2</v>
      </c>
      <c r="AA398" s="182">
        <v>2.9406541610367265E-2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42354</v>
      </c>
      <c r="Y399" s="184">
        <f>_xll.qlCalendarAdvance(Calendar,X399,NDays&amp;"D")</f>
        <v>42354</v>
      </c>
      <c r="Z399" s="185">
        <v>3.0050000002845283E-2</v>
      </c>
      <c r="AA399" s="182">
        <v>2.9420060945735127E-2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42355</v>
      </c>
      <c r="Y400" s="184">
        <f>_xll.qlCalendarAdvance(Calendar,X400,NDays&amp;"D")</f>
        <v>42355</v>
      </c>
      <c r="Z400" s="185">
        <v>3.0060615576847E-2</v>
      </c>
      <c r="AA400" s="182">
        <v>2.9433531960499915E-2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42356</v>
      </c>
      <c r="Y401" s="184">
        <f>_xll.qlCalendarAdvance(Calendar,X401,NDays&amp;"D")</f>
        <v>42356</v>
      </c>
      <c r="Z401" s="185">
        <v>3.007116705551155E-2</v>
      </c>
      <c r="AA401" s="182">
        <v>2.9462634563494815E-2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42359</v>
      </c>
      <c r="Y402" s="184">
        <f>_xll.qlCalendarAdvance(Calendar,X402,NDays&amp;"D")</f>
        <v>42359</v>
      </c>
      <c r="Z402" s="185">
        <v>3.0102452473266296E-2</v>
      </c>
      <c r="AA402" s="182">
        <v>2.9486764068525906E-2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42360</v>
      </c>
      <c r="Y403" s="184">
        <f>_xll.qlCalendarAdvance(Calendar,X403,NDays&amp;"D")</f>
        <v>42360</v>
      </c>
      <c r="Z403" s="185">
        <v>3.0112763124462476E-2</v>
      </c>
      <c r="AA403" s="182">
        <v>2.9499909107693068E-2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42361</v>
      </c>
      <c r="Y404" s="184">
        <f>_xll.qlCalendarAdvance(Calendar,X404,NDays&amp;"D")</f>
        <v>42361</v>
      </c>
      <c r="Z404" s="185">
        <v>3.0123017457358715E-2</v>
      </c>
      <c r="AA404" s="182">
        <v>2.9512988951692076E-2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42362</v>
      </c>
      <c r="Y405" s="184">
        <f>_xll.qlCalendarAdvance(Calendar,X405,NDays&amp;"D")</f>
        <v>42362</v>
      </c>
      <c r="Z405" s="185">
        <v>3.0133217027416614E-2</v>
      </c>
      <c r="AA405" s="182">
        <v>2.9556557749760515E-2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42367</v>
      </c>
      <c r="Y406" s="184">
        <f>_xll.qlCalendarAdvance(Calendar,X406,NDays&amp;"D")</f>
        <v>42367</v>
      </c>
      <c r="Z406" s="185">
        <v>3.0183447877577332E-2</v>
      </c>
      <c r="AA406" s="182">
        <v>2.9590098917398056E-2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42368</v>
      </c>
      <c r="Y407" s="184">
        <f>_xll.qlCalendarAdvance(Calendar,X407,NDays&amp;"D")</f>
        <v>42368</v>
      </c>
      <c r="Z407" s="185">
        <v>3.019335153631756E-2</v>
      </c>
      <c r="AA407" s="182">
        <v>2.9602722395219994E-2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42369</v>
      </c>
      <c r="Y408" s="184">
        <f>_xll.qlCalendarAdvance(Calendar,X408,NDays&amp;"D")</f>
        <v>42369</v>
      </c>
      <c r="Z408" s="185">
        <v>3.0203211320952033E-2</v>
      </c>
      <c r="AA408" s="182">
        <v>2.9637564231898561E-2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42373</v>
      </c>
      <c r="Y409" s="184">
        <f>_xll.qlCalendarAdvance(Calendar,X409,NDays&amp;"D")</f>
        <v>42373</v>
      </c>
      <c r="Z409" s="185">
        <v>3.0242242830704001E-2</v>
      </c>
      <c r="AA409" s="182">
        <v>2.9664861856077973E-2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42374</v>
      </c>
      <c r="Y410" s="184">
        <f>_xll.qlCalendarAdvance(Calendar,X410,NDays&amp;"D")</f>
        <v>42374</v>
      </c>
      <c r="Z410" s="185">
        <v>3.0251906579155243E-2</v>
      </c>
      <c r="AA410" s="182">
        <v>2.9677094162647855E-2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42375</v>
      </c>
      <c r="Y411" s="184">
        <f>_xll.qlCalendarAdvance(Calendar,X411,NDays&amp;"D")</f>
        <v>42375</v>
      </c>
      <c r="Z411" s="185">
        <v>3.0261535787352408E-2</v>
      </c>
      <c r="AA411" s="182">
        <v>2.9689261273887491E-2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42376</v>
      </c>
      <c r="Y412" s="184">
        <f>_xll.qlCalendarAdvance(Calendar,X412,NDays&amp;"D")</f>
        <v>42376</v>
      </c>
      <c r="Z412" s="185">
        <v>3.0271132010993105E-2</v>
      </c>
      <c r="AA412" s="182">
        <v>2.9701363189877927E-2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42377</v>
      </c>
      <c r="Y413" s="184">
        <f>_xll.qlCalendarAdvance(Calendar,X413,NDays&amp;"D")</f>
        <v>42377</v>
      </c>
      <c r="Z413" s="185">
        <v>3.0280696805790982E-2</v>
      </c>
      <c r="AA413" s="182">
        <v>2.9727770582109368E-2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42380</v>
      </c>
      <c r="Y414" s="184">
        <f>_xll.qlCalendarAdvance(Calendar,X414,NDays&amp;"D")</f>
        <v>42380</v>
      </c>
      <c r="Z414" s="185">
        <v>3.0309218174492062E-2</v>
      </c>
      <c r="AA414" s="182">
        <v>2.9749118901347682E-2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42381</v>
      </c>
      <c r="Y415" s="184">
        <f>_xll.qlCalendarAdvance(Calendar,X415,NDays&amp;"D")</f>
        <v>42381</v>
      </c>
      <c r="Z415" s="185">
        <v>3.0318672811360529E-2</v>
      </c>
      <c r="AA415" s="182">
        <v>2.9760894841092123E-2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42382</v>
      </c>
      <c r="Y416" s="184">
        <f>_xll.qlCalendarAdvance(Calendar,X416,NDays&amp;"D")</f>
        <v>42382</v>
      </c>
      <c r="Z416" s="185">
        <v>3.0328103798183261E-2</v>
      </c>
      <c r="AA416" s="182">
        <v>2.9772605585425271E-2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42383</v>
      </c>
      <c r="Y417" s="184">
        <f>_xll.qlCalendarAdvance(Calendar,X417,NDays&amp;"D")</f>
        <v>42383</v>
      </c>
      <c r="Z417" s="185">
        <v>3.033751269076564E-2</v>
      </c>
      <c r="AA417" s="182">
        <v>2.9784251134590267E-2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42384</v>
      </c>
      <c r="Y418" s="184">
        <f>_xll.qlCalendarAdvance(Calendar,X418,NDays&amp;"D")</f>
        <v>42384</v>
      </c>
      <c r="Z418" s="185">
        <v>3.0346901044926395E-2</v>
      </c>
      <c r="AA418" s="182">
        <v>2.9809759163808017E-2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42387</v>
      </c>
      <c r="Y419" s="184">
        <f>_xll.qlCalendarAdvance(Calendar,X419,NDays&amp;"D")</f>
        <v>42387</v>
      </c>
      <c r="Z419" s="185">
        <v>3.0374958435298718E-2</v>
      </c>
      <c r="AA419" s="182">
        <v>2.9830181378028842E-2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42388</v>
      </c>
      <c r="Y420" s="184">
        <f>_xll.qlCalendarAdvance(Calendar,X420,NDays&amp;"D")</f>
        <v>42388</v>
      </c>
      <c r="Z420" s="185">
        <v>3.0384280194265801E-2</v>
      </c>
      <c r="AA420" s="182">
        <v>2.984150095054261E-2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42389</v>
      </c>
      <c r="Y421" s="184">
        <f>_xll.qlCalendarAdvance(Calendar,X421,NDays&amp;"D")</f>
        <v>42389</v>
      </c>
      <c r="Z421" s="185">
        <v>3.0393589194130259E-2</v>
      </c>
      <c r="AA421" s="182">
        <v>2.9852755327807179E-2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42390</v>
      </c>
      <c r="Y422" s="184">
        <f>_xll.qlCalendarAdvance(Calendar,X422,NDays&amp;"D")</f>
        <v>42390</v>
      </c>
      <c r="Z422" s="185">
        <v>3.0402886990798107E-2</v>
      </c>
      <c r="AA422" s="182">
        <v>2.9863944509660456E-2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42391</v>
      </c>
      <c r="Y423" s="184">
        <f>_xll.qlCalendarAdvance(Calendar,X423,NDays&amp;"D")</f>
        <v>42391</v>
      </c>
      <c r="Z423" s="185">
        <v>3.0412175140193169E-2</v>
      </c>
      <c r="AA423" s="182">
        <v>2.9888552688965474E-2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42394</v>
      </c>
      <c r="Y424" s="184">
        <f>_xll.qlCalendarAdvance(Calendar,X424,NDays&amp;"D")</f>
        <v>42394</v>
      </c>
      <c r="Z424" s="185">
        <v>3.0445847521558978E-2</v>
      </c>
      <c r="AA424" s="182">
        <v>2.9914706662174106E-2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42396</v>
      </c>
      <c r="Y425" s="184">
        <f>_xll.qlCalendarAdvance(Calendar,X425,NDays&amp;"D")</f>
        <v>42396</v>
      </c>
      <c r="Z425" s="185">
        <v>3.0458525636329756E-2</v>
      </c>
      <c r="AA425" s="182">
        <v>2.9929710498763917E-2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42397</v>
      </c>
      <c r="Y426" s="184">
        <f>_xll.qlCalendarAdvance(Calendar,X426,NDays&amp;"D")</f>
        <v>42397</v>
      </c>
      <c r="Z426" s="185">
        <v>3.0467788577241934E-2</v>
      </c>
      <c r="AA426" s="182">
        <v>2.9940443313143383E-2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42398</v>
      </c>
      <c r="Y427" s="184">
        <f>_xll.qlCalendarAdvance(Calendar,X427,NDays&amp;"D")</f>
        <v>42398</v>
      </c>
      <c r="Z427" s="185">
        <v>3.0477052762735535E-2</v>
      </c>
      <c r="AA427" s="182">
        <v>2.9964151151341177E-2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42401</v>
      </c>
      <c r="Y428" s="184">
        <f>_xll.qlCalendarAdvance(Calendar,X428,NDays&amp;"D")</f>
        <v>42401</v>
      </c>
      <c r="Z428" s="185">
        <v>3.0504868347125878E-2</v>
      </c>
      <c r="AA428" s="182">
        <v>2.9982722616872515E-2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42402</v>
      </c>
      <c r="Y429" s="184">
        <f>_xll.qlCalendarAdvance(Calendar,X429,NDays&amp;"D")</f>
        <v>42402</v>
      </c>
      <c r="Z429" s="185">
        <v>3.0508163890143856E-2</v>
      </c>
      <c r="AA429" s="182">
        <v>2.9993129454276568E-2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42403</v>
      </c>
      <c r="Y430" s="184">
        <f>_xll.qlCalendarAdvance(Calendar,X430,NDays&amp;"D")</f>
        <v>42403</v>
      </c>
      <c r="Z430" s="185">
        <v>3.0517434514896722E-2</v>
      </c>
      <c r="AA430" s="182">
        <v>3.000347109626933E-2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42404</v>
      </c>
      <c r="Y431" s="184">
        <f>_xll.qlCalendarAdvance(Calendar,X431,NDays&amp;"D")</f>
        <v>42404</v>
      </c>
      <c r="Z431" s="185">
        <v>3.0526714993338356E-2</v>
      </c>
      <c r="AA431" s="182">
        <v>3.0013747542931846E-2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42405</v>
      </c>
      <c r="Y432" s="184">
        <f>_xll.qlCalendarAdvance(Calendar,X432,NDays&amp;"D")</f>
        <v>42405</v>
      </c>
      <c r="Z432" s="185">
        <v>3.0536006898739157E-2</v>
      </c>
      <c r="AA432" s="182">
        <v>3.0036554545018749E-2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42408</v>
      </c>
      <c r="Y433" s="184">
        <f>_xll.qlCalendarAdvance(Calendar,X433,NDays&amp;"D")</f>
        <v>42408</v>
      </c>
      <c r="Z433" s="185">
        <v>3.0570105404592339E-2</v>
      </c>
      <c r="AA433" s="182">
        <v>3.005420137506376E-2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42409</v>
      </c>
      <c r="Y434" s="184">
        <f>_xll.qlCalendarAdvance(Calendar,X434,NDays&amp;"D")</f>
        <v>42409</v>
      </c>
      <c r="Z434" s="185">
        <v>3.0573320255905832E-2</v>
      </c>
      <c r="AA434" s="182">
        <v>3.0064151844507725E-2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42410</v>
      </c>
      <c r="Y435" s="184">
        <f>_xll.qlCalendarAdvance(Calendar,X435,NDays&amp;"D")</f>
        <v>42410</v>
      </c>
      <c r="Z435" s="185">
        <v>3.0582692895704231E-2</v>
      </c>
      <c r="AA435" s="182">
        <v>3.0074037118459351E-2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42411</v>
      </c>
      <c r="Y436" s="184">
        <f>_xll.qlCalendarAdvance(Calendar,X436,NDays&amp;"D")</f>
        <v>42411</v>
      </c>
      <c r="Z436" s="185">
        <v>3.0592086402403903E-2</v>
      </c>
      <c r="AA436" s="182">
        <v>3.0083857197080732E-2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42412</v>
      </c>
      <c r="Y437" s="184">
        <f>_xll.qlCalendarAdvance(Calendar,X437,NDays&amp;"D")</f>
        <v>42412</v>
      </c>
      <c r="Z437" s="185">
        <v>3.0601502349378803E-2</v>
      </c>
      <c r="AA437" s="182">
        <v>3.0105762864297933E-2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42415</v>
      </c>
      <c r="Y438" s="184">
        <f>_xll.qlCalendarAdvance(Calendar,X438,NDays&amp;"D")</f>
        <v>42415</v>
      </c>
      <c r="Z438" s="185">
        <v>3.0636242191529339E-2</v>
      </c>
      <c r="AA438" s="182">
        <v>3.0122485556561829E-2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42416</v>
      </c>
      <c r="Y439" s="184">
        <f>_xll.qlCalendarAdvance(Calendar,X439,NDays&amp;"D")</f>
        <v>42416</v>
      </c>
      <c r="Z439" s="185">
        <v>3.0639422008043954E-2</v>
      </c>
      <c r="AA439" s="182">
        <v>3.0131979657802566E-2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42417</v>
      </c>
      <c r="Y440" s="184">
        <f>_xll.qlCalendarAdvance(Calendar,X440,NDays&amp;"D")</f>
        <v>42417</v>
      </c>
      <c r="Z440" s="185">
        <v>3.0648973757538441E-2</v>
      </c>
      <c r="AA440" s="182">
        <v>3.0141408563550964E-2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42418</v>
      </c>
      <c r="Y441" s="184">
        <f>_xll.qlCalendarAdvance(Calendar,X441,NDays&amp;"D")</f>
        <v>42418</v>
      </c>
      <c r="Z441" s="185">
        <v>3.0658557387870711E-2</v>
      </c>
      <c r="AA441" s="182">
        <v>3.0150772273725979E-2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42419</v>
      </c>
      <c r="Y442" s="184">
        <f>_xll.qlCalendarAdvance(Calendar,X442,NDays&amp;"D")</f>
        <v>42419</v>
      </c>
      <c r="Z442" s="185">
        <v>3.0668174472521893E-2</v>
      </c>
      <c r="AA442" s="182">
        <v>3.0171776103694595E-2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42422</v>
      </c>
      <c r="Y443" s="184">
        <f>_xll.qlCalendarAdvance(Calendar,X443,NDays&amp;"D")</f>
        <v>42422</v>
      </c>
      <c r="Z443" s="185">
        <v>3.070381249826545E-2</v>
      </c>
      <c r="AA443" s="182">
        <v>3.0187575159664748E-2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42423</v>
      </c>
      <c r="Y444" s="184">
        <f>_xll.qlCalendarAdvance(Calendar,X444,NDays&amp;"D")</f>
        <v>42423</v>
      </c>
      <c r="Z444" s="185">
        <v>3.0707008824483864E-2</v>
      </c>
      <c r="AA444" s="182">
        <v>3.0196612892378072E-2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42424</v>
      </c>
      <c r="Y445" s="184">
        <f>_xll.qlCalendarAdvance(Calendar,X445,NDays&amp;"D")</f>
        <v>42424</v>
      </c>
      <c r="Z445" s="185">
        <v>3.0716816783493042E-2</v>
      </c>
      <c r="AA445" s="182">
        <v>3.0205585429599058E-2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42425</v>
      </c>
      <c r="Y446" s="184">
        <f>_xll.qlCalendarAdvance(Calendar,X446,NDays&amp;"D")</f>
        <v>42425</v>
      </c>
      <c r="Z446" s="185">
        <v>3.0726667638038357E-2</v>
      </c>
      <c r="AA446" s="182">
        <v>3.0214492771246659E-2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42426</v>
      </c>
      <c r="Y447" s="184">
        <f>_xll.qlCalendarAdvance(Calendar,X447,NDays&amp;"D")</f>
        <v>42426</v>
      </c>
      <c r="Z447" s="185">
        <v>3.0736562961712594E-2</v>
      </c>
      <c r="AA447" s="182">
        <v>3.0234594257994761E-2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42429</v>
      </c>
      <c r="Y448" s="184">
        <f>_xll.qlCalendarAdvance(Calendar,X448,NDays&amp;"D")</f>
        <v>42429</v>
      </c>
      <c r="Z448" s="185">
        <v>3.0780194880116605E-2</v>
      </c>
      <c r="AA448" s="182">
        <v>3.02494701825895E-2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42430</v>
      </c>
      <c r="Y449" s="184">
        <f>_xll.qlCalendarAdvance(Calendar,X449,NDays&amp;"D")</f>
        <v>42430</v>
      </c>
      <c r="Z449" s="185">
        <v>3.07903573534479E-2</v>
      </c>
      <c r="AA449" s="182">
        <v>3.0258051546532272E-2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42431</v>
      </c>
      <c r="Y450" s="184">
        <f>_xll.qlCalendarAdvance(Calendar,X450,NDays&amp;"D")</f>
        <v>42431</v>
      </c>
      <c r="Z450" s="185">
        <v>3.0800572687108646E-2</v>
      </c>
      <c r="AA450" s="182">
        <v>3.0266567714982706E-2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42432</v>
      </c>
      <c r="Y451" s="184">
        <f>_xll.qlCalendarAdvance(Calendar,X451,NDays&amp;"D")</f>
        <v>42432</v>
      </c>
      <c r="Z451" s="185">
        <v>3.0810842420868935E-2</v>
      </c>
      <c r="AA451" s="182">
        <v>3.0275018687859756E-2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42433</v>
      </c>
      <c r="Y452" s="184">
        <f>_xll.qlCalendarAdvance(Calendar,X452,NDays&amp;"D")</f>
        <v>42433</v>
      </c>
      <c r="Z452" s="185">
        <v>3.0835233620549893E-2</v>
      </c>
      <c r="AA452" s="182">
        <v>3.029421732230864E-2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42436</v>
      </c>
      <c r="Y453" s="184">
        <f>_xll.qlCalendarAdvance(Calendar,X453,NDays&amp;"D")</f>
        <v>42436</v>
      </c>
      <c r="Z453" s="185">
        <v>3.085249615299554E-2</v>
      </c>
      <c r="AA453" s="182">
        <v>3.0308170623715158E-2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42437</v>
      </c>
      <c r="Y454" s="184">
        <f>_xll.qlCalendarAdvance(Calendar,X454,NDays&amp;"D")</f>
        <v>42437</v>
      </c>
      <c r="Z454" s="185">
        <v>3.0863060984477195E-2</v>
      </c>
      <c r="AA454" s="182">
        <v>3.0316295618725286E-2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42438</v>
      </c>
      <c r="Y455" s="184">
        <f>_xll.qlCalendarAdvance(Calendar,X455,NDays&amp;"D")</f>
        <v>42438</v>
      </c>
      <c r="Z455" s="185">
        <v>3.0873689455077177E-2</v>
      </c>
      <c r="AA455" s="182">
        <v>3.032435541816203E-2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42439</v>
      </c>
      <c r="Y456" s="184">
        <f>_xll.qlCalendarAdvance(Calendar,X456,NDays&amp;"D")</f>
        <v>42439</v>
      </c>
      <c r="Z456" s="185">
        <v>3.0884383104698598E-2</v>
      </c>
      <c r="AA456" s="182">
        <v>3.0332350022025389E-2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42440</v>
      </c>
      <c r="Y457" s="184">
        <f>_xll.qlCalendarAdvance(Calendar,X457,NDays&amp;"D")</f>
        <v>42440</v>
      </c>
      <c r="Z457" s="185">
        <v>3.0917084621765668E-2</v>
      </c>
      <c r="AA457" s="182">
        <v>3.0350645291908528E-2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42443</v>
      </c>
      <c r="Y458" s="184">
        <f>_xll.qlCalendarAdvance(Calendar,X458,NDays&amp;"D")</f>
        <v>42443</v>
      </c>
      <c r="Z458" s="185">
        <v>3.092784029213241E-2</v>
      </c>
      <c r="AA458" s="182">
        <v>3.0363676481501845E-2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42444</v>
      </c>
      <c r="Y459" s="184">
        <f>_xll.qlCalendarAdvance(Calendar,X459,NDays&amp;"D")</f>
        <v>42444</v>
      </c>
      <c r="Z459" s="185">
        <v>3.0938882936090584E-2</v>
      </c>
      <c r="AA459" s="182">
        <v>3.037134510733619E-2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42445</v>
      </c>
      <c r="Y460" s="184">
        <f>_xll.qlCalendarAdvance(Calendar,X460,NDays&amp;"D")</f>
        <v>42445</v>
      </c>
      <c r="Z460" s="185">
        <v>3.0949999998905606E-2</v>
      </c>
      <c r="AA460" s="182">
        <v>3.0378971961269041E-2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42446</v>
      </c>
      <c r="Y461" s="184">
        <f>_xll.qlCalendarAdvance(Calendar,X461,NDays&amp;"D")</f>
        <v>42446</v>
      </c>
      <c r="Z461" s="185">
        <v>3.0961192326681271E-2</v>
      </c>
      <c r="AA461" s="182">
        <v>3.0386650737987964E-2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42447</v>
      </c>
      <c r="Y462" s="184">
        <f>_xll.qlCalendarAdvance(Calendar,X462,NDays&amp;"D")</f>
        <v>42447</v>
      </c>
      <c r="Z462" s="185">
        <v>3.0987579316908303E-2</v>
      </c>
      <c r="AA462" s="182">
        <v>3.0404791838204812E-2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42450</v>
      </c>
      <c r="Y463" s="184">
        <f>_xll.qlCalendarAdvance(Calendar,X463,NDays&amp;"D")</f>
        <v>42450</v>
      </c>
      <c r="Z463" s="185">
        <v>3.100666875442078E-2</v>
      </c>
      <c r="AA463" s="182">
        <v>3.0418119309686409E-2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42451</v>
      </c>
      <c r="Y464" s="184">
        <f>_xll.qlCalendarAdvance(Calendar,X464,NDays&amp;"D")</f>
        <v>42451</v>
      </c>
      <c r="Z464" s="185">
        <v>3.1018201522199564E-2</v>
      </c>
      <c r="AA464" s="182">
        <v>3.0426174818857232E-2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42452</v>
      </c>
      <c r="Y465" s="184">
        <f>_xll.qlCalendarAdvance(Calendar,X465,NDays&amp;"D")</f>
        <v>42452</v>
      </c>
      <c r="Z465" s="185">
        <v>3.1029794506898085E-2</v>
      </c>
      <c r="AA465" s="182">
        <v>3.0434305674567064E-2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42453</v>
      </c>
      <c r="Y466" s="184">
        <f>_xll.qlCalendarAdvance(Calendar,X466,NDays&amp;"D")</f>
        <v>42453</v>
      </c>
      <c r="Z466" s="185">
        <v>3.1041445084756644E-2</v>
      </c>
      <c r="AA466" s="182">
        <v>3.0464309731947914E-2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42458</v>
      </c>
      <c r="Y467" s="184">
        <f>_xll.qlCalendarAdvance(Calendar,X467,NDays&amp;"D")</f>
        <v>42458</v>
      </c>
      <c r="Z467" s="185">
        <v>3.110047003796557E-2</v>
      </c>
      <c r="AA467" s="182">
        <v>3.048467308549685E-2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42459</v>
      </c>
      <c r="Y468" s="184">
        <f>_xll.qlCalendarAdvance(Calendar,X468,NDays&amp;"D")</f>
        <v>42459</v>
      </c>
      <c r="Z468" s="185">
        <v>3.1112411074286358E-2</v>
      </c>
      <c r="AA468" s="182">
        <v>3.0493331366817644E-2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42460</v>
      </c>
      <c r="Y469" s="184">
        <f>_xll.qlCalendarAdvance(Calendar,X469,NDays&amp;"D")</f>
        <v>42460</v>
      </c>
      <c r="Z469" s="185">
        <v>3.1116614561038598E-2</v>
      </c>
      <c r="AA469" s="182">
        <v>3.0502064994758493E-2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42461</v>
      </c>
      <c r="Y470" s="184">
        <f>_xll.qlCalendarAdvance(Calendar,X470,NDays&amp;"D")</f>
        <v>42461</v>
      </c>
      <c r="Z470" s="185">
        <v>3.1128628752170436E-2</v>
      </c>
      <c r="AA470" s="182">
        <v>3.052233541426623E-2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42464</v>
      </c>
      <c r="Y471" s="184">
        <f>_xll.qlCalendarAdvance(Calendar,X471,NDays&amp;"D")</f>
        <v>42464</v>
      </c>
      <c r="Z471" s="185">
        <v>3.1164877712588294E-2</v>
      </c>
      <c r="AA471" s="182">
        <v>3.0537752971993015E-2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42465</v>
      </c>
      <c r="Y472" s="184">
        <f>_xll.qlCalendarAdvance(Calendar,X472,NDays&amp;"D")</f>
        <v>42465</v>
      </c>
      <c r="Z472" s="185">
        <v>3.1177020652814035E-2</v>
      </c>
      <c r="AA472" s="182">
        <v>3.0546863332628904E-2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42466</v>
      </c>
      <c r="Y473" s="184">
        <f>_xll.qlCalendarAdvance(Calendar,X473,NDays&amp;"D")</f>
        <v>42466</v>
      </c>
      <c r="Z473" s="185">
        <v>3.1189189148545019E-2</v>
      </c>
      <c r="AA473" s="182">
        <v>3.0556049039965893E-2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42467</v>
      </c>
      <c r="Y474" s="184">
        <f>_xll.qlCalendarAdvance(Calendar,X474,NDays&amp;"D")</f>
        <v>42467</v>
      </c>
      <c r="Z474" s="185">
        <v>3.1201380547010014E-2</v>
      </c>
      <c r="AA474" s="182">
        <v>3.0565310093841891E-2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42468</v>
      </c>
      <c r="Y475" s="184">
        <f>_xll.qlCalendarAdvance(Calendar,X475,NDays&amp;"D")</f>
        <v>42468</v>
      </c>
      <c r="Z475" s="185">
        <v>3.1213592195410166E-2</v>
      </c>
      <c r="AA475" s="182">
        <v>3.0586646130219185E-2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42471</v>
      </c>
      <c r="Y476" s="184">
        <f>_xll.qlCalendarAdvance(Calendar,X476,NDays&amp;"D")</f>
        <v>42471</v>
      </c>
      <c r="Z476" s="185">
        <v>3.1250322111717438E-2</v>
      </c>
      <c r="AA476" s="182">
        <v>3.0603107775384331E-2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42472</v>
      </c>
      <c r="Y477" s="184">
        <f>_xll.qlCalendarAdvance(Calendar,X477,NDays&amp;"D")</f>
        <v>42472</v>
      </c>
      <c r="Z477" s="185">
        <v>3.1262588231199116E-2</v>
      </c>
      <c r="AA477" s="182">
        <v>3.0612745562279553E-2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42473</v>
      </c>
      <c r="Y478" s="184">
        <f>_xll.qlCalendarAdvance(Calendar,X478,NDays&amp;"D")</f>
        <v>42473</v>
      </c>
      <c r="Z478" s="185">
        <v>3.1274861336128321E-2</v>
      </c>
      <c r="AA478" s="182">
        <v>3.062245869579483E-2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42474</v>
      </c>
      <c r="Y479" s="184">
        <f>_xll.qlCalendarAdvance(Calendar,X479,NDays&amp;"D")</f>
        <v>42474</v>
      </c>
      <c r="Z479" s="185">
        <v>3.1287138773512926E-2</v>
      </c>
      <c r="AA479" s="182">
        <v>3.0632247175930161E-2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42475</v>
      </c>
      <c r="Y480" s="184">
        <f>_xll.qlCalendarAdvance(Calendar,X480,NDays&amp;"D")</f>
        <v>42475</v>
      </c>
      <c r="Z480" s="185">
        <v>3.1299417890325205E-2</v>
      </c>
      <c r="AA480" s="182">
        <v>3.0654649472468362E-2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42478</v>
      </c>
      <c r="Y481" s="184">
        <f>_xll.qlCalendarAdvance(Calendar,X481,NDays&amp;"D")</f>
        <v>42478</v>
      </c>
      <c r="Z481" s="185">
        <v>3.1336238786595604E-2</v>
      </c>
      <c r="AA481" s="182">
        <v>3.0672154562915166E-2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42479</v>
      </c>
      <c r="Y482" s="184">
        <f>_xll.qlCalendarAdvance(Calendar,X482,NDays&amp;"D")</f>
        <v>42479</v>
      </c>
      <c r="Z482" s="185">
        <v>3.1348498090222221E-2</v>
      </c>
      <c r="AA482" s="182">
        <v>3.0682319776312861E-2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42480</v>
      </c>
      <c r="Y483" s="184">
        <f>_xll.qlCalendarAdvance(Calendar,X483,NDays&amp;"D")</f>
        <v>42480</v>
      </c>
      <c r="Z483" s="185">
        <v>3.1360745807666693E-2</v>
      </c>
      <c r="AA483" s="182">
        <v>3.069256033633061E-2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42481</v>
      </c>
      <c r="Y484" s="184">
        <f>_xll.qlCalendarAdvance(Calendar,X484,NDays&amp;"D")</f>
        <v>42481</v>
      </c>
      <c r="Z484" s="185">
        <v>3.137297928570891E-2</v>
      </c>
      <c r="AA484" s="182">
        <v>3.070287624304946E-2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42482</v>
      </c>
      <c r="Y485" s="184">
        <f>_xll.qlCalendarAdvance(Calendar,X485,NDays&amp;"D")</f>
        <v>42482</v>
      </c>
      <c r="Z485" s="185">
        <v>3.1385195871100259E-2</v>
      </c>
      <c r="AA485" s="182">
        <v>3.0732923539168178E-2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42486</v>
      </c>
      <c r="Y486" s="184">
        <f>_xll.qlCalendarAdvance(Calendar,X486,NDays&amp;"D")</f>
        <v>42486</v>
      </c>
      <c r="Z486" s="185">
        <v>3.1433840220015385E-2</v>
      </c>
      <c r="AA486" s="182">
        <v>3.0755585976836031E-2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42487</v>
      </c>
      <c r="Y487" s="184">
        <f>_xll.qlCalendarAdvance(Calendar,X487,NDays&amp;"D")</f>
        <v>42487</v>
      </c>
      <c r="Z487" s="185">
        <v>3.1445932542275234E-2</v>
      </c>
      <c r="AA487" s="182">
        <v>3.0766353963680437E-2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42488</v>
      </c>
      <c r="Y488" s="184">
        <f>_xll.qlCalendarAdvance(Calendar,X488,NDays&amp;"D")</f>
        <v>42488</v>
      </c>
      <c r="Z488" s="185">
        <v>3.1457992051713915E-2</v>
      </c>
      <c r="AA488" s="182">
        <v>3.0777197297306991E-2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42489</v>
      </c>
      <c r="Y489" s="184">
        <f>_xll.qlCalendarAdvance(Calendar,X489,NDays&amp;"D")</f>
        <v>42489</v>
      </c>
      <c r="Z489" s="185">
        <v>3.1470016094860144E-2</v>
      </c>
      <c r="AA489" s="182">
        <v>3.0801734060898665E-2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42492</v>
      </c>
      <c r="Y490" s="184">
        <f>_xll.qlCalendarAdvance(Calendar,X490,NDays&amp;"D")</f>
        <v>42492</v>
      </c>
      <c r="Z490" s="185">
        <v>3.1512767670540599E-2</v>
      </c>
      <c r="AA490" s="182">
        <v>3.0821324098905256E-2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42493</v>
      </c>
      <c r="Y491" s="184">
        <f>_xll.qlCalendarAdvance(Calendar,X491,NDays&amp;"D")</f>
        <v>42493</v>
      </c>
      <c r="Z491" s="185">
        <v>3.1524570145235561E-2</v>
      </c>
      <c r="AA491" s="182">
        <v>3.0832544166118359E-2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42494</v>
      </c>
      <c r="Y492" s="184">
        <f>_xll.qlCalendarAdvance(Calendar,X492,NDays&amp;"D")</f>
        <v>42494</v>
      </c>
      <c r="Z492" s="185">
        <v>3.1536322612592246E-2</v>
      </c>
      <c r="AA492" s="182">
        <v>3.0843839580113608E-2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42495</v>
      </c>
      <c r="Y493" s="184">
        <f>_xll.qlCalendarAdvance(Calendar,X493,NDays&amp;"D")</f>
        <v>42495</v>
      </c>
      <c r="Z493" s="185">
        <v>3.1548022447555106E-2</v>
      </c>
      <c r="AA493" s="182">
        <v>3.085521034097205E-2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42496</v>
      </c>
      <c r="Y494" s="184">
        <f>_xll.qlCalendarAdvance(Calendar,X494,NDays&amp;"D")</f>
        <v>42496</v>
      </c>
      <c r="Z494" s="185">
        <v>3.1572922800217111E-2</v>
      </c>
      <c r="AA494" s="182">
        <v>3.0880815320479447E-2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42499</v>
      </c>
      <c r="Y495" s="184">
        <f>_xll.qlCalendarAdvance(Calendar,X495,NDays&amp;"D")</f>
        <v>42499</v>
      </c>
      <c r="Z495" s="185">
        <v>3.1594242961375682E-2</v>
      </c>
      <c r="AA495" s="182">
        <v>3.0901446851822056E-2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42500</v>
      </c>
      <c r="Y496" s="184">
        <f>_xll.qlCalendarAdvance(Calendar,X496,NDays&amp;"D")</f>
        <v>42500</v>
      </c>
      <c r="Z496" s="185">
        <v>3.1605640257556397E-2</v>
      </c>
      <c r="AA496" s="182">
        <v>3.0913194346591233E-2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42501</v>
      </c>
      <c r="Y497" s="184">
        <f>_xll.qlCalendarAdvance(Calendar,X497,NDays&amp;"D")</f>
        <v>42501</v>
      </c>
      <c r="Z497" s="185">
        <v>3.1616969170424988E-2</v>
      </c>
      <c r="AA497" s="182">
        <v>3.092501718806151E-2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42502</v>
      </c>
      <c r="Y498" s="184">
        <f>_xll.qlCalendarAdvance(Calendar,X498,NDays&amp;"D")</f>
        <v>42502</v>
      </c>
      <c r="Z498" s="185">
        <v>3.1628227074733839E-2</v>
      </c>
      <c r="AA498" s="182">
        <v>3.0936915376313934E-2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42503</v>
      </c>
      <c r="Y499" s="184">
        <f>_xll.qlCalendarAdvance(Calendar,X499,NDays&amp;"D")</f>
        <v>42503</v>
      </c>
      <c r="Z499" s="185">
        <v>3.1651797886473702E-2</v>
      </c>
      <c r="AA499" s="182">
        <v>3.0963589233155751E-2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42506</v>
      </c>
      <c r="Y500" s="184">
        <f>_xll.qlCalendarAdvance(Calendar,X500,NDays&amp;"D")</f>
        <v>42506</v>
      </c>
      <c r="Z500" s="185">
        <v>3.1672496100522175E-2</v>
      </c>
      <c r="AA500" s="182">
        <v>3.098526159795556E-2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42507</v>
      </c>
      <c r="Y501" s="184">
        <f>_xll.qlCalendarAdvance(Calendar,X501,NDays&amp;"D")</f>
        <v>42507</v>
      </c>
      <c r="Z501" s="185">
        <v>3.1683359582427677E-2</v>
      </c>
      <c r="AA501" s="182">
        <v>3.0997536520523949E-2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42508</v>
      </c>
      <c r="Y502" s="184">
        <f>_xll.qlCalendarAdvance(Calendar,X502,NDays&amp;"D")</f>
        <v>42508</v>
      </c>
      <c r="Z502" s="185">
        <v>3.169413630376279E-2</v>
      </c>
      <c r="AA502" s="182">
        <v>3.1009886789874486E-2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42509</v>
      </c>
      <c r="Y503" s="184">
        <f>_xll.qlCalendarAdvance(Calendar,X503,NDays&amp;"D")</f>
        <v>42509</v>
      </c>
      <c r="Z503" s="185">
        <v>3.1704823639107239E-2</v>
      </c>
      <c r="AA503" s="182">
        <v>3.1022312406088215E-2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42510</v>
      </c>
      <c r="Y504" s="184">
        <f>_xll.qlCalendarAdvance(Calendar,X504,NDays&amp;"D")</f>
        <v>42510</v>
      </c>
      <c r="Z504" s="185">
        <v>3.1726842559514419E-2</v>
      </c>
      <c r="AA504" s="182">
        <v>3.1050055806437868E-2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42513</v>
      </c>
      <c r="Y505" s="184">
        <f>_xll.qlCalendarAdvance(Calendar,X505,NDays&amp;"D")</f>
        <v>42513</v>
      </c>
      <c r="Z505" s="185">
        <v>3.1746626611459487E-2</v>
      </c>
      <c r="AA505" s="182">
        <v>3.1072768339899248E-2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42514</v>
      </c>
      <c r="Y506" s="184">
        <f>_xll.qlCalendarAdvance(Calendar,X506,NDays&amp;"D")</f>
        <v>42514</v>
      </c>
      <c r="Z506" s="185">
        <v>3.1756827634827768E-2</v>
      </c>
      <c r="AA506" s="182">
        <v>3.1085570690509989E-2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42515</v>
      </c>
      <c r="Y507" s="184">
        <f>_xll.qlCalendarAdvance(Calendar,X507,NDays&amp;"D")</f>
        <v>42515</v>
      </c>
      <c r="Z507" s="185">
        <v>3.176692351925299E-2</v>
      </c>
      <c r="AA507" s="182">
        <v>3.1098448388146016E-2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42516</v>
      </c>
      <c r="Y508" s="184">
        <f>_xll.qlCalendarAdvance(Calendar,X508,NDays&amp;"D")</f>
        <v>42516</v>
      </c>
      <c r="Z508" s="185">
        <v>3.1776911639173955E-2</v>
      </c>
      <c r="AA508" s="182">
        <v>3.1111401432645236E-2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42517</v>
      </c>
      <c r="Y509" s="184">
        <f>_xll.qlCalendarAdvance(Calendar,X509,NDays&amp;"D")</f>
        <v>42517</v>
      </c>
      <c r="Z509" s="185">
        <v>3.1797175303300902E-2</v>
      </c>
      <c r="AA509" s="182">
        <v>3.1140215048187279E-2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42520</v>
      </c>
      <c r="Y510" s="184">
        <f>_xll.qlCalendarAdvance(Calendar,X510,NDays&amp;"D")</f>
        <v>42520</v>
      </c>
      <c r="Z510" s="185">
        <v>3.1815733962017319E-2</v>
      </c>
      <c r="AA510" s="182">
        <v>3.1163967080084509E-2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42521</v>
      </c>
      <c r="Y511" s="184">
        <f>_xll.qlCalendarAdvance(Calendar,X511,NDays&amp;"D")</f>
        <v>42521</v>
      </c>
      <c r="Z511" s="185">
        <v>3.1825143875425205E-2</v>
      </c>
      <c r="AA511" s="182">
        <v>3.1177296859385972E-2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42522</v>
      </c>
      <c r="Y512" s="184">
        <f>_xll.qlCalendarAdvance(Calendar,X512,NDays&amp;"D")</f>
        <v>42522</v>
      </c>
      <c r="Z512" s="185">
        <v>3.1834430270622362E-2</v>
      </c>
      <c r="AA512" s="182">
        <v>3.1190701985550628E-2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42523</v>
      </c>
      <c r="Y513" s="184">
        <f>_xll.qlCalendarAdvance(Calendar,X513,NDays&amp;"D")</f>
        <v>42523</v>
      </c>
      <c r="Z513" s="185">
        <v>3.1843590521941849E-2</v>
      </c>
      <c r="AA513" s="182">
        <v>3.120418245874057E-2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42524</v>
      </c>
      <c r="Y514" s="184">
        <f>_xll.qlCalendarAdvance(Calendar,X514,NDays&amp;"D")</f>
        <v>42524</v>
      </c>
      <c r="Z514" s="185">
        <v>3.1861914553553243E-2</v>
      </c>
      <c r="AA514" s="182">
        <v>3.1234066966616684E-2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42527</v>
      </c>
      <c r="Y515" s="184">
        <f>_xll.qlCalendarAdvance(Calendar,X515,NDays&amp;"D")</f>
        <v>42527</v>
      </c>
      <c r="Z515" s="185">
        <v>3.1878917574658827E-2</v>
      </c>
      <c r="AA515" s="182">
        <v>3.1258857821510055E-2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42528</v>
      </c>
      <c r="Y516" s="184">
        <f>_xll.qlCalendarAdvance(Calendar,X516,NDays&amp;"D")</f>
        <v>42528</v>
      </c>
      <c r="Z516" s="185">
        <v>3.1887407721163205E-2</v>
      </c>
      <c r="AA516" s="182">
        <v>3.1272715029664333E-2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42529</v>
      </c>
      <c r="Y517" s="184">
        <f>_xll.qlCalendarAdvance(Calendar,X517,NDays&amp;"D")</f>
        <v>42529</v>
      </c>
      <c r="Z517" s="185">
        <v>3.1895755969552242E-2</v>
      </c>
      <c r="AA517" s="182">
        <v>3.1286647584924943E-2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42530</v>
      </c>
      <c r="Y518" s="184">
        <f>_xll.qlCalendarAdvance(Calendar,X518,NDays&amp;"D")</f>
        <v>42530</v>
      </c>
      <c r="Z518" s="185">
        <v>3.190395969408942E-2</v>
      </c>
      <c r="AA518" s="182">
        <v>3.1300655487291884E-2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42531</v>
      </c>
      <c r="Y519" s="184">
        <f>_xll.qlCalendarAdvance(Calendar,X519,NDays&amp;"D")</f>
        <v>42531</v>
      </c>
      <c r="Z519" s="185">
        <v>3.1920178709351758E-2</v>
      </c>
      <c r="AA519" s="182">
        <v>3.1340087612220235E-2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42535</v>
      </c>
      <c r="Y520" s="184">
        <f>_xll.qlCalendarAdvance(Calendar,X520,NDays&amp;"D")</f>
        <v>42535</v>
      </c>
      <c r="Z520" s="185">
        <v>3.1942718557875512E-2</v>
      </c>
      <c r="AA520" s="182">
        <v>3.1371825204505877E-2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42536</v>
      </c>
      <c r="Y521" s="184">
        <f>_xll.qlCalendarAdvance(Calendar,X521,NDays&amp;"D")</f>
        <v>42536</v>
      </c>
      <c r="Z521" s="185">
        <v>3.1949999998578171E-2</v>
      </c>
      <c r="AA521" s="182">
        <v>3.1386285189186625E-2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42537</v>
      </c>
      <c r="Y522" s="184">
        <f>_xll.qlCalendarAdvance(Calendar,X522,NDays&amp;"D")</f>
        <v>42537</v>
      </c>
      <c r="Z522" s="185">
        <v>3.19571189326626E-2</v>
      </c>
      <c r="AA522" s="182">
        <v>3.1400780591011035E-2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42538</v>
      </c>
      <c r="Y523" s="184">
        <f>_xll.qlCalendarAdvance(Calendar,X523,NDays&amp;"D")</f>
        <v>42538</v>
      </c>
      <c r="Z523" s="185">
        <v>3.197111147807298E-2</v>
      </c>
      <c r="AA523" s="182">
        <v>3.143201019313091E-2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42541</v>
      </c>
      <c r="Y524" s="184">
        <f>_xll.qlCalendarAdvance(Calendar,X524,NDays&amp;"D")</f>
        <v>42541</v>
      </c>
      <c r="Z524" s="185">
        <v>3.198398881192379E-2</v>
      </c>
      <c r="AA524" s="182">
        <v>3.145727958765332E-2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42542</v>
      </c>
      <c r="Y525" s="184">
        <f>_xll.qlCalendarAdvance(Calendar,X525,NDays&amp;"D")</f>
        <v>42542</v>
      </c>
      <c r="Z525" s="185">
        <v>3.1990316301025404E-2</v>
      </c>
      <c r="AA525" s="182">
        <v>3.1470993754146859E-2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42543</v>
      </c>
      <c r="Y526" s="184">
        <f>_xll.qlCalendarAdvance(Calendar,X526,NDays&amp;"D")</f>
        <v>42543</v>
      </c>
      <c r="Z526" s="185">
        <v>3.1996492566372055E-2</v>
      </c>
      <c r="AA526" s="182">
        <v>3.1484543687484434E-2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42544</v>
      </c>
      <c r="Y527" s="184">
        <f>_xll.qlCalendarAdvance(Calendar,X527,NDays&amp;"D")</f>
        <v>42544</v>
      </c>
      <c r="Z527" s="185">
        <v>3.2002519992288932E-2</v>
      </c>
      <c r="AA527" s="182">
        <v>3.1497929387585E-2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42545</v>
      </c>
      <c r="Y528" s="184">
        <f>_xll.qlCalendarAdvance(Calendar,X528,NDays&amp;"D")</f>
        <v>42545</v>
      </c>
      <c r="Z528" s="185">
        <v>3.201449241212944E-2</v>
      </c>
      <c r="AA528" s="182">
        <v>3.1526876086009903E-2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42548</v>
      </c>
      <c r="Y529" s="184">
        <f>_xll.qlCalendarAdvance(Calendar,X529,NDays&amp;"D")</f>
        <v>42548</v>
      </c>
      <c r="Z529" s="185">
        <v>3.202518898919262E-2</v>
      </c>
      <c r="AA529" s="182">
        <v>3.1549829856589717E-2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42549</v>
      </c>
      <c r="Y530" s="184">
        <f>_xll.qlCalendarAdvance(Calendar,X530,NDays&amp;"D")</f>
        <v>42549</v>
      </c>
      <c r="Z530" s="185">
        <v>3.2030507983869382E-2</v>
      </c>
      <c r="AA530" s="182">
        <v>3.1562394390748372E-2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42550</v>
      </c>
      <c r="Y531" s="184">
        <f>_xll.qlCalendarAdvance(Calendar,X531,NDays&amp;"D")</f>
        <v>42550</v>
      </c>
      <c r="Z531" s="185">
        <v>3.203569244567895E-2</v>
      </c>
      <c r="AA531" s="182">
        <v>3.1574794691670016E-2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42551</v>
      </c>
      <c r="Y532" s="184">
        <f>_xll.qlCalendarAdvance(Calendar,X532,NDays&amp;"D")</f>
        <v>42551</v>
      </c>
      <c r="Z532" s="185">
        <v>3.2040744759146506E-2</v>
      </c>
      <c r="AA532" s="182">
        <v>3.1587030759354651E-2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42552</v>
      </c>
      <c r="Y533" s="184">
        <f>_xll.qlCalendarAdvance(Calendar,X533,NDays&amp;"D")</f>
        <v>42552</v>
      </c>
      <c r="Z533" s="185">
        <v>3.2053663698690303E-2</v>
      </c>
      <c r="AA533" s="182">
        <v>3.1613693207473613E-2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42555</v>
      </c>
      <c r="Y534" s="184">
        <f>_xll.qlCalendarAdvance(Calendar,X534,NDays&amp;"D")</f>
        <v>42555</v>
      </c>
      <c r="Z534" s="185">
        <v>3.2059680220933411E-2</v>
      </c>
      <c r="AA534" s="182">
        <v>3.1634332697155765E-2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42556</v>
      </c>
      <c r="Y535" s="184">
        <f>_xll.qlCalendarAdvance(Calendar,X535,NDays&amp;"D")</f>
        <v>42556</v>
      </c>
      <c r="Z535" s="185">
        <v>3.2064107561400101E-2</v>
      </c>
      <c r="AA535" s="182">
        <v>3.1645747598250118E-2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42557</v>
      </c>
      <c r="Y536" s="184">
        <f>_xll.qlCalendarAdvance(Calendar,X536,NDays&amp;"D")</f>
        <v>42557</v>
      </c>
      <c r="Z536" s="185">
        <v>3.206841706117091E-2</v>
      </c>
      <c r="AA536" s="182">
        <v>3.1656998265945369E-2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42564</v>
      </c>
      <c r="Y537" s="184">
        <f>_xll.qlCalendarAdvance(Calendar,X537,NDays&amp;"D")</f>
        <v>42564</v>
      </c>
      <c r="Z537" s="185">
        <v>3.2095484336040939E-2</v>
      </c>
      <c r="AA537" s="182">
        <v>3.1731154404961437E-2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42571</v>
      </c>
      <c r="Y538" s="184">
        <f>_xll.qlCalendarAdvance(Calendar,X538,NDays&amp;"D")</f>
        <v>42571</v>
      </c>
      <c r="Z538" s="185">
        <v>3.2117712242115966E-2</v>
      </c>
      <c r="AA538" s="182">
        <v>3.1797263103450213E-2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42578</v>
      </c>
      <c r="Y539" s="184">
        <f>_xll.qlCalendarAdvance(Calendar,X539,NDays&amp;"D")</f>
        <v>42578</v>
      </c>
      <c r="Z539" s="185">
        <v>3.2135918789127055E-2</v>
      </c>
      <c r="AA539" s="182">
        <v>3.1855324357440429E-2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42585</v>
      </c>
      <c r="Y540" s="184">
        <f>_xll.qlCalendarAdvance(Calendar,X540,NDays&amp;"D")</f>
        <v>42585</v>
      </c>
      <c r="Z540" s="185">
        <v>3.2150922015640987E-2</v>
      </c>
      <c r="AA540" s="182">
        <v>3.1905338162879771E-2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42592</v>
      </c>
      <c r="Y541" s="184">
        <f>_xll.qlCalendarAdvance(Calendar,X541,NDays&amp;"D")</f>
        <v>42592</v>
      </c>
      <c r="Z541" s="185">
        <v>3.2163539981673629E-2</v>
      </c>
      <c r="AA541" s="182">
        <v>3.1947304516445341E-2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42599</v>
      </c>
      <c r="Y542" s="184">
        <f>_xll.qlCalendarAdvance(Calendar,X542,NDays&amp;"D")</f>
        <v>42599</v>
      </c>
      <c r="Z542" s="185">
        <v>3.2174590762979675E-2</v>
      </c>
      <c r="AA542" s="182">
        <v>3.1981223415462612E-2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42606</v>
      </c>
      <c r="Y543" s="184">
        <f>_xll.qlCalendarAdvance(Calendar,X543,NDays&amp;"D")</f>
        <v>42606</v>
      </c>
      <c r="Z543" s="185">
        <v>3.218489244700299E-2</v>
      </c>
      <c r="AA543" s="182">
        <v>3.2007094857581242E-2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42613</v>
      </c>
      <c r="Y544" s="184">
        <f>_xll.qlCalendarAdvance(Calendar,X544,NDays&amp;"D")</f>
        <v>42613</v>
      </c>
      <c r="Z544" s="185">
        <v>3.2192799788307858E-2</v>
      </c>
      <c r="AA544" s="182">
        <v>3.2024918841261352E-2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42620</v>
      </c>
      <c r="Y545" s="184">
        <f>_xll.qlCalendarAdvance(Calendar,X545,NDays&amp;"D")</f>
        <v>42620</v>
      </c>
      <c r="Z545" s="185">
        <v>3.2203880524035167E-2</v>
      </c>
      <c r="AA545" s="182">
        <v>3.2034695365125154E-2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42627</v>
      </c>
      <c r="Y546" s="184">
        <f>_xll.qlCalendarAdvance(Calendar,X546,NDays&amp;"D")</f>
        <v>42627</v>
      </c>
      <c r="Z546" s="185">
        <v>3.2216656054231761E-2</v>
      </c>
      <c r="AA546" s="182">
        <v>3.2036424428605326E-2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42634</v>
      </c>
      <c r="Y547" s="184">
        <f>_xll.qlCalendarAdvance(Calendar,X547,NDays&amp;"D")</f>
        <v>42634</v>
      </c>
      <c r="Z547" s="185">
        <v>3.2231866621033056E-2</v>
      </c>
      <c r="AA547" s="182">
        <v>3.2034713708573026E-2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42641</v>
      </c>
      <c r="Y548" s="184">
        <f>_xll.qlCalendarAdvance(Calendar,X548,NDays&amp;"D")</f>
        <v>42641</v>
      </c>
      <c r="Z548" s="185">
        <v>3.2249716799561345E-2</v>
      </c>
      <c r="AA548" s="182">
        <v>3.2035585837794089E-2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42648</v>
      </c>
      <c r="Y549" s="184">
        <f>_xll.qlCalendarAdvance(Calendar,X549,NDays&amp;"D")</f>
        <v>42648</v>
      </c>
      <c r="Z549" s="185">
        <v>3.2273605384023588E-2</v>
      </c>
      <c r="AA549" s="182">
        <v>3.2039077097365531E-2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42655</v>
      </c>
      <c r="Y550" s="184">
        <f>_xll.qlCalendarAdvance(Calendar,X550,NDays&amp;"D")</f>
        <v>42655</v>
      </c>
      <c r="Z550" s="185">
        <v>3.2296926335962539E-2</v>
      </c>
      <c r="AA550" s="182">
        <v>3.204518748712526E-2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42662</v>
      </c>
      <c r="Y551" s="184">
        <f>_xll.qlCalendarAdvance(Calendar,X551,NDays&amp;"D")</f>
        <v>42662</v>
      </c>
      <c r="Z551" s="185">
        <v>3.2322887659930598E-2</v>
      </c>
      <c r="AA551" s="182">
        <v>3.2053917007478505E-2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42669</v>
      </c>
      <c r="Y552" s="184">
        <f>_xll.qlCalendarAdvance(Calendar,X552,NDays&amp;"D")</f>
        <v>42669</v>
      </c>
      <c r="Z552" s="185">
        <v>3.2355478885290424E-2</v>
      </c>
      <c r="AA552" s="182">
        <v>3.2065265658425268E-2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42676</v>
      </c>
      <c r="Y553" s="184">
        <f>_xll.qlCalendarAdvance(Calendar,X553,NDays&amp;"D")</f>
        <v>42676</v>
      </c>
      <c r="Z553" s="185">
        <v>3.2382731634839103E-2</v>
      </c>
      <c r="AA553" s="182">
        <v>3.2079233440208688E-2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42683</v>
      </c>
      <c r="Y554" s="184">
        <f>_xll.qlCalendarAdvance(Calendar,X554,NDays&amp;"D")</f>
        <v>42683</v>
      </c>
      <c r="Z554" s="185">
        <v>3.2416614404292117E-2</v>
      </c>
      <c r="AA554" s="182">
        <v>3.2095820353233995E-2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42690</v>
      </c>
      <c r="Y555" s="184">
        <f>_xll.qlCalendarAdvance(Calendar,X555,NDays&amp;"D")</f>
        <v>42690</v>
      </c>
      <c r="Z555" s="185">
        <v>3.2453137782802899E-2</v>
      </c>
      <c r="AA555" s="182">
        <v>3.2115026397825375E-2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42697</v>
      </c>
      <c r="Y556" s="184">
        <f>_xll.qlCalendarAdvance(Calendar,X556,NDays&amp;"D")</f>
        <v>42697</v>
      </c>
      <c r="Z556" s="185">
        <v>3.249230184270261E-2</v>
      </c>
      <c r="AA556" s="182">
        <v>3.2136851574388059E-2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42704</v>
      </c>
      <c r="Y557" s="184">
        <f>_xll.qlCalendarAdvance(Calendar,X557,NDays&amp;"D")</f>
        <v>42704</v>
      </c>
      <c r="Z557" s="185">
        <v>3.2524264991345572E-2</v>
      </c>
      <c r="AA557" s="182">
        <v>3.2161295883327279E-2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42711</v>
      </c>
      <c r="Y558" s="184">
        <f>_xll.qlCalendarAdvance(Calendar,X558,NDays&amp;"D")</f>
        <v>42711</v>
      </c>
      <c r="Z558" s="185">
        <v>3.2568325547649116E-2</v>
      </c>
      <c r="AA558" s="182">
        <v>3.2188359325372451E-2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42718</v>
      </c>
      <c r="Y559" s="184">
        <f>_xll.qlCalendarAdvance(Calendar,X559,NDays&amp;"D")</f>
        <v>42718</v>
      </c>
      <c r="Z559" s="185">
        <v>3.2615026539711517E-2</v>
      </c>
      <c r="AA559" s="182">
        <v>3.221804190084776E-2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42725</v>
      </c>
      <c r="Y560" s="184">
        <f>_xll.qlCalendarAdvance(Calendar,X560,NDays&amp;"D")</f>
        <v>42725</v>
      </c>
      <c r="Z560" s="185">
        <v>3.2664368058011935E-2</v>
      </c>
      <c r="AA560" s="182">
        <v>3.2250343610482624E-2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42732</v>
      </c>
      <c r="Y561" s="184">
        <f>_xll.qlCalendarAdvance(Calendar,X561,NDays&amp;"D")</f>
        <v>42732</v>
      </c>
      <c r="Z561" s="185">
        <v>3.2716350198147164E-2</v>
      </c>
      <c r="AA561" s="182">
        <v>3.2285264455006457E-2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42739</v>
      </c>
      <c r="Y562" s="184">
        <f>_xll.qlCalendarAdvance(Calendar,X562,NDays&amp;"D")</f>
        <v>42739</v>
      </c>
      <c r="Z562" s="185">
        <v>3.2770973060826214E-2</v>
      </c>
      <c r="AA562" s="182">
        <v>3.2322804435148678E-2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42746</v>
      </c>
      <c r="Y563" s="184">
        <f>_xll.qlCalendarAdvance(Calendar,X563,NDays&amp;"D")</f>
        <v>42746</v>
      </c>
      <c r="Z563" s="185">
        <v>3.2828236751881117E-2</v>
      </c>
      <c r="AA563" s="182">
        <v>3.2362963551800794E-2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42753</v>
      </c>
      <c r="Y564" s="184">
        <f>_xll.qlCalendarAdvance(Calendar,X564,NDays&amp;"D")</f>
        <v>42753</v>
      </c>
      <c r="Z564" s="185">
        <v>3.2888141382257027E-2</v>
      </c>
      <c r="AA564" s="182">
        <v>3.2405741805692223E-2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42760</v>
      </c>
      <c r="Y565" s="184">
        <f>_xll.qlCalendarAdvance(Calendar,X565,NDays&amp;"D")</f>
        <v>42760</v>
      </c>
      <c r="Z565" s="185">
        <v>3.2957145841203524E-2</v>
      </c>
      <c r="AA565" s="182">
        <v>3.2455931640533175E-2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42767</v>
      </c>
      <c r="Y566" s="184">
        <f>_xll.qlCalendarAdvance(Calendar,X566,NDays&amp;"D")</f>
        <v>42767</v>
      </c>
      <c r="Z566" s="185">
        <v>3.3009239590905431E-2</v>
      </c>
      <c r="AA566" s="182">
        <v>3.2499155729164286E-2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42774</v>
      </c>
      <c r="Y567" s="184">
        <f>_xll.qlCalendarAdvance(Calendar,X567,NDays&amp;"D")</f>
        <v>42774</v>
      </c>
      <c r="Z567" s="185">
        <v>3.3076872982146135E-2</v>
      </c>
      <c r="AA567" s="182">
        <v>3.2549791400690031E-2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42781</v>
      </c>
      <c r="Y568" s="184">
        <f>_xll.qlCalendarAdvance(Calendar,X568,NDays&amp;"D")</f>
        <v>42781</v>
      </c>
      <c r="Z568" s="185">
        <v>3.3147147546532557E-2</v>
      </c>
      <c r="AA568" s="182">
        <v>3.2603046213588449E-2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42788</v>
      </c>
      <c r="Y569" s="184">
        <f>_xll.qlCalendarAdvance(Calendar,X569,NDays&amp;"D")</f>
        <v>42788</v>
      </c>
      <c r="Z569" s="185">
        <v>3.3220063418714446E-2</v>
      </c>
      <c r="AA569" s="182">
        <v>3.2658920168913141E-2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42795</v>
      </c>
      <c r="Y570" s="184">
        <f>_xll.qlCalendarAdvance(Calendar,X570,NDays&amp;"D")</f>
        <v>42795</v>
      </c>
      <c r="Z570" s="185">
        <v>3.3317923181924107E-2</v>
      </c>
      <c r="AA570" s="182">
        <v>3.2717413267960849E-2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42802</v>
      </c>
      <c r="Y571" s="184">
        <f>_xll.qlCalendarAdvance(Calendar,X571,NDays&amp;"D")</f>
        <v>42802</v>
      </c>
      <c r="Z571" s="185">
        <v>3.3396709699562599E-2</v>
      </c>
      <c r="AA571" s="182">
        <v>3.2778525511866219E-2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42809</v>
      </c>
      <c r="Y572" s="184">
        <f>_xll.qlCalendarAdvance(Calendar,X572,NDays&amp;"D")</f>
        <v>42809</v>
      </c>
      <c r="Z572" s="185">
        <v>3.3478138767394805E-2</v>
      </c>
      <c r="AA572" s="182">
        <v>3.2842256902088085E-2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42816</v>
      </c>
      <c r="Y573" s="184">
        <f>_xll.qlCalendarAdvance(Calendar,X573,NDays&amp;"D")</f>
        <v>42816</v>
      </c>
      <c r="Z573" s="185">
        <v>3.3562207234961505E-2</v>
      </c>
      <c r="AA573" s="182">
        <v>3.2908607439923188E-2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42823</v>
      </c>
      <c r="Y574" s="184">
        <f>_xll.qlCalendarAdvance(Calendar,X574,NDays&amp;"D")</f>
        <v>42823</v>
      </c>
      <c r="Z574" s="185">
        <v>3.364880254397136E-2</v>
      </c>
      <c r="AA574" s="182">
        <v>3.2977577126749313E-2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42830</v>
      </c>
      <c r="Y575" s="184">
        <f>_xll.qlCalendarAdvance(Calendar,X575,NDays&amp;"D")</f>
        <v>42830</v>
      </c>
      <c r="Z575" s="185">
        <v>3.3729339469532833E-2</v>
      </c>
      <c r="AA575" s="182">
        <v>3.3049165964187388E-2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42837</v>
      </c>
      <c r="Y576" s="184">
        <f>_xll.qlCalendarAdvance(Calendar,X576,NDays&amp;"D")</f>
        <v>42837</v>
      </c>
      <c r="Z576" s="185">
        <v>3.3820142295151408E-2</v>
      </c>
      <c r="AA576" s="182">
        <v>3.3123373953615198E-2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42844</v>
      </c>
      <c r="Y577" s="184">
        <f>_xll.qlCalendarAdvance(Calendar,X577,NDays&amp;"D")</f>
        <v>42844</v>
      </c>
      <c r="Z577" s="185">
        <v>3.3912749681938699E-2</v>
      </c>
      <c r="AA577" s="182">
        <v>3.3200201096734716E-2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42851</v>
      </c>
      <c r="Y578" s="184">
        <f>_xll.qlCalendarAdvance(Calendar,X578,NDays&amp;"D")</f>
        <v>42851</v>
      </c>
      <c r="Z578" s="185">
        <v>3.4006906546057786E-2</v>
      </c>
      <c r="AA578" s="182">
        <v>3.3279647395247913E-2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42858</v>
      </c>
      <c r="Y579" s="184">
        <f>_xll.qlCalendarAdvance(Calendar,X579,NDays&amp;"D")</f>
        <v>42858</v>
      </c>
      <c r="Z579" s="185">
        <v>3.4110969150776424E-2</v>
      </c>
      <c r="AA579" s="182">
        <v>3.3361712850694669E-2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42865</v>
      </c>
      <c r="Y580" s="184">
        <f>_xll.qlCalendarAdvance(Calendar,X580,NDays&amp;"D")</f>
        <v>42865</v>
      </c>
      <c r="Z580" s="185">
        <v>3.4207474139910071E-2</v>
      </c>
      <c r="AA580" s="182">
        <v>3.3446397464939048E-2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42872</v>
      </c>
      <c r="Y581" s="184">
        <f>_xll.qlCalendarAdvance(Calendar,X581,NDays&amp;"D")</f>
        <v>42872</v>
      </c>
      <c r="Z581" s="185">
        <v>3.4304747467065883E-2</v>
      </c>
      <c r="AA581" s="182">
        <v>3.3533701239845115E-2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42879</v>
      </c>
      <c r="Y582" s="184">
        <f>_xll.qlCalendarAdvance(Calendar,X582,NDays&amp;"D")</f>
        <v>42879</v>
      </c>
      <c r="Z582" s="185">
        <v>3.4402536706187467E-2</v>
      </c>
      <c r="AA582" s="182">
        <v>3.3623624177276934E-2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42886</v>
      </c>
      <c r="Y583" s="184">
        <f>_xll.qlCalendarAdvance(Calendar,X583,NDays&amp;"D")</f>
        <v>42886</v>
      </c>
      <c r="Z583" s="185">
        <v>3.450058940681909E-2</v>
      </c>
      <c r="AA583" s="182">
        <v>3.3716166279098569E-2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42893</v>
      </c>
      <c r="Y584" s="184">
        <f>_xll.qlCalendarAdvance(Calendar,X584,NDays&amp;"D")</f>
        <v>42893</v>
      </c>
      <c r="Z584" s="185">
        <v>3.4598653093860773E-2</v>
      </c>
      <c r="AA584" s="182">
        <v>3.3811327547336179E-2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42900</v>
      </c>
      <c r="Y585" s="184">
        <f>_xll.qlCalendarAdvance(Calendar,X585,NDays&amp;"D")</f>
        <v>42900</v>
      </c>
      <c r="Z585" s="185">
        <v>3.4696475267482867E-2</v>
      </c>
      <c r="AA585" s="182">
        <v>3.3909107984096964E-2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42907</v>
      </c>
      <c r="Y586" s="184">
        <f>_xll.qlCalendarAdvance(Calendar,X586,NDays&amp;"D")</f>
        <v>42907</v>
      </c>
      <c r="Z586" s="185">
        <v>3.4793804384758584E-2</v>
      </c>
      <c r="AA586" s="182">
        <v>3.4009294965030579E-2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42914</v>
      </c>
      <c r="Y587" s="184">
        <f>_xll.qlCalendarAdvance(Calendar,X587,NDays&amp;"D")</f>
        <v>42914</v>
      </c>
      <c r="Z587" s="185">
        <v>3.4890474399023645E-2</v>
      </c>
      <c r="AA587" s="182">
        <v>3.4109493646615752E-2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42921</v>
      </c>
      <c r="Y588" s="184">
        <f>_xll.qlCalendarAdvance(Calendar,X588,NDays&amp;"D")</f>
        <v>42921</v>
      </c>
      <c r="Z588" s="185">
        <v>3.4986469924770114E-2</v>
      </c>
      <c r="AA588" s="182">
        <v>3.4209021385673832E-2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42928</v>
      </c>
      <c r="Y589" s="184">
        <f>_xll.qlCalendarAdvance(Calendar,X589,NDays&amp;"D")</f>
        <v>42928</v>
      </c>
      <c r="Z589" s="185">
        <v>3.5081790913354366E-2</v>
      </c>
      <c r="AA589" s="182">
        <v>3.4307878181880636E-2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42935</v>
      </c>
      <c r="Y590" s="184">
        <f>_xll.qlCalendarAdvance(Calendar,X590,NDays&amp;"D")</f>
        <v>42935</v>
      </c>
      <c r="Z590" s="185">
        <v>3.5176437316470181E-2</v>
      </c>
      <c r="AA590" s="182">
        <v>3.4406064034425698E-2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42942</v>
      </c>
      <c r="Y591" s="184">
        <f>_xll.qlCalendarAdvance(Calendar,X591,NDays&amp;"D")</f>
        <v>42942</v>
      </c>
      <c r="Z591" s="185">
        <v>3.5270409086157542E-2</v>
      </c>
      <c r="AA591" s="182">
        <v>3.4503578942984836E-2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42949</v>
      </c>
      <c r="Y592" s="184">
        <f>_xll.qlCalendarAdvance(Calendar,X592,NDays&amp;"D")</f>
        <v>42949</v>
      </c>
      <c r="Z592" s="185">
        <v>3.5363706174792946E-2</v>
      </c>
      <c r="AA592" s="182">
        <v>3.4600422906828632E-2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42956</v>
      </c>
      <c r="Y593" s="184">
        <f>_xll.qlCalendarAdvance(Calendar,X593,NDays&amp;"D")</f>
        <v>42956</v>
      </c>
      <c r="Z593" s="185">
        <v>3.5456328535096455E-2</v>
      </c>
      <c r="AA593" s="182">
        <v>3.4696595925551854E-2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42963</v>
      </c>
      <c r="Y594" s="184">
        <f>_xll.qlCalendarAdvance(Calendar,X594,NDays&amp;"D")</f>
        <v>42963</v>
      </c>
      <c r="Z594" s="185">
        <v>3.554827612012907E-2</v>
      </c>
      <c r="AA594" s="182">
        <v>3.4792097998749272E-2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42970</v>
      </c>
      <c r="Y595" s="184">
        <f>_xll.qlCalendarAdvance(Calendar,X595,NDays&amp;"D")</f>
        <v>42970</v>
      </c>
      <c r="Z595" s="185">
        <v>3.5639548883293577E-2</v>
      </c>
      <c r="AA595" s="182">
        <v>3.4886929125610422E-2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42977</v>
      </c>
      <c r="Y596" s="184">
        <f>_xll.qlCalendarAdvance(Calendar,X596,NDays&amp;"D")</f>
        <v>42977</v>
      </c>
      <c r="Z596" s="185">
        <v>3.5730146778331043E-2</v>
      </c>
      <c r="AA596" s="182">
        <v>3.4981089305730073E-2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42984</v>
      </c>
      <c r="Y597" s="184">
        <f>_xll.qlCalendarAdvance(Calendar,X597,NDays&amp;"D")</f>
        <v>42984</v>
      </c>
      <c r="Z597" s="185">
        <v>3.5812022714097669E-2</v>
      </c>
      <c r="AA597" s="182">
        <v>3.5074578538702994E-2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42991</v>
      </c>
      <c r="Y598" s="184">
        <f>_xll.qlCalendarAdvance(Calendar,X598,NDays&amp;"D")</f>
        <v>42991</v>
      </c>
      <c r="Z598" s="185">
        <v>3.5901310217906483E-2</v>
      </c>
      <c r="AA598" s="182">
        <v>3.5167396823799768E-2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42998</v>
      </c>
      <c r="Y599" s="184">
        <f>_xll.qlCalendarAdvance(Calendar,X599,NDays&amp;"D")</f>
        <v>42998</v>
      </c>
      <c r="Z599" s="185">
        <v>3.5989922764678238E-2</v>
      </c>
      <c r="AA599" s="182">
        <v>3.525954416069621E-2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43005</v>
      </c>
      <c r="Y600" s="184">
        <f>_xll.qlCalendarAdvance(Calendar,X600,NDays&amp;"D")</f>
        <v>43005</v>
      </c>
      <c r="Z600" s="185">
        <v>3.6077860309990682E-2</v>
      </c>
      <c r="AA600" s="182">
        <v>3.5351020548906043E-2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43012</v>
      </c>
      <c r="Y601" s="184">
        <f>_xll.qlCalendarAdvance(Calendar,X601,NDays&amp;"D")</f>
        <v>43012</v>
      </c>
      <c r="Z601" s="185">
        <v>3.6173011636548964E-2</v>
      </c>
      <c r="AA601" s="182">
        <v>3.5441825987699849E-2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43019</v>
      </c>
      <c r="Y602" s="184">
        <f>_xll.qlCalendarAdvance(Calendar,X602,NDays&amp;"D")</f>
        <v>43019</v>
      </c>
      <c r="Z602" s="185">
        <v>3.6259559370560385E-2</v>
      </c>
      <c r="AA602" s="182">
        <v>3.5531960476753444E-2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43026</v>
      </c>
      <c r="Y603" s="184">
        <f>_xll.qlCalendarAdvance(Calendar,X603,NDays&amp;"D")</f>
        <v>43026</v>
      </c>
      <c r="Z603" s="185">
        <v>3.6345431922208078E-2</v>
      </c>
      <c r="AA603" s="182">
        <v>3.5621424015580549E-2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43033</v>
      </c>
      <c r="Y604" s="184">
        <f>_xll.qlCalendarAdvance(Calendar,X604,NDays&amp;"D")</f>
        <v>43033</v>
      </c>
      <c r="Z604" s="185">
        <v>3.6430629247967548E-2</v>
      </c>
      <c r="AA604" s="182">
        <v>3.5710216603532796E-2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43040</v>
      </c>
      <c r="Y605" s="184">
        <f>_xll.qlCalendarAdvance(Calendar,X605,NDays&amp;"D")</f>
        <v>43040</v>
      </c>
      <c r="Z605" s="185">
        <v>3.6515151304656983E-2</v>
      </c>
      <c r="AA605" s="182">
        <v>3.5798338240285998E-2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43047</v>
      </c>
      <c r="Y606" s="184">
        <f>_xll.qlCalendarAdvance(Calendar,X606,NDays&amp;"D")</f>
        <v>43047</v>
      </c>
      <c r="Z606" s="185">
        <v>3.659899804943198E-2</v>
      </c>
      <c r="AA606" s="182">
        <v>3.5885788925272832E-2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43054</v>
      </c>
      <c r="Y607" s="184">
        <f>_xll.qlCalendarAdvance(Calendar,X607,NDays&amp;"D")</f>
        <v>43054</v>
      </c>
      <c r="Z607" s="185">
        <v>3.6682169439793445E-2</v>
      </c>
      <c r="AA607" s="182">
        <v>3.5972568658088067E-2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43061</v>
      </c>
      <c r="Y608" s="184">
        <f>_xll.qlCalendarAdvance(Calendar,X608,NDays&amp;"D")</f>
        <v>43061</v>
      </c>
      <c r="Z608" s="185">
        <v>3.6764665433584101E-2</v>
      </c>
      <c r="AA608" s="182">
        <v>3.6058677438083331E-2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43068</v>
      </c>
      <c r="Y609" s="184">
        <f>_xll.qlCalendarAdvance(Calendar,X609,NDays&amp;"D")</f>
        <v>43068</v>
      </c>
      <c r="Z609" s="185">
        <v>3.6838915989458987E-2</v>
      </c>
      <c r="AA609" s="182">
        <v>3.614411526493444E-2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43075</v>
      </c>
      <c r="Y610" s="184">
        <f>_xll.qlCalendarAdvance(Calendar,X610,NDays&amp;"D")</f>
        <v>43075</v>
      </c>
      <c r="Z610" s="185">
        <v>3.691256790669209E-2</v>
      </c>
      <c r="AA610" s="182">
        <v>3.6228882138155116E-2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43082</v>
      </c>
      <c r="Y611" s="184">
        <f>_xll.qlCalendarAdvance(Calendar,X611,NDays&amp;"D")</f>
        <v>43082</v>
      </c>
      <c r="Z611" s="185">
        <v>3.6993117733342157E-2</v>
      </c>
      <c r="AA611" s="182">
        <v>3.6312978057259082E-2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43089</v>
      </c>
      <c r="Y612" s="184">
        <f>_xll.qlCalendarAdvance(Calendar,X612,NDays&amp;"D")</f>
        <v>43089</v>
      </c>
      <c r="Z612" s="185">
        <v>3.707299210534222E-2</v>
      </c>
      <c r="AA612" s="182">
        <v>3.639640302176006E-2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43096</v>
      </c>
      <c r="Y613" s="184">
        <f>_xll.qlCalendarAdvance(Calendar,X613,NDays&amp;"D")</f>
        <v>43096</v>
      </c>
      <c r="Z613" s="185">
        <v>3.7152190983080466E-2</v>
      </c>
      <c r="AA613" s="182">
        <v>3.6479157031252818E-2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43103</v>
      </c>
      <c r="Y614" s="184">
        <f>_xll.qlCalendarAdvance(Calendar,X614,NDays&amp;"D")</f>
        <v>43103</v>
      </c>
      <c r="Z614" s="185">
        <v>3.7230714327282755E-2</v>
      </c>
      <c r="AA614" s="182">
        <v>3.6561240085170033E-2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43110</v>
      </c>
      <c r="Y615" s="184">
        <f>_xll.qlCalendarAdvance(Calendar,X615,NDays&amp;"D")</f>
        <v>43110</v>
      </c>
      <c r="Z615" s="185">
        <v>3.7308562099008166E-2</v>
      </c>
      <c r="AA615" s="182">
        <v>3.6642652183106472E-2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43117</v>
      </c>
      <c r="Y616" s="184">
        <f>_xll.qlCalendarAdvance(Calendar,X616,NDays&amp;"D")</f>
        <v>43117</v>
      </c>
      <c r="Z616" s="185">
        <v>3.7385734259648938E-2</v>
      </c>
      <c r="AA616" s="182">
        <v>3.6723393324737952E-2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43124</v>
      </c>
      <c r="Y617" s="184">
        <f>_xll.qlCalendarAdvance(Calendar,X617,NDays&amp;"D")</f>
        <v>43124</v>
      </c>
      <c r="Z617" s="185">
        <v>3.7462230770934128E-2</v>
      </c>
      <c r="AA617" s="182">
        <v>3.6803463509497147E-2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43131</v>
      </c>
      <c r="Y618" s="184">
        <f>_xll.qlCalendarAdvance(Calendar,X618,NDays&amp;"D")</f>
        <v>43131</v>
      </c>
      <c r="Z618" s="185">
        <v>3.7530837549107188E-2</v>
      </c>
      <c r="AA618" s="182">
        <v>3.6882862736897781E-2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43138</v>
      </c>
      <c r="Y619" s="184">
        <f>_xll.qlCalendarAdvance(Calendar,X619,NDays&amp;"D")</f>
        <v>43138</v>
      </c>
      <c r="Z619" s="185">
        <v>3.7606023213583556E-2</v>
      </c>
      <c r="AA619" s="182">
        <v>3.6961591006615668E-2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43145</v>
      </c>
      <c r="Y620" s="184">
        <f>_xll.qlCalendarAdvance(Calendar,X620,NDays&amp;"D")</f>
        <v>43145</v>
      </c>
      <c r="Z620" s="185">
        <v>3.7680533172622308E-2</v>
      </c>
      <c r="AA620" s="182">
        <v>3.7039648318164531E-2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43152</v>
      </c>
      <c r="Y621" s="184">
        <f>_xll.qlCalendarAdvance(Calendar,X621,NDays&amp;"D")</f>
        <v>43152</v>
      </c>
      <c r="Z621" s="185">
        <v>3.7754367389680667E-2</v>
      </c>
      <c r="AA621" s="182">
        <v>3.7117034671139137E-2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43159</v>
      </c>
      <c r="Y622" s="184">
        <f>_xll.qlCalendarAdvance(Calendar,X622,NDays&amp;"D")</f>
        <v>43159</v>
      </c>
      <c r="Z622" s="185">
        <v>3.7848669911621231E-2</v>
      </c>
      <c r="AA622" s="182">
        <v>3.7193750065134257E-2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43166</v>
      </c>
      <c r="Y623" s="184">
        <f>_xll.qlCalendarAdvance(Calendar,X623,NDays&amp;"D")</f>
        <v>43166</v>
      </c>
      <c r="Z623" s="185">
        <v>3.7921030130329679E-2</v>
      </c>
      <c r="AA623" s="182">
        <v>3.7269794499582565E-2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43173</v>
      </c>
      <c r="Y624" s="184">
        <f>_xll.qlCalendarAdvance(Calendar,X624,NDays&amp;"D")</f>
        <v>43173</v>
      </c>
      <c r="Z624" s="185">
        <v>3.7992714324438799E-2</v>
      </c>
      <c r="AA624" s="182">
        <v>3.7345167974240923E-2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43180</v>
      </c>
      <c r="Y625" s="184">
        <f>_xll.qlCalendarAdvance(Calendar,X625,NDays&amp;"D")</f>
        <v>43180</v>
      </c>
      <c r="Z625" s="185">
        <v>3.8063723224052264E-2</v>
      </c>
      <c r="AA625" s="182">
        <v>3.7419870488542006E-2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43187</v>
      </c>
      <c r="Y626" s="184">
        <f>_xll.qlCalendarAdvance(Calendar,X626,NDays&amp;"D")</f>
        <v>43187</v>
      </c>
      <c r="Z626" s="185">
        <v>3.8134082881290013E-2</v>
      </c>
      <c r="AA626" s="182">
        <v>3.7493902042242677E-2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43194</v>
      </c>
      <c r="Y627" s="184">
        <f>_xll.qlCalendarAdvance(Calendar,X627,NDays&amp;"D")</f>
        <v>43194</v>
      </c>
      <c r="Z627" s="185">
        <v>3.8196987962004478E-2</v>
      </c>
      <c r="AA627" s="182">
        <v>3.7567262634856657E-2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43201</v>
      </c>
      <c r="Y628" s="184">
        <f>_xll.qlCalendarAdvance(Calendar,X628,NDays&amp;"D")</f>
        <v>43201</v>
      </c>
      <c r="Z628" s="185">
        <v>3.8266240421340261E-2</v>
      </c>
      <c r="AA628" s="182">
        <v>3.7639952265897669E-2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43208</v>
      </c>
      <c r="Y629" s="184">
        <f>_xll.qlCalendarAdvance(Calendar,X629,NDays&amp;"D")</f>
        <v>43208</v>
      </c>
      <c r="Z629" s="185">
        <v>3.8335010800805633E-2</v>
      </c>
      <c r="AA629" s="182">
        <v>3.7711970935041528E-2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43216</v>
      </c>
      <c r="Y630" s="184">
        <f>_xll.qlCalendarAdvance(Calendar,X630,NDays&amp;"D")</f>
        <v>43216</v>
      </c>
      <c r="Z630" s="185">
        <v>3.8413090950598819E-2</v>
      </c>
      <c r="AA630" s="182">
        <v>3.7793456398989012E-2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43223</v>
      </c>
      <c r="Y631" s="184">
        <f>_xll.qlCalendarAdvance(Calendar,X631,NDays&amp;"D")</f>
        <v>43223</v>
      </c>
      <c r="Z631" s="185">
        <v>3.8487844574214038E-2</v>
      </c>
      <c r="AA631" s="182">
        <v>3.7864037291307495E-2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43230</v>
      </c>
      <c r="Y632" s="184">
        <f>_xll.qlCalendarAdvance(Calendar,X632,NDays&amp;"D")</f>
        <v>43230</v>
      </c>
      <c r="Z632" s="185">
        <v>3.8555485991743535E-2</v>
      </c>
      <c r="AA632" s="182">
        <v>3.7933947220513131E-2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43237</v>
      </c>
      <c r="Y633" s="184">
        <f>_xll.qlCalendarAdvance(Calendar,X633,NDays&amp;"D")</f>
        <v>43237</v>
      </c>
      <c r="Z633" s="185">
        <v>3.8622893500505254E-2</v>
      </c>
      <c r="AA633" s="182">
        <v>3.8003186186119642E-2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43244</v>
      </c>
      <c r="Y634" s="184">
        <f>_xll.qlCalendarAdvance(Calendar,X634,NDays&amp;"D")</f>
        <v>43244</v>
      </c>
      <c r="Z634" s="185">
        <v>3.8690125518165065E-2</v>
      </c>
      <c r="AA634" s="182">
        <v>3.8071754187883888E-2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43251</v>
      </c>
      <c r="Y635" s="184">
        <f>_xll.qlCalendarAdvance(Calendar,X635,NDays&amp;"D")</f>
        <v>43251</v>
      </c>
      <c r="Z635" s="185">
        <v>3.8757240466343379E-2</v>
      </c>
      <c r="AA635" s="182">
        <v>3.8139651225400639E-2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43258</v>
      </c>
      <c r="Y636" s="184">
        <f>_xll.qlCalendarAdvance(Calendar,X636,NDays&amp;"D")</f>
        <v>43258</v>
      </c>
      <c r="Z636" s="185">
        <v>3.8824296770589579E-2</v>
      </c>
      <c r="AA636" s="182">
        <v>3.8206877298183617E-2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43265</v>
      </c>
      <c r="Y637" s="184">
        <f>_xll.qlCalendarAdvance(Calendar,X637,NDays&amp;"D")</f>
        <v>43265</v>
      </c>
      <c r="Z637" s="185">
        <v>3.8891352860369703E-2</v>
      </c>
      <c r="AA637" s="182">
        <v>3.8273432405908636E-2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43272</v>
      </c>
      <c r="Y638" s="184">
        <f>_xll.qlCalendarAdvance(Calendar,X638,NDays&amp;"D")</f>
        <v>43272</v>
      </c>
      <c r="Z638" s="185">
        <v>3.8958466402446143E-2</v>
      </c>
      <c r="AA638" s="182">
        <v>3.8339412269339235E-2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43279</v>
      </c>
      <c r="Y639" s="184">
        <f>_xll.qlCalendarAdvance(Calendar,X639,NDays&amp;"D")</f>
        <v>43279</v>
      </c>
      <c r="Z639" s="185">
        <v>3.9025669740188097E-2</v>
      </c>
      <c r="AA639" s="182">
        <v>3.8405386040196721E-2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43286</v>
      </c>
      <c r="Y640" s="184">
        <f>_xll.qlCalendarAdvance(Calendar,X640,NDays&amp;"D")</f>
        <v>43286</v>
      </c>
      <c r="Z640" s="185">
        <v>3.9092964695308055E-2</v>
      </c>
      <c r="AA640" s="182">
        <v>3.8471449439568817E-2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43293</v>
      </c>
      <c r="Y641" s="184">
        <f>_xll.qlCalendarAdvance(Calendar,X641,NDays&amp;"D")</f>
        <v>43293</v>
      </c>
      <c r="Z641" s="185">
        <v>3.9160351272386901E-2</v>
      </c>
      <c r="AA641" s="182">
        <v>3.8537602467455523E-2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43300</v>
      </c>
      <c r="Y642" s="184">
        <f>_xll.qlCalendarAdvance(Calendar,X642,NDays&amp;"D")</f>
        <v>43300</v>
      </c>
      <c r="Z642" s="185">
        <v>3.9227829476009037E-2</v>
      </c>
      <c r="AA642" s="182">
        <v>3.8603845124018932E-2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43307</v>
      </c>
      <c r="Y643" s="184">
        <f>_xll.qlCalendarAdvance(Calendar,X643,NDays&amp;"D")</f>
        <v>43307</v>
      </c>
      <c r="Z643" s="185">
        <v>3.929539931076502E-2</v>
      </c>
      <c r="AA643" s="182">
        <v>3.8670177409259043E-2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43314</v>
      </c>
      <c r="Y644" s="184">
        <f>_xll.qlCalendarAdvance(Calendar,X644,NDays&amp;"D")</f>
        <v>43314</v>
      </c>
      <c r="Z644" s="185">
        <v>3.9363060781253352E-2</v>
      </c>
      <c r="AA644" s="182">
        <v>3.8736599323256904E-2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43321</v>
      </c>
      <c r="Y645" s="184">
        <f>_xll.qlCalendarAdvance(Calendar,X645,NDays&amp;"D")</f>
        <v>43321</v>
      </c>
      <c r="Z645" s="185">
        <v>3.9430813892076928E-2</v>
      </c>
      <c r="AA645" s="182">
        <v>3.8803110865850421E-2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43328</v>
      </c>
      <c r="Y646" s="184">
        <f>_xll.qlCalendarAdvance(Calendar,X646,NDays&amp;"D")</f>
        <v>43328</v>
      </c>
      <c r="Z646" s="185">
        <v>3.9498658647846581E-2</v>
      </c>
      <c r="AA646" s="182">
        <v>3.8869712037363779E-2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43335</v>
      </c>
      <c r="Y647" s="184">
        <f>_xll.qlCalendarAdvance(Calendar,X647,NDays&amp;"D")</f>
        <v>43335</v>
      </c>
      <c r="Z647" s="185">
        <v>3.956659505317843E-2</v>
      </c>
      <c r="AA647" s="182">
        <v>3.8936402837715933E-2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43342</v>
      </c>
      <c r="Y648" s="184">
        <f>_xll.qlCalendarAdvance(Calendar,X648,NDays&amp;"D")</f>
        <v>43342</v>
      </c>
      <c r="Z648" s="185">
        <v>3.9634623112696506E-2</v>
      </c>
      <c r="AA648" s="182">
        <v>3.9003183266987929E-2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43349</v>
      </c>
      <c r="Y649" s="184">
        <f>_xll.qlCalendarAdvance(Calendar,X649,NDays&amp;"D")</f>
        <v>43349</v>
      </c>
      <c r="Z649" s="185">
        <v>3.9695708461116898E-2</v>
      </c>
      <c r="AA649" s="182">
        <v>3.9070053325260812E-2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43356</v>
      </c>
      <c r="Y650" s="184">
        <f>_xll.qlCalendarAdvance(Calendar,X650,NDays&amp;"D")</f>
        <v>43356</v>
      </c>
      <c r="Z650" s="185">
        <v>3.9763905908028807E-2</v>
      </c>
      <c r="AA650" s="182">
        <v>3.913701301237249E-2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43363</v>
      </c>
      <c r="Y651" s="184">
        <f>_xll.qlCalendarAdvance(Calendar,X651,NDays&amp;"D")</f>
        <v>43363</v>
      </c>
      <c r="Z651" s="185">
        <v>3.9832195000129939E-2</v>
      </c>
      <c r="AA651" s="182">
        <v>3.9204062328728195E-2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43370</v>
      </c>
      <c r="Y652" s="184">
        <f>_xll.qlCalendarAdvance(Calendar,X652,NDays&amp;"D")</f>
        <v>43370</v>
      </c>
      <c r="Z652" s="185">
        <v>3.990057574201409E-2</v>
      </c>
      <c r="AA652" s="182">
        <v>3.9271201274084788E-2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43377</v>
      </c>
      <c r="Y653" s="184">
        <f>_xll.qlCalendarAdvance(Calendar,X653,NDays&amp;"D")</f>
        <v>43377</v>
      </c>
      <c r="Z653" s="185">
        <v>3.9976138385296296E-2</v>
      </c>
      <c r="AA653" s="182">
        <v>3.9338429848604362E-2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43384</v>
      </c>
      <c r="Y654" s="184">
        <f>_xll.qlCalendarAdvance(Calendar,X654,NDays&amp;"D")</f>
        <v>43384</v>
      </c>
      <c r="Z654" s="185">
        <v>4.0044716467354691E-2</v>
      </c>
      <c r="AA654" s="182">
        <v>3.9405748052286915E-2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43391</v>
      </c>
      <c r="Y655" s="184">
        <f>_xll.qlCalendarAdvance(Calendar,X655,NDays&amp;"D")</f>
        <v>43391</v>
      </c>
      <c r="Z655" s="185">
        <v>4.0113386236133232E-2</v>
      </c>
      <c r="AA655" s="182">
        <v>3.9473155885294542E-2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43398</v>
      </c>
      <c r="Y656" s="184">
        <f>_xll.qlCalendarAdvance(Calendar,X656,NDays&amp;"D")</f>
        <v>43398</v>
      </c>
      <c r="Z656" s="185">
        <v>4.0182147696306181E-2</v>
      </c>
      <c r="AA656" s="182">
        <v>3.9540653347627241E-2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43405</v>
      </c>
      <c r="Y657" s="184">
        <f>_xll.qlCalendarAdvance(Calendar,X657,NDays&amp;"D")</f>
        <v>43405</v>
      </c>
      <c r="Z657" s="185">
        <v>4.0251000852552191E-2</v>
      </c>
      <c r="AA657" s="182">
        <v>3.9608240439285014E-2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43412</v>
      </c>
      <c r="Y658" s="184">
        <f>_xll.qlCalendarAdvance(Calendar,X658,NDays&amp;"D")</f>
        <v>43412</v>
      </c>
      <c r="Z658" s="185">
        <v>4.0319945709555216E-2</v>
      </c>
      <c r="AA658" s="182">
        <v>3.967591716026786E-2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43419</v>
      </c>
      <c r="Y659" s="184">
        <f>_xll.qlCalendarAdvance(Calendar,X659,NDays&amp;"D")</f>
        <v>43419</v>
      </c>
      <c r="Z659" s="185">
        <v>4.0388982272010654E-2</v>
      </c>
      <c r="AA659" s="182">
        <v>3.9743683510818917E-2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43426</v>
      </c>
      <c r="Y660" s="184">
        <f>_xll.qlCalendarAdvance(Calendar,X660,NDays&amp;"D")</f>
        <v>43426</v>
      </c>
      <c r="Z660" s="185">
        <v>4.0458110544613901E-2</v>
      </c>
      <c r="AA660" s="182">
        <v>3.9811539490776093E-2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43433</v>
      </c>
      <c r="Y661" s="184">
        <f>_xll.qlCalendarAdvance(Calendar,X661,NDays&amp;"D")</f>
        <v>43433</v>
      </c>
      <c r="Z661" s="185">
        <v>4.0520127420737163E-2</v>
      </c>
      <c r="AA661" s="182">
        <v>3.9879485100301482E-2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43440</v>
      </c>
      <c r="Y662" s="184">
        <f>_xll.qlCalendarAdvance(Calendar,X662,NDays&amp;"D")</f>
        <v>43440</v>
      </c>
      <c r="Z662" s="185">
        <v>4.0582209477218592E-2</v>
      </c>
      <c r="AA662" s="182">
        <v>3.9947520339476128E-2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43447</v>
      </c>
      <c r="Y663" s="184">
        <f>_xll.qlCalendarAdvance(Calendar,X663,NDays&amp;"D")</f>
        <v>43447</v>
      </c>
      <c r="Z663" s="185">
        <v>4.0651584439404607E-2</v>
      </c>
      <c r="AA663" s="182">
        <v>4.0015645208218986E-2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43454</v>
      </c>
      <c r="Y664" s="184">
        <f>_xll.qlCalendarAdvance(Calendar,X664,NDays&amp;"D")</f>
        <v>43454</v>
      </c>
      <c r="Z664" s="185">
        <v>4.0721051083446078E-2</v>
      </c>
      <c r="AA664" s="182">
        <v>4.0083859706773195E-2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43461</v>
      </c>
      <c r="Y665" s="184">
        <f>_xll.qlCalendarAdvance(Calendar,X665,NDays&amp;"D")</f>
        <v>43461</v>
      </c>
      <c r="Z665" s="185">
        <v>4.0790609413968941E-2</v>
      </c>
      <c r="AA665" s="182">
        <v>4.0152163834976662E-2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43468</v>
      </c>
      <c r="Y666" s="184">
        <f>_xll.qlCalendarAdvance(Calendar,X666,NDays&amp;"D")</f>
        <v>43468</v>
      </c>
      <c r="Z666" s="185">
        <v>4.086025943560094E-2</v>
      </c>
      <c r="AA666" s="182">
        <v>4.0220557592991479E-2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43475</v>
      </c>
      <c r="Y667" s="184">
        <f>_xll.qlCalendarAdvance(Calendar,X667,NDays&amp;"D")</f>
        <v>43475</v>
      </c>
      <c r="Z667" s="185">
        <v>4.0930001152982426E-2</v>
      </c>
      <c r="AA667" s="182">
        <v>4.0289040980898694E-2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43482</v>
      </c>
      <c r="Y668" s="184">
        <f>_xll.qlCalendarAdvance(Calendar,X668,NDays&amp;"D")</f>
        <v>43482</v>
      </c>
      <c r="Z668" s="185">
        <v>4.0999834570754651E-2</v>
      </c>
      <c r="AA668" s="182">
        <v>4.0357613998779351E-2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43489</v>
      </c>
      <c r="Y669" s="184">
        <f>_xll.qlCalendarAdvance(Calendar,X669,NDays&amp;"D")</f>
        <v>43489</v>
      </c>
      <c r="Z669" s="185">
        <v>4.1069759693566965E-2</v>
      </c>
      <c r="AA669" s="182">
        <v>4.0426276646552406E-2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43496</v>
      </c>
      <c r="Y670" s="184">
        <f>_xll.qlCalendarAdvance(Calendar,X670,NDays&amp;"D")</f>
        <v>43496</v>
      </c>
      <c r="Z670" s="185">
        <v>4.113244848647462E-2</v>
      </c>
      <c r="AA670" s="182">
        <v>4.0495028924298904E-2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43503</v>
      </c>
      <c r="Y671" s="184">
        <f>_xll.qlCalendarAdvance(Calendar,X671,NDays&amp;"D")</f>
        <v>43503</v>
      </c>
      <c r="Z671" s="185">
        <v>4.1202542615144798E-2</v>
      </c>
      <c r="AA671" s="182">
        <v>4.0563870832099891E-2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43510</v>
      </c>
      <c r="Y672" s="184">
        <f>_xll.qlCalendarAdvance(Calendar,X672,NDays&amp;"D")</f>
        <v>43510</v>
      </c>
      <c r="Z672" s="185">
        <v>4.1272728438860408E-2</v>
      </c>
      <c r="AA672" s="182">
        <v>4.0632802370036414E-2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43517</v>
      </c>
      <c r="Y673" s="184">
        <f>_xll.qlCalendarAdvance(Calendar,X673,NDays&amp;"D")</f>
        <v>43517</v>
      </c>
      <c r="Z673" s="185">
        <v>4.134300596224199E-2</v>
      </c>
      <c r="AA673" s="182">
        <v>4.0701823538108473E-2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43524</v>
      </c>
      <c r="Y674" s="184">
        <f>_xll.qlCalendarAdvance(Calendar,X674,NDays&amp;"D")</f>
        <v>43524</v>
      </c>
      <c r="Z674" s="185">
        <v>4.1435538572686628E-2</v>
      </c>
      <c r="AA674" s="182">
        <v>4.0770934336397113E-2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43531</v>
      </c>
      <c r="Y675" s="184">
        <f>_xll.qlCalendarAdvance(Calendar,X675,NDays&amp;"D")</f>
        <v>43531</v>
      </c>
      <c r="Z675" s="185">
        <v>4.150604306559387E-2</v>
      </c>
      <c r="AA675" s="182">
        <v>4.0840134764983382E-2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43538</v>
      </c>
      <c r="Y676" s="184">
        <f>_xll.qlCalendarAdvance(Calendar,X676,NDays&amp;"D")</f>
        <v>43538</v>
      </c>
      <c r="Z676" s="185">
        <v>4.1576639344676501E-2</v>
      </c>
      <c r="AA676" s="182">
        <v>4.0909424823786233E-2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43545</v>
      </c>
      <c r="Y677" s="184">
        <f>_xll.qlCalendarAdvance(Calendar,X677,NDays&amp;"D")</f>
        <v>43545</v>
      </c>
      <c r="Z677" s="185">
        <v>4.1647326106276902E-2</v>
      </c>
      <c r="AA677" s="182">
        <v>4.0978804513048805E-2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43552</v>
      </c>
      <c r="Y678" s="184">
        <f>_xll.qlCalendarAdvance(Calendar,X678,NDays&amp;"D")</f>
        <v>43552</v>
      </c>
      <c r="Z678" s="185">
        <v>4.1718080068095201E-2</v>
      </c>
      <c r="AA678" s="182">
        <v>4.1048273832609006E-2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43559</v>
      </c>
      <c r="Y679" s="184">
        <f>_xll.qlCalendarAdvance(Calendar,X679,NDays&amp;"D")</f>
        <v>43559</v>
      </c>
      <c r="Z679" s="185">
        <v>4.1781414815594352E-2</v>
      </c>
      <c r="AA679" s="182">
        <v>4.1117832782791019E-2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43566</v>
      </c>
      <c r="Y680" s="184">
        <f>_xll.qlCalendarAdvance(Calendar,X680,NDays&amp;"D")</f>
        <v>43566</v>
      </c>
      <c r="Z680" s="185">
        <v>4.1852179466852768E-2</v>
      </c>
      <c r="AA680" s="182">
        <v>4.1187481363351708E-2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43573</v>
      </c>
      <c r="Y681" s="184">
        <f>_xll.qlCalendarAdvance(Calendar,X681,NDays&amp;"D")</f>
        <v>43573</v>
      </c>
      <c r="Z681" s="185">
        <v>4.1922890060223192E-2</v>
      </c>
      <c r="AA681" s="182">
        <v>4.1286500038595575E-2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43581</v>
      </c>
      <c r="Y682" s="184">
        <f>_xll.qlCalendarAdvance(Calendar,X682,NDays&amp;"D")</f>
        <v>43581</v>
      </c>
      <c r="Z682" s="185">
        <v>4.2003581403883883E-2</v>
      </c>
      <c r="AA682" s="182">
        <v>4.1351699246467984E-2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43588</v>
      </c>
      <c r="Y683" s="184">
        <f>_xll.qlCalendarAdvance(Calendar,X683,NDays&amp;"D")</f>
        <v>43588</v>
      </c>
      <c r="Z683" s="185">
        <v>4.2103674312471341E-2</v>
      </c>
      <c r="AA683" s="182">
        <v>4.1421658188222819E-2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43595</v>
      </c>
      <c r="Y684" s="184">
        <f>_xll.qlCalendarAdvance(Calendar,X684,NDays&amp;"D")</f>
        <v>43595</v>
      </c>
      <c r="Z684" s="185">
        <v>4.2166479044103138E-2</v>
      </c>
      <c r="AA684" s="182">
        <v>4.149170680790349E-2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43602</v>
      </c>
      <c r="Y685" s="184">
        <f>_xll.qlCalendarAdvance(Calendar,X685,NDays&amp;"D")</f>
        <v>43602</v>
      </c>
      <c r="Z685" s="185">
        <v>4.2236454316496752E-2</v>
      </c>
      <c r="AA685" s="182">
        <v>4.1561845105645055E-2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43609</v>
      </c>
      <c r="Y686" s="184">
        <f>_xll.qlCalendarAdvance(Calendar,X686,NDays&amp;"D")</f>
        <v>43609</v>
      </c>
      <c r="Z686" s="185">
        <v>4.2306150652271314E-2</v>
      </c>
      <c r="AA686" s="182">
        <v>4.163207308163664E-2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43616</v>
      </c>
      <c r="Y687" s="184">
        <f>_xll.qlCalendarAdvance(Calendar,X687,NDays&amp;"D")</f>
        <v>43616</v>
      </c>
      <c r="Z687" s="185">
        <v>4.2353535799532424E-2</v>
      </c>
      <c r="AA687" s="182">
        <v>4.1702390735986292E-2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43623</v>
      </c>
      <c r="Y688" s="184">
        <f>_xll.qlCalendarAdvance(Calendar,X688,NDays&amp;"D")</f>
        <v>43623</v>
      </c>
      <c r="Z688" s="185">
        <v>4.244454166303032E-2</v>
      </c>
      <c r="AA688" s="182">
        <v>4.1780221888165492E-2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43630</v>
      </c>
      <c r="Y689" s="184">
        <f>_xll.qlCalendarAdvance(Calendar,X689,NDays&amp;"D")</f>
        <v>43630</v>
      </c>
      <c r="Z689" s="185">
        <v>4.2513153905483034E-2</v>
      </c>
      <c r="AA689" s="182">
        <v>4.1843295080489236E-2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43637</v>
      </c>
      <c r="Y690" s="184">
        <f>_xll.qlCalendarAdvance(Calendar,X690,NDays&amp;"D")</f>
        <v>43637</v>
      </c>
      <c r="Z690" s="185">
        <v>4.2581323627550086E-2</v>
      </c>
      <c r="AA690" s="182">
        <v>4.1913708602782471E-2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43644</v>
      </c>
      <c r="Y691" s="184">
        <f>_xll.qlCalendarAdvance(Calendar,X691,NDays&amp;"D")</f>
        <v>43644</v>
      </c>
      <c r="Z691" s="185">
        <v>4.2649032408277512E-2</v>
      </c>
      <c r="AA691" s="182">
        <v>4.1983681126948433E-2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43651</v>
      </c>
      <c r="Y692" s="184">
        <f>_xll.qlCalendarAdvance(Calendar,X692,NDays&amp;"D")</f>
        <v>43651</v>
      </c>
      <c r="Z692" s="185">
        <v>4.2723482133195906E-2</v>
      </c>
      <c r="AA692" s="182">
        <v>4.2053195894048066E-2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43658</v>
      </c>
      <c r="Y693" s="184">
        <f>_xll.qlCalendarAdvance(Calendar,X693,NDays&amp;"D")</f>
        <v>43658</v>
      </c>
      <c r="Z693" s="185">
        <v>4.2783065428681592E-2</v>
      </c>
      <c r="AA693" s="182">
        <v>4.2122252903243902E-2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43665</v>
      </c>
      <c r="Y694" s="184">
        <f>_xll.qlCalendarAdvance(Calendar,X694,NDays&amp;"D")</f>
        <v>43665</v>
      </c>
      <c r="Z694" s="185">
        <v>4.2849389621005679E-2</v>
      </c>
      <c r="AA694" s="182">
        <v>4.219085215380651E-2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43672</v>
      </c>
      <c r="Y695" s="184">
        <f>_xll.qlCalendarAdvance(Calendar,X695,NDays&amp;"D")</f>
        <v>43672</v>
      </c>
      <c r="Z695" s="185">
        <v>4.2915252236782137E-2</v>
      </c>
      <c r="AA695" s="182">
        <v>4.2258993644898421E-2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43679</v>
      </c>
      <c r="Y696" s="184">
        <f>_xll.qlCalendarAdvance(Calendar,X696,NDays&amp;"D")</f>
        <v>43679</v>
      </c>
      <c r="Z696" s="185">
        <v>4.2980653252741211E-2</v>
      </c>
      <c r="AA696" s="182">
        <v>4.2333946230004582E-2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43686</v>
      </c>
      <c r="Y697" s="184">
        <f>_xll.qlCalendarAdvance(Calendar,X697,NDays&amp;"D")</f>
        <v>43686</v>
      </c>
      <c r="Z697" s="185">
        <v>4.30455926457778E-2</v>
      </c>
      <c r="AA697" s="182">
        <v>4.2393903345698446E-2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43693</v>
      </c>
      <c r="Y698" s="184">
        <f>_xll.qlCalendarAdvance(Calendar,X698,NDays&amp;"D")</f>
        <v>43693</v>
      </c>
      <c r="Z698" s="185">
        <v>4.3110070392948931E-2</v>
      </c>
      <c r="AA698" s="182">
        <v>4.2460671553920713E-2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43700</v>
      </c>
      <c r="Y699" s="184">
        <f>_xll.qlCalendarAdvance(Calendar,X699,NDays&amp;"D")</f>
        <v>43700</v>
      </c>
      <c r="Z699" s="185">
        <v>4.317408647147454E-2</v>
      </c>
      <c r="AA699" s="182">
        <v>4.2526981999619538E-2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43707</v>
      </c>
      <c r="Y700" s="184">
        <f>_xll.qlCalendarAdvance(Calendar,X700,NDays&amp;"D")</f>
        <v>43707</v>
      </c>
      <c r="Z700" s="185">
        <v>4.3216630442950078E-2</v>
      </c>
      <c r="AA700" s="182">
        <v>4.2592834682119537E-2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43714</v>
      </c>
      <c r="Y701" s="184">
        <f>_xll.qlCalendarAdvance(Calendar,X701,NDays&amp;"D")</f>
        <v>43714</v>
      </c>
      <c r="Z701" s="185">
        <v>4.32797997223347E-2</v>
      </c>
      <c r="AA701" s="182">
        <v>4.2658229600610241E-2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43721</v>
      </c>
      <c r="Y702" s="184">
        <f>_xll.qlCalendarAdvance(Calendar,X702,NDays&amp;"D")</f>
        <v>43721</v>
      </c>
      <c r="Z702" s="185">
        <v>4.3342507401577898E-2</v>
      </c>
      <c r="AA702" s="182">
        <v>4.2723166754416272E-2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43728</v>
      </c>
      <c r="Y703" s="184">
        <f>_xll.qlCalendarAdvance(Calendar,X703,NDays&amp;"D")</f>
        <v>43728</v>
      </c>
      <c r="Z703" s="185">
        <v>4.340475345922911E-2</v>
      </c>
      <c r="AA703" s="182">
        <v>4.2787646142808208E-2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43735</v>
      </c>
      <c r="Y704" s="184">
        <f>_xll.qlCalendarAdvance(Calendar,X704,NDays&amp;"D")</f>
        <v>43735</v>
      </c>
      <c r="Z704" s="185">
        <v>4.3466537873996333E-2</v>
      </c>
      <c r="AA704" s="182">
        <v>4.2851667764975586E-2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43742</v>
      </c>
      <c r="Y705" s="184">
        <f>_xll.qlCalendarAdvance(Calendar,X705,NDays&amp;"D")</f>
        <v>43742</v>
      </c>
      <c r="Z705" s="185">
        <v>4.3548486645889763E-2</v>
      </c>
      <c r="AA705" s="182">
        <v>4.2922274887868817E-2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43749</v>
      </c>
      <c r="Y706" s="184">
        <f>_xll.qlCalendarAdvance(Calendar,X706,NDays&amp;"D")</f>
        <v>43749</v>
      </c>
      <c r="Z706" s="185">
        <v>4.3609270419730069E-2</v>
      </c>
      <c r="AA706" s="182">
        <v>4.2978337707989166E-2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43756</v>
      </c>
      <c r="Y707" s="184">
        <f>_xll.qlCalendarAdvance(Calendar,X707,NDays&amp;"D")</f>
        <v>43756</v>
      </c>
      <c r="Z707" s="185">
        <v>4.3669592348545741E-2</v>
      </c>
      <c r="AA707" s="182">
        <v>4.3040986027349522E-2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43763</v>
      </c>
      <c r="Y708" s="184">
        <f>_xll.qlCalendarAdvance(Calendar,X708,NDays&amp;"D")</f>
        <v>43763</v>
      </c>
      <c r="Z708" s="185">
        <v>4.3736246442950079E-2</v>
      </c>
      <c r="AA708" s="182">
        <v>4.3103176577675713E-2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43770</v>
      </c>
      <c r="Y709" s="184">
        <f>_xll.qlCalendarAdvance(Calendar,X709,NDays&amp;"D")</f>
        <v>43770</v>
      </c>
      <c r="Z709" s="185">
        <v>4.3788850586014075E-2</v>
      </c>
      <c r="AA709" s="182">
        <v>4.3164909358292355E-2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43777</v>
      </c>
      <c r="Y710" s="184">
        <f>_xll.qlCalendarAdvance(Calendar,X710,NDays&amp;"D")</f>
        <v>43777</v>
      </c>
      <c r="Z710" s="185">
        <v>4.384778685252784E-2</v>
      </c>
      <c r="AA710" s="182">
        <v>4.322618436847004E-2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43784</v>
      </c>
      <c r="Y711" s="184">
        <f>_xll.qlCalendarAdvance(Calendar,X711,NDays&amp;"D")</f>
        <v>43784</v>
      </c>
      <c r="Z711" s="185">
        <v>4.3906261189740045E-2</v>
      </c>
      <c r="AA711" s="182">
        <v>4.3287001607533369E-2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43791</v>
      </c>
      <c r="Y712" s="184">
        <f>_xll.qlCalendarAdvance(Calendar,X712,NDays&amp;"D")</f>
        <v>43791</v>
      </c>
      <c r="Z712" s="185">
        <v>4.3964273576988205E-2</v>
      </c>
      <c r="AA712" s="182">
        <v>4.3347361074806974E-2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43798</v>
      </c>
      <c r="Y713" s="184">
        <f>_xll.qlCalendarAdvance(Calendar,X713,NDays&amp;"D")</f>
        <v>43798</v>
      </c>
      <c r="Z713" s="185">
        <v>4.4001820242127329E-2</v>
      </c>
      <c r="AA713" s="182">
        <v>4.3407262769561424E-2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43805</v>
      </c>
      <c r="Y714" s="184">
        <f>_xll.qlCalendarAdvance(Calendar,X714,NDays&amp;"D")</f>
        <v>43805</v>
      </c>
      <c r="Z714" s="185">
        <v>4.4058987091728764E-2</v>
      </c>
      <c r="AA714" s="182">
        <v>4.3466706691175368E-2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43812</v>
      </c>
      <c r="Y715" s="184">
        <f>_xll.qlCalendarAdvance(Calendar,X715,NDays&amp;"D")</f>
        <v>43812</v>
      </c>
      <c r="Z715" s="185">
        <v>4.4115692074650707E-2</v>
      </c>
      <c r="AA715" s="182">
        <v>4.3525692838946403E-2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43819</v>
      </c>
      <c r="Y716" s="184">
        <f>_xll.qlCalendarAdvance(Calendar,X716,NDays&amp;"D")</f>
        <v>43819</v>
      </c>
      <c r="Z716" s="185">
        <v>4.4171935171494592E-2</v>
      </c>
      <c r="AA716" s="182">
        <v>4.3584221212226167E-2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43826</v>
      </c>
      <c r="Y717" s="184">
        <f>_xll.qlCalendarAdvance(Calendar,X717,NDays&amp;"D")</f>
        <v>43826</v>
      </c>
      <c r="Z717" s="185">
        <v>4.4227716363020399E-2</v>
      </c>
      <c r="AA717" s="182">
        <v>4.3642291810339261E-2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43833</v>
      </c>
      <c r="Y718" s="184">
        <f>_xll.qlCalendarAdvance(Calendar,X718,NDays&amp;"D")</f>
        <v>43833</v>
      </c>
      <c r="Z718" s="185">
        <v>4.4283035630145726E-2</v>
      </c>
      <c r="AA718" s="182">
        <v>4.3699904632637329E-2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43840</v>
      </c>
      <c r="Y719" s="184">
        <f>_xll.qlCalendarAdvance(Calendar,X719,NDays&amp;"D")</f>
        <v>43840</v>
      </c>
      <c r="Z719" s="185">
        <v>4.4363930323427739E-2</v>
      </c>
      <c r="AA719" s="182">
        <v>4.3757059678499008E-2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43847</v>
      </c>
      <c r="Y720" s="184">
        <f>_xll.qlCalendarAdvance(Calendar,X720,NDays&amp;"D")</f>
        <v>43847</v>
      </c>
      <c r="Z720" s="185">
        <v>4.439228831565091E-2</v>
      </c>
      <c r="AA720" s="182">
        <v>4.38137569472219E-2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43854</v>
      </c>
      <c r="Y721" s="184">
        <f>_xll.qlCalendarAdvance(Calendar,X721,NDays&amp;"D")</f>
        <v>43854</v>
      </c>
      <c r="Z721" s="185">
        <v>4.4446221696654187E-2</v>
      </c>
      <c r="AA721" s="182">
        <v>4.387662997806685E-2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43861</v>
      </c>
      <c r="Y722" s="184">
        <f>_xll.qlCalendarAdvance(Calendar,X722,NDays&amp;"D")</f>
        <v>43861</v>
      </c>
      <c r="Z722" s="185">
        <v>4.4493258137715139E-2</v>
      </c>
      <c r="AA722" s="182">
        <v>4.3925778150792912E-2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43868</v>
      </c>
      <c r="Y723" s="184">
        <f>_xll.qlCalendarAdvance(Calendar,X723,NDays&amp;"D")</f>
        <v>43868</v>
      </c>
      <c r="Z723" s="185">
        <v>4.454629407085911E-2</v>
      </c>
      <c r="AA723" s="182">
        <v>4.3981102084371303E-2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43875</v>
      </c>
      <c r="Y724" s="184">
        <f>_xll.qlCalendarAdvance(Calendar,X724,NDays&amp;"D")</f>
        <v>43875</v>
      </c>
      <c r="Z724" s="185">
        <v>4.4598868018226386E-2</v>
      </c>
      <c r="AA724" s="182">
        <v>4.403596823829848E-2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43882</v>
      </c>
      <c r="Y725" s="184">
        <f>_xll.qlCalendarAdvance(Calendar,X725,NDays&amp;"D")</f>
        <v>43882</v>
      </c>
      <c r="Z725" s="185">
        <v>4.4650979962024606E-2</v>
      </c>
      <c r="AA725" s="182">
        <v>4.4090376612007105E-2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43889</v>
      </c>
      <c r="Y726" s="184">
        <f>_xll.qlCalendarAdvance(Calendar,X726,NDays&amp;"D")</f>
        <v>43889</v>
      </c>
      <c r="Z726" s="185">
        <v>4.4708958250875959E-2</v>
      </c>
      <c r="AA726" s="182">
        <v>4.4144327204821796E-2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43896</v>
      </c>
      <c r="Y727" s="184">
        <f>_xll.qlCalendarAdvance(Calendar,X727,NDays&amp;"D")</f>
        <v>43896</v>
      </c>
      <c r="Z727" s="185">
        <v>4.4785305220933179E-2</v>
      </c>
      <c r="AA727" s="182">
        <v>4.4197820016175234E-2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43903</v>
      </c>
      <c r="Y728" s="184">
        <f>_xll.qlCalendarAdvance(Calendar,X728,NDays&amp;"D")</f>
        <v>43903</v>
      </c>
      <c r="Z728" s="185">
        <v>4.4829630349773553E-2</v>
      </c>
      <c r="AA728" s="182">
        <v>4.4250855045419042E-2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43910</v>
      </c>
      <c r="Y729" s="184">
        <f>_xll.qlCalendarAdvance(Calendar,X729,NDays&amp;"D")</f>
        <v>43910</v>
      </c>
      <c r="Z729" s="185">
        <v>4.4879786584376712E-2</v>
      </c>
      <c r="AA729" s="182">
        <v>4.4303432291985897E-2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43917</v>
      </c>
      <c r="Y730" s="184">
        <f>_xll.qlCalendarAdvance(Calendar,X730,NDays&amp;"D")</f>
        <v>43917</v>
      </c>
      <c r="Z730" s="185">
        <v>4.4929480524989879E-2</v>
      </c>
      <c r="AA730" s="182">
        <v>4.4355551755308482E-2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43924</v>
      </c>
      <c r="Y731" s="184">
        <f>_xll.qlCalendarAdvance(Calendar,X731,NDays&amp;"D")</f>
        <v>43924</v>
      </c>
      <c r="Z731" s="185">
        <v>4.4960142586969197E-2</v>
      </c>
      <c r="AA731" s="182">
        <v>4.440721343473842E-2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43935</v>
      </c>
      <c r="Y732" s="184">
        <f>_xll.qlCalendarAdvance(Calendar,X732,NDays&amp;"D")</f>
        <v>43935</v>
      </c>
      <c r="Z732" s="185">
        <v>4.5036700003773439E-2</v>
      </c>
      <c r="AA732" s="182">
        <v>4.4474805411298668E-2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43942</v>
      </c>
      <c r="Y733" s="184">
        <f>_xll.qlCalendarAdvance(Calendar,X733,NDays&amp;"D")</f>
        <v>43942</v>
      </c>
      <c r="Z733" s="185">
        <v>4.5084824105336006E-2</v>
      </c>
      <c r="AA733" s="182">
        <v>4.4525343003857243E-2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43949</v>
      </c>
      <c r="Y734" s="184">
        <f>_xll.qlCalendarAdvance(Calendar,X734,NDays&amp;"D")</f>
        <v>43949</v>
      </c>
      <c r="Z734" s="185">
        <v>4.5132485989259299E-2</v>
      </c>
      <c r="AA734" s="182">
        <v>4.4575422908373907E-2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43956</v>
      </c>
      <c r="Y735" s="184">
        <f>_xll.qlCalendarAdvance(Calendar,X735,NDays&amp;"D")</f>
        <v>43956</v>
      </c>
      <c r="Z735" s="185">
        <v>4.5185753586692891E-2</v>
      </c>
      <c r="AA735" s="182">
        <v>4.4625045124686569E-2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43963</v>
      </c>
      <c r="Y736" s="184">
        <f>_xll.qlCalendarAdvance(Calendar,X736,NDays&amp;"D")</f>
        <v>43963</v>
      </c>
      <c r="Z736" s="185">
        <v>4.5232463719739935E-2</v>
      </c>
      <c r="AA736" s="182">
        <v>4.4674209652552088E-2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43970</v>
      </c>
      <c r="Y737" s="184">
        <f>_xll.qlCalendarAdvance(Calendar,X737,NDays&amp;"D")</f>
        <v>43970</v>
      </c>
      <c r="Z737" s="185">
        <v>4.5278711534458289E-2</v>
      </c>
      <c r="AA737" s="182">
        <v>4.472291649188942E-2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43977</v>
      </c>
      <c r="Y738" s="184">
        <f>_xll.qlCalendarAdvance(Calendar,X738,NDays&amp;"D")</f>
        <v>43977</v>
      </c>
      <c r="Z738" s="185">
        <v>4.5324497014847483E-2</v>
      </c>
      <c r="AA738" s="182">
        <v>4.4771165642374378E-2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43984</v>
      </c>
      <c r="Y739" s="184">
        <f>_xll.qlCalendarAdvance(Calendar,X739,NDays&amp;"D")</f>
        <v>43984</v>
      </c>
      <c r="Z739" s="185">
        <v>4.5369820145072647E-2</v>
      </c>
      <c r="AA739" s="182">
        <v>4.4818957103925916E-2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43991</v>
      </c>
      <c r="Y740" s="184">
        <f>_xll.qlCalendarAdvance(Calendar,X740,NDays&amp;"D")</f>
        <v>43991</v>
      </c>
      <c r="Z740" s="185">
        <v>4.5414680909453088E-2</v>
      </c>
      <c r="AA740" s="182">
        <v>4.4866290876381942E-2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43998</v>
      </c>
      <c r="Y741" s="184">
        <f>_xll.qlCalendarAdvance(Calendar,X741,NDays&amp;"D")</f>
        <v>43998</v>
      </c>
      <c r="Z741" s="185">
        <v>4.5459079292471102E-2</v>
      </c>
      <c r="AA741" s="182">
        <v>4.4913166959418271E-2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44005</v>
      </c>
      <c r="Y742" s="184">
        <f>_xll.qlCalendarAdvance(Calendar,X742,NDays&amp;"D")</f>
        <v>44005</v>
      </c>
      <c r="Z742" s="185">
        <v>4.5503015278768405E-2</v>
      </c>
      <c r="AA742" s="182">
        <v>4.4959585353034903E-2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44012</v>
      </c>
      <c r="Y743" s="184">
        <f>_xll.qlCalendarAdvance(Calendar,X743,NDays&amp;"D")</f>
        <v>44012</v>
      </c>
      <c r="Z743" s="185">
        <v>4.5546488853146175E-2</v>
      </c>
      <c r="AA743" s="182">
        <v>4.5005546056907653E-2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44019</v>
      </c>
      <c r="Y744" s="184">
        <f>_xll.qlCalendarAdvance(Calendar,X744,NDays&amp;"D")</f>
        <v>44019</v>
      </c>
      <c r="Z744" s="185">
        <v>4.5589500000564172E-2</v>
      </c>
      <c r="AA744" s="182">
        <v>4.505104907103652E-2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44026</v>
      </c>
      <c r="Y745" s="184">
        <f>_xll.qlCalendarAdvance(Calendar,X745,NDays&amp;"D")</f>
        <v>44026</v>
      </c>
      <c r="Z745" s="185">
        <v>4.5632048706144228E-2</v>
      </c>
      <c r="AA745" s="182">
        <v>4.5096094395097319E-2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44033</v>
      </c>
      <c r="Y746" s="184">
        <f>_xll.qlCalendarAdvance(Calendar,X746,NDays&amp;"D")</f>
        <v>44033</v>
      </c>
      <c r="Z746" s="185">
        <v>4.5674134955167631E-2</v>
      </c>
      <c r="AA746" s="182">
        <v>4.5140682028927959E-2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44040</v>
      </c>
      <c r="Y747" s="184">
        <f>_xll.qlCalendarAdvance(Calendar,X747,NDays&amp;"D")</f>
        <v>44040</v>
      </c>
      <c r="Z747" s="185">
        <v>4.5715758733075131E-2</v>
      </c>
      <c r="AA747" s="182">
        <v>4.5184811972447392E-2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44047</v>
      </c>
      <c r="Y748" s="184">
        <f>_xll.qlCalendarAdvance(Calendar,X748,NDays&amp;"D")</f>
        <v>44047</v>
      </c>
      <c r="Z748" s="185">
        <v>4.5756920025466913E-2</v>
      </c>
      <c r="AA748" s="182">
        <v>4.5228484225493526E-2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44054</v>
      </c>
      <c r="Y749" s="184">
        <f>_xll.qlCalendarAdvance(Calendar,X749,NDays&amp;"D")</f>
        <v>44054</v>
      </c>
      <c r="Z749" s="185">
        <v>4.5797618818101737E-2</v>
      </c>
      <c r="AA749" s="182">
        <v>4.5271698787742176E-2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44061</v>
      </c>
      <c r="Y750" s="184">
        <f>_xll.qlCalendarAdvance(Calendar,X750,NDays&amp;"D")</f>
        <v>44061</v>
      </c>
      <c r="Z750" s="185">
        <v>4.5837855096902219E-2</v>
      </c>
      <c r="AA750" s="182">
        <v>4.5314455659193342E-2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44068</v>
      </c>
      <c r="Y751" s="184">
        <f>_xll.qlCalendarAdvance(Calendar,X751,NDays&amp;"D")</f>
        <v>44068</v>
      </c>
      <c r="Z751" s="185">
        <v>4.5877628847947771E-2</v>
      </c>
      <c r="AA751" s="182">
        <v>4.5356754839684932E-2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44075</v>
      </c>
      <c r="Y752" s="184">
        <f>_xll.qlCalendarAdvance(Calendar,X752,NDays&amp;"D")</f>
        <v>44075</v>
      </c>
      <c r="Z752" s="185">
        <v>4.5911342858717466E-2</v>
      </c>
      <c r="AA752" s="182">
        <v>4.539859632889276E-2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44082</v>
      </c>
      <c r="Y753" s="184">
        <f>_xll.qlCalendarAdvance(Calendar,X753,NDays&amp;"D")</f>
        <v>44082</v>
      </c>
      <c r="Z753" s="185">
        <v>4.5950219689252114E-2</v>
      </c>
      <c r="AA753" s="182">
        <v>4.5439980126897872E-2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44089</v>
      </c>
      <c r="Y754" s="184">
        <f>_xll.qlCalendarAdvance(Calendar,X754,NDays&amp;"D")</f>
        <v>44089</v>
      </c>
      <c r="Z754" s="185">
        <v>4.5988634006031086E-2</v>
      </c>
      <c r="AA754" s="182">
        <v>4.5480906233376084E-2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44096</v>
      </c>
      <c r="Y755" s="184">
        <f>_xll.qlCalendarAdvance(Calendar,X755,NDays&amp;"D")</f>
        <v>44096</v>
      </c>
      <c r="Z755" s="185">
        <v>4.602658579590975E-2</v>
      </c>
      <c r="AA755" s="182">
        <v>4.5521374648246349E-2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44103</v>
      </c>
      <c r="Y756" s="184">
        <f>_xll.qlCalendarAdvance(Calendar,X756,NDays&amp;"D")</f>
        <v>44103</v>
      </c>
      <c r="Z756" s="185">
        <v>4.6064075045900224E-2</v>
      </c>
      <c r="AA756" s="182">
        <v>4.5561385371265528E-2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44110</v>
      </c>
      <c r="Y757" s="184">
        <f>_xll.qlCalendarAdvance(Calendar,X757,NDays&amp;"D")</f>
        <v>44110</v>
      </c>
      <c r="Z757" s="185">
        <v>4.6106557512016873E-2</v>
      </c>
      <c r="AA757" s="182">
        <v>4.5600938402433622E-2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44117</v>
      </c>
      <c r="Y758" s="184">
        <f>_xll.qlCalendarAdvance(Calendar,X758,NDays&amp;"D")</f>
        <v>44117</v>
      </c>
      <c r="Z758" s="185">
        <v>4.6143093192459808E-2</v>
      </c>
      <c r="AA758" s="182">
        <v>4.5640033741507491E-2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44124</v>
      </c>
      <c r="Y759" s="184">
        <f>_xll.qlCalendarAdvance(Calendar,X759,NDays&amp;"D")</f>
        <v>44124</v>
      </c>
      <c r="Z759" s="185">
        <v>4.6179166239548035E-2</v>
      </c>
      <c r="AA759" s="182">
        <v>4.5678671388243997E-2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44131</v>
      </c>
      <c r="Y760" s="184">
        <f>_xll.qlCalendarAdvance(Calendar,X760,NDays&amp;"D")</f>
        <v>44131</v>
      </c>
      <c r="Z760" s="185">
        <v>4.6214776640802195E-2</v>
      </c>
      <c r="AA760" s="182">
        <v>4.5716851342724185E-2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44138</v>
      </c>
      <c r="Y761" s="184">
        <f>_xll.qlCalendarAdvance(Calendar,X761,NDays&amp;"D")</f>
        <v>44138</v>
      </c>
      <c r="Z761" s="185">
        <v>4.6249924383900611E-2</v>
      </c>
      <c r="AA761" s="182">
        <v>4.5754573604623872E-2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44145</v>
      </c>
      <c r="Y762" s="184">
        <f>_xll.qlCalendarAdvance(Calendar,X762,NDays&amp;"D")</f>
        <v>44145</v>
      </c>
      <c r="Z762" s="185">
        <v>4.6284609456682807E-2</v>
      </c>
      <c r="AA762" s="182">
        <v>4.5791838173862009E-2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44152</v>
      </c>
      <c r="Y763" s="184">
        <f>_xll.qlCalendarAdvance(Calendar,X763,NDays&amp;"D")</f>
        <v>44152</v>
      </c>
      <c r="Z763" s="185">
        <v>4.6318831847150424E-2</v>
      </c>
      <c r="AA763" s="182">
        <v>4.5828645050357553E-2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44159</v>
      </c>
      <c r="Y764" s="184">
        <f>_xll.qlCalendarAdvance(Calendar,X764,NDays&amp;"D")</f>
        <v>44159</v>
      </c>
      <c r="Z764" s="185">
        <v>4.6352591543460997E-2</v>
      </c>
      <c r="AA764" s="182">
        <v>4.5864994233867362E-2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44166</v>
      </c>
      <c r="Y765" s="184">
        <f>_xll.qlCalendarAdvance(Calendar,X765,NDays&amp;"D")</f>
        <v>44166</v>
      </c>
      <c r="Z765" s="185">
        <v>4.637543301748135E-2</v>
      </c>
      <c r="AA765" s="182">
        <v>4.5900885724310392E-2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44173</v>
      </c>
      <c r="Y766" s="184">
        <f>_xll.qlCalendarAdvance(Calendar,X766,NDays&amp;"D")</f>
        <v>44173</v>
      </c>
      <c r="Z766" s="185">
        <v>4.6408325080133039E-2</v>
      </c>
      <c r="AA766" s="182">
        <v>4.5936319521524549E-2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44180</v>
      </c>
      <c r="Y767" s="184">
        <f>_xll.qlCalendarAdvance(Calendar,X767,NDays&amp;"D")</f>
        <v>44180</v>
      </c>
      <c r="Z767" s="185">
        <v>4.6440754526870506E-2</v>
      </c>
      <c r="AA767" s="182">
        <v>4.5971295625347741E-2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44187</v>
      </c>
      <c r="Y768" s="184">
        <f>_xll.qlCalendarAdvance(Calendar,X768,NDays&amp;"D")</f>
        <v>44187</v>
      </c>
      <c r="Z768" s="185">
        <v>4.6472721346717365E-2</v>
      </c>
      <c r="AA768" s="182">
        <v>4.6005814035779968E-2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44194</v>
      </c>
      <c r="Y769" s="184">
        <f>_xll.qlCalendarAdvance(Calendar,X769,NDays&amp;"D")</f>
        <v>44194</v>
      </c>
      <c r="Z769" s="185">
        <v>4.6504225528855754E-2</v>
      </c>
      <c r="AA769" s="182">
        <v>4.6039874752578092E-2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44201</v>
      </c>
      <c r="Y770" s="184">
        <f>_xll.qlCalendarAdvance(Calendar,X770,NDays&amp;"D")</f>
        <v>44201</v>
      </c>
      <c r="Z770" s="185">
        <v>4.6540350961322502E-2</v>
      </c>
      <c r="AA770" s="182">
        <v>4.6073477775580018E-2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44208</v>
      </c>
      <c r="Y771" s="184">
        <f>_xll.qlCalendarAdvance(Calendar,X771,NDays&amp;"D")</f>
        <v>44208</v>
      </c>
      <c r="Z771" s="185">
        <v>4.6565845937503729E-2</v>
      </c>
      <c r="AA771" s="182">
        <v>4.6106623104704703E-2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44215</v>
      </c>
      <c r="Y772" s="184">
        <f>_xll.qlCalendarAdvance(Calendar,X772,NDays&amp;"D")</f>
        <v>44215</v>
      </c>
      <c r="Z772" s="185">
        <v>4.6595962143158309E-2</v>
      </c>
      <c r="AA772" s="182">
        <v>4.6139310739871098E-2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44223</v>
      </c>
      <c r="Y773" s="184">
        <f>_xll.qlCalendarAdvance(Calendar,X773,NDays&amp;"D")</f>
        <v>44223</v>
      </c>
      <c r="Z773" s="185">
        <v>4.662981411708627E-2</v>
      </c>
      <c r="AA773" s="182">
        <v>4.6176107595561344E-2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44230</v>
      </c>
      <c r="Y774" s="184">
        <f>_xll.qlCalendarAdvance(Calendar,X774,NDays&amp;"D")</f>
        <v>44230</v>
      </c>
      <c r="Z774" s="185">
        <v>4.665397380154767E-2</v>
      </c>
      <c r="AA774" s="182">
        <v>4.6207814457508434E-2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44237</v>
      </c>
      <c r="Y775" s="184">
        <f>_xll.qlCalendarAdvance(Calendar,X775,NDays&amp;"D")</f>
        <v>44237</v>
      </c>
      <c r="Z775" s="185">
        <v>4.6682665241184321E-2</v>
      </c>
      <c r="AA775" s="182">
        <v>4.6239063625092003E-2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44244</v>
      </c>
      <c r="Y776" s="184">
        <f>_xll.qlCalendarAdvance(Calendar,X776,NDays&amp;"D")</f>
        <v>44244</v>
      </c>
      <c r="Z776" s="185">
        <v>4.6710894027708151E-2</v>
      </c>
      <c r="AA776" s="182">
        <v>4.6269855098149959E-2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44251</v>
      </c>
      <c r="Y777" s="184">
        <f>_xll.qlCalendarAdvance(Calendar,X777,NDays&amp;"D")</f>
        <v>44251</v>
      </c>
      <c r="Z777" s="185">
        <v>4.673866015166861E-2</v>
      </c>
      <c r="AA777" s="182">
        <v>4.6300188876682302E-2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44258</v>
      </c>
      <c r="Y778" s="184">
        <f>_xll.qlCalendarAdvance(Calendar,X778,NDays&amp;"D")</f>
        <v>44258</v>
      </c>
      <c r="Z778" s="185">
        <v>4.67804976328072E-2</v>
      </c>
      <c r="AA778" s="182">
        <v>4.633006496052694E-2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44265</v>
      </c>
      <c r="Y779" s="184">
        <f>_xll.qlCalendarAdvance(Calendar,X779,NDays&amp;"D")</f>
        <v>44265</v>
      </c>
      <c r="Z779" s="185">
        <v>4.6807249482229876E-2</v>
      </c>
      <c r="AA779" s="182">
        <v>4.6359483349440733E-2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44272</v>
      </c>
      <c r="Y780" s="184">
        <f>_xll.qlCalendarAdvance(Calendar,X780,NDays&amp;"D")</f>
        <v>44272</v>
      </c>
      <c r="Z780" s="185">
        <v>4.6833538468507845E-2</v>
      </c>
      <c r="AA780" s="182">
        <v>4.6388444043504728E-2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44279</v>
      </c>
      <c r="Y781" s="184">
        <f>_xll.qlCalendarAdvance(Calendar,X781,NDays&amp;"D")</f>
        <v>44279</v>
      </c>
      <c r="Z781" s="185">
        <v>4.6859370667699296E-2</v>
      </c>
      <c r="AA781" s="182">
        <v>4.6416947042475787E-2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44286</v>
      </c>
      <c r="Y782" s="184">
        <f>_xll.qlCalendarAdvance(Calendar,X782,NDays&amp;"D")</f>
        <v>44286</v>
      </c>
      <c r="Z782" s="185">
        <v>4.6880043900674045E-2</v>
      </c>
      <c r="AA782" s="182">
        <v>4.6444992346191816E-2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44293</v>
      </c>
      <c r="Y783" s="184">
        <f>_xll.qlCalendarAdvance(Calendar,X783,NDays&amp;"D")</f>
        <v>44293</v>
      </c>
      <c r="Z783" s="185">
        <v>4.6905078193823273E-2</v>
      </c>
      <c r="AA783" s="182">
        <v>4.6472579954733861E-2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44300</v>
      </c>
      <c r="Y784" s="184">
        <f>_xll.qlCalendarAdvance(Calendar,X784,NDays&amp;"D")</f>
        <v>44300</v>
      </c>
      <c r="Z784" s="185">
        <v>4.6929755099460929E-2</v>
      </c>
      <c r="AA784" s="182">
        <v>4.6499709868020878E-2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44307</v>
      </c>
      <c r="Y785" s="184">
        <f>_xll.qlCalendarAdvance(Calendar,X785,NDays&amp;"D")</f>
        <v>44307</v>
      </c>
      <c r="Z785" s="185">
        <v>4.695411151938899E-2</v>
      </c>
      <c r="AA785" s="182">
        <v>4.6526382085728679E-2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44314</v>
      </c>
      <c r="Y786" s="184">
        <f>_xll.qlCalendarAdvance(Calendar,X786,NDays&amp;"D")</f>
        <v>44314</v>
      </c>
      <c r="Z786" s="185">
        <v>4.6978184356378426E-2</v>
      </c>
      <c r="AA786" s="182">
        <v>4.6552596607938312E-2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44321</v>
      </c>
      <c r="Y787" s="184">
        <f>_xll.qlCalendarAdvance(Calendar,X787,NDays&amp;"D")</f>
        <v>44321</v>
      </c>
      <c r="Z787" s="185">
        <v>4.7006687744509626E-2</v>
      </c>
      <c r="AA787" s="182">
        <v>4.6578353434406639E-2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44328</v>
      </c>
      <c r="Y788" s="184">
        <f>_xll.qlCalendarAdvance(Calendar,X788,NDays&amp;"D")</f>
        <v>44328</v>
      </c>
      <c r="Z788" s="185">
        <v>4.7030301958114022E-2</v>
      </c>
      <c r="AA788" s="182">
        <v>4.6603652565133658E-2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44335</v>
      </c>
      <c r="Y789" s="184">
        <f>_xll.qlCalendarAdvance(Calendar,X789,NDays&amp;"D")</f>
        <v>44335</v>
      </c>
      <c r="Z789" s="185">
        <v>4.7053745345374397E-2</v>
      </c>
      <c r="AA789" s="182">
        <v>4.6628494000038323E-2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44342</v>
      </c>
      <c r="Y790" s="184">
        <f>_xll.qlCalendarAdvance(Calendar,X790,NDays&amp;"D")</f>
        <v>44342</v>
      </c>
      <c r="Z790" s="185">
        <v>4.7077054416202552E-2</v>
      </c>
      <c r="AA790" s="182">
        <v>4.6652877738877496E-2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44349</v>
      </c>
      <c r="Y791" s="184">
        <f>_xll.qlCalendarAdvance(Calendar,X791,NDays&amp;"D")</f>
        <v>44349</v>
      </c>
      <c r="Z791" s="185">
        <v>4.7100265681375382E-2</v>
      </c>
      <c r="AA791" s="182">
        <v>4.667680378181327E-2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44356</v>
      </c>
      <c r="Y792" s="184">
        <f>_xll.qlCalendarAdvance(Calendar,X792,NDays&amp;"D")</f>
        <v>44356</v>
      </c>
      <c r="Z792" s="185">
        <v>4.7123415652521636E-2</v>
      </c>
      <c r="AA792" s="182">
        <v>4.6700272128602505E-2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44363</v>
      </c>
      <c r="Y793" s="184">
        <f>_xll.qlCalendarAdvance(Calendar,X793,NDays&amp;"D")</f>
        <v>44363</v>
      </c>
      <c r="Z793" s="185">
        <v>4.7146540842119312E-2</v>
      </c>
      <c r="AA793" s="182">
        <v>4.6723282779164155E-2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44370</v>
      </c>
      <c r="Y794" s="184">
        <f>_xll.qlCalendarAdvance(Calendar,X794,NDays&amp;"D")</f>
        <v>44370</v>
      </c>
      <c r="Z794" s="185">
        <v>4.7169673931138523E-2</v>
      </c>
      <c r="AA794" s="182">
        <v>4.674604062538501E-2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44377</v>
      </c>
      <c r="Y795" s="184">
        <f>_xll.qlCalendarAdvance(Calendar,X795,NDays&amp;"D")</f>
        <v>44377</v>
      </c>
      <c r="Z795" s="185">
        <v>4.719282395062184E-2</v>
      </c>
      <c r="AA795" s="182">
        <v>4.6768813479269866E-2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44384</v>
      </c>
      <c r="Y796" s="184">
        <f>_xll.qlCalendarAdvance(Calendar,X796,NDays&amp;"D")</f>
        <v>44384</v>
      </c>
      <c r="Z796" s="185">
        <v>4.7215990918602062E-2</v>
      </c>
      <c r="AA796" s="182">
        <v>4.6791602953801803E-2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44391</v>
      </c>
      <c r="Y797" s="184">
        <f>_xll.qlCalendarAdvance(Calendar,X797,NDays&amp;"D")</f>
        <v>44391</v>
      </c>
      <c r="Z797" s="185">
        <v>4.7239174835372551E-2</v>
      </c>
      <c r="AA797" s="182">
        <v>4.681440904922396E-2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44398</v>
      </c>
      <c r="Y798" s="184">
        <f>_xll.qlCalendarAdvance(Calendar,X798,NDays&amp;"D")</f>
        <v>44398</v>
      </c>
      <c r="Z798" s="185">
        <v>4.7262375701224879E-2</v>
      </c>
      <c r="AA798" s="182">
        <v>4.6837231765374243E-2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44405</v>
      </c>
      <c r="Y799" s="184">
        <f>_xll.qlCalendarAdvance(Calendar,X799,NDays&amp;"D")</f>
        <v>44405</v>
      </c>
      <c r="Z799" s="185">
        <v>4.7285593516449766E-2</v>
      </c>
      <c r="AA799" s="182">
        <v>4.68600711023337E-2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44412</v>
      </c>
      <c r="Y800" s="184">
        <f>_xll.qlCalendarAdvance(Calendar,X800,NDays&amp;"D")</f>
        <v>44412</v>
      </c>
      <c r="Z800" s="185">
        <v>4.7308828281342329E-2</v>
      </c>
      <c r="AA800" s="182">
        <v>4.6882927060102331E-2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44419</v>
      </c>
      <c r="Y801" s="184">
        <f>_xll.qlCalendarAdvance(Calendar,X801,NDays&amp;"D")</f>
        <v>44419</v>
      </c>
      <c r="Z801" s="185">
        <v>4.7332079996194147E-2</v>
      </c>
      <c r="AA801" s="182">
        <v>4.6905799638680135E-2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44426</v>
      </c>
      <c r="Y802" s="184">
        <f>_xll.qlCalendarAdvance(Calendar,X802,NDays&amp;"D")</f>
        <v>44426</v>
      </c>
      <c r="Z802" s="185">
        <v>4.7355348661296821E-2</v>
      </c>
      <c r="AA802" s="182">
        <v>4.6928688838067112E-2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44433</v>
      </c>
      <c r="Y803" s="184">
        <f>_xll.qlCalendarAdvance(Calendar,X803,NDays&amp;"D")</f>
        <v>44433</v>
      </c>
      <c r="Z803" s="185">
        <v>4.7378634276946344E-2</v>
      </c>
      <c r="AA803" s="182">
        <v>4.6951594658344309E-2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44440</v>
      </c>
      <c r="Y804" s="184">
        <f>_xll.qlCalendarAdvance(Calendar,X804,NDays&amp;"D")</f>
        <v>44440</v>
      </c>
      <c r="Z804" s="185">
        <v>4.739720372372213E-2</v>
      </c>
      <c r="AA804" s="182">
        <v>4.6974517099349633E-2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44447</v>
      </c>
      <c r="Y805" s="184">
        <f>_xll.qlCalendarAdvance(Calendar,X805,NDays&amp;"D")</f>
        <v>44447</v>
      </c>
      <c r="Z805" s="185">
        <v>4.742051901972312E-2</v>
      </c>
      <c r="AA805" s="182">
        <v>4.6997456161164131E-2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44454</v>
      </c>
      <c r="Y806" s="184">
        <f>_xll.qlCalendarAdvance(Calendar,X806,NDays&amp;"D")</f>
        <v>44454</v>
      </c>
      <c r="Z806" s="185">
        <v>4.7443851263467743E-2</v>
      </c>
      <c r="AA806" s="182">
        <v>4.7020411843787802E-2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44461</v>
      </c>
      <c r="Y807" s="184">
        <f>_xll.qlCalendarAdvance(Calendar,X807,NDays&amp;"D")</f>
        <v>44461</v>
      </c>
      <c r="Z807" s="185">
        <v>4.7467200455246342E-2</v>
      </c>
      <c r="AA807" s="182">
        <v>4.7043384147382739E-2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44468</v>
      </c>
      <c r="Y808" s="184">
        <f>_xll.qlCalendarAdvance(Calendar,X808,NDays&amp;"D")</f>
        <v>44468</v>
      </c>
      <c r="Z808" s="185">
        <v>4.7490566595349268E-2</v>
      </c>
      <c r="AA808" s="182">
        <v>4.7066373071705803E-2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44475</v>
      </c>
      <c r="Y809" s="184">
        <f>_xll.qlCalendarAdvance(Calendar,X809,NDays&amp;"D")</f>
        <v>44475</v>
      </c>
      <c r="Z809" s="185">
        <v>4.7518703948731228E-2</v>
      </c>
      <c r="AA809" s="182">
        <v>4.7089378616756994E-2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44482</v>
      </c>
      <c r="Y810" s="184">
        <f>_xll.qlCalendarAdvance(Calendar,X810,NDays&amp;"D")</f>
        <v>44482</v>
      </c>
      <c r="Z810" s="185">
        <v>4.7542108226422547E-2</v>
      </c>
      <c r="AA810" s="182">
        <v>4.7112400782779451E-2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44489</v>
      </c>
      <c r="Y811" s="184">
        <f>_xll.qlCalendarAdvance(Calendar,X811,NDays&amp;"D")</f>
        <v>44489</v>
      </c>
      <c r="Z811" s="185">
        <v>4.7565529457013707E-2</v>
      </c>
      <c r="AA811" s="182">
        <v>4.7135439569611082E-2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44496</v>
      </c>
      <c r="Y812" s="184">
        <f>_xll.qlCalendarAdvance(Calendar,X812,NDays&amp;"D")</f>
        <v>44496</v>
      </c>
      <c r="Z812" s="185">
        <v>4.7588967640797161E-2</v>
      </c>
      <c r="AA812" s="182">
        <v>4.7158494977332932E-2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44503</v>
      </c>
      <c r="Y813" s="184">
        <f>_xll.qlCalendarAdvance(Calendar,X813,NDays&amp;"D")</f>
        <v>44503</v>
      </c>
      <c r="Z813" s="185">
        <v>4.7612422778068916E-2</v>
      </c>
      <c r="AA813" s="182">
        <v>4.718156700578291E-2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44510</v>
      </c>
      <c r="Y814" s="184">
        <f>_xll.qlCalendarAdvance(Calendar,X814,NDays&amp;"D")</f>
        <v>44510</v>
      </c>
      <c r="Z814" s="185">
        <v>4.7635894869125853E-2</v>
      </c>
      <c r="AA814" s="182">
        <v>4.7204655655204153E-2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44517</v>
      </c>
      <c r="Y815" s="184">
        <f>_xll.qlCalendarAdvance(Calendar,X815,NDays&amp;"D")</f>
        <v>44517</v>
      </c>
      <c r="Z815" s="185">
        <v>4.7659383914261312E-2</v>
      </c>
      <c r="AA815" s="182">
        <v>4.7227760925353524E-2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44524</v>
      </c>
      <c r="Y816" s="184">
        <f>_xll.qlCalendarAdvance(Calendar,X816,NDays&amp;"D")</f>
        <v>44524</v>
      </c>
      <c r="Z816" s="185">
        <v>4.7682889913773938E-2</v>
      </c>
      <c r="AA816" s="182">
        <v>4.725088281647416E-2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44531</v>
      </c>
      <c r="Y817" s="184">
        <f>_xll.qlCalendarAdvance(Calendar,X817,NDays&amp;"D")</f>
        <v>44531</v>
      </c>
      <c r="Z817" s="185">
        <v>4.7696837111616756E-2</v>
      </c>
      <c r="AA817" s="182">
        <v>4.727402132840397E-2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44538</v>
      </c>
      <c r="Y818" s="184">
        <f>_xll.qlCalendarAdvance(Calendar,X818,NDays&amp;"D")</f>
        <v>44538</v>
      </c>
      <c r="Z818" s="185">
        <v>4.7720368482189392E-2</v>
      </c>
      <c r="AA818" s="182">
        <v>4.7297176461142953E-2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44545</v>
      </c>
      <c r="Y819" s="184">
        <f>_xll.qlCalendarAdvance(Calendar,X819,NDays&amp;"D")</f>
        <v>44545</v>
      </c>
      <c r="Z819" s="185">
        <v>4.7743916800575832E-2</v>
      </c>
      <c r="AA819" s="182">
        <v>4.7320348214853203E-2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44552</v>
      </c>
      <c r="Y820" s="184">
        <f>_xll.qlCalendarAdvance(Calendar,X820,NDays&amp;"D")</f>
        <v>44552</v>
      </c>
      <c r="Z820" s="185">
        <v>4.7767482067066047E-2</v>
      </c>
      <c r="AA820" s="182">
        <v>4.7343536589372626E-2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44559</v>
      </c>
      <c r="Y821" s="184">
        <f>_xll.qlCalendarAdvance(Calendar,X821,NDays&amp;"D")</f>
        <v>44559</v>
      </c>
      <c r="Z821" s="185">
        <v>4.7791064281952705E-2</v>
      </c>
      <c r="AA821" s="182">
        <v>4.7366741584701222E-2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44566</v>
      </c>
      <c r="Y822" s="184">
        <f>_xll.qlCalendarAdvance(Calendar,X822,NDays&amp;"D")</f>
        <v>44566</v>
      </c>
      <c r="Z822" s="185">
        <v>4.7814663445524867E-2</v>
      </c>
      <c r="AA822" s="182">
        <v>4.7389963201001084E-2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44573</v>
      </c>
      <c r="Y823" s="184">
        <f>_xll.qlCalendarAdvance(Calendar,X823,NDays&amp;"D")</f>
        <v>44573</v>
      </c>
      <c r="Z823" s="185">
        <v>4.7838279558073397E-2</v>
      </c>
      <c r="AA823" s="182">
        <v>4.741320143811012E-2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44580</v>
      </c>
      <c r="Y824" s="184">
        <f>_xll.qlCalendarAdvance(Calendar,X824,NDays&amp;"D")</f>
        <v>44580</v>
      </c>
      <c r="Z824" s="185">
        <v>4.7861912619890964E-2</v>
      </c>
      <c r="AA824" s="182">
        <v>4.7436456296190421E-2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44588</v>
      </c>
      <c r="Y825" s="184">
        <f>_xll.qlCalendarAdvance(Calendar,X825,NDays&amp;"D")</f>
        <v>44588</v>
      </c>
      <c r="Z825" s="185">
        <v>4.7888942587975207E-2</v>
      </c>
      <c r="AA825" s="182">
        <v>4.7463053628755691E-2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44595</v>
      </c>
      <c r="Y826" s="184">
        <f>_xll.qlCalendarAdvance(Calendar,X826,NDays&amp;"D")</f>
        <v>44595</v>
      </c>
      <c r="Z826" s="185">
        <v>4.7907786164996302E-2</v>
      </c>
      <c r="AA826" s="182">
        <v>4.7486344103029321E-2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44602</v>
      </c>
      <c r="Y827" s="184">
        <f>_xll.qlCalendarAdvance(Calendar,X827,NDays&amp;"D")</f>
        <v>44602</v>
      </c>
      <c r="Z827" s="185">
        <v>4.7931468195773208E-2</v>
      </c>
      <c r="AA827" s="182">
        <v>4.7509651198112124E-2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44609</v>
      </c>
      <c r="Y828" s="184">
        <f>_xll.qlCalendarAdvance(Calendar,X828,NDays&amp;"D")</f>
        <v>44609</v>
      </c>
      <c r="Z828" s="185">
        <v>4.795516717327461E-2</v>
      </c>
      <c r="AA828" s="182">
        <v>4.7532974914166193E-2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44616</v>
      </c>
      <c r="Y829" s="184">
        <f>_xll.qlCalendarAdvance(Calendar,X829,NDays&amp;"D")</f>
        <v>44616</v>
      </c>
      <c r="Z829" s="185">
        <v>4.7978883097785543E-2</v>
      </c>
      <c r="AA829" s="182">
        <v>4.7556315251029435E-2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44623</v>
      </c>
      <c r="Y830" s="184">
        <f>_xll.qlCalendarAdvance(Calendar,X830,NDays&amp;"D")</f>
        <v>44623</v>
      </c>
      <c r="Z830" s="185">
        <v>4.801714758018065E-2</v>
      </c>
      <c r="AA830" s="182">
        <v>4.7579672208782897E-2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44630</v>
      </c>
      <c r="Y831" s="184">
        <f>_xll.qlCalendarAdvance(Calendar,X831,NDays&amp;"D")</f>
        <v>44630</v>
      </c>
      <c r="Z831" s="185">
        <v>4.8040910353708215E-2</v>
      </c>
      <c r="AA831" s="182">
        <v>4.7603045787426579E-2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44637</v>
      </c>
      <c r="Y832" s="184">
        <f>_xll.qlCalendarAdvance(Calendar,X832,NDays&amp;"D")</f>
        <v>44637</v>
      </c>
      <c r="Z832" s="185">
        <v>4.8064690086417575E-2</v>
      </c>
      <c r="AA832" s="182">
        <v>4.762643598696048E-2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44644</v>
      </c>
      <c r="Y833" s="184">
        <f>_xll.qlCalendarAdvance(Calendar,X833,NDays&amp;"D")</f>
        <v>44644</v>
      </c>
      <c r="Z833" s="185">
        <v>4.8088486778610023E-2</v>
      </c>
      <c r="AA833" s="182">
        <v>4.7649842807465648E-2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44651</v>
      </c>
      <c r="Y834" s="184">
        <f>_xll.qlCalendarAdvance(Calendar,X834,NDays&amp;"D")</f>
        <v>44651</v>
      </c>
      <c r="Z834" s="185">
        <v>4.8107438427994219E-2</v>
      </c>
      <c r="AA834" s="182">
        <v>4.7673266248942081E-2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44658</v>
      </c>
      <c r="Y835" s="184">
        <f>_xll.qlCalendarAdvance(Calendar,X835,NDays&amp;"D")</f>
        <v>44658</v>
      </c>
      <c r="Z835" s="185">
        <v>4.8131264705969512E-2</v>
      </c>
      <c r="AA835" s="182">
        <v>4.7696706311227688E-2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44665</v>
      </c>
      <c r="Y836" s="184">
        <f>_xll.qlCalendarAdvance(Calendar,X836,NDays&amp;"D")</f>
        <v>44665</v>
      </c>
      <c r="Z836" s="185">
        <v>4.8155107940546532E-2</v>
      </c>
      <c r="AA836" s="182">
        <v>4.7739351319652013E-2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44672</v>
      </c>
      <c r="Y837" s="184">
        <f>_xll.qlCalendarAdvance(Calendar,X837,NDays&amp;"D")</f>
        <v>44672</v>
      </c>
      <c r="Z837" s="185">
        <v>4.8178968132020071E-2</v>
      </c>
      <c r="AA837" s="182">
        <v>4.7743636298550607E-2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44679</v>
      </c>
      <c r="Y838" s="184">
        <f>_xll.qlCalendarAdvance(Calendar,X838,NDays&amp;"D")</f>
        <v>44679</v>
      </c>
      <c r="Z838" s="185">
        <v>4.8202845280689383E-2</v>
      </c>
      <c r="AA838" s="182">
        <v>4.7767126223750012E-2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44686</v>
      </c>
      <c r="Y839" s="184">
        <f>_xll.qlCalendarAdvance(Calendar,X839,NDays&amp;"D")</f>
        <v>44686</v>
      </c>
      <c r="Z839" s="185">
        <v>4.8231623097709758E-2</v>
      </c>
      <c r="AA839" s="182">
        <v>4.7790632769677543E-2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44693</v>
      </c>
      <c r="Y840" s="184">
        <f>_xll.qlCalendarAdvance(Calendar,X840,NDays&amp;"D")</f>
        <v>44693</v>
      </c>
      <c r="Z840" s="185">
        <v>4.8255538514688799E-2</v>
      </c>
      <c r="AA840" s="182">
        <v>4.7814155936657388E-2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44700</v>
      </c>
      <c r="Y841" s="184">
        <f>_xll.qlCalendarAdvance(Calendar,X841,NDays&amp;"D")</f>
        <v>44700</v>
      </c>
      <c r="Z841" s="185">
        <v>4.827947089355588E-2</v>
      </c>
      <c r="AA841" s="182">
        <v>4.7837695724527451E-2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44707</v>
      </c>
      <c r="Y842" s="184">
        <f>_xll.qlCalendarAdvance(Calendar,X842,NDays&amp;"D")</f>
        <v>44707</v>
      </c>
      <c r="Z842" s="185">
        <v>4.8303420234612288E-2</v>
      </c>
      <c r="AA842" s="182">
        <v>4.7861252133368781E-2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44714</v>
      </c>
      <c r="Y843" s="184">
        <f>_xll.qlCalendarAdvance(Calendar,X843,NDays&amp;"D")</f>
        <v>44714</v>
      </c>
      <c r="Z843" s="185">
        <v>4.8327386538160176E-2</v>
      </c>
      <c r="AA843" s="182">
        <v>4.7884825163100331E-2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44721</v>
      </c>
      <c r="Y844" s="184">
        <f>_xll.qlCalendarAdvance(Calendar,X844,NDays&amp;"D")</f>
        <v>44721</v>
      </c>
      <c r="Z844" s="185">
        <v>4.8351369804499063E-2</v>
      </c>
      <c r="AA844" s="182">
        <v>4.7908414813803146E-2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44728</v>
      </c>
      <c r="Y845" s="184">
        <f>_xll.qlCalendarAdvance(Calendar,X845,NDays&amp;"D")</f>
        <v>44728</v>
      </c>
      <c r="Z845" s="185">
        <v>4.8375370033934641E-2</v>
      </c>
      <c r="AA845" s="182">
        <v>4.7932021085477228E-2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44735</v>
      </c>
      <c r="Y846" s="184">
        <f>_xll.qlCalendarAdvance(Calendar,X846,NDays&amp;"D")</f>
        <v>44735</v>
      </c>
      <c r="Z846" s="185">
        <v>4.8399387226767308E-2</v>
      </c>
      <c r="AA846" s="182">
        <v>4.7955643978041529E-2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44742</v>
      </c>
      <c r="Y847" s="184">
        <f>_xll.qlCalendarAdvance(Calendar,X847,NDays&amp;"D")</f>
        <v>44742</v>
      </c>
      <c r="Z847" s="185">
        <v>4.8423421383300108E-2</v>
      </c>
      <c r="AA847" s="182">
        <v>4.7979283491577096E-2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44749</v>
      </c>
      <c r="Y848" s="184">
        <f>_xll.qlCalendarAdvance(Calendar,X848,NDays&amp;"D")</f>
        <v>44749</v>
      </c>
      <c r="Z848" s="185">
        <v>4.8447472503836082E-2</v>
      </c>
      <c r="AA848" s="182">
        <v>4.8002939626164975E-2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44756</v>
      </c>
      <c r="Y849" s="184">
        <f>_xll.qlCalendarAdvance(Calendar,X849,NDays&amp;"D")</f>
        <v>44756</v>
      </c>
      <c r="Z849" s="185">
        <v>4.8471540588678266E-2</v>
      </c>
      <c r="AA849" s="182">
        <v>4.8026612381562028E-2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44763</v>
      </c>
      <c r="Y850" s="184">
        <f>_xll.qlCalendarAdvance(Calendar,X850,NDays&amp;"D")</f>
        <v>44763</v>
      </c>
      <c r="Z850" s="185">
        <v>4.8495625638129709E-2</v>
      </c>
      <c r="AA850" s="182">
        <v>4.8050301758011393E-2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44770</v>
      </c>
      <c r="Y851" s="184">
        <f>_xll.qlCalendarAdvance(Calendar,X851,NDays&amp;"D")</f>
        <v>44770</v>
      </c>
      <c r="Z851" s="185">
        <v>4.8519727652494335E-2</v>
      </c>
      <c r="AA851" s="182">
        <v>4.8074007755350978E-2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44777</v>
      </c>
      <c r="Y852" s="184">
        <f>_xll.qlCalendarAdvance(Calendar,X852,NDays&amp;"D")</f>
        <v>44777</v>
      </c>
      <c r="Z852" s="185">
        <v>4.8543846632076074E-2</v>
      </c>
      <c r="AA852" s="182">
        <v>4.8097730373823921E-2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44784</v>
      </c>
      <c r="Y853" s="184">
        <f>_xll.qlCalendarAdvance(Calendar,X853,NDays&amp;"D")</f>
        <v>44784</v>
      </c>
      <c r="Z853" s="185">
        <v>4.8567982577177954E-2</v>
      </c>
      <c r="AA853" s="182">
        <v>4.8121469613106038E-2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44791</v>
      </c>
      <c r="Y854" s="184">
        <f>_xll.qlCalendarAdvance(Calendar,X854,NDays&amp;"D")</f>
        <v>44791</v>
      </c>
      <c r="Z854" s="185">
        <v>4.8592135488104787E-2</v>
      </c>
      <c r="AA854" s="182">
        <v>4.8145225473440467E-2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44798</v>
      </c>
      <c r="Y855" s="184">
        <f>_xll.qlCalendarAdvance(Calendar,X855,NDays&amp;"D")</f>
        <v>44798</v>
      </c>
      <c r="Z855" s="185">
        <v>4.8616305365159616E-2</v>
      </c>
      <c r="AA855" s="182">
        <v>4.8168997954746162E-2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44805</v>
      </c>
      <c r="Y856" s="184">
        <f>_xll.qlCalendarAdvance(Calendar,X856,NDays&amp;"D")</f>
        <v>44805</v>
      </c>
      <c r="Z856" s="185">
        <v>4.863553397735771E-2</v>
      </c>
      <c r="AA856" s="182">
        <v>4.8192787057023123E-2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44812</v>
      </c>
      <c r="Y857" s="184">
        <f>_xll.qlCalendarAdvance(Calendar,X857,NDays&amp;"D")</f>
        <v>44812</v>
      </c>
      <c r="Z857" s="185">
        <v>4.8659733369515561E-2</v>
      </c>
      <c r="AA857" s="182">
        <v>4.8216592780190304E-2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44819</v>
      </c>
      <c r="Y858" s="184">
        <f>_xll.qlCalendarAdvance(Calendar,X858,NDays&amp;"D")</f>
        <v>44819</v>
      </c>
      <c r="Z858" s="185">
        <v>4.8683949724861258E-2</v>
      </c>
      <c r="AA858" s="182">
        <v>4.8240415124490843E-2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44826</v>
      </c>
      <c r="Y859" s="184">
        <f>_xll.qlCalendarAdvance(Calendar,X859,NDays&amp;"D")</f>
        <v>44826</v>
      </c>
      <c r="Z859" s="185">
        <v>4.8708183043696722E-2</v>
      </c>
      <c r="AA859" s="182">
        <v>4.8264254089843694E-2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44833</v>
      </c>
      <c r="Y860" s="184">
        <f>_xll.qlCalendarAdvance(Calendar,X860,NDays&amp;"D")</f>
        <v>44833</v>
      </c>
      <c r="Z860" s="185">
        <v>4.87324333263221E-2</v>
      </c>
      <c r="AA860" s="182">
        <v>4.8288109676005719E-2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44840</v>
      </c>
      <c r="Y861" s="184">
        <f>_xll.qlCalendarAdvance(Calendar,X861,NDays&amp;"D")</f>
        <v>44840</v>
      </c>
      <c r="Z861" s="185">
        <v>4.8761680933275493E-2</v>
      </c>
      <c r="AA861" s="182">
        <v>4.8311981883220056E-2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44847</v>
      </c>
      <c r="Y862" s="184">
        <f>_xll.qlCalendarAdvance(Calendar,X862,NDays&amp;"D")</f>
        <v>44847</v>
      </c>
      <c r="Z862" s="185">
        <v>4.8785969581774905E-2</v>
      </c>
      <c r="AA862" s="182">
        <v>4.8335870711567752E-2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44854</v>
      </c>
      <c r="Y863" s="184">
        <f>_xll.qlCalendarAdvance(Calendar,X863,NDays&amp;"D")</f>
        <v>44854</v>
      </c>
      <c r="Z863" s="185">
        <v>4.8810275198846037E-2</v>
      </c>
      <c r="AA863" s="182">
        <v>4.8359776160805668E-2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44861</v>
      </c>
      <c r="Y864" s="184">
        <f>_xll.qlCalendarAdvance(Calendar,X864,NDays&amp;"D")</f>
        <v>44861</v>
      </c>
      <c r="Z864" s="185">
        <v>4.8834597784795458E-2</v>
      </c>
      <c r="AA864" s="182">
        <v>4.8383698231014849E-2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44868</v>
      </c>
      <c r="Y865" s="184">
        <f>_xll.qlCalendarAdvance(Calendar,X865,NDays&amp;"D")</f>
        <v>44868</v>
      </c>
      <c r="Z865" s="185">
        <v>4.885893733992884E-2</v>
      </c>
      <c r="AA865" s="182">
        <v>4.8407636922357389E-2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44875</v>
      </c>
      <c r="Y866" s="184">
        <f>_xll.qlCalendarAdvance(Calendar,X866,NDays&amp;"D")</f>
        <v>44875</v>
      </c>
      <c r="Z866" s="185">
        <v>4.888329386455452E-2</v>
      </c>
      <c r="AA866" s="182">
        <v>4.8431592234590148E-2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44882</v>
      </c>
      <c r="Y867" s="184">
        <f>_xll.qlCalendarAdvance(Calendar,X867,NDays&amp;"D")</f>
        <v>44882</v>
      </c>
      <c r="Z867" s="185">
        <v>4.8907667358977308E-2</v>
      </c>
      <c r="AA867" s="182">
        <v>4.845556416787522E-2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44889</v>
      </c>
      <c r="Y868" s="184">
        <f>_xll.qlCalendarAdvance(Calendar,X868,NDays&amp;"D")</f>
        <v>44889</v>
      </c>
      <c r="Z868" s="185">
        <v>4.8932057823506396E-2</v>
      </c>
      <c r="AA868" s="182">
        <v>4.8479552722212604E-2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44896</v>
      </c>
      <c r="Y869" s="184">
        <f>_xll.qlCalendarAdvance(Calendar,X869,NDays&amp;"D")</f>
        <v>44896</v>
      </c>
      <c r="Z869" s="185">
        <v>4.8946434194107137E-2</v>
      </c>
      <c r="AA869" s="182">
        <v>4.8503557897602301E-2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44903</v>
      </c>
      <c r="Y870" s="184">
        <f>_xll.qlCalendarAdvance(Calendar,X870,NDays&amp;"D")</f>
        <v>44903</v>
      </c>
      <c r="Z870" s="185">
        <v>4.8970849663828663E-2</v>
      </c>
      <c r="AA870" s="182">
        <v>4.8527579694044309E-2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44910</v>
      </c>
      <c r="Y871" s="184">
        <f>_xll.qlCalendarAdvance(Calendar,X871,NDays&amp;"D")</f>
        <v>44910</v>
      </c>
      <c r="Z871" s="185">
        <v>4.8995282096777198E-2</v>
      </c>
      <c r="AA871" s="182">
        <v>4.8551618111376538E-2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44917</v>
      </c>
      <c r="Y872" s="184">
        <f>_xll.qlCalendarAdvance(Calendar,X872,NDays&amp;"D")</f>
        <v>44917</v>
      </c>
      <c r="Z872" s="185">
        <v>4.9019731493256218E-2</v>
      </c>
      <c r="AA872" s="182">
        <v>4.8575673149842125E-2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44924</v>
      </c>
      <c r="Y873" s="184">
        <f>_xll.qlCalendarAdvance(Calendar,X873,NDays&amp;"D")</f>
        <v>44924</v>
      </c>
      <c r="Z873" s="185">
        <v>4.9044197853565584E-2</v>
      </c>
      <c r="AA873" s="182">
        <v>4.8599744809360024E-2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44931</v>
      </c>
      <c r="Y874" s="184">
        <f>_xll.qlCalendarAdvance(Calendar,X874,NDays&amp;"D")</f>
        <v>44931</v>
      </c>
      <c r="Z874" s="185">
        <v>4.9068681178008777E-2</v>
      </c>
      <c r="AA874" s="182">
        <v>4.8623833089849189E-2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44938</v>
      </c>
      <c r="Y875" s="184">
        <f>_xll.qlCalendarAdvance(Calendar,X875,NDays&amp;"D")</f>
        <v>44938</v>
      </c>
      <c r="Z875" s="185">
        <v>4.9093181466886571E-2</v>
      </c>
      <c r="AA875" s="182">
        <v>4.8647937991390666E-2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44945</v>
      </c>
      <c r="Y876" s="184">
        <f>_xll.qlCalendarAdvance(Calendar,X876,NDays&amp;"D")</f>
        <v>44945</v>
      </c>
      <c r="Z876" s="185">
        <v>4.911769872050064E-2</v>
      </c>
      <c r="AA876" s="182">
        <v>4.8672059514065502E-2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44953</v>
      </c>
      <c r="Y877" s="184">
        <f>_xll.qlCalendarAdvance(Calendar,X877,NDays&amp;"D")</f>
        <v>44953</v>
      </c>
      <c r="Z877" s="185">
        <v>4.914573921245035E-2</v>
      </c>
      <c r="AA877" s="182">
        <v>4.8709596332565296E-2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44960</v>
      </c>
      <c r="Y878" s="184">
        <f>_xll.qlCalendarAdvance(Calendar,X878,NDays&amp;"D")</f>
        <v>44960</v>
      </c>
      <c r="Z878" s="185">
        <v>4.9165237613224395E-2</v>
      </c>
      <c r="AA878" s="182">
        <v>4.8733762295563407E-2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44967</v>
      </c>
      <c r="Y879" s="184">
        <f>_xll.qlCalendarAdvance(Calendar,X879,NDays&amp;"D")</f>
        <v>44967</v>
      </c>
      <c r="Z879" s="185">
        <v>4.9189803684298296E-2</v>
      </c>
      <c r="AA879" s="182">
        <v>4.8757944887232181E-2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44974</v>
      </c>
      <c r="Y880" s="184">
        <f>_xll.qlCalendarAdvance(Calendar,X880,NDays&amp;"D")</f>
        <v>44974</v>
      </c>
      <c r="Z880" s="185">
        <v>4.9214386717433563E-2</v>
      </c>
      <c r="AA880" s="182">
        <v>4.8782144107652657E-2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44981</v>
      </c>
      <c r="Y881" s="184">
        <f>_xll.qlCalendarAdvance(Calendar,X881,NDays&amp;"D")</f>
        <v>44981</v>
      </c>
      <c r="Z881" s="185">
        <v>4.9238986712927979E-2</v>
      </c>
      <c r="AA881" s="182">
        <v>4.8806359956743803E-2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44988</v>
      </c>
      <c r="Y882" s="184">
        <f>_xll.qlCalendarAdvance(Calendar,X882,NDays&amp;"D")</f>
        <v>44988</v>
      </c>
      <c r="Z882" s="185">
        <v>4.9288978715110697E-2</v>
      </c>
      <c r="AA882" s="182">
        <v>4.8830592434586657E-2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44995</v>
      </c>
      <c r="Y883" s="184">
        <f>_xll.qlCalendarAdvance(Calendar,X883,NDays&amp;"D")</f>
        <v>44995</v>
      </c>
      <c r="Z883" s="185">
        <v>4.9318717423060689E-2</v>
      </c>
      <c r="AA883" s="182">
        <v>4.8854841541181214E-2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45002</v>
      </c>
      <c r="Y884" s="184">
        <f>_xll.qlCalendarAdvance(Calendar,X884,NDays&amp;"D")</f>
        <v>45002</v>
      </c>
      <c r="Z884" s="185">
        <v>4.9338308740350695E-2</v>
      </c>
      <c r="AA884" s="182">
        <v>4.8879107276500473E-2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45009</v>
      </c>
      <c r="Y885" s="184">
        <f>_xll.qlCalendarAdvance(Calendar,X885,NDays&amp;"D")</f>
        <v>45009</v>
      </c>
      <c r="Z885" s="185">
        <v>4.9362999227770488E-2</v>
      </c>
      <c r="AA885" s="182">
        <v>4.8903389640598448E-2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45016</v>
      </c>
      <c r="Y886" s="184">
        <f>_xll.qlCalendarAdvance(Calendar,X886,NDays&amp;"D")</f>
        <v>45016</v>
      </c>
      <c r="Z886" s="185">
        <v>4.9372424695009236E-2</v>
      </c>
      <c r="AA886" s="182">
        <v>4.8927688633475151E-2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45027</v>
      </c>
      <c r="Y887" s="184">
        <f>_xll.qlCalendarAdvance(Calendar,X887,NDays&amp;"D")</f>
        <v>45027</v>
      </c>
      <c r="Z887" s="185">
        <v>4.9411263642373866E-2</v>
      </c>
      <c r="AA887" s="182">
        <v>4.8955863682345058E-2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45034</v>
      </c>
      <c r="Y888" s="184">
        <f>_xll.qlCalendarAdvance(Calendar,X888,NDays&amp;"D")</f>
        <v>45034</v>
      </c>
      <c r="Z888" s="185">
        <v>4.9436001157932896E-2</v>
      </c>
      <c r="AA888" s="182">
        <v>4.8980196530036268E-2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45042</v>
      </c>
      <c r="Y889" s="184">
        <f>_xll.qlCalendarAdvance(Calendar,X889,NDays&amp;"D")</f>
        <v>45042</v>
      </c>
      <c r="Z889" s="185">
        <v>4.9464293387401055E-2</v>
      </c>
      <c r="AA889" s="182">
        <v>4.9008025851087211E-2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45049</v>
      </c>
      <c r="Y890" s="184">
        <f>_xll.qlCalendarAdvance(Calendar,X890,NDays&amp;"D")</f>
        <v>45049</v>
      </c>
      <c r="Z890" s="185">
        <v>4.9494181803829827E-2</v>
      </c>
      <c r="AA890" s="182">
        <v>4.9032394315376981E-2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45056</v>
      </c>
      <c r="Y891" s="184">
        <f>_xll.qlCalendarAdvance(Calendar,X891,NDays&amp;"D")</f>
        <v>45056</v>
      </c>
      <c r="Z891" s="185">
        <v>4.9518977218213411E-2</v>
      </c>
      <c r="AA891" s="182">
        <v>4.905677940080011E-2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45063</v>
      </c>
      <c r="Y892" s="184">
        <f>_xll.qlCalendarAdvance(Calendar,X892,NDays&amp;"D")</f>
        <v>45063</v>
      </c>
      <c r="Z892" s="185">
        <v>4.9543789610405349E-2</v>
      </c>
      <c r="AA892" s="182">
        <v>4.9081181107356597E-2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45070</v>
      </c>
      <c r="Y893" s="184">
        <f>_xll.qlCalendarAdvance(Calendar,X893,NDays&amp;"D")</f>
        <v>45070</v>
      </c>
      <c r="Z893" s="185">
        <v>4.9568618980721013E-2</v>
      </c>
      <c r="AA893" s="182">
        <v>4.9105599434965397E-2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45077</v>
      </c>
      <c r="Y894" s="184">
        <f>_xll.qlCalendarAdvance(Calendar,X894,NDays&amp;"D")</f>
        <v>45077</v>
      </c>
      <c r="Z894" s="185">
        <v>4.9593465329471377E-2</v>
      </c>
      <c r="AA894" s="182">
        <v>4.9130034383707555E-2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45084</v>
      </c>
      <c r="Y895" s="184">
        <f>_xll.qlCalendarAdvance(Calendar,X895,NDays&amp;"D")</f>
        <v>45084</v>
      </c>
      <c r="Z895" s="185">
        <v>4.9618328656970925E-2</v>
      </c>
      <c r="AA895" s="182">
        <v>4.9154485953502025E-2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45091</v>
      </c>
      <c r="Y896" s="184">
        <f>_xll.qlCalendarAdvance(Calendar,X896,NDays&amp;"D")</f>
        <v>45091</v>
      </c>
      <c r="Z896" s="185">
        <v>4.9643208963530638E-2</v>
      </c>
      <c r="AA896" s="182">
        <v>4.9178954144429854E-2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45098</v>
      </c>
      <c r="Y897" s="184">
        <f>_xll.qlCalendarAdvance(Calendar,X897,NDays&amp;"D")</f>
        <v>45098</v>
      </c>
      <c r="Z897" s="185">
        <v>4.9668106249466777E-2</v>
      </c>
      <c r="AA897" s="182">
        <v>4.9203438956491041E-2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45105</v>
      </c>
      <c r="Y898" s="184">
        <f>_xll.qlCalendarAdvance(Calendar,X898,NDays&amp;"D")</f>
        <v>45105</v>
      </c>
      <c r="Z898" s="185">
        <v>4.9693020515092945E-2</v>
      </c>
      <c r="AA898" s="182">
        <v>4.9227940389766633E-2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45112</v>
      </c>
      <c r="Y899" s="184">
        <f>_xll.qlCalendarAdvance(Calendar,X899,NDays&amp;"D")</f>
        <v>45112</v>
      </c>
      <c r="Z899" s="185">
        <v>4.9717951760720996E-2</v>
      </c>
      <c r="AA899" s="182">
        <v>4.9252458444094538E-2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45119</v>
      </c>
      <c r="Y900" s="184">
        <f>_xll.qlCalendarAdvance(Calendar,X900,NDays&amp;"D")</f>
        <v>45119</v>
      </c>
      <c r="Z900" s="185">
        <v>4.9742899986667193E-2</v>
      </c>
      <c r="AA900" s="182">
        <v>4.9276993119555801E-2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45126</v>
      </c>
      <c r="Y901" s="184">
        <f>_xll.qlCalendarAdvance(Calendar,X901,NDays&amp;"D")</f>
        <v>45126</v>
      </c>
      <c r="Z901" s="185">
        <v>4.9767865193245144E-2</v>
      </c>
      <c r="AA901" s="182">
        <v>4.9301544416150422E-2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45133</v>
      </c>
      <c r="Y902" s="184">
        <f>_xll.qlCalendarAdvance(Calendar,X902,NDays&amp;"D")</f>
        <v>45133</v>
      </c>
      <c r="Z902" s="185">
        <v>4.9792847380770222E-2</v>
      </c>
      <c r="AA902" s="182">
        <v>4.9326112333878402E-2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45140</v>
      </c>
      <c r="Y903" s="184">
        <f>_xll.qlCalendarAdvance(Calendar,X903,NDays&amp;"D")</f>
        <v>45140</v>
      </c>
      <c r="Z903" s="185">
        <v>4.9817846549556052E-2</v>
      </c>
      <c r="AA903" s="182">
        <v>4.9350696872739741E-2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45147</v>
      </c>
      <c r="Y904" s="184">
        <f>_xll.qlCalendarAdvance(Calendar,X904,NDays&amp;"D")</f>
        <v>45147</v>
      </c>
      <c r="Z904" s="185">
        <v>4.9842862699918881E-2</v>
      </c>
      <c r="AA904" s="182">
        <v>4.9375298032734438E-2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45154</v>
      </c>
      <c r="Y905" s="184">
        <f>_xll.qlCalendarAdvance(Calendar,X905,NDays&amp;"D")</f>
        <v>45154</v>
      </c>
      <c r="Z905" s="185">
        <v>4.9867895832172326E-2</v>
      </c>
      <c r="AA905" s="182">
        <v>4.9399915813862494E-2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45161</v>
      </c>
      <c r="Y906" s="184">
        <f>_xll.qlCalendarAdvance(Calendar,X906,NDays&amp;"D")</f>
        <v>45161</v>
      </c>
      <c r="Z906" s="185">
        <v>4.9892945946633523E-2</v>
      </c>
      <c r="AA906" s="182">
        <v>4.9424550216204954E-2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45168</v>
      </c>
      <c r="Y907" s="184">
        <f>_xll.qlCalendarAdvance(Calendar,X907,NDays&amp;"D")</f>
        <v>45168</v>
      </c>
      <c r="Z907" s="185">
        <v>4.9918013043619612E-2</v>
      </c>
      <c r="AA907" s="182">
        <v>4.9449201239680773E-2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45175</v>
      </c>
      <c r="Y908" s="184">
        <f>_xll.qlCalendarAdvance(Calendar,X908,NDays&amp;"D")</f>
        <v>45175</v>
      </c>
      <c r="Z908" s="185">
        <v>4.9937900001272469E-2</v>
      </c>
      <c r="AA908" s="182">
        <v>4.9473868884289951E-2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45182</v>
      </c>
      <c r="Y909" s="184">
        <f>_xll.qlCalendarAdvance(Calendar,X909,NDays&amp;"D")</f>
        <v>45182</v>
      </c>
      <c r="Z909" s="185">
        <v>4.9962996437658551E-2</v>
      </c>
      <c r="AA909" s="182">
        <v>4.9498553150113533E-2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45189</v>
      </c>
      <c r="Y910" s="184">
        <f>_xll.qlCalendarAdvance(Calendar,X910,NDays&amp;"D")</f>
        <v>45189</v>
      </c>
      <c r="Z910" s="185">
        <v>4.9988109853478256E-2</v>
      </c>
      <c r="AA910" s="182">
        <v>4.9523254037070474E-2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45196</v>
      </c>
      <c r="Y911" s="184">
        <f>_xll.qlCalendarAdvance(Calendar,X911,NDays&amp;"D")</f>
        <v>45196</v>
      </c>
      <c r="Z911" s="185">
        <v>5.0013240249044195E-2</v>
      </c>
      <c r="AA911" s="182">
        <v>4.954797154524182E-2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45203</v>
      </c>
      <c r="Y912" s="184">
        <f>_xll.qlCalendarAdvance(Calendar,X912,NDays&amp;"D")</f>
        <v>45203</v>
      </c>
      <c r="Z912" s="185">
        <v>5.0043603277455419E-2</v>
      </c>
      <c r="AA912" s="182">
        <v>4.9572705674465478E-2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45210</v>
      </c>
      <c r="Y913" s="184">
        <f>_xll.qlCalendarAdvance(Calendar,X913,NDays&amp;"D")</f>
        <v>45210</v>
      </c>
      <c r="Z913" s="185">
        <v>5.0068772276221675E-2</v>
      </c>
      <c r="AA913" s="182">
        <v>4.9597456424903541E-2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45217</v>
      </c>
      <c r="Y914" s="184">
        <f>_xll.qlCalendarAdvance(Calendar,X914,NDays&amp;"D")</f>
        <v>45217</v>
      </c>
      <c r="Z914" s="185">
        <v>5.0093958259726616E-2</v>
      </c>
      <c r="AA914" s="182">
        <v>4.9622223796637055E-2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45224</v>
      </c>
      <c r="Y915" s="184">
        <f>_xll.qlCalendarAdvance(Calendar,X915,NDays&amp;"D")</f>
        <v>45224</v>
      </c>
      <c r="Z915" s="185">
        <v>5.0119161228288266E-2</v>
      </c>
      <c r="AA915" s="182">
        <v>4.9647007789422881E-2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45231</v>
      </c>
      <c r="Y916" s="184">
        <f>_xll.qlCalendarAdvance(Calendar,X916,NDays&amp;"D")</f>
        <v>45231</v>
      </c>
      <c r="Z916" s="185">
        <v>5.0144381182225521E-2</v>
      </c>
      <c r="AA916" s="182">
        <v>4.9671808403342066E-2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45238</v>
      </c>
      <c r="Y917" s="184">
        <f>_xll.qlCalendarAdvance(Calendar,X917,NDays&amp;"D")</f>
        <v>45238</v>
      </c>
      <c r="Z917" s="185">
        <v>5.0169618121853762E-2</v>
      </c>
      <c r="AA917" s="182">
        <v>4.9696625638637748E-2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45245</v>
      </c>
      <c r="Y918" s="184">
        <f>_xll.qlCalendarAdvance(Calendar,X918,NDays&amp;"D")</f>
        <v>45245</v>
      </c>
      <c r="Z918" s="185">
        <v>5.0194872047493642E-2</v>
      </c>
      <c r="AA918" s="182">
        <v>4.9721459494985742E-2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45252</v>
      </c>
      <c r="Y919" s="184">
        <f>_xll.qlCalendarAdvance(Calendar,X919,NDays&amp;"D")</f>
        <v>45252</v>
      </c>
      <c r="Z919" s="185">
        <v>5.0220142959462304E-2</v>
      </c>
      <c r="AA919" s="182">
        <v>4.9746309972548142E-2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45259</v>
      </c>
      <c r="Y920" s="184">
        <f>_xll.qlCalendarAdvance(Calendar,X920,NDays&amp;"D")</f>
        <v>45259</v>
      </c>
      <c r="Z920" s="185">
        <v>5.0245430858076888E-2</v>
      </c>
      <c r="AA920" s="182">
        <v>4.9771177071405992E-2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45266</v>
      </c>
      <c r="Y921" s="184">
        <f>_xll.qlCalendarAdvance(Calendar,X921,NDays&amp;"D")</f>
        <v>45266</v>
      </c>
      <c r="Z921" s="185">
        <v>5.0265478159781579E-2</v>
      </c>
      <c r="AA921" s="182">
        <v>4.9796060791397201E-2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45273</v>
      </c>
      <c r="Y922" s="184">
        <f>_xll.qlCalendarAdvance(Calendar,X922,NDays&amp;"D")</f>
        <v>45273</v>
      </c>
      <c r="Z922" s="185">
        <v>5.0290795353281625E-2</v>
      </c>
      <c r="AA922" s="182">
        <v>4.9820961132602815E-2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45280</v>
      </c>
      <c r="Y923" s="184">
        <f>_xll.qlCalendarAdvance(Calendar,X923,NDays&amp;"D")</f>
        <v>45280</v>
      </c>
      <c r="Z923" s="185">
        <v>5.031612953030145E-2</v>
      </c>
      <c r="AA923" s="182">
        <v>4.9845878094941787E-2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45287</v>
      </c>
      <c r="Y924" s="184">
        <f>_xll.qlCalendarAdvance(Calendar,X924,NDays&amp;"D")</f>
        <v>45287</v>
      </c>
      <c r="Z924" s="185">
        <v>5.0341480691158111E-2</v>
      </c>
      <c r="AA924" s="182">
        <v>4.987081167857621E-2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45294</v>
      </c>
      <c r="Y925" s="184">
        <f>_xll.qlCalendarAdvance(Calendar,X925,NDays&amp;"D")</f>
        <v>45294</v>
      </c>
      <c r="Z925" s="185">
        <v>5.0366848836165996E-2</v>
      </c>
      <c r="AA925" s="182">
        <v>4.9895761883343992E-2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45301</v>
      </c>
      <c r="Y926" s="184">
        <f>_xll.qlCalendarAdvance(Calendar,X926,NDays&amp;"D")</f>
        <v>45301</v>
      </c>
      <c r="Z926" s="185">
        <v>5.0392233965642179E-2</v>
      </c>
      <c r="AA926" s="182">
        <v>4.9920728709407225E-2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45308</v>
      </c>
      <c r="Y927" s="184">
        <f>_xll.qlCalendarAdvance(Calendar,X927,NDays&amp;"D")</f>
        <v>45308</v>
      </c>
      <c r="Z927" s="185">
        <v>5.0417636079902815E-2</v>
      </c>
      <c r="AA927" s="182">
        <v>4.9945712156684863E-2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45315</v>
      </c>
      <c r="Y928" s="184">
        <f>_xll.qlCalendarAdvance(Calendar,X928,NDays&amp;"D")</f>
        <v>45315</v>
      </c>
      <c r="Z928" s="185">
        <v>5.0443055179264971E-2</v>
      </c>
      <c r="AA928" s="182">
        <v>4.9970712225176905E-2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45322</v>
      </c>
      <c r="Y929" s="184">
        <f>_xll.qlCalendarAdvance(Calendar,X929,NDays&amp;"D")</f>
        <v>45322</v>
      </c>
      <c r="Z929" s="185">
        <v>5.046319706476822E-2</v>
      </c>
      <c r="AA929" s="182">
        <v>4.9995728914964399E-2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45329</v>
      </c>
      <c r="Y930" s="184">
        <f>_xll.qlCalendarAdvance(Calendar,X930,NDays&amp;"D")</f>
        <v>45329</v>
      </c>
      <c r="Z930" s="185">
        <v>5.0488645424211942E-2</v>
      </c>
      <c r="AA930" s="182">
        <v>5.0020762225885251E-2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45336</v>
      </c>
      <c r="Y931" s="184">
        <f>_xll.qlCalendarAdvance(Calendar,X931,NDays&amp;"D")</f>
        <v>45336</v>
      </c>
      <c r="Z931" s="185">
        <v>5.0514110765598065E-2</v>
      </c>
      <c r="AA931" s="182">
        <v>5.0045812158020508E-2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45343</v>
      </c>
      <c r="Y932" s="184">
        <f>_xll.qlCalendarAdvance(Calendar,X932,NDays&amp;"D")</f>
        <v>45343</v>
      </c>
      <c r="Z932" s="185">
        <v>5.0539593089239054E-2</v>
      </c>
      <c r="AA932" s="182">
        <v>5.0070878711532263E-2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45350</v>
      </c>
      <c r="Y933" s="184">
        <f>_xll.qlCalendarAdvance(Calendar,X933,NDays&amp;"D")</f>
        <v>45350</v>
      </c>
      <c r="Z933" s="185">
        <v>5.0565092395450102E-2</v>
      </c>
      <c r="AA933" s="182">
        <v>5.009596188609633E-2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45357</v>
      </c>
      <c r="Y934" s="184">
        <f>_xll.qlCalendarAdvance(Calendar,X934,NDays&amp;"D")</f>
        <v>45357</v>
      </c>
      <c r="Z934" s="185">
        <v>5.0601245215550421E-2</v>
      </c>
      <c r="AA934" s="182">
        <v>5.0121061682036894E-2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45364</v>
      </c>
      <c r="Y935" s="184">
        <f>_xll.qlCalendarAdvance(Calendar,X935,NDays&amp;"D")</f>
        <v>45364</v>
      </c>
      <c r="Z935" s="185">
        <v>5.0626787952246809E-2</v>
      </c>
      <c r="AA935" s="182">
        <v>5.0146178099272909E-2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45371</v>
      </c>
      <c r="Y936" s="184">
        <f>_xll.qlCalendarAdvance(Calendar,X936,NDays&amp;"D")</f>
        <v>45371</v>
      </c>
      <c r="Z936" s="185">
        <v>5.0652347332750133E-2</v>
      </c>
      <c r="AA936" s="182">
        <v>5.0171311137561236E-2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45378</v>
      </c>
      <c r="Y937" s="184">
        <f>_xll.qlCalendarAdvance(Calendar,X937,NDays&amp;"D")</f>
        <v>45378</v>
      </c>
      <c r="Z937" s="185">
        <v>5.0677911513599121E-2</v>
      </c>
      <c r="AA937" s="182">
        <v>5.0196460797307108E-2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45385</v>
      </c>
      <c r="Y938" s="184">
        <f>_xll.qlCalendarAdvance(Calendar,X938,NDays&amp;"D")</f>
        <v>45385</v>
      </c>
      <c r="Z938" s="185">
        <v>5.0698127062319916E-2</v>
      </c>
      <c r="AA938" s="182">
        <v>5.0221627078186337E-2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45392</v>
      </c>
      <c r="Y939" s="184">
        <f>_xll.qlCalendarAdvance(Calendar,X939,NDays&amp;"D")</f>
        <v>45392</v>
      </c>
      <c r="Z939" s="185">
        <v>5.0723627872147826E-2</v>
      </c>
      <c r="AA939" s="182">
        <v>5.0246809980442064E-2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45399</v>
      </c>
      <c r="Y940" s="184">
        <f>_xll.qlCalendarAdvance(Calendar,X940,NDays&amp;"D")</f>
        <v>45399</v>
      </c>
      <c r="Z940" s="185">
        <v>5.0749057575953598E-2</v>
      </c>
      <c r="AA940" s="182">
        <v>5.0272009503993242E-2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45406</v>
      </c>
      <c r="Y941" s="184">
        <f>_xll.qlCalendarAdvance(Calendar,X941,NDays&amp;"D")</f>
        <v>45406</v>
      </c>
      <c r="Z941" s="185">
        <v>5.0774389361131128E-2</v>
      </c>
      <c r="AA941" s="182">
        <v>5.0302493222967315E-2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45413</v>
      </c>
      <c r="Y942" s="184">
        <f>_xll.qlCalendarAdvance(Calendar,X942,NDays&amp;"D")</f>
        <v>45413</v>
      </c>
      <c r="Z942" s="185">
        <v>5.0804888469627899E-2</v>
      </c>
      <c r="AA942" s="182">
        <v>5.0322458414738813E-2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45420</v>
      </c>
      <c r="Y943" s="184">
        <f>_xll.qlCalendarAdvance(Calendar,X943,NDays&amp;"D")</f>
        <v>45420</v>
      </c>
      <c r="Z943" s="185">
        <v>5.0829929396749657E-2</v>
      </c>
      <c r="AA943" s="182">
        <v>5.0347707801933206E-2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45427</v>
      </c>
      <c r="Y944" s="184">
        <f>_xll.qlCalendarAdvance(Calendar,X944,NDays&amp;"D")</f>
        <v>45427</v>
      </c>
      <c r="Z944" s="185">
        <v>5.0854790274626249E-2</v>
      </c>
      <c r="AA944" s="182">
        <v>5.0372973810504096E-2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45434</v>
      </c>
      <c r="Y945" s="184">
        <f>_xll.qlCalendarAdvance(Calendar,X945,NDays&amp;"D")</f>
        <v>45434</v>
      </c>
      <c r="Z945" s="185">
        <v>5.0879444575736114E-2</v>
      </c>
      <c r="AA945" s="182">
        <v>5.0398256440370437E-2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45441</v>
      </c>
      <c r="Y946" s="184">
        <f>_xll.qlCalendarAdvance(Calendar,X946,NDays&amp;"D")</f>
        <v>45441</v>
      </c>
      <c r="Z946" s="185">
        <v>5.0903865771935737E-2</v>
      </c>
      <c r="AA946" s="182">
        <v>5.0423555691532229E-2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45448</v>
      </c>
      <c r="Y947" s="184">
        <f>_xll.qlCalendarAdvance(Calendar,X947,NDays&amp;"D")</f>
        <v>45448</v>
      </c>
      <c r="Z947" s="185">
        <v>5.0928027334475524E-2</v>
      </c>
      <c r="AA947" s="182">
        <v>5.0448871563908426E-2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45455</v>
      </c>
      <c r="Y948" s="184">
        <f>_xll.qlCalendarAdvance(Calendar,X948,NDays&amp;"D")</f>
        <v>45455</v>
      </c>
      <c r="Z948" s="185">
        <v>5.0951902734013885E-2</v>
      </c>
      <c r="AA948" s="182">
        <v>5.0474204057742167E-2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45462</v>
      </c>
      <c r="Y949" s="184">
        <f>_xll.qlCalendarAdvance(Calendar,X949,NDays&amp;"D")</f>
        <v>45462</v>
      </c>
      <c r="Z949" s="185">
        <v>5.0975465543745123E-2</v>
      </c>
      <c r="AA949" s="182">
        <v>5.0499530926072511E-2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45469</v>
      </c>
      <c r="Y950" s="184">
        <f>_xll.qlCalendarAdvance(Calendar,X950,NDays&amp;"D")</f>
        <v>45469</v>
      </c>
      <c r="Z950" s="185">
        <v>5.0998698319746974E-2</v>
      </c>
      <c r="AA950" s="182">
        <v>5.0524601602084385E-2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45476</v>
      </c>
      <c r="Y951" s="184">
        <f>_xll.qlCalendarAdvance(Calendar,X951,NDays&amp;"D")</f>
        <v>45476</v>
      </c>
      <c r="Z951" s="185">
        <v>5.1021599445193716E-2</v>
      </c>
      <c r="AA951" s="182">
        <v>5.0549344662202955E-2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45483</v>
      </c>
      <c r="Y952" s="184">
        <f>_xll.qlCalendarAdvance(Calendar,X952,NDays&amp;"D")</f>
        <v>45483</v>
      </c>
      <c r="Z952" s="185">
        <v>5.1044168914413872E-2</v>
      </c>
      <c r="AA952" s="182">
        <v>5.057376010626613E-2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45490</v>
      </c>
      <c r="Y953" s="184">
        <f>_xll.qlCalendarAdvance(Calendar,X953,NDays&amp;"D")</f>
        <v>45490</v>
      </c>
      <c r="Z953" s="185">
        <v>5.1066406721817004E-2</v>
      </c>
      <c r="AA953" s="182">
        <v>5.0597847934517048E-2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45497</v>
      </c>
      <c r="Y954" s="184">
        <f>_xll.qlCalendarAdvance(Calendar,X954,NDays&amp;"D")</f>
        <v>45497</v>
      </c>
      <c r="Z954" s="185">
        <v>5.1088312861897259E-2</v>
      </c>
      <c r="AA954" s="182">
        <v>5.0621608146631525E-2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45504</v>
      </c>
      <c r="Y955" s="184">
        <f>_xll.qlCalendarAdvance(Calendar,X955,NDays&amp;"D")</f>
        <v>45504</v>
      </c>
      <c r="Z955" s="185">
        <v>5.1109887329228054E-2</v>
      </c>
      <c r="AA955" s="182">
        <v>5.0645040742609559E-2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45511</v>
      </c>
      <c r="Y956" s="184">
        <f>_xll.qlCalendarAdvance(Calendar,X956,NDays&amp;"D")</f>
        <v>45511</v>
      </c>
      <c r="Z956" s="185">
        <v>5.1131130118466504E-2</v>
      </c>
      <c r="AA956" s="182">
        <v>5.0668145722532199E-2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45518</v>
      </c>
      <c r="Y957" s="184">
        <f>_xll.qlCalendarAdvance(Calendar,X957,NDays&amp;"D")</f>
        <v>45518</v>
      </c>
      <c r="Z957" s="185">
        <v>5.1152041224350762E-2</v>
      </c>
      <c r="AA957" s="182">
        <v>5.0690923086156303E-2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45525</v>
      </c>
      <c r="Y958" s="184">
        <f>_xll.qlCalendarAdvance(Calendar,X958,NDays&amp;"D")</f>
        <v>45525</v>
      </c>
      <c r="Z958" s="185">
        <v>5.1172620641702679E-2</v>
      </c>
      <c r="AA958" s="182">
        <v>5.071337283356292E-2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45532</v>
      </c>
      <c r="Y959" s="184">
        <f>_xll.qlCalendarAdvance(Calendar,X959,NDays&amp;"D")</f>
        <v>45532</v>
      </c>
      <c r="Z959" s="185">
        <v>5.1192868365424277E-2</v>
      </c>
      <c r="AA959" s="182">
        <v>5.0735494964427863E-2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45539</v>
      </c>
      <c r="Y960" s="184">
        <f>_xll.qlCalendarAdvance(Calendar,X960,NDays&amp;"D")</f>
        <v>45539</v>
      </c>
      <c r="Z960" s="185">
        <v>5.1207847358729713E-2</v>
      </c>
      <c r="AA960" s="182">
        <v>5.0757289479075318E-2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45546</v>
      </c>
      <c r="Y961" s="184">
        <f>_xll.qlCalendarAdvance(Calendar,X961,NDays&amp;"D")</f>
        <v>45546</v>
      </c>
      <c r="Z961" s="185">
        <v>5.1227452639921393E-2</v>
      </c>
      <c r="AA961" s="182">
        <v>5.0778756377019008E-2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45553</v>
      </c>
      <c r="Y962" s="184">
        <f>_xll.qlCalendarAdvance(Calendar,X962,NDays&amp;"D")</f>
        <v>45553</v>
      </c>
      <c r="Z962" s="185">
        <v>5.1246726258261016E-2</v>
      </c>
      <c r="AA962" s="182">
        <v>5.0799895658583116E-2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45560</v>
      </c>
      <c r="Y963" s="184">
        <f>_xll.qlCalendarAdvance(Calendar,X963,NDays&amp;"D")</f>
        <v>45560</v>
      </c>
      <c r="Z963" s="185">
        <v>5.1275414677520462E-2</v>
      </c>
      <c r="AA963" s="182">
        <v>5.0820707323524505E-2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45567</v>
      </c>
      <c r="Y964" s="184">
        <f>_xll.qlCalendarAdvance(Calendar,X964,NDays&amp;"D")</f>
        <v>45567</v>
      </c>
      <c r="Z964" s="185">
        <v>5.1289131406939047E-2</v>
      </c>
      <c r="AA964" s="182">
        <v>5.0841191371762129E-2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45574</v>
      </c>
      <c r="Y965" s="184">
        <f>_xll.qlCalendarAdvance(Calendar,X965,NDays&amp;"D")</f>
        <v>45574</v>
      </c>
      <c r="Z965" s="185">
        <v>5.1307388866444981E-2</v>
      </c>
      <c r="AA965" s="182">
        <v>5.0861347803377033E-2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45581</v>
      </c>
      <c r="Y966" s="184">
        <f>_xll.qlCalendarAdvance(Calendar,X966,NDays&amp;"D")</f>
        <v>45581</v>
      </c>
      <c r="Z966" s="185">
        <v>5.132531459894274E-2</v>
      </c>
      <c r="AA966" s="182">
        <v>5.0881176618126078E-2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45588</v>
      </c>
      <c r="Y967" s="184">
        <f>_xll.qlCalendarAdvance(Calendar,X967,NDays&amp;"D")</f>
        <v>45588</v>
      </c>
      <c r="Z967" s="185">
        <v>5.1342908599991501E-2</v>
      </c>
      <c r="AA967" s="182">
        <v>5.0900677816252404E-2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45595</v>
      </c>
      <c r="Y968" s="184">
        <f>_xll.qlCalendarAdvance(Calendar,X968,NDays&amp;"D")</f>
        <v>45595</v>
      </c>
      <c r="Z968" s="185">
        <v>5.1360170865234159E-2</v>
      </c>
      <c r="AA968" s="182">
        <v>5.0919851397350779E-2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45602</v>
      </c>
      <c r="Y969" s="184">
        <f>_xll.qlCalendarAdvance(Calendar,X969,NDays&amp;"D")</f>
        <v>45602</v>
      </c>
      <c r="Z969" s="185">
        <v>5.1377101390394635E-2</v>
      </c>
      <c r="AA969" s="182">
        <v>5.0938697361583296E-2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45609</v>
      </c>
      <c r="Y970" s="184">
        <f>_xll.qlCalendarAdvance(Calendar,X970,NDays&amp;"D")</f>
        <v>45609</v>
      </c>
      <c r="Z970" s="185">
        <v>5.1393700171280553E-2</v>
      </c>
      <c r="AA970" s="182">
        <v>5.0957215708868908E-2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45616</v>
      </c>
      <c r="Y971" s="184">
        <f>_xll.qlCalendarAdvance(Calendar,X971,NDays&amp;"D")</f>
        <v>45616</v>
      </c>
      <c r="Z971" s="185">
        <v>5.1409967203779688E-2</v>
      </c>
      <c r="AA971" s="182">
        <v>5.0975406439045523E-2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45623</v>
      </c>
      <c r="Y972" s="184">
        <f>_xll.qlCalendarAdvance(Calendar,X972,NDays&amp;"D")</f>
        <v>45623</v>
      </c>
      <c r="Z972" s="185">
        <v>5.142590248386527E-2</v>
      </c>
      <c r="AA972" s="182">
        <v>5.0993269552194187E-2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45630</v>
      </c>
      <c r="Y973" s="184">
        <f>_xll.qlCalendarAdvance(Calendar,X973,NDays&amp;"D")</f>
        <v>45630</v>
      </c>
      <c r="Z973" s="185">
        <v>5.1432182406477046E-2</v>
      </c>
      <c r="AA973" s="182">
        <v>5.10108050483149E-2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45637</v>
      </c>
      <c r="Y974" s="184">
        <f>_xll.qlCalendarAdvance(Calendar,X974,NDays&amp;"D")</f>
        <v>45637</v>
      </c>
      <c r="Z974" s="185">
        <v>5.1447497274779402E-2</v>
      </c>
      <c r="AA974" s="182">
        <v>5.102801292724557E-2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45644</v>
      </c>
      <c r="Y975" s="184">
        <f>_xll.qlCalendarAdvance(Calendar,X975,NDays&amp;"D")</f>
        <v>45644</v>
      </c>
      <c r="Z975" s="185">
        <v>5.1462480471282268E-2</v>
      </c>
      <c r="AA975" s="182">
        <v>5.1044893188986196E-2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45653</v>
      </c>
      <c r="Y976" s="184">
        <f>_xll.qlCalendarAdvance(Calendar,X976,NDays&amp;"D")</f>
        <v>45653</v>
      </c>
      <c r="Z976" s="185">
        <v>5.1481257220756374E-2</v>
      </c>
      <c r="AA976" s="182">
        <v>5.1075582802538141E-2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45660</v>
      </c>
      <c r="Y977" s="184">
        <f>_xll.qlCalendarAdvance(Calendar,X977,NDays&amp;"D")</f>
        <v>45660</v>
      </c>
      <c r="Z977" s="185">
        <v>5.1495482296783308E-2</v>
      </c>
      <c r="AA977" s="182">
        <v>5.1091671924200874E-2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45667</v>
      </c>
      <c r="Y978" s="184">
        <f>_xll.qlCalendarAdvance(Calendar,X978,NDays&amp;"D")</f>
        <v>45667</v>
      </c>
      <c r="Z978" s="185">
        <v>5.150937568938331E-2</v>
      </c>
      <c r="AA978" s="182">
        <v>5.110743333817188E-2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45674</v>
      </c>
      <c r="Y979" s="184">
        <f>_xll.qlCalendarAdvance(Calendar,X979,NDays&amp;"D")</f>
        <v>45674</v>
      </c>
      <c r="Z979" s="185">
        <v>5.152293739519026E-2</v>
      </c>
      <c r="AA979" s="182">
        <v>5.1122867044343108E-2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45681</v>
      </c>
      <c r="Y980" s="184">
        <f>_xll.qlCalendarAdvance(Calendar,X980,NDays&amp;"D")</f>
        <v>45681</v>
      </c>
      <c r="Z980" s="185">
        <v>5.1536167410916371E-2</v>
      </c>
      <c r="AA980" s="182">
        <v>5.1142619684705903E-2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45688</v>
      </c>
      <c r="Y981" s="184">
        <f>_xll.qlCalendarAdvance(Calendar,X981,NDays&amp;"D")</f>
        <v>45688</v>
      </c>
      <c r="Z981" s="185">
        <v>5.1544581389153736E-2</v>
      </c>
      <c r="AA981" s="182">
        <v>5.115275133271887E-2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45695</v>
      </c>
      <c r="Y982" s="184">
        <f>_xll.qlCalendarAdvance(Calendar,X982,NDays&amp;"D")</f>
        <v>45695</v>
      </c>
      <c r="Z982" s="185">
        <v>5.1557169941050786E-2</v>
      </c>
      <c r="AA982" s="182">
        <v>5.1167201914707292E-2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45702</v>
      </c>
      <c r="Y983" s="184">
        <f>_xll.qlCalendarAdvance(Calendar,X983,NDays&amp;"D")</f>
        <v>45702</v>
      </c>
      <c r="Z983" s="185">
        <v>5.1569426839846062E-2</v>
      </c>
      <c r="AA983" s="182">
        <v>5.1181324788436663E-2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45709</v>
      </c>
      <c r="Y984" s="184">
        <f>_xll.qlCalendarAdvance(Calendar,X984,NDays&amp;"D")</f>
        <v>45709</v>
      </c>
      <c r="Z984" s="185">
        <v>5.158135208259914E-2</v>
      </c>
      <c r="AA984" s="182">
        <v>5.119511995371788E-2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45716</v>
      </c>
      <c r="Y985" s="184">
        <f>_xll.qlCalendarAdvance(Calendar,X985,NDays&amp;"D")</f>
        <v>45716</v>
      </c>
      <c r="Z985" s="185">
        <v>5.1601736689961986E-2</v>
      </c>
      <c r="AA985" s="182">
        <v>5.1208587410469894E-2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45723</v>
      </c>
      <c r="Y986" s="184">
        <f>_xll.qlCalendarAdvance(Calendar,X986,NDays&amp;"D")</f>
        <v>45723</v>
      </c>
      <c r="Z986" s="185">
        <v>5.1630427458765039E-2</v>
      </c>
      <c r="AA986" s="182">
        <v>5.1221727158665693E-2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45730</v>
      </c>
      <c r="Y987" s="184">
        <f>_xll.qlCalendarAdvance(Calendar,X987,NDays&amp;"D")</f>
        <v>45730</v>
      </c>
      <c r="Z987" s="185">
        <v>5.1636881160216343E-2</v>
      </c>
      <c r="AA987" s="182">
        <v>5.1234539198062132E-2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45737</v>
      </c>
      <c r="Y988" s="184">
        <f>_xll.qlCalendarAdvance(Calendar,X988,NDays&amp;"D")</f>
        <v>45737</v>
      </c>
      <c r="Z988" s="185">
        <v>5.1647368664901196E-2</v>
      </c>
      <c r="AA988" s="182">
        <v>5.1247023528659216E-2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45744</v>
      </c>
      <c r="Y989" s="184">
        <f>_xll.qlCalendarAdvance(Calendar,X989,NDays&amp;"D")</f>
        <v>45744</v>
      </c>
      <c r="Z989" s="185">
        <v>5.16575242674343E-2</v>
      </c>
      <c r="AA989" s="182">
        <v>5.1259180150321867E-2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45751</v>
      </c>
      <c r="Y990" s="184">
        <f>_xll.qlCalendarAdvance(Calendar,X990,NDays&amp;"D")</f>
        <v>45751</v>
      </c>
      <c r="Z990" s="185">
        <v>5.1654507555235707E-2</v>
      </c>
      <c r="AA990" s="182">
        <v>5.1271009062915006E-2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45758</v>
      </c>
      <c r="Y991" s="184">
        <f>_xll.qlCalendarAdvance(Calendar,X991,NDays&amp;"D")</f>
        <v>45758</v>
      </c>
      <c r="Z991" s="185">
        <v>5.166406643579078E-2</v>
      </c>
      <c r="AA991" s="182">
        <v>5.1282510266384605E-2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45769</v>
      </c>
      <c r="Y992" s="184">
        <f>_xll.qlCalendarAdvance(Calendar,X992,NDays&amp;"D")</f>
        <v>45769</v>
      </c>
      <c r="Z992" s="185">
        <v>5.1678417222480101E-2</v>
      </c>
      <c r="AA992" s="182">
        <v>5.1291166346920658E-2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45776</v>
      </c>
      <c r="Y993" s="184">
        <f>_xll.qlCalendarAdvance(Calendar,X993,NDays&amp;"D")</f>
        <v>45776</v>
      </c>
      <c r="Z993" s="185">
        <v>5.1687122976101452E-2</v>
      </c>
      <c r="AA993" s="182">
        <v>5.1301868676552065E-2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45783</v>
      </c>
      <c r="Y994" s="184">
        <f>_xll.qlCalendarAdvance(Calendar,X994,NDays&amp;"D")</f>
        <v>45783</v>
      </c>
      <c r="Z994" s="185">
        <v>5.1699676243404789E-2</v>
      </c>
      <c r="AA994" s="182">
        <v>5.1312243388264012E-2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45790</v>
      </c>
      <c r="Y995" s="184">
        <f>_xll.qlCalendarAdvance(Calendar,X995,NDays&amp;"D")</f>
        <v>45790</v>
      </c>
      <c r="Z995" s="185">
        <v>5.1707695874058372E-2</v>
      </c>
      <c r="AA995" s="182">
        <v>5.1322290481975452E-2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45797</v>
      </c>
      <c r="Y996" s="184">
        <f>_xll.qlCalendarAdvance(Calendar,X996,NDays&amp;"D")</f>
        <v>45797</v>
      </c>
      <c r="Z996" s="185">
        <v>5.1715383678553349E-2</v>
      </c>
      <c r="AA996" s="182">
        <v>5.1332009957848479E-2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45804</v>
      </c>
      <c r="Y997" s="184">
        <f>_xll.qlCalendarAdvance(Calendar,X997,NDays&amp;"D")</f>
        <v>45804</v>
      </c>
      <c r="Z997" s="185">
        <v>5.1722739654984237E-2</v>
      </c>
      <c r="AA997" s="182">
        <v>5.1341401815558907E-2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45811</v>
      </c>
      <c r="Y998" s="184">
        <f>_xll.qlCalendarAdvance(Calendar,X998,NDays&amp;"D")</f>
        <v>45811</v>
      </c>
      <c r="Z998" s="185">
        <v>5.1729763801529265E-2</v>
      </c>
      <c r="AA998" s="182">
        <v>5.1350466055268829E-2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45818</v>
      </c>
      <c r="Y999" s="184">
        <f>_xll.qlCalendarAdvance(Calendar,X999,NDays&amp;"D")</f>
        <v>45818</v>
      </c>
      <c r="Z999" s="185">
        <v>5.1736456116450336E-2</v>
      </c>
      <c r="AA999" s="182">
        <v>5.1359202676897198E-2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45825</v>
      </c>
      <c r="Y1000" s="184">
        <f>_xll.qlCalendarAdvance(Calendar,X1000,NDays&amp;"D")</f>
        <v>45825</v>
      </c>
      <c r="Z1000" s="185">
        <v>5.1742816598087764E-2</v>
      </c>
      <c r="AA1000" s="182">
        <v>5.1367611680362968E-2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45832</v>
      </c>
      <c r="Y1001" s="184">
        <f>_xll.qlCalendarAdvance(Calendar,X1001,NDays&amp;"D")</f>
        <v>45832</v>
      </c>
      <c r="Z1001" s="185">
        <v>5.1748845244865553E-2</v>
      </c>
      <c r="AA1001" s="182">
        <v>5.1375693065828232E-2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45839</v>
      </c>
      <c r="Y1002" s="184">
        <f>_xll.qlCalendarAdvance(Calendar,X1002,NDays&amp;"D")</f>
        <v>45839</v>
      </c>
      <c r="Z1002" s="185">
        <v>5.1754542055292278E-2</v>
      </c>
      <c r="AA1002" s="182">
        <v>5.1383446833049851E-2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45846</v>
      </c>
      <c r="Y1003" s="184">
        <f>_xll.qlCalendarAdvance(Calendar,X1003,NDays&amp;"D")</f>
        <v>45846</v>
      </c>
      <c r="Z1003" s="185">
        <v>5.1759907027956679E-2</v>
      </c>
      <c r="AA1003" s="182">
        <v>5.1390872982027824E-2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45853</v>
      </c>
      <c r="Y1004" s="184">
        <f>_xll.qlCalendarAdvance(Calendar,X1004,NDays&amp;"D")</f>
        <v>45853</v>
      </c>
      <c r="Z1004" s="185">
        <v>5.176494016152941E-2</v>
      </c>
      <c r="AA1004" s="182">
        <v>5.1397971513005292E-2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45860</v>
      </c>
      <c r="Y1005" s="184">
        <f>_xll.qlCalendarAdvance(Calendar,X1005,NDays&amp;"D")</f>
        <v>45860</v>
      </c>
      <c r="Z1005" s="185">
        <v>5.1769641454763073E-2</v>
      </c>
      <c r="AA1005" s="182">
        <v>5.1404742425658068E-2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45867</v>
      </c>
      <c r="Y1006" s="184">
        <f>_xll.qlCalendarAdvance(Calendar,X1006,NDays&amp;"D")</f>
        <v>45867</v>
      </c>
      <c r="Z1006" s="185">
        <v>5.1774010906493938E-2</v>
      </c>
      <c r="AA1006" s="182">
        <v>5.1411185720148245E-2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45874</v>
      </c>
      <c r="Y1007" s="184">
        <f>_xll.qlCalendarAdvance(Calendar,X1007,NDays&amp;"D")</f>
        <v>45874</v>
      </c>
      <c r="Z1007" s="185">
        <v>5.1778048515640225E-2</v>
      </c>
      <c r="AA1007" s="182">
        <v>5.1417301396475823E-2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45881</v>
      </c>
      <c r="Y1008" s="184">
        <f>_xll.qlCalendarAdvance(Calendar,X1008,NDays&amp;"D")</f>
        <v>45881</v>
      </c>
      <c r="Z1008" s="185">
        <v>5.1781754281200305E-2</v>
      </c>
      <c r="AA1008" s="182">
        <v>5.1423089454397664E-2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45888</v>
      </c>
      <c r="Y1009" s="184">
        <f>_xll.qlCalendarAdvance(Calendar,X1009,NDays&amp;"D")</f>
        <v>45888</v>
      </c>
      <c r="Z1009" s="185">
        <v>5.1785128202257114E-2</v>
      </c>
      <c r="AA1009" s="182">
        <v>5.1428549894075859E-2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45895</v>
      </c>
      <c r="Y1010" s="184">
        <f>_xll.qlCalendarAdvance(Calendar,X1010,NDays&amp;"D")</f>
        <v>45895</v>
      </c>
      <c r="Z1010" s="185">
        <v>5.1788170277975533E-2</v>
      </c>
      <c r="AA1010" s="182">
        <v>5.1433682715510409E-2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45902</v>
      </c>
      <c r="Y1011" s="184">
        <f>_xll.qlCalendarAdvance(Calendar,X1011,NDays&amp;"D")</f>
        <v>45902</v>
      </c>
      <c r="Z1011" s="185">
        <v>5.1787091263045926E-2</v>
      </c>
      <c r="AA1011" s="182">
        <v>5.1438487918620268E-2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45909</v>
      </c>
      <c r="Y1012" s="184">
        <f>_xll.qlCalendarAdvance(Calendar,X1012,NDays&amp;"D")</f>
        <v>45909</v>
      </c>
      <c r="Z1012" s="185">
        <v>5.1789493010682544E-2</v>
      </c>
      <c r="AA1012" s="182">
        <v>5.1442965503486482E-2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45916</v>
      </c>
      <c r="Y1013" s="184">
        <f>_xll.qlCalendarAdvance(Calendar,X1013,NDays&amp;"D")</f>
        <v>45916</v>
      </c>
      <c r="Z1013" s="185">
        <v>5.1791562957769481E-2</v>
      </c>
      <c r="AA1013" s="182">
        <v>5.1447115469946958E-2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45923</v>
      </c>
      <c r="Y1014" s="184">
        <f>_xll.qlCalendarAdvance(Calendar,X1014,NDays&amp;"D")</f>
        <v>45923</v>
      </c>
      <c r="Z1014" s="185">
        <v>5.1793301103799073E-2</v>
      </c>
      <c r="AA1014" s="182">
        <v>5.1450937818082743E-2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45930</v>
      </c>
      <c r="Y1015" s="184">
        <f>_xll.qlCalendarAdvance(Calendar,X1015,NDays&amp;"D")</f>
        <v>45930</v>
      </c>
      <c r="Z1015" s="185">
        <v>5.1798402952987412E-2</v>
      </c>
      <c r="AA1015" s="182">
        <v>5.1454432547893836E-2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45937</v>
      </c>
      <c r="Y1016" s="184">
        <f>_xll.qlCalendarAdvance(Calendar,X1016,NDays&amp;"D")</f>
        <v>45937</v>
      </c>
      <c r="Z1016" s="185">
        <v>5.1799453943724795E-2</v>
      </c>
      <c r="AA1016" s="182">
        <v>5.1457599659299191E-2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45944</v>
      </c>
      <c r="Y1017" s="184">
        <f>_xll.qlCalendarAdvance(Calendar,X1017,NDays&amp;"D")</f>
        <v>45944</v>
      </c>
      <c r="Z1017" s="185">
        <v>5.1800173085575371E-2</v>
      </c>
      <c r="AA1017" s="182">
        <v>5.1460439152460902E-2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45951</v>
      </c>
      <c r="Y1018" s="184">
        <f>_xll.qlCalendarAdvance(Calendar,X1018,NDays&amp;"D")</f>
        <v>45951</v>
      </c>
      <c r="Z1018" s="185">
        <v>5.1800560378359423E-2</v>
      </c>
      <c r="AA1018" s="182">
        <v>5.1462951027135828E-2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45958</v>
      </c>
      <c r="Y1019" s="184">
        <f>_xll.qlCalendarAdvance(Calendar,X1019,NDays&amp;"D")</f>
        <v>45958</v>
      </c>
      <c r="Z1019" s="185">
        <v>5.1800615821983573E-2</v>
      </c>
      <c r="AA1019" s="182">
        <v>5.1465135283405017E-2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45965</v>
      </c>
      <c r="Y1020" s="184">
        <f>_xll.qlCalendarAdvance(Calendar,X1020,NDays&amp;"D")</f>
        <v>45965</v>
      </c>
      <c r="Z1020" s="185">
        <v>5.1800339416431078E-2</v>
      </c>
      <c r="AA1020" s="182">
        <v>5.146699192143056E-2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45972</v>
      </c>
      <c r="Y1021" s="184">
        <f>_xll.qlCalendarAdvance(Calendar,X1021,NDays&amp;"D")</f>
        <v>45972</v>
      </c>
      <c r="Z1021" s="185">
        <v>5.1799731161772423E-2</v>
      </c>
      <c r="AA1021" s="182">
        <v>5.1468520940888274E-2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45979</v>
      </c>
      <c r="Y1022" s="184">
        <f>_xll.qlCalendarAdvance(Calendar,X1022,NDays&amp;"D")</f>
        <v>45979</v>
      </c>
      <c r="Z1022" s="185">
        <v>5.1798791058158239E-2</v>
      </c>
      <c r="AA1022" s="182">
        <v>5.1469722342102342E-2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45986</v>
      </c>
      <c r="Y1023" s="184">
        <f>_xll.qlCalendarAdvance(Calendar,X1023,NDays&amp;"D")</f>
        <v>45986</v>
      </c>
      <c r="Z1023" s="185">
        <v>5.1797519105820221E-2</v>
      </c>
      <c r="AA1023" s="182">
        <v>5.1470596124829626E-2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45993</v>
      </c>
      <c r="Y1024" s="184">
        <f>_xll.qlCalendarAdvance(Calendar,X1024,NDays&amp;"D")</f>
        <v>45993</v>
      </c>
      <c r="Z1024" s="185">
        <v>5.17889496373381E-2</v>
      </c>
      <c r="AA1024" s="182">
        <v>5.1471142289232219E-2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46000</v>
      </c>
      <c r="Y1025" s="184">
        <f>_xll.qlCalendarAdvance(Calendar,X1025,NDays&amp;"D")</f>
        <v>46000</v>
      </c>
      <c r="Z1025" s="185">
        <v>5.1787061927723685E-2</v>
      </c>
      <c r="AA1025" s="182">
        <v>5.1471360835229074E-2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46007</v>
      </c>
      <c r="Y1026" s="184">
        <f>_xll.qlCalendarAdvance(Calendar,X1026,NDays&amp;"D")</f>
        <v>46007</v>
      </c>
      <c r="Z1026" s="185">
        <v>5.1784842464028889E-2</v>
      </c>
      <c r="AA1026" s="182">
        <v>5.1471251762820192E-2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46014</v>
      </c>
      <c r="Y1027" s="184">
        <f>_xll.qlCalendarAdvance(Calendar,X1027,NDays&amp;"D")</f>
        <v>46014</v>
      </c>
      <c r="Z1027" s="185">
        <v>5.1782291246793122E-2</v>
      </c>
      <c r="AA1027" s="182">
        <v>5.1470815072005571E-2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46021</v>
      </c>
      <c r="Y1028" s="184">
        <f>_xll.qlCalendarAdvance(Calendar,X1028,NDays&amp;"D")</f>
        <v>46021</v>
      </c>
      <c r="Z1028" s="185">
        <v>5.177940827663504E-2</v>
      </c>
      <c r="AA1028" s="182">
        <v>5.1470050762704167E-2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46028</v>
      </c>
      <c r="Y1029" s="184">
        <f>_xll.qlCalendarAdvance(Calendar,X1029,NDays&amp;"D")</f>
        <v>46028</v>
      </c>
      <c r="Z1029" s="185">
        <v>5.1779557071198877E-2</v>
      </c>
      <c r="AA1029" s="182">
        <v>5.1468958835078071E-2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46035</v>
      </c>
      <c r="Y1030" s="184">
        <f>_xll.qlCalendarAdvance(Calendar,X1030,NDays&amp;"D")</f>
        <v>46035</v>
      </c>
      <c r="Z1030" s="185">
        <v>5.1772647080423659E-2</v>
      </c>
      <c r="AA1030" s="182">
        <v>5.1467539289046238E-2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46042</v>
      </c>
      <c r="Y1031" s="184">
        <f>_xll.qlCalendarAdvance(Calendar,X1031,NDays&amp;"D")</f>
        <v>46042</v>
      </c>
      <c r="Z1031" s="185">
        <v>5.1768768856008396E-2</v>
      </c>
      <c r="AA1031" s="182">
        <v>5.1465792124608667E-2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46049</v>
      </c>
      <c r="Y1032" s="184">
        <f>_xll.qlCalendarAdvance(Calendar,X1032,NDays&amp;"D")</f>
        <v>46049</v>
      </c>
      <c r="Z1032" s="185">
        <v>5.1764558881947781E-2</v>
      </c>
      <c r="AA1032" s="182">
        <v>5.1463717341846404E-2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46056</v>
      </c>
      <c r="Y1033" s="184">
        <f>_xll.qlCalendarAdvance(Calendar,X1033,NDays&amp;"D")</f>
        <v>46056</v>
      </c>
      <c r="Z1033" s="185">
        <v>5.1760017159259403E-2</v>
      </c>
      <c r="AA1033" s="182">
        <v>5.1461314940597358E-2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46063</v>
      </c>
      <c r="Y1034" s="184">
        <f>_xll.qlCalendarAdvance(Calendar,X1034,NDays&amp;"D")</f>
        <v>46063</v>
      </c>
      <c r="Z1034" s="185">
        <v>5.1755143689046386E-2</v>
      </c>
      <c r="AA1034" s="182">
        <v>5.1458584921104666E-2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46070</v>
      </c>
      <c r="Y1035" s="184">
        <f>_xll.qlCalendarAdvance(Calendar,X1035,NDays&amp;"D")</f>
        <v>46070</v>
      </c>
      <c r="Z1035" s="185">
        <v>5.1749938472486608E-2</v>
      </c>
      <c r="AA1035" s="182">
        <v>5.1455527283206237E-2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46077</v>
      </c>
      <c r="Y1036" s="184">
        <f>_xll.qlCalendarAdvance(Calendar,X1036,NDays&amp;"D")</f>
        <v>46077</v>
      </c>
      <c r="Z1036" s="185">
        <v>5.1744401510845292E-2</v>
      </c>
      <c r="AA1036" s="182">
        <v>5.145214202690207E-2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46084</v>
      </c>
      <c r="Y1037" s="184">
        <f>_xll.qlCalendarAdvance(Calendar,X1037,NDays&amp;"D")</f>
        <v>46084</v>
      </c>
      <c r="Z1037" s="185">
        <v>5.174486798318606E-2</v>
      </c>
      <c r="AA1037" s="182">
        <v>5.1448429152192166E-2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46091</v>
      </c>
      <c r="Y1038" s="184">
        <f>_xll.qlCalendarAdvance(Calendar,X1038,NDays&amp;"D")</f>
        <v>46091</v>
      </c>
      <c r="Z1038" s="185">
        <v>5.1738618383838128E-2</v>
      </c>
      <c r="AA1038" s="182">
        <v>5.1444388659319662E-2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46098</v>
      </c>
      <c r="Y1039" s="184">
        <f>_xll.qlCalendarAdvance(Calendar,X1039,NDays&amp;"D")</f>
        <v>46098</v>
      </c>
      <c r="Z1039" s="185">
        <v>5.1732036950670947E-2</v>
      </c>
      <c r="AA1039" s="182">
        <v>5.1440020548041421E-2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46105</v>
      </c>
      <c r="Y1040" s="184">
        <f>_xll.qlCalendarAdvance(Calendar,X1040,NDays&amp;"D")</f>
        <v>46105</v>
      </c>
      <c r="Z1040" s="185">
        <v>5.1725128598398812E-2</v>
      </c>
      <c r="AA1040" s="182">
        <v>5.1435324818357442E-2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46112</v>
      </c>
      <c r="Y1041" s="184">
        <f>_xll.qlCalendarAdvance(Calendar,X1041,NDays&amp;"D")</f>
        <v>46112</v>
      </c>
      <c r="Z1041" s="185">
        <v>5.171484243227565E-2</v>
      </c>
      <c r="AA1041" s="182">
        <v>5.1430301470429818E-2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46119</v>
      </c>
      <c r="Y1042" s="184">
        <f>_xll.qlCalendarAdvance(Calendar,X1042,NDays&amp;"D")</f>
        <v>46119</v>
      </c>
      <c r="Z1042" s="185">
        <v>5.1707374295428335E-2</v>
      </c>
      <c r="AA1042" s="182">
        <v>5.1424950504177502E-2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46126</v>
      </c>
      <c r="Y1043" s="184">
        <f>_xll.qlCalendarAdvance(Calendar,X1043,NDays&amp;"D")</f>
        <v>46126</v>
      </c>
      <c r="Z1043" s="185">
        <v>5.1699659515235981E-2</v>
      </c>
      <c r="AA1043" s="182">
        <v>5.1419271919681542E-2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46133</v>
      </c>
      <c r="Y1044" s="184">
        <f>_xll.qlCalendarAdvance(Calendar,X1044,NDays&amp;"D")</f>
        <v>46133</v>
      </c>
      <c r="Z1044" s="185">
        <v>5.1691727891135346E-2</v>
      </c>
      <c r="AA1044" s="182">
        <v>5.1413265716941936E-2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46140</v>
      </c>
      <c r="Y1045" s="184">
        <f>_xll.qlCalendarAdvance(Calendar,X1045,NDays&amp;"D")</f>
        <v>46140</v>
      </c>
      <c r="Z1045" s="185">
        <v>5.1683609222360996E-2</v>
      </c>
      <c r="AA1045" s="182">
        <v>5.1406931895958685E-2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46147</v>
      </c>
      <c r="Y1046" s="184">
        <f>_xll.qlCalendarAdvance(Calendar,X1046,NDays&amp;"D")</f>
        <v>46147</v>
      </c>
      <c r="Z1046" s="185">
        <v>5.1678360886604754E-2</v>
      </c>
      <c r="AA1046" s="182">
        <v>5.1400270456731789E-2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46154</v>
      </c>
      <c r="Y1047" s="184">
        <f>_xll.qlCalendarAdvance(Calendar,X1047,NDays&amp;"D")</f>
        <v>46154</v>
      </c>
      <c r="Z1047" s="185">
        <v>5.1669955144259851E-2</v>
      </c>
      <c r="AA1047" s="182">
        <v>5.1393281399342294E-2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46161</v>
      </c>
      <c r="Y1048" s="184">
        <f>_xll.qlCalendarAdvance(Calendar,X1048,NDays&amp;"D")</f>
        <v>46161</v>
      </c>
      <c r="Z1048" s="185">
        <v>5.166145340607857E-2</v>
      </c>
      <c r="AA1048" s="182">
        <v>5.1385964723709154E-2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46168</v>
      </c>
      <c r="Y1049" s="184">
        <f>_xll.qlCalendarAdvance(Calendar,X1049,NDays&amp;"D")</f>
        <v>46168</v>
      </c>
      <c r="Z1049" s="185">
        <v>5.1652885150641419E-2</v>
      </c>
      <c r="AA1049" s="182">
        <v>5.1378320429832369E-2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46175</v>
      </c>
      <c r="Y1050" s="184">
        <f>_xll.qlCalendarAdvance(Calendar,X1050,NDays&amp;"D")</f>
        <v>46175</v>
      </c>
      <c r="Z1050" s="185">
        <v>5.1644279856284003E-2</v>
      </c>
      <c r="AA1050" s="182">
        <v>5.1370348517955078E-2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46182</v>
      </c>
      <c r="Y1051" s="184">
        <f>_xll.qlCalendarAdvance(Calendar,X1051,NDays&amp;"D")</f>
        <v>46182</v>
      </c>
      <c r="Z1051" s="185">
        <v>5.1635667001089097E-2</v>
      </c>
      <c r="AA1051" s="182">
        <v>5.1362048987834141E-2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46189</v>
      </c>
      <c r="Y1052" s="184">
        <f>_xll.qlCalendarAdvance(Calendar,X1052,NDays&amp;"D")</f>
        <v>46189</v>
      </c>
      <c r="Z1052" s="185">
        <v>5.1627076062886655E-2</v>
      </c>
      <c r="AA1052" s="182">
        <v>5.1353421839631652E-2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46196</v>
      </c>
      <c r="Y1053" s="184">
        <f>_xll.qlCalendarAdvance(Calendar,X1053,NDays&amp;"D")</f>
        <v>46196</v>
      </c>
      <c r="Z1053" s="185">
        <v>5.16185334253869E-2</v>
      </c>
      <c r="AA1053" s="182">
        <v>5.1344632302724458E-2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46203</v>
      </c>
      <c r="Y1054" s="184">
        <f>_xll.qlCalendarAdvance(Calendar,X1054,NDays&amp;"D")</f>
        <v>46203</v>
      </c>
      <c r="Z1054" s="185">
        <v>5.1610046378915982E-2</v>
      </c>
      <c r="AA1054" s="182">
        <v>5.1335896346080823E-2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46210</v>
      </c>
      <c r="Y1055" s="184">
        <f>_xll.qlCalendarAdvance(Calendar,X1055,NDays&amp;"D")</f>
        <v>46210</v>
      </c>
      <c r="Z1055" s="185">
        <v>5.160161493744557E-2</v>
      </c>
      <c r="AA1055" s="182">
        <v>5.1327215270736692E-2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46217</v>
      </c>
      <c r="Y1056" s="184">
        <f>_xll.qlCalendarAdvance(Calendar,X1056,NDays&amp;"D")</f>
        <v>46217</v>
      </c>
      <c r="Z1056" s="185">
        <v>5.159323910062593E-2</v>
      </c>
      <c r="AA1056" s="182">
        <v>5.1318589076692067E-2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46224</v>
      </c>
      <c r="Y1057" s="184">
        <f>_xll.qlCalendarAdvance(Calendar,X1057,NDays&amp;"D")</f>
        <v>46224</v>
      </c>
      <c r="Z1057" s="185">
        <v>5.1584918868109099E-2</v>
      </c>
      <c r="AA1057" s="182">
        <v>5.1310017763784854E-2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46231</v>
      </c>
      <c r="Y1058" s="184">
        <f>_xll.qlCalendarAdvance(Calendar,X1058,NDays&amp;"D")</f>
        <v>46231</v>
      </c>
      <c r="Z1058" s="185">
        <v>5.1576654239551503E-2</v>
      </c>
      <c r="AA1058" s="182">
        <v>5.1301501332339239E-2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46238</v>
      </c>
      <c r="Y1059" s="184">
        <f>_xll.qlCalendarAdvance(Calendar,X1059,NDays&amp;"D")</f>
        <v>46238</v>
      </c>
      <c r="Z1059" s="185">
        <v>5.1568445214607822E-2</v>
      </c>
      <c r="AA1059" s="182">
        <v>5.1293039782112082E-2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46245</v>
      </c>
      <c r="Y1060" s="184">
        <f>_xll.qlCalendarAdvance(Calendar,X1060,NDays&amp;"D")</f>
        <v>46245</v>
      </c>
      <c r="Z1060" s="185">
        <v>5.1560291792938008E-2</v>
      </c>
      <c r="AA1060" s="182">
        <v>5.1284633113265476E-2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46252</v>
      </c>
      <c r="Y1061" s="184">
        <f>_xll.qlCalendarAdvance(Calendar,X1061,NDays&amp;"D")</f>
        <v>46252</v>
      </c>
      <c r="Z1061" s="185">
        <v>5.1552193974203783E-2</v>
      </c>
      <c r="AA1061" s="182">
        <v>5.1276281325556283E-2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46259</v>
      </c>
      <c r="Y1062" s="184">
        <f>_xll.qlCalendarAdvance(Calendar,X1062,NDays&amp;"D")</f>
        <v>46259</v>
      </c>
      <c r="Z1062" s="185">
        <v>5.1544151758070395E-2</v>
      </c>
      <c r="AA1062" s="182">
        <v>5.1267984419146595E-2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46266</v>
      </c>
      <c r="Y1063" s="184">
        <f>_xll.qlCalendarAdvance(Calendar,X1063,NDays&amp;"D")</f>
        <v>46266</v>
      </c>
      <c r="Z1063" s="185">
        <v>5.1533102542426178E-2</v>
      </c>
      <c r="AA1063" s="182">
        <v>5.1259742394036412E-2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46273</v>
      </c>
      <c r="Y1064" s="184">
        <f>_xll.qlCalendarAdvance(Calendar,X1064,NDays&amp;"D")</f>
        <v>46273</v>
      </c>
      <c r="Z1064" s="185">
        <v>5.1525168671969337E-2</v>
      </c>
      <c r="AA1064" s="182">
        <v>5.1251555250225733E-2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46280</v>
      </c>
      <c r="Y1065" s="184">
        <f>_xll.qlCalendarAdvance(Calendar,X1065,NDays&amp;"D")</f>
        <v>46280</v>
      </c>
      <c r="Z1065" s="185">
        <v>5.1517290395172298E-2</v>
      </c>
      <c r="AA1065" s="182">
        <v>5.1243422987552467E-2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46287</v>
      </c>
      <c r="Y1066" s="184">
        <f>_xll.qlCalendarAdvance(Calendar,X1066,NDays&amp;"D")</f>
        <v>46287</v>
      </c>
      <c r="Z1066" s="185">
        <v>5.1509467711714434E-2</v>
      </c>
      <c r="AA1066" s="182">
        <v>5.1235345606259752E-2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46294</v>
      </c>
      <c r="Y1067" s="184">
        <f>_xll.qlCalendarAdvance(Calendar,X1067,NDays&amp;"D")</f>
        <v>46294</v>
      </c>
      <c r="Z1067" s="185">
        <v>5.1501700621274231E-2</v>
      </c>
      <c r="AA1067" s="182">
        <v>5.1227323106185496E-2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46301</v>
      </c>
      <c r="Y1068" s="184">
        <f>_xll.qlCalendarAdvance(Calendar,X1068,NDays&amp;"D")</f>
        <v>46301</v>
      </c>
      <c r="Z1068" s="185">
        <v>5.1497066097337618E-2</v>
      </c>
      <c r="AA1068" s="182">
        <v>5.1219355487329699E-2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46308</v>
      </c>
      <c r="Y1069" s="184">
        <f>_xll.qlCalendarAdvance(Calendar,X1069,NDays&amp;"D")</f>
        <v>46308</v>
      </c>
      <c r="Z1069" s="185">
        <v>5.1489413090189284E-2</v>
      </c>
      <c r="AA1069" s="182">
        <v>5.1211442749773406E-2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46315</v>
      </c>
      <c r="Y1070" s="184">
        <f>_xll.qlCalendarAdvance(Calendar,X1070,NDays&amp;"D")</f>
        <v>46315</v>
      </c>
      <c r="Z1070" s="185">
        <v>5.1481815683033318E-2</v>
      </c>
      <c r="AA1070" s="182">
        <v>5.1203584893273479E-2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46322</v>
      </c>
      <c r="Y1071" s="184">
        <f>_xll.qlCalendarAdvance(Calendar,X1071,NDays&amp;"D")</f>
        <v>46322</v>
      </c>
      <c r="Z1071" s="185">
        <v>5.1474273875557003E-2</v>
      </c>
      <c r="AA1071" s="182">
        <v>5.119578191823515E-2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46329</v>
      </c>
      <c r="Y1072" s="184">
        <f>_xll.qlCalendarAdvance(Calendar,X1072,NDays&amp;"D")</f>
        <v>46329</v>
      </c>
      <c r="Z1072" s="185">
        <v>5.146678766744759E-2</v>
      </c>
      <c r="AA1072" s="182">
        <v>5.1188033824334234E-2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46336</v>
      </c>
      <c r="Y1073" s="184">
        <f>_xll.qlCalendarAdvance(Calendar,X1073,NDays&amp;"D")</f>
        <v>46336</v>
      </c>
      <c r="Z1073" s="185">
        <v>5.145935705839412E-2</v>
      </c>
      <c r="AA1073" s="182">
        <v>5.1180340611732822E-2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46343</v>
      </c>
      <c r="Y1074" s="184">
        <f>_xll.qlCalendarAdvance(Calendar,X1074,NDays&amp;"D")</f>
        <v>46343</v>
      </c>
      <c r="Z1074" s="185">
        <v>5.1451982048088256E-2</v>
      </c>
      <c r="AA1074" s="182">
        <v>5.1172702280268823E-2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46350</v>
      </c>
      <c r="Y1075" s="184">
        <f>_xll.qlCalendarAdvance(Calendar,X1075,NDays&amp;"D")</f>
        <v>46350</v>
      </c>
      <c r="Z1075" s="185">
        <v>5.1444662636222563E-2</v>
      </c>
      <c r="AA1075" s="182">
        <v>5.1165118830023282E-2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46357</v>
      </c>
      <c r="Y1076" s="184">
        <f>_xll.qlCalendarAdvance(Calendar,X1076,NDays&amp;"D")</f>
        <v>46357</v>
      </c>
      <c r="Z1076" s="185">
        <v>5.1431198632883E-2</v>
      </c>
      <c r="AA1076" s="182">
        <v>5.1157590261077246E-2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46364</v>
      </c>
      <c r="Y1077" s="184">
        <f>_xll.qlCalendarAdvance(Calendar,X1077,NDays&amp;"D")</f>
        <v>46364</v>
      </c>
      <c r="Z1077" s="185">
        <v>5.1423984494901626E-2</v>
      </c>
      <c r="AA1077" s="182">
        <v>5.1150116573187576E-2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46371</v>
      </c>
      <c r="Y1078" s="184">
        <f>_xll.qlCalendarAdvance(Calendar,X1078,NDays&amp;"D")</f>
        <v>46371</v>
      </c>
      <c r="Z1078" s="185">
        <v>5.1416825938656832E-2</v>
      </c>
      <c r="AA1078" s="182">
        <v>5.1142697766678458E-2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46378</v>
      </c>
      <c r="Y1079" s="184">
        <f>_xll.qlCalendarAdvance(Calendar,X1079,NDays&amp;"D")</f>
        <v>46378</v>
      </c>
      <c r="Z1079" s="185">
        <v>5.1409722963855958E-2</v>
      </c>
      <c r="AA1079" s="182">
        <v>5.1135333841387798E-2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46385</v>
      </c>
      <c r="Y1080" s="184">
        <f>_xll.qlCalendarAdvance(Calendar,X1080,NDays&amp;"D")</f>
        <v>46385</v>
      </c>
      <c r="Z1080" s="185">
        <v>5.1405787268133669E-2</v>
      </c>
      <c r="AA1080" s="182">
        <v>5.1128024797153504E-2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46392</v>
      </c>
      <c r="Y1081" s="184">
        <f>_xll.qlCalendarAdvance(Calendar,X1081,NDays&amp;"D")</f>
        <v>46392</v>
      </c>
      <c r="Z1081" s="185">
        <v>5.1395683757433301E-2</v>
      </c>
      <c r="AA1081" s="182">
        <v>5.1120770634299761E-2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46399</v>
      </c>
      <c r="Y1082" s="184">
        <f>_xll.qlCalendarAdvance(Calendar,X1082,NDays&amp;"D")</f>
        <v>46399</v>
      </c>
      <c r="Z1082" s="185">
        <v>5.138874752524239E-2</v>
      </c>
      <c r="AA1082" s="182">
        <v>5.1113571352583431E-2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46406</v>
      </c>
      <c r="Y1083" s="184">
        <f>_xll.qlCalendarAdvance(Calendar,X1083,NDays&amp;"D")</f>
        <v>46406</v>
      </c>
      <c r="Z1083" s="185">
        <v>5.1381866873357149E-2</v>
      </c>
      <c r="AA1083" s="182">
        <v>5.1106426952004513E-2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46414</v>
      </c>
      <c r="Y1084" s="184">
        <f>_xll.qlCalendarAdvance(Calendar,X1084,NDays&amp;"D")</f>
        <v>46414</v>
      </c>
      <c r="Z1084" s="185">
        <v>5.1374071328359083E-2</v>
      </c>
      <c r="AA1084" s="182">
        <v>5.1098329124275033E-2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46421</v>
      </c>
      <c r="Y1085" s="184">
        <f>_xll.qlCalendarAdvance(Calendar,X1085,NDays&amp;"D")</f>
        <v>46421</v>
      </c>
      <c r="Z1085" s="185">
        <v>5.1364183187981576E-2</v>
      </c>
      <c r="AA1085" s="182">
        <v>5.1091302326307098E-2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46428</v>
      </c>
      <c r="Y1086" s="184">
        <f>_xll.qlCalendarAdvance(Calendar,X1086,NDays&amp;"D")</f>
        <v>46428</v>
      </c>
      <c r="Z1086" s="185">
        <v>5.1357474183564865E-2</v>
      </c>
      <c r="AA1086" s="182">
        <v>5.1084330409476575E-2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46435</v>
      </c>
      <c r="Y1087" s="184">
        <f>_xll.qlCalendarAdvance(Calendar,X1087,NDays&amp;"D")</f>
        <v>46435</v>
      </c>
      <c r="Z1087" s="185">
        <v>5.1350820750437447E-2</v>
      </c>
      <c r="AA1087" s="182">
        <v>5.1077413373945557E-2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46442</v>
      </c>
      <c r="Y1088" s="184">
        <f>_xll.qlCalendarAdvance(Calendar,X1088,NDays&amp;"D")</f>
        <v>46442</v>
      </c>
      <c r="Z1088" s="185">
        <v>5.1344222888331598E-2</v>
      </c>
      <c r="AA1088" s="182">
        <v>5.1070551219470905E-2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46449</v>
      </c>
      <c r="Y1089" s="184">
        <f>_xll.qlCalendarAdvance(Calendar,X1089,NDays&amp;"D")</f>
        <v>46449</v>
      </c>
      <c r="Z1089" s="185">
        <v>5.1347098641080495E-2</v>
      </c>
      <c r="AA1089" s="182">
        <v>5.1063743946214712E-2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46456</v>
      </c>
      <c r="Y1090" s="184">
        <f>_xll.qlCalendarAdvance(Calendar,X1090,NDays&amp;"D")</f>
        <v>46456</v>
      </c>
      <c r="Z1090" s="185">
        <v>5.1340621112677433E-2</v>
      </c>
      <c r="AA1090" s="182">
        <v>5.1056991554176978E-2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46463</v>
      </c>
      <c r="Y1091" s="184">
        <f>_xll.qlCalendarAdvance(Calendar,X1091,NDays&amp;"D")</f>
        <v>46463</v>
      </c>
      <c r="Z1091" s="185">
        <v>5.1334199178094009E-2</v>
      </c>
      <c r="AA1091" s="182">
        <v>5.1050294043276656E-2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46470</v>
      </c>
      <c r="Y1092" s="184">
        <f>_xll.qlCalendarAdvance(Calendar,X1092,NDays&amp;"D")</f>
        <v>46470</v>
      </c>
      <c r="Z1092" s="185">
        <v>5.1327832837064186E-2</v>
      </c>
      <c r="AA1092" s="182">
        <v>5.1043651413513746E-2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46477</v>
      </c>
      <c r="Y1093" s="184">
        <f>_xll.qlCalendarAdvance(Calendar,X1093,NDays&amp;"D")</f>
        <v>46477</v>
      </c>
      <c r="Z1093" s="185">
        <v>5.1318369847590847E-2</v>
      </c>
      <c r="AA1093" s="182">
        <v>5.1037063664888249E-2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46484</v>
      </c>
      <c r="Y1094" s="184">
        <f>_xll.qlCalendarAdvance(Calendar,X1094,NDays&amp;"D")</f>
        <v>46484</v>
      </c>
      <c r="Z1094" s="185">
        <v>5.1312111596297297E-2</v>
      </c>
      <c r="AA1094" s="182">
        <v>5.1030530797481211E-2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46491</v>
      </c>
      <c r="Y1095" s="184">
        <f>_xll.qlCalendarAdvance(Calendar,X1095,NDays&amp;"D")</f>
        <v>46491</v>
      </c>
      <c r="Z1095" s="185">
        <v>5.1305908929918556E-2</v>
      </c>
      <c r="AA1095" s="182">
        <v>5.1024052811292631E-2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46498</v>
      </c>
      <c r="Y1096" s="184">
        <f>_xll.qlCalendarAdvance(Calendar,X1096,NDays&amp;"D")</f>
        <v>46498</v>
      </c>
      <c r="Z1096" s="185">
        <v>5.1299761848201703E-2</v>
      </c>
      <c r="AA1096" s="182">
        <v>5.101762970607937E-2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46505</v>
      </c>
      <c r="Y1097" s="184">
        <f>_xll.qlCalendarAdvance(Calendar,X1097,NDays&amp;"D")</f>
        <v>46505</v>
      </c>
      <c r="Z1097" s="185">
        <v>5.1293670350894681E-2</v>
      </c>
      <c r="AA1097" s="182">
        <v>5.1011261482165615E-2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46512</v>
      </c>
      <c r="Y1098" s="184">
        <f>_xll.qlCalendarAdvance(Calendar,X1098,NDays&amp;"D")</f>
        <v>46512</v>
      </c>
      <c r="Z1098" s="185">
        <v>5.129080224088467E-2</v>
      </c>
      <c r="AA1098" s="182">
        <v>5.1004948139389272E-2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46519</v>
      </c>
      <c r="Y1099" s="184">
        <f>_xll.qlCalendarAdvance(Calendar,X1099,NDays&amp;"D")</f>
        <v>46519</v>
      </c>
      <c r="Z1099" s="185">
        <v>5.128482504746408E-2</v>
      </c>
      <c r="AA1099" s="182">
        <v>5.0998689677750342E-2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46526</v>
      </c>
      <c r="Y1100" s="184">
        <f>_xll.qlCalendarAdvance(Calendar,X1100,NDays&amp;"D")</f>
        <v>46526</v>
      </c>
      <c r="Z1100" s="185">
        <v>5.1278903445548911E-2</v>
      </c>
      <c r="AA1100" s="182">
        <v>5.0992486097248824E-2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46533</v>
      </c>
      <c r="Y1101" s="184">
        <f>_xll.qlCalendarAdvance(Calendar,X1101,NDays&amp;"D")</f>
        <v>46533</v>
      </c>
      <c r="Z1101" s="185">
        <v>5.1273037434891623E-2</v>
      </c>
      <c r="AA1101" s="182">
        <v>5.0986337397884718E-2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46540</v>
      </c>
      <c r="Y1102" s="184">
        <f>_xll.qlCalendarAdvance(Calendar,X1102,NDays&amp;"D")</f>
        <v>46540</v>
      </c>
      <c r="Z1102" s="185">
        <v>5.1267227015252589E-2</v>
      </c>
      <c r="AA1102" s="182">
        <v>5.0980243579658024E-2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46547</v>
      </c>
      <c r="Y1103" s="184">
        <f>_xll.qlCalendarAdvance(Calendar,X1103,NDays&amp;"D")</f>
        <v>46547</v>
      </c>
      <c r="Z1103" s="185">
        <v>5.1261472186386041E-2</v>
      </c>
      <c r="AA1103" s="182">
        <v>5.097420464264979E-2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46554</v>
      </c>
      <c r="Y1104" s="184">
        <f>_xll.qlCalendarAdvance(Calendar,X1104,NDays&amp;"D")</f>
        <v>46554</v>
      </c>
      <c r="Z1104" s="185">
        <v>5.1255772948056763E-2</v>
      </c>
      <c r="AA1104" s="182">
        <v>5.0968220586616875E-2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46561</v>
      </c>
      <c r="Y1105" s="184">
        <f>_xll.qlCalendarAdvance(Calendar,X1105,NDays&amp;"D")</f>
        <v>46561</v>
      </c>
      <c r="Z1105" s="185">
        <v>5.1250129300026905E-2</v>
      </c>
      <c r="AA1105" s="182">
        <v>5.0962291411802418E-2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46568</v>
      </c>
      <c r="Y1106" s="184">
        <f>_xll.qlCalendarAdvance(Calendar,X1106,NDays&amp;"D")</f>
        <v>46568</v>
      </c>
      <c r="Z1106" s="185">
        <v>5.1244541242062132E-2</v>
      </c>
      <c r="AA1106" s="182">
        <v>5.0956417118206421E-2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46575</v>
      </c>
      <c r="Y1107" s="184">
        <f>_xll.qlCalendarAdvance(Calendar,X1107,NDays&amp;"D")</f>
        <v>46575</v>
      </c>
      <c r="Z1107" s="185">
        <v>5.1239008773929874E-2</v>
      </c>
      <c r="AA1107" s="182">
        <v>5.0950597705585743E-2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46582</v>
      </c>
      <c r="Y1108" s="184">
        <f>_xll.qlCalendarAdvance(Calendar,X1108,NDays&amp;"D")</f>
        <v>46582</v>
      </c>
      <c r="Z1108" s="185">
        <v>5.1233531895402862E-2</v>
      </c>
      <c r="AA1108" s="182">
        <v>5.0944833174102477E-2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46589</v>
      </c>
      <c r="Y1109" s="184">
        <f>_xll.qlCalendarAdvance(Calendar,X1109,NDays&amp;"D")</f>
        <v>46589</v>
      </c>
      <c r="Z1109" s="185">
        <v>5.1228110606252035E-2</v>
      </c>
      <c r="AA1109" s="182">
        <v>5.0939123523837671E-2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46596</v>
      </c>
      <c r="Y1110" s="184">
        <f>_xll.qlCalendarAdvance(Calendar,X1110,NDays&amp;"D")</f>
        <v>46596</v>
      </c>
      <c r="Z1110" s="185">
        <v>5.1222744906252768E-2</v>
      </c>
      <c r="AA1110" s="182">
        <v>5.093346875462923E-2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46603</v>
      </c>
      <c r="Y1111" s="184">
        <f>_xll.qlCalendarAdvance(Calendar,X1111,NDays&amp;"D")</f>
        <v>46603</v>
      </c>
      <c r="Z1111" s="185">
        <v>5.1217434795182183E-2</v>
      </c>
      <c r="AA1111" s="182">
        <v>5.0927868866477155E-2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46610</v>
      </c>
      <c r="Y1112" s="184">
        <f>_xll.qlCalendarAdvance(Calendar,X1112,NDays&amp;"D")</f>
        <v>46610</v>
      </c>
      <c r="Z1112" s="185">
        <v>5.1212180272820033E-2</v>
      </c>
      <c r="AA1112" s="182">
        <v>5.0922323859543539E-2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46617</v>
      </c>
      <c r="Y1113" s="184">
        <f>_xll.qlCalendarAdvance(Calendar,X1113,NDays&amp;"D")</f>
        <v>46617</v>
      </c>
      <c r="Z1113" s="185">
        <v>5.1206981338948736E-2</v>
      </c>
      <c r="AA1113" s="182">
        <v>5.0916833733666289E-2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46624</v>
      </c>
      <c r="Y1114" s="184">
        <f>_xll.qlCalendarAdvance(Calendar,X1114,NDays&amp;"D")</f>
        <v>46624</v>
      </c>
      <c r="Z1114" s="185">
        <v>5.1201837993352463E-2</v>
      </c>
      <c r="AA1114" s="182">
        <v>5.0911398488926451E-2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46631</v>
      </c>
      <c r="Y1115" s="184">
        <f>_xll.qlCalendarAdvance(Calendar,X1115,NDays&amp;"D")</f>
        <v>46631</v>
      </c>
      <c r="Z1115" s="185">
        <v>5.1193528059420013E-2</v>
      </c>
      <c r="AA1115" s="182">
        <v>5.0906018125405073E-2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46638</v>
      </c>
      <c r="Y1116" s="184">
        <f>_xll.qlCalendarAdvance(Calendar,X1116,NDays&amp;"D")</f>
        <v>46638</v>
      </c>
      <c r="Z1116" s="185">
        <v>5.1188492620989519E-2</v>
      </c>
      <c r="AA1116" s="182">
        <v>5.0900692642777967E-2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46645</v>
      </c>
      <c r="Y1117" s="184">
        <f>_xll.qlCalendarAdvance(Calendar,X1117,NDays&amp;"D")</f>
        <v>46645</v>
      </c>
      <c r="Z1117" s="185">
        <v>5.1183512762402655E-2</v>
      </c>
      <c r="AA1117" s="182">
        <v>5.089542204136932E-2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46652</v>
      </c>
      <c r="Y1118" s="184">
        <f>_xll.qlCalendarAdvance(Calendar,X1118,NDays&amp;"D")</f>
        <v>46652</v>
      </c>
      <c r="Z1118" s="185">
        <v>5.1178588483452803E-2</v>
      </c>
      <c r="AA1118" s="182">
        <v>5.0890206320935993E-2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46659</v>
      </c>
      <c r="Y1119" s="184">
        <f>_xll.qlCalendarAdvance(Calendar,X1119,NDays&amp;"D")</f>
        <v>46659</v>
      </c>
      <c r="Z1119" s="185">
        <v>5.1173719783938677E-2</v>
      </c>
      <c r="AA1119" s="182">
        <v>5.0885045481802171E-2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46666</v>
      </c>
      <c r="Y1120" s="184">
        <f>_xll.qlCalendarAdvance(Calendar,X1120,NDays&amp;"D")</f>
        <v>46666</v>
      </c>
      <c r="Z1120" s="185">
        <v>5.1172145261758929E-2</v>
      </c>
      <c r="AA1120" s="182">
        <v>5.0879939523562623E-2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46673</v>
      </c>
      <c r="Y1121" s="184">
        <f>_xll.qlCalendarAdvance(Calendar,X1121,NDays&amp;"D")</f>
        <v>46673</v>
      </c>
      <c r="Z1121" s="185">
        <v>5.1167391028239258E-2</v>
      </c>
      <c r="AA1121" s="182">
        <v>5.0874888446541533E-2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46680</v>
      </c>
      <c r="Y1122" s="184">
        <f>_xll.qlCalendarAdvance(Calendar,X1122,NDays&amp;"D")</f>
        <v>46680</v>
      </c>
      <c r="Z1122" s="185">
        <v>5.1162692381353424E-2</v>
      </c>
      <c r="AA1122" s="182">
        <v>5.0869892250495763E-2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46687</v>
      </c>
      <c r="Y1123" s="184">
        <f>_xll.qlCalendarAdvance(Calendar,X1123,NDays&amp;"D")</f>
        <v>46687</v>
      </c>
      <c r="Z1123" s="185">
        <v>5.1158049320903218E-2</v>
      </c>
      <c r="AA1123" s="182">
        <v>5.0864950935668451E-2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46694</v>
      </c>
      <c r="Y1124" s="184">
        <f>_xll.qlCalendarAdvance(Calendar,X1124,NDays&amp;"D")</f>
        <v>46694</v>
      </c>
      <c r="Z1124" s="185">
        <v>5.1153461846697466E-2</v>
      </c>
      <c r="AA1124" s="182">
        <v>5.0860064501897506E-2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46701</v>
      </c>
      <c r="Y1125" s="184">
        <f>_xll.qlCalendarAdvance(Calendar,X1125,NDays&amp;"D")</f>
        <v>46701</v>
      </c>
      <c r="Z1125" s="185">
        <v>5.1148929958546772E-2</v>
      </c>
      <c r="AA1125" s="182">
        <v>5.0855232949182927E-2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46708</v>
      </c>
      <c r="Y1126" s="184">
        <f>_xll.qlCalendarAdvance(Calendar,X1126,NDays&amp;"D")</f>
        <v>46708</v>
      </c>
      <c r="Z1126" s="185">
        <v>5.1144453656261739E-2</v>
      </c>
      <c r="AA1126" s="182">
        <v>5.0850456277524714E-2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46715</v>
      </c>
      <c r="Y1127" s="184">
        <f>_xll.qlCalendarAdvance(Calendar,X1127,NDays&amp;"D")</f>
        <v>46715</v>
      </c>
      <c r="Z1127" s="185">
        <v>5.1140032939657368E-2</v>
      </c>
      <c r="AA1127" s="182">
        <v>5.0845734486922867E-2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46722</v>
      </c>
      <c r="Y1128" s="184">
        <f>_xll.qlCalendarAdvance(Calendar,X1128,NDays&amp;"D")</f>
        <v>46722</v>
      </c>
      <c r="Z1128" s="185">
        <v>5.1132402530719122E-2</v>
      </c>
      <c r="AA1128" s="182">
        <v>5.0841067577458432E-2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46729</v>
      </c>
      <c r="Y1129" s="184">
        <f>_xll.qlCalendarAdvance(Calendar,X1129,NDays&amp;"D")</f>
        <v>46729</v>
      </c>
      <c r="Z1129" s="185">
        <v>5.1128089614951473E-2</v>
      </c>
      <c r="AA1129" s="182">
        <v>5.0836455549050363E-2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46736</v>
      </c>
      <c r="Y1130" s="184">
        <f>_xll.qlCalendarAdvance(Calendar,X1130,NDays&amp;"D")</f>
        <v>46736</v>
      </c>
      <c r="Z1130" s="185">
        <v>5.1123832276547085E-2</v>
      </c>
      <c r="AA1130" s="182">
        <v>5.0831898401698661E-2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46743</v>
      </c>
      <c r="Y1131" s="184">
        <f>_xll.qlCalendarAdvance(Calendar,X1131,NDays&amp;"D")</f>
        <v>46743</v>
      </c>
      <c r="Z1131" s="185">
        <v>5.1119630515331395E-2</v>
      </c>
      <c r="AA1131" s="182">
        <v>5.0827396135484371E-2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46750</v>
      </c>
      <c r="Y1132" s="184">
        <f>_xll.qlCalendarAdvance(Calendar,X1132,NDays&amp;"D")</f>
        <v>46750</v>
      </c>
      <c r="Z1132" s="185">
        <v>5.1115484331131625E-2</v>
      </c>
      <c r="AA1132" s="182">
        <v>5.0822948750326447E-2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46757</v>
      </c>
      <c r="Y1133" s="184">
        <f>_xll.qlCalendarAdvance(Calendar,X1133,NDays&amp;"D")</f>
        <v>46757</v>
      </c>
      <c r="Z1133" s="185">
        <v>5.1111393723778556E-2</v>
      </c>
      <c r="AA1133" s="182">
        <v>5.0818556246143842E-2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46764</v>
      </c>
      <c r="Y1134" s="184">
        <f>_xll.qlCalendarAdvance(Calendar,X1134,NDays&amp;"D")</f>
        <v>46764</v>
      </c>
      <c r="Z1134" s="185">
        <v>5.1107358693102976E-2</v>
      </c>
      <c r="AA1134" s="182">
        <v>5.081421862309865E-2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46771</v>
      </c>
      <c r="Y1135" s="184">
        <f>_xll.qlCalendarAdvance(Calendar,X1135,NDays&amp;"D")</f>
        <v>46771</v>
      </c>
      <c r="Z1135" s="185">
        <v>5.1103379238941003E-2</v>
      </c>
      <c r="AA1135" s="182">
        <v>5.0809935881190871E-2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46779</v>
      </c>
      <c r="Y1136" s="184">
        <f>_xll.qlCalendarAdvance(Calendar,X1136,NDays&amp;"D")</f>
        <v>46779</v>
      </c>
      <c r="Z1136" s="185">
        <v>5.1098899343988605E-2</v>
      </c>
      <c r="AA1136" s="182">
        <v>5.0805108520027842E-2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46786</v>
      </c>
      <c r="Y1137" s="184">
        <f>_xll.qlCalendarAdvance(Calendar,X1137,NDays&amp;"D")</f>
        <v>46786</v>
      </c>
      <c r="Z1137" s="185">
        <v>5.1091743238449672E-2</v>
      </c>
      <c r="AA1137" s="182">
        <v>5.0800943380325814E-2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46793</v>
      </c>
      <c r="Y1138" s="184">
        <f>_xll.qlCalendarAdvance(Calendar,X1138,NDays&amp;"D")</f>
        <v>46793</v>
      </c>
      <c r="Z1138" s="185">
        <v>5.1087935012323948E-2</v>
      </c>
      <c r="AA1138" s="182">
        <v>5.0796833121680152E-2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46800</v>
      </c>
      <c r="Y1139" s="184">
        <f>_xll.qlCalendarAdvance(Calendar,X1139,NDays&amp;"D")</f>
        <v>46800</v>
      </c>
      <c r="Z1139" s="185">
        <v>5.1084182354293808E-2</v>
      </c>
      <c r="AA1139" s="182">
        <v>5.0792777744090856E-2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46807</v>
      </c>
      <c r="Y1140" s="184">
        <f>_xll.qlCalendarAdvance(Calendar,X1140,NDays&amp;"D")</f>
        <v>46807</v>
      </c>
      <c r="Z1140" s="185">
        <v>5.1080485264202578E-2</v>
      </c>
      <c r="AA1140" s="182">
        <v>5.0788777247476879E-2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46814</v>
      </c>
      <c r="Y1141" s="184">
        <f>_xll.qlCalendarAdvance(Calendar,X1141,NDays&amp;"D")</f>
        <v>46814</v>
      </c>
      <c r="Z1141" s="185">
        <v>5.1083463480317906E-2</v>
      </c>
      <c r="AA1141" s="182">
        <v>5.0784831632000316E-2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46821</v>
      </c>
      <c r="Y1142" s="184">
        <f>_xll.qlCalendarAdvance(Calendar,X1142,NDays&amp;"D")</f>
        <v>46821</v>
      </c>
      <c r="Z1142" s="185">
        <v>5.1079884468639133E-2</v>
      </c>
      <c r="AA1142" s="182">
        <v>5.0780940897499072E-2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46828</v>
      </c>
      <c r="Y1143" s="184">
        <f>_xll.qlCalendarAdvance(Calendar,X1143,NDays&amp;"D")</f>
        <v>46828</v>
      </c>
      <c r="Z1143" s="185">
        <v>5.107636103996032E-2</v>
      </c>
      <c r="AA1143" s="182">
        <v>5.0777105044054194E-2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46835</v>
      </c>
      <c r="Y1144" s="184">
        <f>_xll.qlCalendarAdvance(Calendar,X1144,NDays&amp;"D")</f>
        <v>46835</v>
      </c>
      <c r="Z1144" s="185">
        <v>5.1072893194135244E-2</v>
      </c>
      <c r="AA1144" s="182">
        <v>5.0773324071665682E-2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46842</v>
      </c>
      <c r="Y1145" s="184">
        <f>_xll.qlCalendarAdvance(Calendar,X1145,NDays&amp;"D")</f>
        <v>46842</v>
      </c>
      <c r="Z1145" s="185">
        <v>5.1069480931022065E-2</v>
      </c>
      <c r="AA1145" s="182">
        <v>5.0769597980333536E-2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46849</v>
      </c>
      <c r="Y1146" s="184">
        <f>_xll.qlCalendarAdvance(Calendar,X1146,NDays&amp;"D")</f>
        <v>46849</v>
      </c>
      <c r="Z1146" s="185">
        <v>5.1062796624206562E-2</v>
      </c>
      <c r="AA1146" s="182">
        <v>5.076592676997671E-2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46856</v>
      </c>
      <c r="Y1147" s="184">
        <f>_xll.qlCalendarAdvance(Calendar,X1147,NDays&amp;"D")</f>
        <v>46856</v>
      </c>
      <c r="Z1147" s="185">
        <v>5.1059492015338409E-2</v>
      </c>
      <c r="AA1147" s="182">
        <v>5.0775409317875608E-2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46863</v>
      </c>
      <c r="Y1148" s="184">
        <f>_xll.qlCalendarAdvance(Calendar,X1148,NDays&amp;"D")</f>
        <v>46863</v>
      </c>
      <c r="Z1148" s="185">
        <v>5.1056242981018282E-2</v>
      </c>
      <c r="AA1148" s="182">
        <v>5.0758748992513203E-2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46870</v>
      </c>
      <c r="Y1149" s="184">
        <f>_xll.qlCalendarAdvance(Calendar,X1149,NDays&amp;"D")</f>
        <v>46870</v>
      </c>
      <c r="Z1149" s="185">
        <v>5.1053049521113461E-2</v>
      </c>
      <c r="AA1149" s="182">
        <v>5.0755242425406522E-2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46877</v>
      </c>
      <c r="Y1150" s="184">
        <f>_xll.qlCalendarAdvance(Calendar,X1150,NDays&amp;"D")</f>
        <v>46877</v>
      </c>
      <c r="Z1150" s="185">
        <v>5.1053253351246344E-2</v>
      </c>
      <c r="AA1150" s="182">
        <v>5.075179073927516E-2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46884</v>
      </c>
      <c r="Y1151" s="184">
        <f>_xll.qlCalendarAdvance(Calendar,X1151,NDays&amp;"D")</f>
        <v>46884</v>
      </c>
      <c r="Z1151" s="185">
        <v>5.105017458150627E-2</v>
      </c>
      <c r="AA1151" s="182">
        <v>5.0748393934038072E-2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46891</v>
      </c>
      <c r="Y1152" s="184">
        <f>_xll.qlCalendarAdvance(Calendar,X1152,NDays&amp;"D")</f>
        <v>46891</v>
      </c>
      <c r="Z1152" s="185">
        <v>5.1047151393534621E-2</v>
      </c>
      <c r="AA1152" s="182">
        <v>5.0745052010019442E-2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46898</v>
      </c>
      <c r="Y1153" s="184">
        <f>_xll.qlCalendarAdvance(Calendar,X1153,NDays&amp;"D")</f>
        <v>46898</v>
      </c>
      <c r="Z1153" s="185">
        <v>5.1044183787205405E-2</v>
      </c>
      <c r="AA1153" s="182">
        <v>5.0741764966976133E-2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46905</v>
      </c>
      <c r="Y1154" s="184">
        <f>_xll.qlCalendarAdvance(Calendar,X1154,NDays&amp;"D")</f>
        <v>46905</v>
      </c>
      <c r="Z1154" s="185">
        <v>5.1041271762397068E-2</v>
      </c>
      <c r="AA1154" s="182">
        <v>5.0738532804989189E-2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46912</v>
      </c>
      <c r="Y1155" s="184">
        <f>_xll.qlCalendarAdvance(Calendar,X1155,NDays&amp;"D")</f>
        <v>46912</v>
      </c>
      <c r="Z1155" s="185">
        <v>5.1038415318986265E-2</v>
      </c>
      <c r="AA1155" s="182">
        <v>5.0735355523977566E-2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46919</v>
      </c>
      <c r="Y1156" s="184">
        <f>_xll.qlCalendarAdvance(Calendar,X1156,NDays&amp;"D")</f>
        <v>46919</v>
      </c>
      <c r="Z1156" s="185">
        <v>5.1035614456856719E-2</v>
      </c>
      <c r="AA1156" s="182">
        <v>5.0732233124022308E-2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46926</v>
      </c>
      <c r="Y1157" s="184">
        <f>_xll.qlCalendarAdvance(Calendar,X1157,NDays&amp;"D")</f>
        <v>46926</v>
      </c>
      <c r="Z1157" s="185">
        <v>5.1032869175891268E-2</v>
      </c>
      <c r="AA1157" s="182">
        <v>5.072916560504237E-2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46933</v>
      </c>
      <c r="Y1158" s="184">
        <f>_xll.qlCalendarAdvance(Calendar,X1158,NDays&amp;"D")</f>
        <v>46933</v>
      </c>
      <c r="Z1158" s="185">
        <v>5.1030179475974505E-2</v>
      </c>
      <c r="AA1158" s="182">
        <v>5.0726152967118798E-2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46940</v>
      </c>
      <c r="Y1159" s="184">
        <f>_xll.qlCalendarAdvance(Calendar,X1159,NDays&amp;"D")</f>
        <v>46940</v>
      </c>
      <c r="Z1159" s="185">
        <v>5.1027545356997189E-2</v>
      </c>
      <c r="AA1159" s="182">
        <v>5.0723195210332639E-2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46947</v>
      </c>
      <c r="Y1160" s="184">
        <f>_xll.qlCalendarAdvance(Calendar,X1160,NDays&amp;"D")</f>
        <v>46947</v>
      </c>
      <c r="Z1160" s="185">
        <v>5.102496681885009E-2</v>
      </c>
      <c r="AA1160" s="182">
        <v>5.0720292334440753E-2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46954</v>
      </c>
      <c r="Y1161" s="184">
        <f>_xll.qlCalendarAdvance(Calendar,X1161,NDays&amp;"D")</f>
        <v>46954</v>
      </c>
      <c r="Z1161" s="185">
        <v>5.1022443861423974E-2</v>
      </c>
      <c r="AA1161" s="182">
        <v>5.0717444339524187E-2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46961</v>
      </c>
      <c r="Y1162" s="184">
        <f>_xll.qlCalendarAdvance(Calendar,X1162,NDays&amp;"D")</f>
        <v>46961</v>
      </c>
      <c r="Z1162" s="185">
        <v>5.1019976484616647E-2</v>
      </c>
      <c r="AA1162" s="182">
        <v>5.0714651225663987E-2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46968</v>
      </c>
      <c r="Y1163" s="184">
        <f>_xll.qlCalendarAdvance(Calendar,X1163,NDays&amp;"D")</f>
        <v>46968</v>
      </c>
      <c r="Z1163" s="185">
        <v>5.1017564688323282E-2</v>
      </c>
      <c r="AA1163" s="182">
        <v>5.0711912992860153E-2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46975</v>
      </c>
      <c r="Y1164" s="184">
        <f>_xll.qlCalendarAdvance(Calendar,X1164,NDays&amp;"D")</f>
        <v>46975</v>
      </c>
      <c r="Z1164" s="185">
        <v>5.1015208472446096E-2</v>
      </c>
      <c r="AA1164" s="182">
        <v>5.0709229641031639E-2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46982</v>
      </c>
      <c r="Y1165" s="184">
        <f>_xll.qlCalendarAdvance(Calendar,X1165,NDays&amp;"D")</f>
        <v>46982</v>
      </c>
      <c r="Z1165" s="185">
        <v>5.1012907836885529E-2</v>
      </c>
      <c r="AA1165" s="182">
        <v>5.0706601170259491E-2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46989</v>
      </c>
      <c r="Y1166" s="184">
        <f>_xll.qlCalendarAdvance(Calendar,X1166,NDays&amp;"D")</f>
        <v>46989</v>
      </c>
      <c r="Z1166" s="185">
        <v>5.101066278154822E-2</v>
      </c>
      <c r="AA1166" s="182">
        <v>5.0704027580462663E-2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46996</v>
      </c>
      <c r="Y1167" s="184">
        <f>_xll.qlCalendarAdvance(Calendar,X1167,NDays&amp;"D")</f>
        <v>46996</v>
      </c>
      <c r="Z1167" s="185">
        <v>5.1005070329335531E-2</v>
      </c>
      <c r="AA1167" s="182">
        <v>5.0701508871722201E-2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47003</v>
      </c>
      <c r="Y1168" s="184">
        <f>_xll.qlCalendarAdvance(Calendar,X1168,NDays&amp;"D")</f>
        <v>47003</v>
      </c>
      <c r="Z1168" s="185">
        <v>5.1002932761003664E-2</v>
      </c>
      <c r="AA1168" s="182">
        <v>5.0699045043957058E-2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47010</v>
      </c>
      <c r="Y1169" s="184">
        <f>_xll.qlCalendarAdvance(Calendar,X1169,NDays&amp;"D")</f>
        <v>47010</v>
      </c>
      <c r="Z1169" s="185">
        <v>5.1000850764898867E-2</v>
      </c>
      <c r="AA1169" s="182">
        <v>5.0696636097329328E-2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47017</v>
      </c>
      <c r="Y1170" s="184">
        <f>_xll.qlCalendarAdvance(Calendar,X1170,NDays&amp;"D")</f>
        <v>47017</v>
      </c>
      <c r="Z1170" s="185">
        <v>5.0998824340933849E-2</v>
      </c>
      <c r="AA1170" s="182">
        <v>5.0694282031514826E-2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47024</v>
      </c>
      <c r="Y1171" s="184">
        <f>_xll.qlCalendarAdvance(Calendar,X1171,NDays&amp;"D")</f>
        <v>47024</v>
      </c>
      <c r="Z1171" s="185">
        <v>5.0996853489027577E-2</v>
      </c>
      <c r="AA1171" s="182">
        <v>5.0691982846756689E-2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47031</v>
      </c>
      <c r="Y1172" s="184">
        <f>_xll.qlCalendarAdvance(Calendar,X1172,NDays&amp;"D")</f>
        <v>47031</v>
      </c>
      <c r="Z1172" s="185">
        <v>5.0998359629124301E-2</v>
      </c>
      <c r="AA1172" s="182">
        <v>5.0689738542973872E-2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47038</v>
      </c>
      <c r="Y1173" s="184">
        <f>_xll.qlCalendarAdvance(Calendar,X1173,NDays&amp;"D")</f>
        <v>47038</v>
      </c>
      <c r="Z1173" s="185">
        <v>5.0996503632860207E-2</v>
      </c>
      <c r="AA1173" s="182">
        <v>5.0687549120328468E-2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47045</v>
      </c>
      <c r="Y1174" s="184">
        <f>_xll.qlCalendarAdvance(Calendar,X1174,NDays&amp;"D")</f>
        <v>47045</v>
      </c>
      <c r="Z1174" s="185">
        <v>5.099470321613752E-2</v>
      </c>
      <c r="AA1174" s="182">
        <v>5.0685414578577337E-2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47052</v>
      </c>
      <c r="Y1175" s="184">
        <f>_xll.qlCalendarAdvance(Calendar,X1175,NDays&amp;"D")</f>
        <v>47052</v>
      </c>
      <c r="Z1175" s="185">
        <v>5.100326016533778E-2</v>
      </c>
      <c r="AA1175" s="182">
        <v>5.0683334917882572E-2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47059</v>
      </c>
      <c r="Y1176" s="184">
        <f>_xll.qlCalendarAdvance(Calendar,X1176,NDays&amp;"D")</f>
        <v>47059</v>
      </c>
      <c r="Z1176" s="185">
        <v>5.0991269121020359E-2</v>
      </c>
      <c r="AA1176" s="182">
        <v>5.0681310138163127E-2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47066</v>
      </c>
      <c r="Y1177" s="184">
        <f>_xll.qlCalendarAdvance(Calendar,X1177,NDays&amp;"D")</f>
        <v>47066</v>
      </c>
      <c r="Z1177" s="185">
        <v>5.0989635442482292E-2</v>
      </c>
      <c r="AA1177" s="182">
        <v>5.0679340239500048E-2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47073</v>
      </c>
      <c r="Y1178" s="184">
        <f>_xll.qlCalendarAdvance(Calendar,X1178,NDays&amp;"D")</f>
        <v>47073</v>
      </c>
      <c r="Z1178" s="185">
        <v>5.0988057343201089E-2</v>
      </c>
      <c r="AA1178" s="182">
        <v>5.0677425221812289E-2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47080</v>
      </c>
      <c r="Y1179" s="184">
        <f>_xll.qlCalendarAdvance(Calendar,X1179,NDays&amp;"D")</f>
        <v>47080</v>
      </c>
      <c r="Z1179" s="185">
        <v>5.0986534823109796E-2</v>
      </c>
      <c r="AA1179" s="182">
        <v>5.0675565085180896E-2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47087</v>
      </c>
      <c r="Y1180" s="184">
        <f>_xll.qlCalendarAdvance(Calendar,X1180,NDays&amp;"D")</f>
        <v>47087</v>
      </c>
      <c r="Z1180" s="185">
        <v>5.0978165901842468E-2</v>
      </c>
      <c r="AA1180" s="182">
        <v>5.0673759829443776E-2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47094</v>
      </c>
      <c r="Y1181" s="184">
        <f>_xll.qlCalendarAdvance(Calendar,X1181,NDays&amp;"D")</f>
        <v>47094</v>
      </c>
      <c r="Z1181" s="185">
        <v>5.097674699401588E-2</v>
      </c>
      <c r="AA1181" s="182">
        <v>5.0672009454681977E-2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47101</v>
      </c>
      <c r="Y1182" s="184">
        <f>_xll.qlCalendarAdvance(Calendar,X1182,NDays&amp;"D")</f>
        <v>47101</v>
      </c>
      <c r="Z1182" s="185">
        <v>5.0975383649767003E-2</v>
      </c>
      <c r="AA1182" s="182">
        <v>5.0670313960976543E-2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47108</v>
      </c>
      <c r="Y1183" s="184">
        <f>_xll.qlCalendarAdvance(Calendar,X1183,NDays&amp;"D")</f>
        <v>47108</v>
      </c>
      <c r="Z1183" s="185">
        <v>5.0974075869044511E-2</v>
      </c>
      <c r="AA1183" s="182">
        <v>5.0668673348327475E-2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47115</v>
      </c>
      <c r="Y1184" s="184">
        <f>_xll.qlCalendarAdvance(Calendar,X1184,NDays&amp;"D")</f>
        <v>47115</v>
      </c>
      <c r="Z1184" s="185">
        <v>5.0972823651793467E-2</v>
      </c>
      <c r="AA1184" s="182">
        <v>5.0667087616572681E-2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47122</v>
      </c>
      <c r="Y1185" s="184">
        <f>_xll.qlCalendarAdvance(Calendar,X1185,NDays&amp;"D")</f>
        <v>47122</v>
      </c>
      <c r="Z1185" s="185">
        <v>5.0971626997963454E-2</v>
      </c>
      <c r="AA1185" s="182">
        <v>5.0665556765874253E-2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47129</v>
      </c>
      <c r="Y1186" s="184">
        <f>_xll.qlCalendarAdvance(Calendar,X1186,NDays&amp;"D")</f>
        <v>47129</v>
      </c>
      <c r="Z1186" s="185">
        <v>5.0970485907504935E-2</v>
      </c>
      <c r="AA1186" s="182">
        <v>5.0664080796151145E-2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47136</v>
      </c>
      <c r="Y1187" s="184">
        <f>_xll.qlCalendarAdvance(Calendar,X1187,NDays&amp;"D")</f>
        <v>47136</v>
      </c>
      <c r="Z1187" s="185">
        <v>5.0969400380372891E-2</v>
      </c>
      <c r="AA1187" s="182">
        <v>5.0662659707484403E-2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47143</v>
      </c>
      <c r="Y1188" s="184">
        <f>_xll.qlCalendarAdvance(Calendar,X1188,NDays&amp;"D")</f>
        <v>47143</v>
      </c>
      <c r="Z1188" s="185">
        <v>5.0971851461945279E-2</v>
      </c>
      <c r="AA1188" s="182">
        <v>5.0671556972627652E-2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47150</v>
      </c>
      <c r="Y1189" s="184">
        <f>_xll.qlCalendarAdvance(Calendar,X1189,NDays&amp;"D")</f>
        <v>47150</v>
      </c>
      <c r="Z1189" s="185">
        <v>5.0963911826104671E-2</v>
      </c>
      <c r="AA1189" s="182">
        <v>5.0659982172995832E-2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47157</v>
      </c>
      <c r="Y1190" s="184">
        <f>_xll.qlCalendarAdvance(Calendar,X1190,NDays&amp;"D")</f>
        <v>47157</v>
      </c>
      <c r="Z1190" s="185">
        <v>5.0962989147942186E-2</v>
      </c>
      <c r="AA1190" s="182">
        <v>5.0658725727174003E-2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47164</v>
      </c>
      <c r="Y1191" s="184">
        <f>_xll.qlCalendarAdvance(Calendar,X1191,NDays&amp;"D")</f>
        <v>47164</v>
      </c>
      <c r="Z1191" s="185">
        <v>5.0962122025233092E-2</v>
      </c>
      <c r="AA1191" s="182">
        <v>5.065752416240854E-2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47171</v>
      </c>
      <c r="Y1192" s="184">
        <f>_xll.qlCalendarAdvance(Calendar,X1192,NDays&amp;"D")</f>
        <v>47171</v>
      </c>
      <c r="Z1192" s="185">
        <v>5.0961310457944616E-2</v>
      </c>
      <c r="AA1192" s="182">
        <v>5.065637747878049E-2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47178</v>
      </c>
      <c r="Y1193" s="184">
        <f>_xll.qlCalendarAdvance(Calendar,X1193,NDays&amp;"D")</f>
        <v>47178</v>
      </c>
      <c r="Z1193" s="185">
        <v>5.0971055325693605E-2</v>
      </c>
      <c r="AA1193" s="182">
        <v>5.065528567588462E-2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47185</v>
      </c>
      <c r="Y1194" s="184">
        <f>_xll.qlCalendarAdvance(Calendar,X1194,NDays&amp;"D")</f>
        <v>47185</v>
      </c>
      <c r="Z1194" s="185">
        <v>5.0970366487175157E-2</v>
      </c>
      <c r="AA1194" s="182">
        <v>5.0654248754126163E-2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47192</v>
      </c>
      <c r="Y1195" s="184">
        <f>_xll.qlCalendarAdvance(Calendar,X1195,NDays&amp;"D")</f>
        <v>47192</v>
      </c>
      <c r="Z1195" s="185">
        <v>5.0969733227112797E-2</v>
      </c>
      <c r="AA1195" s="182">
        <v>5.065326671326198E-2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47199</v>
      </c>
      <c r="Y1196" s="184">
        <f>_xll.qlCalendarAdvance(Calendar,X1196,NDays&amp;"D")</f>
        <v>47199</v>
      </c>
      <c r="Z1196" s="185">
        <v>5.0969155279802461E-2</v>
      </c>
      <c r="AA1196" s="182">
        <v>5.0652339553535208E-2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47206</v>
      </c>
      <c r="Y1197" s="184">
        <f>_xll.qlCalendarAdvance(Calendar,X1197,NDays&amp;"D")</f>
        <v>47206</v>
      </c>
      <c r="Z1197" s="185">
        <v>5.0968627916965367E-2</v>
      </c>
      <c r="AA1197" s="182">
        <v>5.0665288995284108E-2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47213</v>
      </c>
      <c r="Y1198" s="184">
        <f>_xll.qlCalendarAdvance(Calendar,X1198,NDays&amp;"D")</f>
        <v>47213</v>
      </c>
      <c r="Z1198" s="185">
        <v>5.0964625867790631E-2</v>
      </c>
      <c r="AA1198" s="182">
        <v>5.0650649876926579E-2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47220</v>
      </c>
      <c r="Y1199" s="184">
        <f>_xll.qlCalendarAdvance(Calendar,X1199,NDays&amp;"D")</f>
        <v>47220</v>
      </c>
      <c r="Z1199" s="185">
        <v>5.0964173616050018E-2</v>
      </c>
      <c r="AA1199" s="182">
        <v>5.0649887360125767E-2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47227</v>
      </c>
      <c r="Y1200" s="184">
        <f>_xll.qlCalendarAdvance(Calendar,X1200,NDays&amp;"D")</f>
        <v>47227</v>
      </c>
      <c r="Z1200" s="185">
        <v>5.0963747326080062E-2</v>
      </c>
      <c r="AA1200" s="182">
        <v>5.0649179724219229E-2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47234</v>
      </c>
      <c r="Y1201" s="184">
        <f>_xll.qlCalendarAdvance(Calendar,X1201,NDays&amp;"D")</f>
        <v>47234</v>
      </c>
      <c r="Z1201" s="185">
        <v>5.0963338361957801E-2</v>
      </c>
      <c r="AA1201" s="182">
        <v>5.0648526969369057E-2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47241</v>
      </c>
      <c r="Y1202" s="184">
        <f>_xll.qlCalendarAdvance(Calendar,X1202,NDays&amp;"D")</f>
        <v>47241</v>
      </c>
      <c r="Z1202" s="185">
        <v>5.0966452537213443E-2</v>
      </c>
      <c r="AA1202" s="182">
        <v>5.0647929095494204E-2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47248</v>
      </c>
      <c r="Y1203" s="184">
        <f>_xll.qlCalendarAdvance(Calendar,X1203,NDays&amp;"D")</f>
        <v>47248</v>
      </c>
      <c r="Z1203" s="185">
        <v>5.0966049945437485E-2</v>
      </c>
      <c r="AA1203" s="182">
        <v>5.0647386102594671E-2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47255</v>
      </c>
      <c r="Y1204" s="184">
        <f>_xll.qlCalendarAdvance(Calendar,X1204,NDays&amp;"D")</f>
        <v>47255</v>
      </c>
      <c r="Z1204" s="185">
        <v>5.0965638247500514E-2</v>
      </c>
      <c r="AA1204" s="182">
        <v>5.0646897990670459E-2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47262</v>
      </c>
      <c r="Y1205" s="184">
        <f>_xll.qlCalendarAdvance(Calendar,X1205,NDays&amp;"D")</f>
        <v>47262</v>
      </c>
      <c r="Z1205" s="185">
        <v>5.0965208900173115E-2</v>
      </c>
      <c r="AA1205" s="182">
        <v>5.0646464759883658E-2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47269</v>
      </c>
      <c r="Y1206" s="184">
        <f>_xll.qlCalendarAdvance(Calendar,X1206,NDays&amp;"D")</f>
        <v>47269</v>
      </c>
      <c r="Z1206" s="185">
        <v>5.0964753360225871E-2</v>
      </c>
      <c r="AA1206" s="182">
        <v>5.0646086409910085E-2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47276</v>
      </c>
      <c r="Y1207" s="184">
        <f>_xll.qlCalendarAdvance(Calendar,X1207,NDays&amp;"D")</f>
        <v>47276</v>
      </c>
      <c r="Z1207" s="185">
        <v>5.0964263084439083E-2</v>
      </c>
      <c r="AA1207" s="182">
        <v>5.0645762941073924E-2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47283</v>
      </c>
      <c r="Y1208" s="184">
        <f>_xll.qlCalendarAdvance(Calendar,X1208,NDays&amp;"D")</f>
        <v>47283</v>
      </c>
      <c r="Z1208" s="185">
        <v>5.0963729529593896E-2</v>
      </c>
      <c r="AA1208" s="182">
        <v>5.0645494352969944E-2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47290</v>
      </c>
      <c r="Y1209" s="184">
        <f>_xll.qlCalendarAdvance(Calendar,X1209,NDays&amp;"D")</f>
        <v>47290</v>
      </c>
      <c r="Z1209" s="185">
        <v>5.0963144264566419E-2</v>
      </c>
      <c r="AA1209" s="182">
        <v>5.0645266692427304E-2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47297</v>
      </c>
      <c r="Y1210" s="184">
        <f>_xll.qlCalendarAdvance(Calendar,X1210,NDays&amp;"D")</f>
        <v>47297</v>
      </c>
      <c r="Z1210" s="185">
        <v>5.0962502561125431E-2</v>
      </c>
      <c r="AA1210" s="182">
        <v>5.0644996992773583E-2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47304</v>
      </c>
      <c r="Y1211" s="184">
        <f>_xll.qlCalendarAdvance(Calendar,X1211,NDays&amp;"D")</f>
        <v>47304</v>
      </c>
      <c r="Z1211" s="185">
        <v>5.0961804153623246E-2</v>
      </c>
      <c r="AA1211" s="182">
        <v>5.064467130018957E-2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47311</v>
      </c>
      <c r="Y1212" s="184">
        <f>_xll.qlCalendarAdvance(Calendar,X1212,NDays&amp;"D")</f>
        <v>47311</v>
      </c>
      <c r="Z1212" s="185">
        <v>5.0961049042086301E-2</v>
      </c>
      <c r="AA1212" s="182">
        <v>5.064428961475631E-2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47318</v>
      </c>
      <c r="Y1213" s="184">
        <f>_xll.qlCalendarAdvance(Calendar,X1213,NDays&amp;"D")</f>
        <v>47318</v>
      </c>
      <c r="Z1213" s="185">
        <v>5.0960237226549826E-2</v>
      </c>
      <c r="AA1213" s="182">
        <v>5.0643851936635897E-2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47325</v>
      </c>
      <c r="Y1214" s="184">
        <f>_xll.qlCalendarAdvance(Calendar,X1214,NDays&amp;"D")</f>
        <v>47325</v>
      </c>
      <c r="Z1214" s="185">
        <v>5.0959368707046419E-2</v>
      </c>
      <c r="AA1214" s="182">
        <v>5.0643358265747285E-2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47332</v>
      </c>
      <c r="Y1215" s="184">
        <f>_xll.qlCalendarAdvance(Calendar,X1215,NDays&amp;"D")</f>
        <v>47332</v>
      </c>
      <c r="Z1215" s="185">
        <v>5.0958443483612205E-2</v>
      </c>
      <c r="AA1215" s="182">
        <v>5.0642808602009426E-2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47339</v>
      </c>
      <c r="Y1216" s="184">
        <f>_xll.qlCalendarAdvance(Calendar,X1216,NDays&amp;"D")</f>
        <v>47339</v>
      </c>
      <c r="Z1216" s="185">
        <v>5.0957461556287692E-2</v>
      </c>
      <c r="AA1216" s="182">
        <v>5.0642202945422321E-2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47346</v>
      </c>
      <c r="Y1217" s="184">
        <f>_xll.qlCalendarAdvance(Calendar,X1217,NDays&amp;"D")</f>
        <v>47346</v>
      </c>
      <c r="Z1217" s="185">
        <v>5.0956422925113411E-2</v>
      </c>
      <c r="AA1217" s="182">
        <v>5.0641541296148063E-2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47353</v>
      </c>
      <c r="Y1218" s="184">
        <f>_xll.qlCalendarAdvance(Calendar,X1218,NDays&amp;"D")</f>
        <v>47353</v>
      </c>
      <c r="Z1218" s="185">
        <v>5.0955327590133416E-2</v>
      </c>
      <c r="AA1218" s="182">
        <v>5.0640823654024558E-2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47360</v>
      </c>
      <c r="Y1219" s="184">
        <f>_xll.qlCalendarAdvance(Calendar,X1219,NDays&amp;"D")</f>
        <v>47360</v>
      </c>
      <c r="Z1219" s="185">
        <v>5.0954175551396141E-2</v>
      </c>
      <c r="AA1219" s="182">
        <v>5.0640050019132854E-2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47367</v>
      </c>
      <c r="Y1220" s="184">
        <f>_xll.qlCalendarAdvance(Calendar,X1220,NDays&amp;"D")</f>
        <v>47367</v>
      </c>
      <c r="Z1220" s="185">
        <v>5.0949522685541732E-2</v>
      </c>
      <c r="AA1220" s="182">
        <v>5.0639220391310857E-2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47374</v>
      </c>
      <c r="Y1221" s="184">
        <f>_xll.qlCalendarAdvance(Calendar,X1221,NDays&amp;"D")</f>
        <v>47374</v>
      </c>
      <c r="Z1221" s="185">
        <v>5.0948261464643145E-2</v>
      </c>
      <c r="AA1221" s="182">
        <v>5.0638334770801707E-2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47381</v>
      </c>
      <c r="Y1222" s="184">
        <f>_xll.qlCalendarAdvance(Calendar,X1222,NDays&amp;"D")</f>
        <v>47381</v>
      </c>
      <c r="Z1222" s="185">
        <v>5.0946943547996067E-2</v>
      </c>
      <c r="AA1222" s="182">
        <v>5.0637393157605404E-2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47388</v>
      </c>
      <c r="Y1223" s="184">
        <f>_xll.qlCalendarAdvance(Calendar,X1223,NDays&amp;"D")</f>
        <v>47388</v>
      </c>
      <c r="Z1223" s="185">
        <v>5.0945568935654807E-2</v>
      </c>
      <c r="AA1223" s="182">
        <v>5.0636395551478808E-2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47395</v>
      </c>
      <c r="Y1224" s="184">
        <f>_xll.qlCalendarAdvance(Calendar,X1224,NDays&amp;"D")</f>
        <v>47395</v>
      </c>
      <c r="Z1224" s="185">
        <v>5.0947564803110877E-2</v>
      </c>
      <c r="AA1224" s="182">
        <v>5.0635341952584012E-2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47402</v>
      </c>
      <c r="Y1225" s="184">
        <f>_xll.qlCalendarAdvance(Calendar,X1225,NDays&amp;"D")</f>
        <v>47402</v>
      </c>
      <c r="Z1225" s="185">
        <v>5.0946072542927635E-2</v>
      </c>
      <c r="AA1225" s="182">
        <v>5.063423236083997E-2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47409</v>
      </c>
      <c r="Y1226" s="184">
        <f>_xll.qlCalendarAdvance(Calendar,X1226,NDays&amp;"D")</f>
        <v>47409</v>
      </c>
      <c r="Z1226" s="185">
        <v>5.0944523579376504E-2</v>
      </c>
      <c r="AA1226" s="182">
        <v>5.0633066776408775E-2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47416</v>
      </c>
      <c r="Y1227" s="184">
        <f>_xll.qlCalendarAdvance(Calendar,X1227,NDays&amp;"D")</f>
        <v>47416</v>
      </c>
      <c r="Z1227" s="185">
        <v>5.0942917912524435E-2</v>
      </c>
      <c r="AA1227" s="182">
        <v>5.063184519920938E-2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47423</v>
      </c>
      <c r="Y1228" s="184">
        <f>_xll.qlCalendarAdvance(Calendar,X1228,NDays&amp;"D")</f>
        <v>47423</v>
      </c>
      <c r="Z1228" s="185">
        <v>5.0941255542438363E-2</v>
      </c>
      <c r="AA1228" s="182">
        <v>5.0630567629160739E-2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47430</v>
      </c>
      <c r="Y1229" s="184">
        <f>_xll.qlCalendarAdvance(Calendar,X1229,NDays&amp;"D")</f>
        <v>47430</v>
      </c>
      <c r="Z1229" s="185">
        <v>5.0939536469188779E-2</v>
      </c>
      <c r="AA1229" s="182">
        <v>5.0629234066262851E-2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47437</v>
      </c>
      <c r="Y1230" s="184">
        <f>_xll.qlCalendarAdvance(Calendar,X1230,NDays&amp;"D")</f>
        <v>47437</v>
      </c>
      <c r="Z1230" s="185">
        <v>5.0937760692849679E-2</v>
      </c>
      <c r="AA1230" s="182">
        <v>5.0627844510677811E-2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47444</v>
      </c>
      <c r="Y1231" s="184">
        <f>_xll.qlCalendarAdvance(Calendar,X1231,NDays&amp;"D")</f>
        <v>47444</v>
      </c>
      <c r="Z1231" s="185">
        <v>5.0935928213494172E-2</v>
      </c>
      <c r="AA1231" s="182">
        <v>5.062639896232457E-2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47451</v>
      </c>
      <c r="Y1232" s="184">
        <f>_xll.qlCalendarAdvance(Calendar,X1232,NDays&amp;"D")</f>
        <v>47451</v>
      </c>
      <c r="Z1232" s="185">
        <v>5.0930646128616419E-2</v>
      </c>
      <c r="AA1232" s="182">
        <v>5.062489742120313E-2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47458</v>
      </c>
      <c r="Y1233" s="184">
        <f>_xll.qlCalendarAdvance(Calendar,X1233,NDays&amp;"D")</f>
        <v>47458</v>
      </c>
      <c r="Z1233" s="185">
        <v>5.0925315879982169E-2</v>
      </c>
      <c r="AA1233" s="182">
        <v>5.0623339887151397E-2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47465</v>
      </c>
      <c r="Y1234" s="184">
        <f>_xll.qlCalendarAdvance(Calendar,X1234,NDays&amp;"D")</f>
        <v>47465</v>
      </c>
      <c r="Z1234" s="185">
        <v>5.0923321945433503E-2</v>
      </c>
      <c r="AA1234" s="182">
        <v>5.0621726360412511E-2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47472</v>
      </c>
      <c r="Y1235" s="184">
        <f>_xll.qlCalendarAdvance(Calendar,X1235,NDays&amp;"D")</f>
        <v>47472</v>
      </c>
      <c r="Z1235" s="185">
        <v>5.0921271323881398E-2</v>
      </c>
      <c r="AA1235" s="182">
        <v>5.0620056840824379E-2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47479</v>
      </c>
      <c r="Y1236" s="184">
        <f>_xll.qlCalendarAdvance(Calendar,X1236,NDays&amp;"D")</f>
        <v>47479</v>
      </c>
      <c r="Z1236" s="185">
        <v>5.09191640154096E-2</v>
      </c>
      <c r="AA1236" s="182">
        <v>5.0618331328468047E-2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47486</v>
      </c>
      <c r="Y1237" s="184">
        <f>_xll.qlCalendarAdvance(Calendar,X1237,NDays&amp;"D")</f>
        <v>47486</v>
      </c>
      <c r="Z1237" s="185">
        <v>5.0917000020106365E-2</v>
      </c>
      <c r="AA1237" s="182">
        <v>5.0616549823343515E-2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47493</v>
      </c>
      <c r="Y1238" s="184">
        <f>_xll.qlCalendarAdvance(Calendar,X1238,NDays&amp;"D")</f>
        <v>47493</v>
      </c>
      <c r="Z1238" s="185">
        <v>5.0914779338061746E-2</v>
      </c>
      <c r="AA1238" s="182">
        <v>5.0614712325450784E-2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47500</v>
      </c>
      <c r="Y1239" s="184">
        <f>_xll.qlCalendarAdvance(Calendar,X1239,NDays&amp;"D")</f>
        <v>47500</v>
      </c>
      <c r="Z1239" s="185">
        <v>5.0912501969365788E-2</v>
      </c>
      <c r="AA1239" s="182">
        <v>5.0612818834789852E-2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47507</v>
      </c>
      <c r="Y1240" s="184">
        <f>_xll.qlCalendarAdvance(Calendar,X1240,NDays&amp;"D")</f>
        <v>47507</v>
      </c>
      <c r="Z1240" s="185">
        <v>5.091016791411395E-2</v>
      </c>
      <c r="AA1240" s="182">
        <v>5.0610869351279675E-2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47514</v>
      </c>
      <c r="Y1241" s="184">
        <f>_xll.qlCalendarAdvance(Calendar,X1241,NDays&amp;"D")</f>
        <v>47514</v>
      </c>
      <c r="Z1241" s="185">
        <v>5.0904423208994E-2</v>
      </c>
      <c r="AA1241" s="182">
        <v>5.0608863875082344E-2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47521</v>
      </c>
      <c r="Y1242" s="184">
        <f>_xll.qlCalendarAdvance(Calendar,X1242,NDays&amp;"D")</f>
        <v>47521</v>
      </c>
      <c r="Z1242" s="185">
        <v>5.0901980168574508E-2</v>
      </c>
      <c r="AA1242" s="182">
        <v>5.0606802406035767E-2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47528</v>
      </c>
      <c r="Y1243" s="184">
        <f>_xll.qlCalendarAdvance(Calendar,X1243,NDays&amp;"D")</f>
        <v>47528</v>
      </c>
      <c r="Z1243" s="185">
        <v>5.089948044972982E-2</v>
      </c>
      <c r="AA1243" s="182">
        <v>5.060468494422099E-2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47535</v>
      </c>
      <c r="Y1244" s="184">
        <f>_xll.qlCalendarAdvance(Calendar,X1244,NDays&amp;"D")</f>
        <v>47535</v>
      </c>
      <c r="Z1244" s="185">
        <v>5.0896924052559189E-2</v>
      </c>
      <c r="AA1244" s="182">
        <v>5.0602511489638013E-2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47542</v>
      </c>
      <c r="Y1245" s="184">
        <f>_xll.qlCalendarAdvance(Calendar,X1245,NDays&amp;"D")</f>
        <v>47542</v>
      </c>
      <c r="Z1245" s="185">
        <v>5.0904319733733938E-2</v>
      </c>
      <c r="AA1245" s="182">
        <v>5.0600282042286837E-2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47549</v>
      </c>
      <c r="Y1246" s="184">
        <f>_xll.qlCalendarAdvance(Calendar,X1246,NDays&amp;"D")</f>
        <v>47549</v>
      </c>
      <c r="Z1246" s="185">
        <v>5.0901636719803224E-2</v>
      </c>
      <c r="AA1246" s="182">
        <v>5.0597996602167461E-2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47556</v>
      </c>
      <c r="Y1247" s="184">
        <f>_xll.qlCalendarAdvance(Calendar,X1247,NDays&amp;"D")</f>
        <v>47556</v>
      </c>
      <c r="Z1247" s="185">
        <v>5.0898897004386302E-2</v>
      </c>
      <c r="AA1247" s="182">
        <v>5.0595655169279885E-2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47563</v>
      </c>
      <c r="Y1248" s="184">
        <f>_xll.qlCalendarAdvance(Calendar,X1248,NDays&amp;"D")</f>
        <v>47563</v>
      </c>
      <c r="Z1248" s="185">
        <v>5.0896100587600329E-2</v>
      </c>
      <c r="AA1248" s="182">
        <v>5.0593257743624109E-2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47570</v>
      </c>
      <c r="Y1249" s="184">
        <f>_xll.qlCalendarAdvance(Calendar,X1249,NDays&amp;"D")</f>
        <v>47570</v>
      </c>
      <c r="Z1249" s="185">
        <v>5.0893247469562475E-2</v>
      </c>
      <c r="AA1249" s="182">
        <v>5.0590804325200134E-2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47577</v>
      </c>
      <c r="Y1250" s="184">
        <f>_xll.qlCalendarAdvance(Calendar,X1250,NDays&amp;"D")</f>
        <v>47577</v>
      </c>
      <c r="Z1250" s="185">
        <v>5.0887023696708729E-2</v>
      </c>
      <c r="AA1250" s="182">
        <v>5.0588294913926912E-2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47584</v>
      </c>
      <c r="Y1251" s="184">
        <f>_xll.qlCalendarAdvance(Calendar,X1251,NDays&amp;"D")</f>
        <v>47584</v>
      </c>
      <c r="Z1251" s="185">
        <v>5.0884061636971574E-2</v>
      </c>
      <c r="AA1251" s="182">
        <v>5.0585729509966537E-2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47591</v>
      </c>
      <c r="Y1252" s="184">
        <f>_xll.qlCalendarAdvance(Calendar,X1252,NDays&amp;"D")</f>
        <v>47591</v>
      </c>
      <c r="Z1252" s="185">
        <v>5.0881042884174693E-2</v>
      </c>
      <c r="AA1252" s="182">
        <v>5.0596369241622696E-2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47599</v>
      </c>
      <c r="Y1253" s="184">
        <f>_xll.qlCalendarAdvance(Calendar,X1253,NDays&amp;"D")</f>
        <v>47599</v>
      </c>
      <c r="Z1253" s="185">
        <v>5.0877523461064313E-2</v>
      </c>
      <c r="AA1253" s="182">
        <v>5.0586664458970317E-2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47606</v>
      </c>
      <c r="Y1254" s="184">
        <f>_xll.qlCalendarAdvance(Calendar,X1254,NDays&amp;"D")</f>
        <v>47606</v>
      </c>
      <c r="Z1254" s="185">
        <v>5.0887564170721274E-2</v>
      </c>
      <c r="AA1254" s="182">
        <v>5.0583914316712685E-2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47613</v>
      </c>
      <c r="Y1255" s="184">
        <f>_xll.qlCalendarAdvance(Calendar,X1255,NDays&amp;"D")</f>
        <v>47613</v>
      </c>
      <c r="Z1255" s="185">
        <v>5.088105870890753E-2</v>
      </c>
      <c r="AA1255" s="182">
        <v>5.0581108166234033E-2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47620</v>
      </c>
      <c r="Y1256" s="184">
        <f>_xll.qlCalendarAdvance(Calendar,X1256,NDays&amp;"D")</f>
        <v>47620</v>
      </c>
      <c r="Z1256" s="185">
        <v>5.0877791580756372E-2</v>
      </c>
      <c r="AA1256" s="182">
        <v>5.0578246007534362E-2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47627</v>
      </c>
      <c r="Y1257" s="184">
        <f>_xll.qlCalendarAdvance(Calendar,X1257,NDays&amp;"D")</f>
        <v>47627</v>
      </c>
      <c r="Z1257" s="185">
        <v>5.0874467736778298E-2</v>
      </c>
      <c r="AA1257" s="182">
        <v>5.0575327840559632E-2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47634</v>
      </c>
      <c r="Y1258" s="184">
        <f>_xll.qlCalendarAdvance(Calendar,X1258,NDays&amp;"D")</f>
        <v>47634</v>
      </c>
      <c r="Z1258" s="185">
        <v>5.0861255348355568E-2</v>
      </c>
      <c r="AA1258" s="182">
        <v>5.0572353665390889E-2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47641</v>
      </c>
      <c r="Y1259" s="184">
        <f>_xll.qlCalendarAdvance(Calendar,X1259,NDays&amp;"D")</f>
        <v>47641</v>
      </c>
      <c r="Z1259" s="185">
        <v>5.0867649901924293E-2</v>
      </c>
      <c r="AA1259" s="182">
        <v>5.0572607300989614E-2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47648</v>
      </c>
      <c r="Y1260" s="184">
        <f>_xll.qlCalendarAdvance(Calendar,X1260,NDays&amp;"D")</f>
        <v>47648</v>
      </c>
      <c r="Z1260" s="185">
        <v>5.0864155911340636E-2</v>
      </c>
      <c r="AA1260" s="182">
        <v>5.0566237290363324E-2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47655</v>
      </c>
      <c r="Y1261" s="184">
        <f>_xll.qlCalendarAdvance(Calendar,X1261,NDays&amp;"D")</f>
        <v>47655</v>
      </c>
      <c r="Z1261" s="185">
        <v>5.0860605205522408E-2</v>
      </c>
      <c r="AA1261" s="182">
        <v>5.0563095090504502E-2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47662</v>
      </c>
      <c r="Y1262" s="184">
        <f>_xll.qlCalendarAdvance(Calendar,X1262,NDays&amp;"D")</f>
        <v>47662</v>
      </c>
      <c r="Z1262" s="185">
        <v>5.0856997784620481E-2</v>
      </c>
      <c r="AA1262" s="182">
        <v>5.055989688247868E-2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47669</v>
      </c>
      <c r="Y1263" s="184">
        <f>_xll.qlCalendarAdvance(Calendar,X1263,NDays&amp;"D")</f>
        <v>47669</v>
      </c>
      <c r="Z1263" s="185">
        <v>5.0856587949864598E-2</v>
      </c>
      <c r="AA1263" s="182">
        <v>5.0556642666231839E-2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47676</v>
      </c>
      <c r="Y1264" s="184">
        <f>_xll.qlCalendarAdvance(Calendar,X1264,NDays&amp;"D")</f>
        <v>47676</v>
      </c>
      <c r="Z1264" s="185">
        <v>5.0849612798196678E-2</v>
      </c>
      <c r="AA1264" s="182">
        <v>5.0553332441763972E-2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47683</v>
      </c>
      <c r="Y1265" s="184">
        <f>_xll.qlCalendarAdvance(Calendar,X1265,NDays&amp;"D")</f>
        <v>47683</v>
      </c>
      <c r="Z1265" s="185">
        <v>5.0845835232993811E-2</v>
      </c>
      <c r="AA1265" s="182">
        <v>5.0549966209102092E-2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47690</v>
      </c>
      <c r="Y1266" s="184">
        <f>_xll.qlCalendarAdvance(Calendar,X1266,NDays&amp;"D")</f>
        <v>47690</v>
      </c>
      <c r="Z1266" s="185">
        <v>5.0842000953345276E-2</v>
      </c>
      <c r="AA1266" s="182">
        <v>5.0546543968219192E-2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47697</v>
      </c>
      <c r="Y1267" s="184">
        <f>_xll.qlCalendarAdvance(Calendar,X1267,NDays&amp;"D")</f>
        <v>47697</v>
      </c>
      <c r="Z1267" s="185">
        <v>5.0838109959421784E-2</v>
      </c>
      <c r="AA1267" s="182">
        <v>5.0546313892625705E-2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47704</v>
      </c>
      <c r="Y1268" s="184">
        <f>_xll.qlCalendarAdvance(Calendar,X1268,NDays&amp;"D")</f>
        <v>47704</v>
      </c>
      <c r="Z1268" s="185">
        <v>5.0834162251387149E-2</v>
      </c>
      <c r="AA1268" s="182">
        <v>5.0539531461952412E-2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47711</v>
      </c>
      <c r="Y1269" s="184">
        <f>_xll.qlCalendarAdvance(Calendar,X1269,NDays&amp;"D")</f>
        <v>47711</v>
      </c>
      <c r="Z1269" s="185">
        <v>5.0830157829413823E-2</v>
      </c>
      <c r="AA1269" s="182">
        <v>5.0535941196568533E-2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47718</v>
      </c>
      <c r="Y1270" s="184">
        <f>_xll.qlCalendarAdvance(Calendar,X1270,NDays&amp;"D")</f>
        <v>47718</v>
      </c>
      <c r="Z1270" s="185">
        <v>5.0826096693675098E-2</v>
      </c>
      <c r="AA1270" s="182">
        <v>5.0532294922936614E-2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47725</v>
      </c>
      <c r="Y1271" s="184">
        <f>_xll.qlCalendarAdvance(Calendar,X1271,NDays&amp;"D")</f>
        <v>47725</v>
      </c>
      <c r="Z1271" s="185">
        <v>5.0812325326211362E-2</v>
      </c>
      <c r="AA1271" s="182">
        <v>5.0528592641218749E-2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47732</v>
      </c>
      <c r="Y1272" s="184">
        <f>_xll.qlCalendarAdvance(Calendar,X1272,NDays&amp;"D")</f>
        <v>47732</v>
      </c>
      <c r="Z1272" s="185">
        <v>5.0808164643323578E-2</v>
      </c>
      <c r="AA1272" s="182">
        <v>5.0524834351306877E-2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47739</v>
      </c>
      <c r="Y1273" s="184">
        <f>_xll.qlCalendarAdvance(Calendar,X1273,NDays&amp;"D")</f>
        <v>47739</v>
      </c>
      <c r="Z1273" s="185">
        <v>5.0803947270553804E-2</v>
      </c>
      <c r="AA1273" s="182">
        <v>5.0521020053228012E-2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47746</v>
      </c>
      <c r="Y1274" s="184">
        <f>_xll.qlCalendarAdvance(Calendar,X1274,NDays&amp;"D")</f>
        <v>47746</v>
      </c>
      <c r="Z1274" s="185">
        <v>5.0799673208075699E-2</v>
      </c>
      <c r="AA1274" s="182">
        <v>5.0517149747009167E-2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47753</v>
      </c>
      <c r="Y1275" s="184">
        <f>_xll.qlCalendarAdvance(Calendar,X1275,NDays&amp;"D")</f>
        <v>47753</v>
      </c>
      <c r="Z1275" s="185">
        <v>5.0795342456070071E-2</v>
      </c>
      <c r="AA1275" s="182">
        <v>5.0513223432596309E-2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47760</v>
      </c>
      <c r="Y1276" s="184">
        <f>_xll.qlCalendarAdvance(Calendar,X1276,NDays&amp;"D")</f>
        <v>47760</v>
      </c>
      <c r="Z1276" s="185">
        <v>5.0800538900171707E-2</v>
      </c>
      <c r="AA1276" s="182">
        <v>5.0512448591742698E-2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47767</v>
      </c>
      <c r="Y1277" s="184">
        <f>_xll.qlCalendarAdvance(Calendar,X1277,NDays&amp;"D")</f>
        <v>47767</v>
      </c>
      <c r="Z1277" s="185">
        <v>5.0796080773128513E-2</v>
      </c>
      <c r="AA1277" s="182">
        <v>5.050520277943172E-2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47774</v>
      </c>
      <c r="Y1278" s="184">
        <f>_xll.qlCalendarAdvance(Calendar,X1278,NDays&amp;"D")</f>
        <v>47774</v>
      </c>
      <c r="Z1278" s="185">
        <v>5.0791565933793414E-2</v>
      </c>
      <c r="AA1278" s="182">
        <v>5.0501108440652961E-2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47781</v>
      </c>
      <c r="Y1279" s="184">
        <f>_xll.qlCalendarAdvance(Calendar,X1279,NDays&amp;"D")</f>
        <v>47781</v>
      </c>
      <c r="Z1279" s="185">
        <v>5.0790174682036685E-2</v>
      </c>
      <c r="AA1279" s="182">
        <v>5.049695809370721E-2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47788</v>
      </c>
      <c r="Y1280" s="184">
        <f>_xll.qlCalendarAdvance(Calendar,X1280,NDays&amp;"D")</f>
        <v>47788</v>
      </c>
      <c r="Z1280" s="185">
        <v>5.0782366119032959E-2</v>
      </c>
      <c r="AA1280" s="182">
        <v>5.0492751738702532E-2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47795</v>
      </c>
      <c r="Y1281" s="184">
        <f>_xll.qlCalendarAdvance(Calendar,X1281,NDays&amp;"D")</f>
        <v>47795</v>
      </c>
      <c r="Z1281" s="185">
        <v>5.077768114400593E-2</v>
      </c>
      <c r="AA1281" s="182">
        <v>5.0488489375584887E-2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47802</v>
      </c>
      <c r="Y1282" s="184">
        <f>_xll.qlCalendarAdvance(Calendar,X1282,NDays&amp;"D")</f>
        <v>47802</v>
      </c>
      <c r="Z1282" s="185">
        <v>5.0772939457481077E-2</v>
      </c>
      <c r="AA1282" s="182">
        <v>5.0484171004300256E-2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47809</v>
      </c>
      <c r="Y1283" s="184">
        <f>_xll.qlCalendarAdvance(Calendar,X1283,NDays&amp;"D")</f>
        <v>47809</v>
      </c>
      <c r="Z1283" s="185">
        <v>5.0768141059666191E-2</v>
      </c>
      <c r="AA1283" s="182">
        <v>5.0479796624956684E-2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47816</v>
      </c>
      <c r="Y1284" s="184">
        <f>_xll.qlCalendarAdvance(Calendar,X1284,NDays&amp;"D")</f>
        <v>47816</v>
      </c>
      <c r="Z1284" s="185">
        <v>5.0753814689990899E-2</v>
      </c>
      <c r="AA1284" s="182">
        <v>5.0475366237473139E-2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47823</v>
      </c>
      <c r="Y1285" s="184">
        <f>_xll.qlCalendarAdvance(Calendar,X1285,NDays&amp;"D")</f>
        <v>47823</v>
      </c>
      <c r="Z1285" s="185">
        <v>5.0745764370882733E-2</v>
      </c>
      <c r="AA1285" s="182">
        <v>5.047087984195768E-2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47830</v>
      </c>
      <c r="Y1286" s="184">
        <f>_xll.qlCalendarAdvance(Calendar,X1286,NDays&amp;"D")</f>
        <v>47830</v>
      </c>
      <c r="Z1286" s="185">
        <v>5.0740814779531782E-2</v>
      </c>
      <c r="AA1286" s="182">
        <v>5.0466337438302242E-2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47837</v>
      </c>
      <c r="Y1287" s="184">
        <f>_xll.qlCalendarAdvance(Calendar,X1287,NDays&amp;"D")</f>
        <v>47837</v>
      </c>
      <c r="Z1287" s="185">
        <v>5.0735808508735408E-2</v>
      </c>
      <c r="AA1287" s="182">
        <v>5.0461739026614889E-2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47844</v>
      </c>
      <c r="Y1288" s="184">
        <f>_xll.qlCalendarAdvance(Calendar,X1288,NDays&amp;"D")</f>
        <v>47844</v>
      </c>
      <c r="Z1288" s="185">
        <v>5.073074555869983E-2</v>
      </c>
      <c r="AA1288" s="182">
        <v>5.045708460681457E-2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47851</v>
      </c>
      <c r="Y1289" s="184">
        <f>_xll.qlCalendarAdvance(Calendar,X1289,NDays&amp;"D")</f>
        <v>47851</v>
      </c>
      <c r="Z1289" s="185">
        <v>5.0725625929635774E-2</v>
      </c>
      <c r="AA1289" s="182">
        <v>5.0452374178982337E-2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47858</v>
      </c>
      <c r="Y1290" s="184">
        <f>_xll.qlCalendarAdvance(Calendar,X1290,NDays&amp;"D")</f>
        <v>47858</v>
      </c>
      <c r="Z1290" s="185">
        <v>5.0720449621753955E-2</v>
      </c>
      <c r="AA1290" s="182">
        <v>5.0447607743064157E-2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47865</v>
      </c>
      <c r="Y1291" s="184">
        <f>_xll.qlCalendarAdvance(Calendar,X1291,NDays&amp;"D")</f>
        <v>47865</v>
      </c>
      <c r="Z1291" s="185">
        <v>5.0715216635270496E-2</v>
      </c>
      <c r="AA1291" s="182">
        <v>5.0442785299114064E-2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47872</v>
      </c>
      <c r="Y1292" s="184">
        <f>_xll.qlCalendarAdvance(Calendar,X1292,NDays&amp;"D")</f>
        <v>47872</v>
      </c>
      <c r="Z1292" s="185">
        <v>5.0709926970399721E-2</v>
      </c>
      <c r="AA1292" s="182">
        <v>5.0441040447676555E-2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47879</v>
      </c>
      <c r="Y1293" s="184">
        <f>_xll.qlCalendarAdvance(Calendar,X1293,NDays&amp;"D")</f>
        <v>47879</v>
      </c>
      <c r="Z1293" s="185">
        <v>5.0701465854890646E-2</v>
      </c>
      <c r="AA1293" s="182">
        <v>5.0432972387064089E-2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47886</v>
      </c>
      <c r="Y1294" s="184">
        <f>_xll.qlCalendarAdvance(Calendar,X1294,NDays&amp;"D")</f>
        <v>47886</v>
      </c>
      <c r="Z1294" s="185">
        <v>5.0696067627586973E-2</v>
      </c>
      <c r="AA1294" s="182">
        <v>5.0427981918991234E-2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47893</v>
      </c>
      <c r="Y1295" s="184">
        <f>_xll.qlCalendarAdvance(Calendar,X1295,NDays&amp;"D")</f>
        <v>47893</v>
      </c>
      <c r="Z1295" s="185">
        <v>5.0690612730287833E-2</v>
      </c>
      <c r="AA1295" s="182">
        <v>5.0422935442859439E-2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47900</v>
      </c>
      <c r="Y1296" s="184">
        <f>_xll.qlCalendarAdvance(Calendar,X1296,NDays&amp;"D")</f>
        <v>47900</v>
      </c>
      <c r="Z1296" s="185">
        <v>5.0685101163219962E-2</v>
      </c>
      <c r="AA1296" s="182">
        <v>5.0417832958749763E-2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47907</v>
      </c>
      <c r="Y1297" s="184">
        <f>_xll.qlCalendarAdvance(Calendar,X1297,NDays&amp;"D")</f>
        <v>47907</v>
      </c>
      <c r="Z1297" s="185">
        <v>5.0685723853746277E-2</v>
      </c>
      <c r="AA1297" s="182">
        <v>5.0412674466635186E-2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47914</v>
      </c>
      <c r="Y1298" s="184">
        <f>_xll.qlCalendarAdvance(Calendar,X1298,NDays&amp;"D")</f>
        <v>47914</v>
      </c>
      <c r="Z1298" s="185">
        <v>5.0692449725447696E-2</v>
      </c>
      <c r="AA1298" s="182">
        <v>5.0407459966488696E-2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47921</v>
      </c>
      <c r="Y1299" s="184">
        <f>_xll.qlCalendarAdvance(Calendar,X1299,NDays&amp;"D")</f>
        <v>47921</v>
      </c>
      <c r="Z1299" s="185">
        <v>5.0683654135946492E-2</v>
      </c>
      <c r="AA1299" s="182">
        <v>5.0402189458337306E-2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47928</v>
      </c>
      <c r="Y1300" s="184">
        <f>_xll.qlCalendarAdvance(Calendar,X1300,NDays&amp;"D")</f>
        <v>47928</v>
      </c>
      <c r="Z1300" s="185">
        <v>5.0677891679943805E-2</v>
      </c>
      <c r="AA1300" s="182">
        <v>5.0396862942235041E-2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47935</v>
      </c>
      <c r="Y1301" s="184">
        <f>_xll.qlCalendarAdvance(Calendar,X1301,NDays&amp;"D")</f>
        <v>47935</v>
      </c>
      <c r="Z1301" s="185">
        <v>5.0672072516762028E-2</v>
      </c>
      <c r="AA1301" s="182">
        <v>5.0391480418127875E-2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47942</v>
      </c>
      <c r="Y1302" s="184">
        <f>_xll.qlCalendarAdvance(Calendar,X1302,NDays&amp;"D")</f>
        <v>47942</v>
      </c>
      <c r="Z1302" s="185">
        <v>5.0656984229513757E-2</v>
      </c>
      <c r="AA1302" s="182">
        <v>5.0386041886042829E-2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47953</v>
      </c>
      <c r="Y1303" s="184">
        <f>_xll.qlCalendarAdvance(Calendar,X1303,NDays&amp;"D")</f>
        <v>47953</v>
      </c>
      <c r="Z1303" s="185">
        <v>5.0647659102524195E-2</v>
      </c>
      <c r="AA1303" s="182">
        <v>5.0371224061257491E-2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47960</v>
      </c>
      <c r="Y1304" s="184">
        <f>_xll.qlCalendarAdvance(Calendar,X1304,NDays&amp;"D")</f>
        <v>47960</v>
      </c>
      <c r="Z1304" s="185">
        <v>5.0641652052392287E-2</v>
      </c>
      <c r="AA1304" s="182">
        <v>5.0365651048052129E-2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47967</v>
      </c>
      <c r="Y1305" s="184">
        <f>_xll.qlCalendarAdvance(Calendar,X1305,NDays&amp;"D")</f>
        <v>47967</v>
      </c>
      <c r="Z1305" s="185">
        <v>5.0635588319347474E-2</v>
      </c>
      <c r="AA1305" s="182">
        <v>5.0360022042159613E-2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47974</v>
      </c>
      <c r="Y1306" s="184">
        <f>_xll.qlCalendarAdvance(Calendar,X1306,NDays&amp;"D")</f>
        <v>47974</v>
      </c>
      <c r="Z1306" s="185">
        <v>5.0632516586045395E-2</v>
      </c>
      <c r="AA1306" s="182">
        <v>5.0354337043579944E-2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47981</v>
      </c>
      <c r="Y1307" s="184">
        <f>_xll.qlCalendarAdvance(Calendar,X1307,NDays&amp;"D")</f>
        <v>47981</v>
      </c>
      <c r="Z1307" s="185">
        <v>5.0626334587199423E-2</v>
      </c>
      <c r="AA1307" s="182">
        <v>5.0348596052394168E-2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47988</v>
      </c>
      <c r="Y1308" s="184">
        <f>_xll.qlCalendarAdvance(Calendar,X1308,NDays&amp;"D")</f>
        <v>47988</v>
      </c>
      <c r="Z1308" s="185">
        <v>5.0620095898520283E-2</v>
      </c>
      <c r="AA1308" s="182">
        <v>5.0342799068521238E-2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47995</v>
      </c>
      <c r="Y1309" s="184">
        <f>_xll.qlCalendarAdvance(Calendar,X1309,NDays&amp;"D")</f>
        <v>47995</v>
      </c>
      <c r="Z1309" s="185">
        <v>5.0613800520275781E-2</v>
      </c>
      <c r="AA1309" s="182">
        <v>5.0336946092042201E-2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48002</v>
      </c>
      <c r="Y1310" s="184">
        <f>_xll.qlCalendarAdvance(Calendar,X1310,NDays&amp;"D")</f>
        <v>48002</v>
      </c>
      <c r="Z1310" s="185">
        <v>5.0607448452726675E-2</v>
      </c>
      <c r="AA1310" s="182">
        <v>5.033103712287601E-2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48009</v>
      </c>
      <c r="Y1311" s="184">
        <f>_xll.qlCalendarAdvance(Calendar,X1311,NDays&amp;"D")</f>
        <v>48009</v>
      </c>
      <c r="Z1311" s="185">
        <v>5.0601039696148702E-2</v>
      </c>
      <c r="AA1311" s="182">
        <v>5.0325072161103712E-2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48016</v>
      </c>
      <c r="Y1312" s="184">
        <f>_xll.qlCalendarAdvance(Calendar,X1312,NDays&amp;"D")</f>
        <v>48016</v>
      </c>
      <c r="Z1312" s="185">
        <v>5.0594574250807024E-2</v>
      </c>
      <c r="AA1312" s="182">
        <v>5.0319051206482168E-2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48023</v>
      </c>
      <c r="Y1313" s="184">
        <f>_xll.qlCalendarAdvance(Calendar,X1313,NDays&amp;"D")</f>
        <v>48023</v>
      </c>
      <c r="Z1313" s="185">
        <v>5.058805211698001E-2</v>
      </c>
      <c r="AA1313" s="182">
        <v>5.0312974259497656E-2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48030</v>
      </c>
      <c r="Y1314" s="184">
        <f>_xll.qlCalendarAdvance(Calendar,X1314,NDays&amp;"D")</f>
        <v>48030</v>
      </c>
      <c r="Z1314" s="185">
        <v>5.058147329493988E-2</v>
      </c>
      <c r="AA1314" s="182">
        <v>5.0306841319744944E-2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48037</v>
      </c>
      <c r="Y1315" s="184">
        <f>_xll.qlCalendarAdvance(Calendar,X1315,NDays&amp;"D")</f>
        <v>48037</v>
      </c>
      <c r="Z1315" s="185">
        <v>5.0574837784968525E-2</v>
      </c>
      <c r="AA1315" s="182">
        <v>5.0300652387305078E-2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48044</v>
      </c>
      <c r="Y1316" s="184">
        <f>_xll.qlCalendarAdvance(Calendar,X1316,NDays&amp;"D")</f>
        <v>48044</v>
      </c>
      <c r="Z1316" s="185">
        <v>5.0568145587345209E-2</v>
      </c>
      <c r="AA1316" s="182">
        <v>5.0294407462259105E-2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48051</v>
      </c>
      <c r="Y1317" s="184">
        <f>_xll.qlCalendarAdvance(Calendar,X1317,NDays&amp;"D")</f>
        <v>48051</v>
      </c>
      <c r="Z1317" s="185">
        <v>5.0561396702351824E-2</v>
      </c>
      <c r="AA1317" s="182">
        <v>5.0288106544525979E-2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48058</v>
      </c>
      <c r="Y1318" s="184">
        <f>_xll.qlCalendarAdvance(Calendar,X1318,NDays&amp;"D")</f>
        <v>48058</v>
      </c>
      <c r="Z1318" s="185">
        <v>5.0554591130278208E-2</v>
      </c>
      <c r="AA1318" s="182">
        <v>5.0281749634267792E-2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48065</v>
      </c>
      <c r="Y1319" s="184">
        <f>_xll.qlCalendarAdvance(Calendar,X1319,NDays&amp;"D")</f>
        <v>48065</v>
      </c>
      <c r="Z1319" s="185">
        <v>5.0547728871407141E-2</v>
      </c>
      <c r="AA1319" s="182">
        <v>5.0275336731322451E-2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48072</v>
      </c>
      <c r="Y1320" s="184">
        <f>_xll.qlCalendarAdvance(Calendar,X1320,NDays&amp;"D")</f>
        <v>48072</v>
      </c>
      <c r="Z1320" s="185">
        <v>5.0540809926033728E-2</v>
      </c>
      <c r="AA1320" s="182">
        <v>5.0268867835852049E-2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48079</v>
      </c>
      <c r="Y1321" s="184">
        <f>_xll.qlCalendarAdvance(Calendar,X1321,NDays&amp;"D")</f>
        <v>48079</v>
      </c>
      <c r="Z1321" s="185">
        <v>5.0533834294446925E-2</v>
      </c>
      <c r="AA1321" s="182">
        <v>5.0262342947613448E-2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48086</v>
      </c>
      <c r="Y1322" s="184">
        <f>_xll.qlCalendarAdvance(Calendar,X1322,NDays&amp;"D")</f>
        <v>48086</v>
      </c>
      <c r="Z1322" s="185">
        <v>5.0526801976945368E-2</v>
      </c>
      <c r="AA1322" s="182">
        <v>5.0255762066930831E-2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48093</v>
      </c>
      <c r="Y1323" s="184">
        <f>_xll.qlCalendarAdvance(Calendar,X1323,NDays&amp;"D")</f>
        <v>48093</v>
      </c>
      <c r="Z1323" s="185">
        <v>5.0516748647741784E-2</v>
      </c>
      <c r="AA1323" s="182">
        <v>5.0249125193398969E-2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48100</v>
      </c>
      <c r="Y1324" s="184">
        <f>_xll.qlCalendarAdvance(Calendar,X1324,NDays&amp;"D")</f>
        <v>48100</v>
      </c>
      <c r="Z1324" s="185">
        <v>5.0509607990336998E-2</v>
      </c>
      <c r="AA1324" s="182">
        <v>5.0242432327423092E-2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48107</v>
      </c>
      <c r="Y1325" s="184">
        <f>_xll.qlCalendarAdvance(Calendar,X1325,NDays&amp;"D")</f>
        <v>48107</v>
      </c>
      <c r="Z1325" s="185">
        <v>5.0502410655550049E-2</v>
      </c>
      <c r="AA1325" s="182">
        <v>5.0235683468760062E-2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48114</v>
      </c>
      <c r="Y1326" s="184">
        <f>_xll.qlCalendarAdvance(Calendar,X1326,NDays&amp;"D")</f>
        <v>48114</v>
      </c>
      <c r="Z1326" s="185">
        <v>5.0495156643682856E-2</v>
      </c>
      <c r="AA1326" s="182">
        <v>5.022887861757197E-2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48121</v>
      </c>
      <c r="Y1327" s="184">
        <f>_xll.qlCalendarAdvance(Calendar,X1327,NDays&amp;"D")</f>
        <v>48121</v>
      </c>
      <c r="Z1327" s="185">
        <v>5.0490790111196782E-2</v>
      </c>
      <c r="AA1327" s="182">
        <v>5.0222017773696725E-2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48128</v>
      </c>
      <c r="Y1328" s="184">
        <f>_xll.qlCalendarAdvance(Calendar,X1328,NDays&amp;"D")</f>
        <v>48128</v>
      </c>
      <c r="Z1328" s="185">
        <v>5.0483417684532711E-2</v>
      </c>
      <c r="AA1328" s="182">
        <v>5.0215100937215373E-2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48135</v>
      </c>
      <c r="Y1329" s="184">
        <f>_xll.qlCalendarAdvance(Calendar,X1329,NDays&amp;"D")</f>
        <v>48135</v>
      </c>
      <c r="Z1329" s="185">
        <v>5.0475988574088401E-2</v>
      </c>
      <c r="AA1329" s="182">
        <v>5.020812810820896E-2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48142</v>
      </c>
      <c r="Y1330" s="184">
        <f>_xll.qlCalendarAdvance(Calendar,X1330,NDays&amp;"D")</f>
        <v>48142</v>
      </c>
      <c r="Z1330" s="185">
        <v>5.0468502780173938E-2</v>
      </c>
      <c r="AA1330" s="182">
        <v>5.020109928659644E-2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48149</v>
      </c>
      <c r="Y1331" s="184">
        <f>_xll.qlCalendarAdvance(Calendar,X1331,NDays&amp;"D")</f>
        <v>48149</v>
      </c>
      <c r="Z1331" s="185">
        <v>5.0460960303110862E-2</v>
      </c>
      <c r="AA1331" s="182">
        <v>5.0194014472377813E-2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48156</v>
      </c>
      <c r="Y1332" s="184">
        <f>_xll.qlCalendarAdvance(Calendar,X1332,NDays&amp;"D")</f>
        <v>48156</v>
      </c>
      <c r="Z1332" s="185">
        <v>5.0453361143216323E-2</v>
      </c>
      <c r="AA1332" s="182">
        <v>5.0186873665472032E-2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48163</v>
      </c>
      <c r="Y1333" s="184">
        <f>_xll.qlCalendarAdvance(Calendar,X1333,NDays&amp;"D")</f>
        <v>48163</v>
      </c>
      <c r="Z1333" s="185">
        <v>5.0445705300810086E-2</v>
      </c>
      <c r="AA1333" s="182">
        <v>5.0179676866122236E-2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48170</v>
      </c>
      <c r="Y1334" s="184">
        <f>_xll.qlCalendarAdvance(Calendar,X1334,NDays&amp;"D")</f>
        <v>48170</v>
      </c>
      <c r="Z1334" s="185">
        <v>5.0437992776220741E-2</v>
      </c>
      <c r="AA1334" s="182">
        <v>5.0172424074085287E-2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48177</v>
      </c>
      <c r="Y1335" s="184">
        <f>_xll.qlCalendarAdvance(Calendar,X1335,NDays&amp;"D")</f>
        <v>48177</v>
      </c>
      <c r="Z1335" s="185">
        <v>5.0430223569771608E-2</v>
      </c>
      <c r="AA1335" s="182">
        <v>5.0165115289523277E-2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48184</v>
      </c>
      <c r="Y1336" s="184">
        <f>_xll.qlCalendarAdvance(Calendar,X1336,NDays&amp;"D")</f>
        <v>48184</v>
      </c>
      <c r="Z1336" s="185">
        <v>5.0419499353564101E-2</v>
      </c>
      <c r="AA1336" s="182">
        <v>5.0157750512436206E-2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48191</v>
      </c>
      <c r="Y1337" s="184">
        <f>_xll.qlCalendarAdvance(Calendar,X1337,NDays&amp;"D")</f>
        <v>48191</v>
      </c>
      <c r="Z1337" s="185">
        <v>5.0411621914377695E-2</v>
      </c>
      <c r="AA1337" s="182">
        <v>5.0150329742661981E-2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48198</v>
      </c>
      <c r="Y1338" s="184">
        <f>_xll.qlCalendarAdvance(Calendar,X1338,NDays&amp;"D")</f>
        <v>48198</v>
      </c>
      <c r="Z1338" s="185">
        <v>5.040368780191043E-2</v>
      </c>
      <c r="AA1338" s="182">
        <v>5.0142852980443742E-2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48205</v>
      </c>
      <c r="Y1339" s="184">
        <f>_xll.qlCalendarAdvance(Calendar,X1339,NDays&amp;"D")</f>
        <v>48205</v>
      </c>
      <c r="Z1339" s="185">
        <v>5.0395697016497168E-2</v>
      </c>
      <c r="AA1339" s="182">
        <v>5.0135320225619395E-2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48212</v>
      </c>
      <c r="Y1340" s="184">
        <f>_xll.qlCalendarAdvance(Calendar,X1340,NDays&amp;"D")</f>
        <v>48212</v>
      </c>
      <c r="Z1340" s="185">
        <v>5.03876495584719E-2</v>
      </c>
      <c r="AA1340" s="182">
        <v>5.0127731478188942E-2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48219</v>
      </c>
      <c r="Y1341" s="184">
        <f>_xll.qlCalendarAdvance(Calendar,X1341,NDays&amp;"D")</f>
        <v>48219</v>
      </c>
      <c r="Z1341" s="185">
        <v>5.0379545428169484E-2</v>
      </c>
      <c r="AA1341" s="182">
        <v>5.0120086738233427E-2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48226</v>
      </c>
      <c r="Y1342" s="184">
        <f>_xll.qlCalendarAdvance(Calendar,X1342,NDays&amp;"D")</f>
        <v>48226</v>
      </c>
      <c r="Z1342" s="185">
        <v>5.037138462593193E-2</v>
      </c>
      <c r="AA1342" s="182">
        <v>5.0112386005833898E-2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48233</v>
      </c>
      <c r="Y1343" s="184">
        <f>_xll.qlCalendarAdvance(Calendar,X1343,NDays&amp;"D")</f>
        <v>48233</v>
      </c>
      <c r="Z1343" s="185">
        <v>5.0363167152098556E-2</v>
      </c>
      <c r="AA1343" s="182">
        <v>5.0104629280585122E-2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48240</v>
      </c>
      <c r="Y1344" s="184">
        <f>_xll.qlCalendarAdvance(Calendar,X1344,NDays&amp;"D")</f>
        <v>48240</v>
      </c>
      <c r="Z1344" s="185">
        <v>5.0354893007015816E-2</v>
      </c>
      <c r="AA1344" s="182">
        <v>5.0096816563054425E-2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48247</v>
      </c>
      <c r="Y1345" s="184">
        <f>_xll.qlCalendarAdvance(Calendar,X1345,NDays&amp;"D")</f>
        <v>48247</v>
      </c>
      <c r="Z1345" s="185">
        <v>5.034371007017438E-2</v>
      </c>
      <c r="AA1345" s="182">
        <v>5.008894785291762E-2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48254</v>
      </c>
      <c r="Y1346" s="184">
        <f>_xll.qlCalendarAdvance(Calendar,X1346,NDays&amp;"D")</f>
        <v>48254</v>
      </c>
      <c r="Z1346" s="185">
        <v>5.0335327780518205E-2</v>
      </c>
      <c r="AA1346" s="182">
        <v>5.0081023150093662E-2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48261</v>
      </c>
      <c r="Y1347" s="184">
        <f>_xll.qlCalendarAdvance(Calendar,X1347,NDays&amp;"D")</f>
        <v>48261</v>
      </c>
      <c r="Z1347" s="185">
        <v>5.0326888828206698E-2</v>
      </c>
      <c r="AA1347" s="182">
        <v>5.0073042454906735E-2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48268</v>
      </c>
      <c r="Y1348" s="184">
        <f>_xll.qlCalendarAdvance(Calendar,X1348,NDays&amp;"D")</f>
        <v>48268</v>
      </c>
      <c r="Z1348" s="185">
        <v>5.031839321358926E-2</v>
      </c>
      <c r="AA1348" s="182">
        <v>5.0065005767194748E-2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48275</v>
      </c>
      <c r="Y1349" s="184">
        <f>_xll.qlCalendarAdvance(Calendar,X1349,NDays&amp;"D")</f>
        <v>48275</v>
      </c>
      <c r="Z1349" s="185">
        <v>5.031550327280758E-2</v>
      </c>
      <c r="AA1349" s="182">
        <v>5.0056913086957699E-2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48282</v>
      </c>
      <c r="Y1350" s="184">
        <f>_xll.qlCalendarAdvance(Calendar,X1350,NDays&amp;"D")</f>
        <v>48282</v>
      </c>
      <c r="Z1350" s="185">
        <v>5.0306883879278855E-2</v>
      </c>
      <c r="AA1350" s="182">
        <v>5.0048764414033498E-2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48289</v>
      </c>
      <c r="Y1351" s="184">
        <f>_xll.qlCalendarAdvance(Calendar,X1351,NDays&amp;"D")</f>
        <v>48289</v>
      </c>
      <c r="Z1351" s="185">
        <v>5.0298207809442004E-2</v>
      </c>
      <c r="AA1351" s="182">
        <v>5.0040559748746327E-2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48296</v>
      </c>
      <c r="Y1352" s="184">
        <f>_xll.qlCalendarAdvance(Calendar,X1352,NDays&amp;"D")</f>
        <v>48296</v>
      </c>
      <c r="Z1352" s="185">
        <v>5.0289475063661729E-2</v>
      </c>
      <c r="AA1352" s="182">
        <v>5.003229909085305E-2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48303</v>
      </c>
      <c r="Y1353" s="184">
        <f>_xll.qlCalendarAdvance(Calendar,X1353,NDays&amp;"D")</f>
        <v>48303</v>
      </c>
      <c r="Z1353" s="185">
        <v>5.0280685642309794E-2</v>
      </c>
      <c r="AA1353" s="182">
        <v>5.0023982440434711E-2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48310</v>
      </c>
      <c r="Y1354" s="184">
        <f>_xll.qlCalendarAdvance(Calendar,X1354,NDays&amp;"D")</f>
        <v>48310</v>
      </c>
      <c r="Z1354" s="185">
        <v>5.0269034714789676E-2</v>
      </c>
      <c r="AA1354" s="182">
        <v>5.0015609797572358E-2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48317</v>
      </c>
      <c r="Y1355" s="184">
        <f>_xll.qlCalendarAdvance(Calendar,X1355,NDays&amp;"D")</f>
        <v>48317</v>
      </c>
      <c r="Z1355" s="185">
        <v>5.0260137209336413E-2</v>
      </c>
      <c r="AA1355" s="182">
        <v>5.000718116226599E-2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48324</v>
      </c>
      <c r="Y1356" s="184">
        <f>_xll.qlCalendarAdvance(Calendar,X1356,NDays&amp;"D")</f>
        <v>48324</v>
      </c>
      <c r="Z1356" s="185">
        <v>5.0251183036947047E-2</v>
      </c>
      <c r="AA1356" s="182">
        <v>4.9998696534272469E-2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48331</v>
      </c>
      <c r="Y1357" s="184">
        <f>_xll.qlCalendarAdvance(Calendar,X1357,NDays&amp;"D")</f>
        <v>48331</v>
      </c>
      <c r="Z1357" s="185">
        <v>5.0242172197995642E-2</v>
      </c>
      <c r="AA1357" s="182">
        <v>4.9990155913915979E-2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48338</v>
      </c>
      <c r="Y1358" s="184">
        <f>_xll.qlCalendarAdvance(Calendar,X1358,NDays&amp;"D")</f>
        <v>48338</v>
      </c>
      <c r="Z1358" s="185">
        <v>5.0235888415069423E-2</v>
      </c>
      <c r="AA1358" s="182">
        <v>4.9981559301115475E-2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48345</v>
      </c>
      <c r="Y1359" s="184">
        <f>_xll.qlCalendarAdvance(Calendar,X1359,NDays&amp;"D")</f>
        <v>48345</v>
      </c>
      <c r="Z1359" s="185">
        <v>5.0226758948178067E-2</v>
      </c>
      <c r="AA1359" s="182">
        <v>4.9972906695627817E-2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48352</v>
      </c>
      <c r="Y1360" s="184">
        <f>_xll.qlCalendarAdvance(Calendar,X1360,NDays&amp;"D")</f>
        <v>48352</v>
      </c>
      <c r="Z1360" s="185">
        <v>5.0217572808372843E-2</v>
      </c>
      <c r="AA1360" s="182">
        <v>4.9964198097939283E-2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48359</v>
      </c>
      <c r="Y1361" s="184">
        <f>_xll.qlCalendarAdvance(Calendar,X1361,NDays&amp;"D")</f>
        <v>48359</v>
      </c>
      <c r="Z1361" s="185">
        <v>5.0208329996035181E-2</v>
      </c>
      <c r="AA1361" s="182">
        <v>4.995543350748255E-2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48366</v>
      </c>
      <c r="Y1362" s="184">
        <f>_xll.qlCalendarAdvance(Calendar,X1362,NDays&amp;"D")</f>
        <v>48366</v>
      </c>
      <c r="Z1362" s="185">
        <v>5.0199030511561521E-2</v>
      </c>
      <c r="AA1362" s="182">
        <v>4.9946612924662848E-2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48373</v>
      </c>
      <c r="Y1363" s="184">
        <f>_xll.qlCalendarAdvance(Calendar,X1363,NDays&amp;"D")</f>
        <v>48373</v>
      </c>
      <c r="Z1363" s="185">
        <v>5.018967435534475E-2</v>
      </c>
      <c r="AA1363" s="182">
        <v>4.9937736349399131E-2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48380</v>
      </c>
      <c r="Y1364" s="184">
        <f>_xll.qlCalendarAdvance(Calendar,X1364,NDays&amp;"D")</f>
        <v>48380</v>
      </c>
      <c r="Z1364" s="185">
        <v>5.018026152777777E-2</v>
      </c>
      <c r="AA1364" s="182">
        <v>4.9928803781610354E-2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48387</v>
      </c>
      <c r="Y1365" s="184">
        <f>_xll.qlCalendarAdvance(Calendar,X1365,NDays&amp;"D")</f>
        <v>48387</v>
      </c>
      <c r="Z1365" s="185">
        <v>5.0170792029263167E-2</v>
      </c>
      <c r="AA1365" s="182">
        <v>4.9919815221377561E-2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48394</v>
      </c>
      <c r="Y1366" s="184">
        <f>_xll.qlCalendarAdvance(Calendar,X1366,NDays&amp;"D")</f>
        <v>48394</v>
      </c>
      <c r="Z1366" s="185">
        <v>5.0161265860198249E-2</v>
      </c>
      <c r="AA1366" s="182">
        <v>4.9910770668781801E-2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48401</v>
      </c>
      <c r="Y1367" s="184">
        <f>_xll.qlCalendarAdvance(Calendar,X1367,NDays&amp;"D")</f>
        <v>48401</v>
      </c>
      <c r="Z1367" s="185">
        <v>5.0151683020988248E-2</v>
      </c>
      <c r="AA1367" s="182">
        <v>4.9901670123579933E-2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48408</v>
      </c>
      <c r="Y1368" s="184">
        <f>_xll.qlCalendarAdvance(Calendar,X1368,NDays&amp;"D")</f>
        <v>48408</v>
      </c>
      <c r="Z1368" s="185">
        <v>5.0142043512039269E-2</v>
      </c>
      <c r="AA1368" s="182">
        <v>4.9892513585934051E-2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48415</v>
      </c>
      <c r="Y1369" s="184">
        <f>_xll.qlCalendarAdvance(Calendar,X1369,NDays&amp;"D")</f>
        <v>48415</v>
      </c>
      <c r="Z1369" s="185">
        <v>5.0132347333758313E-2</v>
      </c>
      <c r="AA1369" s="182">
        <v>4.98833010559252E-2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48422</v>
      </c>
      <c r="Y1370" s="184">
        <f>_xll.qlCalendarAdvance(Calendar,X1370,NDays&amp;"D")</f>
        <v>48422</v>
      </c>
      <c r="Z1370" s="185">
        <v>5.0122594486555011E-2</v>
      </c>
      <c r="AA1370" s="182">
        <v>4.9874032533391288E-2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48429</v>
      </c>
      <c r="Y1371" s="184">
        <f>_xll.qlCalendarAdvance(Calendar,X1371,NDays&amp;"D")</f>
        <v>48429</v>
      </c>
      <c r="Z1371" s="185">
        <v>5.0112784970843399E-2</v>
      </c>
      <c r="AA1371" s="182">
        <v>4.9864708018494408E-2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48436</v>
      </c>
      <c r="Y1372" s="184">
        <f>_xll.qlCalendarAdvance(Calendar,X1372,NDays&amp;"D")</f>
        <v>48436</v>
      </c>
      <c r="Z1372" s="185">
        <v>5.0102918787039291E-2</v>
      </c>
      <c r="AA1372" s="182">
        <v>4.9855327511072467E-2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48443</v>
      </c>
      <c r="Y1373" s="184">
        <f>_xll.qlCalendarAdvance(Calendar,X1373,NDays&amp;"D")</f>
        <v>48443</v>
      </c>
      <c r="Z1373" s="185">
        <v>5.0092995935557605E-2</v>
      </c>
      <c r="AA1373" s="182">
        <v>4.9845891011287558E-2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48450</v>
      </c>
      <c r="Y1374" s="184">
        <f>_xll.qlCalendarAdvance(Calendar,X1374,NDays&amp;"D")</f>
        <v>48450</v>
      </c>
      <c r="Z1374" s="185">
        <v>5.0083016416822952E-2</v>
      </c>
      <c r="AA1374" s="182">
        <v>4.9836398519058633E-2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48457</v>
      </c>
      <c r="Y1375" s="184">
        <f>_xll.qlCalendarAdvance(Calendar,X1375,NDays&amp;"D")</f>
        <v>48457</v>
      </c>
      <c r="Z1375" s="185">
        <v>5.0070287556366479E-2</v>
      </c>
      <c r="AA1375" s="182">
        <v>4.9826850034385695E-2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48464</v>
      </c>
      <c r="Y1376" s="184">
        <f>_xll.qlCalendarAdvance(Calendar,X1376,NDays&amp;"D")</f>
        <v>48464</v>
      </c>
      <c r="Z1376" s="185">
        <v>5.0060200127126094E-2</v>
      </c>
      <c r="AA1376" s="182">
        <v>4.9817245557430834E-2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48471</v>
      </c>
      <c r="Y1377" s="184">
        <f>_xll.qlCalendarAdvance(Calendar,X1377,NDays&amp;"D")</f>
        <v>48471</v>
      </c>
      <c r="Z1377" s="185">
        <v>5.0050056039316962E-2</v>
      </c>
      <c r="AA1377" s="182">
        <v>4.9807585087788819E-2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48478</v>
      </c>
      <c r="Y1378" s="184">
        <f>_xll.qlCalendarAdvance(Calendar,X1378,NDays&amp;"D")</f>
        <v>48478</v>
      </c>
      <c r="Z1378" s="185">
        <v>5.0039855293370156E-2</v>
      </c>
      <c r="AA1378" s="182">
        <v>4.9797868625945929E-2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48485</v>
      </c>
      <c r="Y1379" s="184">
        <f>_xll.qlCalendarAdvance(Calendar,X1379,NDays&amp;"D")</f>
        <v>48485</v>
      </c>
      <c r="Z1379" s="185">
        <v>5.0032268829170778E-2</v>
      </c>
      <c r="AA1379" s="182">
        <v>4.9788096171577978E-2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48492</v>
      </c>
      <c r="Y1380" s="184">
        <f>_xll.qlCalendarAdvance(Calendar,X1380,NDays&amp;"D")</f>
        <v>48492</v>
      </c>
      <c r="Z1380" s="185">
        <v>5.0021949315854554E-2</v>
      </c>
      <c r="AA1380" s="182">
        <v>4.9778267724847058E-2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48499</v>
      </c>
      <c r="Y1381" s="184">
        <f>_xll.qlCalendarAdvance(Calendar,X1381,NDays&amp;"D")</f>
        <v>48499</v>
      </c>
      <c r="Z1381" s="185">
        <v>5.0011573138290237E-2</v>
      </c>
      <c r="AA1381" s="182">
        <v>4.9768383285834217E-2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48506</v>
      </c>
      <c r="Y1382" s="184">
        <f>_xll.qlCalendarAdvance(Calendar,X1382,NDays&amp;"D")</f>
        <v>48506</v>
      </c>
      <c r="Z1382" s="185">
        <v>5.0001140296915665E-2</v>
      </c>
      <c r="AA1382" s="182">
        <v>4.9758442854296314E-2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48513</v>
      </c>
      <c r="Y1383" s="184">
        <f>_xll.qlCalendarAdvance(Calendar,X1383,NDays&amp;"D")</f>
        <v>48513</v>
      </c>
      <c r="Z1383" s="185">
        <v>4.9993299595034145E-2</v>
      </c>
      <c r="AA1383" s="182">
        <v>4.974844643047649E-2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48520</v>
      </c>
      <c r="Y1384" s="184">
        <f>_xll.qlCalendarAdvance(Calendar,X1384,NDays&amp;"D")</f>
        <v>48520</v>
      </c>
      <c r="Z1384" s="185">
        <v>4.9980104624508172E-2</v>
      </c>
      <c r="AA1384" s="182">
        <v>4.9738394014131604E-2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48527</v>
      </c>
      <c r="Y1385" s="184">
        <f>_xll.qlCalendarAdvance(Calendar,X1385,NDays&amp;"D")</f>
        <v>48527</v>
      </c>
      <c r="Z1385" s="185">
        <v>4.9969501794365885E-2</v>
      </c>
      <c r="AA1385" s="182">
        <v>4.9728285605585842E-2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48534</v>
      </c>
      <c r="Y1386" s="184">
        <f>_xll.qlCalendarAdvance(Calendar,X1386,NDays&amp;"D")</f>
        <v>48534</v>
      </c>
      <c r="Z1386" s="185">
        <v>4.995884230219283E-2</v>
      </c>
      <c r="AA1386" s="182">
        <v>4.971812120451502E-2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48541</v>
      </c>
      <c r="Y1387" s="184">
        <f>_xll.qlCalendarAdvance(Calendar,X1387,NDays&amp;"D")</f>
        <v>48541</v>
      </c>
      <c r="Z1387" s="185">
        <v>4.9948126148444447E-2</v>
      </c>
      <c r="AA1387" s="182">
        <v>4.9707900811162276E-2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48548</v>
      </c>
      <c r="Y1388" s="184">
        <f>_xll.qlCalendarAdvance(Calendar,X1388,NDays&amp;"D")</f>
        <v>48548</v>
      </c>
      <c r="Z1388" s="185">
        <v>4.9932109840077864E-2</v>
      </c>
      <c r="AA1388" s="182">
        <v>4.9697624425365516E-2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48555</v>
      </c>
      <c r="Y1389" s="184">
        <f>_xll.qlCalendarAdvance(Calendar,X1389,NDays&amp;"D")</f>
        <v>48555</v>
      </c>
      <c r="Z1389" s="185">
        <v>4.9921291400783607E-2</v>
      </c>
      <c r="AA1389" s="182">
        <v>4.9687292047205789E-2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48562</v>
      </c>
      <c r="Y1390" s="184">
        <f>_xll.qlCalendarAdvance(Calendar,X1390,NDays&amp;"D")</f>
        <v>48562</v>
      </c>
      <c r="Z1390" s="185">
        <v>4.9910416315981615E-2</v>
      </c>
      <c r="AA1390" s="182">
        <v>4.9676903676764139E-2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48569</v>
      </c>
      <c r="Y1391" s="184">
        <f>_xll.qlCalendarAdvance(Calendar,X1391,NDays&amp;"D")</f>
        <v>48569</v>
      </c>
      <c r="Z1391" s="185">
        <v>4.9899484586117634E-2</v>
      </c>
      <c r="AA1391" s="182">
        <v>4.9666459313878475E-2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48577</v>
      </c>
      <c r="Y1392" s="184">
        <f>_xll.qlCalendarAdvance(Calendar,X1392,NDays&amp;"D")</f>
        <v>48577</v>
      </c>
      <c r="Z1392" s="185">
        <v>4.9886921819843111E-2</v>
      </c>
      <c r="AA1392" s="182">
        <v>4.96544543373445E-2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48584</v>
      </c>
      <c r="Y1393" s="184">
        <f>_xll.qlCalendarAdvance(Calendar,X1393,NDays&amp;"D")</f>
        <v>48584</v>
      </c>
      <c r="Z1393" s="185">
        <v>4.9875868709237277E-2</v>
      </c>
      <c r="AA1393" s="182">
        <v>4.9643889990870216E-2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48591</v>
      </c>
      <c r="Y1394" s="184">
        <f>_xll.qlCalendarAdvance(Calendar,X1394,NDays&amp;"D")</f>
        <v>48591</v>
      </c>
      <c r="Z1394" s="185">
        <v>4.9864758955001275E-2</v>
      </c>
      <c r="AA1394" s="182">
        <v>4.9633269652114009E-2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48598</v>
      </c>
      <c r="Y1395" s="184">
        <f>_xll.qlCalendarAdvance(Calendar,X1395,NDays&amp;"D")</f>
        <v>48598</v>
      </c>
      <c r="Z1395" s="185">
        <v>4.9853592557595264E-2</v>
      </c>
      <c r="AA1395" s="182">
        <v>4.9622593320994834E-2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48606</v>
      </c>
      <c r="Y1396" s="184">
        <f>_xll.qlCalendarAdvance(Calendar,X1396,NDays&amp;"D")</f>
        <v>48606</v>
      </c>
      <c r="Z1396" s="185">
        <v>4.984076160217249E-2</v>
      </c>
      <c r="AA1396" s="182">
        <v>4.9610323237780918E-2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48613</v>
      </c>
      <c r="Y1397" s="184">
        <f>_xll.qlCalendarAdvance(Calendar,X1397,NDays&amp;"D")</f>
        <v>48613</v>
      </c>
      <c r="Z1397" s="185">
        <v>4.9826903152745558E-2</v>
      </c>
      <c r="AA1397" s="182">
        <v>4.9599526923154169E-2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48620</v>
      </c>
      <c r="Y1398" s="184">
        <f>_xll.qlCalendarAdvance(Calendar,X1398,NDays&amp;"D")</f>
        <v>48620</v>
      </c>
      <c r="Z1398" s="185">
        <v>4.981556432125963E-2</v>
      </c>
      <c r="AA1398" s="182">
        <v>4.9588674616245498E-2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48627</v>
      </c>
      <c r="Y1399" s="184">
        <f>_xll.qlCalendarAdvance(Calendar,X1399,NDays&amp;"D")</f>
        <v>48627</v>
      </c>
      <c r="Z1399" s="185">
        <v>4.9804168855835627E-2</v>
      </c>
      <c r="AA1399" s="182">
        <v>4.9577766317054905E-2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48634</v>
      </c>
      <c r="Y1400" s="184">
        <f>_xll.qlCalendarAdvance(Calendar,X1400,NDays&amp;"D")</f>
        <v>48634</v>
      </c>
      <c r="Z1400" s="185">
        <v>4.979271675693888E-2</v>
      </c>
      <c r="AA1400" s="182">
        <v>4.9566802025339252E-2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48641</v>
      </c>
      <c r="Y1401" s="184">
        <f>_xll.qlCalendarAdvance(Calendar,X1401,NDays&amp;"D")</f>
        <v>48641</v>
      </c>
      <c r="Z1401" s="185">
        <v>4.9788851992136854E-2</v>
      </c>
      <c r="AA1401" s="182">
        <v>4.9555781741584815E-2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48648</v>
      </c>
      <c r="Y1402" s="184">
        <f>_xll.qlCalendarAdvance(Calendar,X1402,NDays&amp;"D")</f>
        <v>48648</v>
      </c>
      <c r="Z1402" s="185">
        <v>4.9777269783582635E-2</v>
      </c>
      <c r="AA1402" s="182">
        <v>4.9544705465386363E-2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48655</v>
      </c>
      <c r="Y1403" s="184">
        <f>_xll.qlCalendarAdvance(Calendar,X1403,NDays&amp;"D")</f>
        <v>48655</v>
      </c>
      <c r="Z1403" s="185">
        <v>4.9765630921133987E-2</v>
      </c>
      <c r="AA1403" s="182">
        <v>4.9533573196905989E-2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48662</v>
      </c>
      <c r="Y1404" s="184">
        <f>_xll.qlCalendarAdvance(Calendar,X1404,NDays&amp;"D")</f>
        <v>48662</v>
      </c>
      <c r="Z1404" s="185">
        <v>4.9753935405288649E-2</v>
      </c>
      <c r="AA1404" s="182">
        <v>4.9522384936143693E-2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48669</v>
      </c>
      <c r="Y1405" s="184">
        <f>_xll.qlCalendarAdvance(Calendar,X1405,NDays&amp;"D")</f>
        <v>48669</v>
      </c>
      <c r="Z1405" s="185">
        <v>4.9739658060459394E-2</v>
      </c>
      <c r="AA1405" s="182">
        <v>4.9511140683261567E-2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48676</v>
      </c>
      <c r="Y1406" s="184">
        <f>_xll.qlCalendarAdvance(Calendar,X1406,NDays&amp;"D")</f>
        <v>48676</v>
      </c>
      <c r="Z1406" s="185">
        <v>4.9727854884342795E-2</v>
      </c>
      <c r="AA1406" s="182">
        <v>4.949984043809752E-2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48683</v>
      </c>
      <c r="Y1407" s="184">
        <f>_xll.qlCalendarAdvance(Calendar,X1407,NDays&amp;"D")</f>
        <v>48683</v>
      </c>
      <c r="Z1407" s="185">
        <v>4.9715995063574263E-2</v>
      </c>
      <c r="AA1407" s="182">
        <v>4.9498647968815757E-2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48690</v>
      </c>
      <c r="Y1408" s="184">
        <f>_xll.qlCalendarAdvance(Calendar,X1408,NDays&amp;"D")</f>
        <v>48690</v>
      </c>
      <c r="Z1408" s="185">
        <v>4.970407859865076E-2</v>
      </c>
      <c r="AA1408" s="182">
        <v>4.947707197068052E-2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48697</v>
      </c>
      <c r="Y1409" s="184">
        <f>_xll.qlCalendarAdvance(Calendar,X1409,NDays&amp;"D")</f>
        <v>48697</v>
      </c>
      <c r="Z1409" s="185">
        <v>4.9692105490070144E-2</v>
      </c>
      <c r="AA1409" s="182">
        <v>4.9465603748589659E-2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48704</v>
      </c>
      <c r="Y1410" s="184">
        <f>_xll.qlCalendarAdvance(Calendar,X1410,NDays&amp;"D")</f>
        <v>48704</v>
      </c>
      <c r="Z1410" s="185">
        <v>4.9682572616708637E-2</v>
      </c>
      <c r="AA1410" s="182">
        <v>4.9454079534216877E-2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48711</v>
      </c>
      <c r="Y1411" s="184">
        <f>_xll.qlCalendarAdvance(Calendar,X1411,NDays&amp;"D")</f>
        <v>48711</v>
      </c>
      <c r="Z1411" s="185">
        <v>4.9670480541061615E-2</v>
      </c>
      <c r="AA1411" s="182">
        <v>4.9442499327724265E-2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48718</v>
      </c>
      <c r="Y1412" s="184">
        <f>_xll.qlCalendarAdvance(Calendar,X1412,NDays&amp;"D")</f>
        <v>48718</v>
      </c>
      <c r="Z1412" s="185">
        <v>4.9658331816039382E-2</v>
      </c>
      <c r="AA1412" s="182">
        <v>4.9430863128868685E-2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48725</v>
      </c>
      <c r="Y1413" s="184">
        <f>_xll.qlCalendarAdvance(Calendar,X1413,NDays&amp;"D")</f>
        <v>48725</v>
      </c>
      <c r="Z1413" s="185">
        <v>4.9646126442161688E-2</v>
      </c>
      <c r="AA1413" s="182">
        <v>4.9419170937893275E-2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48732</v>
      </c>
      <c r="Y1414" s="184">
        <f>_xll.qlCalendarAdvance(Calendar,X1414,NDays&amp;"D")</f>
        <v>48732</v>
      </c>
      <c r="Z1414" s="185">
        <v>4.9633864419941241E-2</v>
      </c>
      <c r="AA1414" s="182">
        <v>4.9407422754635943E-2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48739</v>
      </c>
      <c r="Y1415" s="184">
        <f>_xll.qlCalendarAdvance(Calendar,X1415,NDays&amp;"D")</f>
        <v>48739</v>
      </c>
      <c r="Z1415" s="185">
        <v>4.9621545749898667E-2</v>
      </c>
      <c r="AA1415" s="182">
        <v>4.9395618579177736E-2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48746</v>
      </c>
      <c r="Y1416" s="184">
        <f>_xll.qlCalendarAdvance(Calendar,X1416,NDays&amp;"D")</f>
        <v>48746</v>
      </c>
      <c r="Z1416" s="185">
        <v>4.9609170432554611E-2</v>
      </c>
      <c r="AA1416" s="182">
        <v>4.938375841135656E-2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48753</v>
      </c>
      <c r="Y1417" s="184">
        <f>_xll.qlCalendarAdvance(Calendar,X1417,NDays&amp;"D")</f>
        <v>48753</v>
      </c>
      <c r="Z1417" s="185">
        <v>4.9596738468434105E-2</v>
      </c>
      <c r="AA1417" s="182">
        <v>4.9371842251577647E-2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48760</v>
      </c>
      <c r="Y1418" s="184">
        <f>_xll.qlCalendarAdvance(Calendar,X1418,NDays&amp;"D")</f>
        <v>48760</v>
      </c>
      <c r="Z1418" s="185">
        <v>4.9584249858061306E-2</v>
      </c>
      <c r="AA1418" s="182">
        <v>4.9359870099273673E-2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48767</v>
      </c>
      <c r="Y1419" s="184">
        <f>_xll.qlCalendarAdvance(Calendar,X1419,NDays&amp;"D")</f>
        <v>48767</v>
      </c>
      <c r="Z1419" s="185">
        <v>4.9571704601966547E-2</v>
      </c>
      <c r="AA1419" s="182">
        <v>4.9347841954930916E-2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48774</v>
      </c>
      <c r="Y1420" s="184">
        <f>_xll.qlCalendarAdvance(Calendar,X1420,NDays&amp;"D")</f>
        <v>48774</v>
      </c>
      <c r="Z1420" s="185">
        <v>4.955910270068014E-2</v>
      </c>
      <c r="AA1420" s="182">
        <v>4.9335757818387282E-2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48781</v>
      </c>
      <c r="Y1421" s="184">
        <f>_xll.qlCalendarAdvance(Calendar,X1421,NDays&amp;"D")</f>
        <v>48781</v>
      </c>
      <c r="Z1421" s="185">
        <v>4.954644415473506E-2</v>
      </c>
      <c r="AA1421" s="182">
        <v>4.932361768972382E-2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48788</v>
      </c>
      <c r="Y1422" s="184">
        <f>_xll.qlCalendarAdvance(Calendar,X1422,NDays&amp;"D")</f>
        <v>48788</v>
      </c>
      <c r="Z1422" s="185">
        <v>4.9533728964668684E-2</v>
      </c>
      <c r="AA1422" s="182">
        <v>4.9311421568697389E-2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48795</v>
      </c>
      <c r="Y1423" s="184">
        <f>_xll.qlCalendarAdvance(Calendar,X1423,NDays&amp;"D")</f>
        <v>48795</v>
      </c>
      <c r="Z1423" s="185">
        <v>4.9520957131016612E-2</v>
      </c>
      <c r="AA1423" s="182">
        <v>4.9299169455632175E-2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48802</v>
      </c>
      <c r="Y1424" s="184">
        <f>_xll.qlCalendarAdvance(Calendar,X1424,NDays&amp;"D")</f>
        <v>48802</v>
      </c>
      <c r="Z1424" s="185">
        <v>4.9508128654321505E-2</v>
      </c>
      <c r="AA1424" s="182">
        <v>4.9286861350447131E-2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48809</v>
      </c>
      <c r="Y1425" s="184">
        <f>_xll.qlCalendarAdvance(Calendar,X1425,NDays&amp;"D")</f>
        <v>48809</v>
      </c>
      <c r="Z1425" s="185">
        <v>4.9495243535124266E-2</v>
      </c>
      <c r="AA1425" s="182">
        <v>4.9274497252818072E-2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48816</v>
      </c>
      <c r="Y1426" s="184">
        <f>_xll.qlCalendarAdvance(Calendar,X1426,NDays&amp;"D")</f>
        <v>48816</v>
      </c>
      <c r="Z1426" s="185">
        <v>4.948230177397283E-2</v>
      </c>
      <c r="AA1426" s="182">
        <v>4.9262077163312323E-2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48823</v>
      </c>
      <c r="Y1427" s="184">
        <f>_xll.qlCalendarAdvance(Calendar,X1427,NDays&amp;"D")</f>
        <v>48823</v>
      </c>
      <c r="Z1427" s="185">
        <v>4.9466904053318834E-2</v>
      </c>
      <c r="AA1427" s="182">
        <v>4.9249601081524652E-2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48830</v>
      </c>
      <c r="Y1428" s="184">
        <f>_xll.qlCalendarAdvance(Calendar,X1428,NDays&amp;"D")</f>
        <v>48830</v>
      </c>
      <c r="Z1428" s="185">
        <v>4.9453854813209484E-2</v>
      </c>
      <c r="AA1428" s="182">
        <v>4.9237069007536105E-2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48837</v>
      </c>
      <c r="Y1429" s="184">
        <f>_xll.qlCalendarAdvance(Calendar,X1429,NDays&amp;"D")</f>
        <v>48837</v>
      </c>
      <c r="Z1429" s="185">
        <v>4.9440748939920245E-2</v>
      </c>
      <c r="AA1429" s="182">
        <v>4.9224480941508775E-2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48844</v>
      </c>
      <c r="Y1430" s="184">
        <f>_xll.qlCalendarAdvance(Calendar,X1430,NDays&amp;"D")</f>
        <v>48844</v>
      </c>
      <c r="Z1430" s="185">
        <v>4.9427586433997084E-2</v>
      </c>
      <c r="AA1430" s="182">
        <v>4.9211836883199522E-2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48851</v>
      </c>
      <c r="Y1431" s="184">
        <f>_xll.qlCalendarAdvance(Calendar,X1431,NDays&amp;"D")</f>
        <v>48851</v>
      </c>
      <c r="Z1431" s="185">
        <v>4.9414367295994847E-2</v>
      </c>
      <c r="AA1431" s="182">
        <v>4.9199136832851487E-2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48858</v>
      </c>
      <c r="Y1432" s="184">
        <f>_xll.qlCalendarAdvance(Calendar,X1432,NDays&amp;"D")</f>
        <v>48858</v>
      </c>
      <c r="Z1432" s="185">
        <v>4.9403461756836922E-2</v>
      </c>
      <c r="AA1432" s="182">
        <v>4.9186380790383621E-2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48865</v>
      </c>
      <c r="Y1433" s="184">
        <f>_xll.qlCalendarAdvance(Calendar,X1433,NDays&amp;"D")</f>
        <v>48865</v>
      </c>
      <c r="Z1433" s="185">
        <v>4.939012351746834E-2</v>
      </c>
      <c r="AA1433" s="182">
        <v>4.9173568755795927E-2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48872</v>
      </c>
      <c r="Y1434" s="184">
        <f>_xll.qlCalendarAdvance(Calendar,X1434,NDays&amp;"D")</f>
        <v>48872</v>
      </c>
      <c r="Z1434" s="185">
        <v>4.9376728640591658E-2</v>
      </c>
      <c r="AA1434" s="182">
        <v>4.9160700729007356E-2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48879</v>
      </c>
      <c r="Y1435" s="184">
        <f>_xll.qlCalendarAdvance(Calendar,X1435,NDays&amp;"D")</f>
        <v>48879</v>
      </c>
      <c r="Z1435" s="185">
        <v>4.9363277126776843E-2</v>
      </c>
      <c r="AA1435" s="182">
        <v>4.9147776710261049E-2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48886</v>
      </c>
      <c r="Y1436" s="184">
        <f>_xll.qlCalendarAdvance(Calendar,X1436,NDays&amp;"D")</f>
        <v>48886</v>
      </c>
      <c r="Z1436" s="185">
        <v>4.9349768976590339E-2</v>
      </c>
      <c r="AA1436" s="182">
        <v>4.9134796699232819E-2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48893</v>
      </c>
      <c r="Y1437" s="184">
        <f>_xll.qlCalendarAdvance(Calendar,X1437,NDays&amp;"D")</f>
        <v>48893</v>
      </c>
      <c r="Z1437" s="185">
        <v>4.9336204190606511E-2</v>
      </c>
      <c r="AA1437" s="182">
        <v>4.9121760696165806E-2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48900</v>
      </c>
      <c r="Y1438" s="184">
        <f>_xll.qlCalendarAdvance(Calendar,X1438,NDays&amp;"D")</f>
        <v>48900</v>
      </c>
      <c r="Z1438" s="185">
        <v>4.9322582769396217E-2</v>
      </c>
      <c r="AA1438" s="182">
        <v>4.9108668700978964E-2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48907</v>
      </c>
      <c r="Y1439" s="184">
        <f>_xll.qlCalendarAdvance(Calendar,X1439,NDays&amp;"D")</f>
        <v>48907</v>
      </c>
      <c r="Z1439" s="185">
        <v>4.9308904713539985E-2</v>
      </c>
      <c r="AA1439" s="182">
        <v>4.9095520713753338E-2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48914</v>
      </c>
      <c r="Y1440" s="184">
        <f>_xll.qlCalendarAdvance(Calendar,X1440,NDays&amp;"D")</f>
        <v>48914</v>
      </c>
      <c r="Z1440" s="185">
        <v>4.9290523026691485E-2</v>
      </c>
      <c r="AA1440" s="182">
        <v>4.9082316734488929E-2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48921</v>
      </c>
      <c r="Y1441" s="184">
        <f>_xll.qlCalendarAdvance(Calendar,X1441,NDays&amp;"D")</f>
        <v>48921</v>
      </c>
      <c r="Z1441" s="185">
        <v>4.9276743492873087E-2</v>
      </c>
      <c r="AA1441" s="182">
        <v>4.906905676310469E-2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48928</v>
      </c>
      <c r="Y1442" s="184">
        <f>_xll.qlCalendarAdvance(Calendar,X1442,NDays&amp;"D")</f>
        <v>48928</v>
      </c>
      <c r="Z1442" s="185">
        <v>4.9262907340232781E-2</v>
      </c>
      <c r="AA1442" s="182">
        <v>4.9055740799600622E-2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48935</v>
      </c>
      <c r="Y1443" s="184">
        <f>_xll.qlCalendarAdvance(Calendar,X1443,NDays&amp;"D")</f>
        <v>48935</v>
      </c>
      <c r="Z1443" s="185">
        <v>4.9249014569343302E-2</v>
      </c>
      <c r="AA1443" s="182">
        <v>4.9042368844138817E-2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48942</v>
      </c>
      <c r="Y1444" s="184">
        <f>_xll.qlCalendarAdvance(Calendar,X1444,NDays&amp;"D")</f>
        <v>48942</v>
      </c>
      <c r="Z1444" s="185">
        <v>4.9235065180778276E-2</v>
      </c>
      <c r="AA1444" s="182">
        <v>4.9028940896557183E-2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48949</v>
      </c>
      <c r="Y1445" s="184">
        <f>_xll.qlCalendarAdvance(Calendar,X1445,NDays&amp;"D")</f>
        <v>48949</v>
      </c>
      <c r="Z1445" s="185">
        <v>4.9221059175115829E-2</v>
      </c>
      <c r="AA1445" s="182">
        <v>4.9015456956855719E-2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48956</v>
      </c>
      <c r="Y1446" s="184">
        <f>_xll.qlCalendarAdvance(Calendar,X1446,NDays&amp;"D")</f>
        <v>48956</v>
      </c>
      <c r="Z1446" s="185">
        <v>4.9206996552936803E-2</v>
      </c>
      <c r="AA1446" s="182">
        <v>4.9001917025277564E-2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48963</v>
      </c>
      <c r="Y1447" s="184">
        <f>_xll.qlCalendarAdvance(Calendar,X1447,NDays&amp;"D")</f>
        <v>48963</v>
      </c>
      <c r="Z1447" s="185">
        <v>4.9192877314822019E-2</v>
      </c>
      <c r="AA1447" s="182">
        <v>4.8988321101417487E-2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48971</v>
      </c>
      <c r="Y1448" s="184">
        <f>_xll.qlCalendarAdvance(Calendar,X1448,NDays&amp;"D")</f>
        <v>48971</v>
      </c>
      <c r="Z1448" s="185">
        <v>4.9176671717805709E-2</v>
      </c>
      <c r="AA1448" s="182">
        <v>4.897732850026297E-2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48978</v>
      </c>
      <c r="Y1449" s="184">
        <f>_xll.qlCalendarAdvance(Calendar,X1449,NDays&amp;"D")</f>
        <v>48978</v>
      </c>
      <c r="Z1449" s="185">
        <v>4.9160161271320182E-2</v>
      </c>
      <c r="AA1449" s="182">
        <v>4.8963600912451298E-2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48985</v>
      </c>
      <c r="Y1450" s="184">
        <f>_xll.qlCalendarAdvance(Calendar,X1450,NDays&amp;"D")</f>
        <v>48985</v>
      </c>
      <c r="Z1450" s="185">
        <v>4.9145870058263277E-2</v>
      </c>
      <c r="AA1450" s="182">
        <v>4.8949817318633869E-2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48992</v>
      </c>
      <c r="Y1451" s="184">
        <f>_xll.qlCalendarAdvance(Calendar,X1451,NDays&amp;"D")</f>
        <v>48992</v>
      </c>
      <c r="Z1451" s="185">
        <v>4.9131522238688351E-2</v>
      </c>
      <c r="AA1451" s="182">
        <v>4.8935977718837696E-2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48999</v>
      </c>
      <c r="Y1452" s="184">
        <f>_xll.qlCalendarAdvance(Calendar,X1452,NDays&amp;"D")</f>
        <v>48999</v>
      </c>
      <c r="Z1452" s="185">
        <v>4.9117117813180927E-2</v>
      </c>
      <c r="AA1452" s="182">
        <v>4.89220821130898E-2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49006</v>
      </c>
      <c r="Y1453" s="184">
        <f>_xll.qlCalendarAdvance(Calendar,X1453,NDays&amp;"D")</f>
        <v>49006</v>
      </c>
      <c r="Z1453" s="185">
        <v>4.9113883174610101E-2</v>
      </c>
      <c r="AA1453" s="182">
        <v>4.8908130501363153E-2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49013</v>
      </c>
      <c r="Y1454" s="184">
        <f>_xll.qlCalendarAdvance(Calendar,X1454,NDays&amp;"D")</f>
        <v>49013</v>
      </c>
      <c r="Z1454" s="185">
        <v>4.910157377525487E-2</v>
      </c>
      <c r="AA1454" s="182">
        <v>4.8894122883738809E-2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49020</v>
      </c>
      <c r="Y1455" s="184">
        <f>_xll.qlCalendarAdvance(Calendar,X1455,NDays&amp;"D")</f>
        <v>49020</v>
      </c>
      <c r="Z1455" s="185">
        <v>4.908473139025292E-2</v>
      </c>
      <c r="AA1455" s="182">
        <v>4.8880059260162742E-2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49027</v>
      </c>
      <c r="Y1456" s="184">
        <f>_xll.qlCalendarAdvance(Calendar,X1456,NDays&amp;"D")</f>
        <v>49027</v>
      </c>
      <c r="Z1456" s="185">
        <v>4.9070071795218877E-2</v>
      </c>
      <c r="AA1456" s="182">
        <v>4.8865939630743004E-2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49034</v>
      </c>
      <c r="Y1457" s="184">
        <f>_xll.qlCalendarAdvance(Calendar,X1457,NDays&amp;"D")</f>
        <v>49034</v>
      </c>
      <c r="Z1457" s="185">
        <v>4.9048695347862166E-2</v>
      </c>
      <c r="AA1457" s="182">
        <v>4.8851763995398555E-2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49045</v>
      </c>
      <c r="Y1458" s="184">
        <f>_xll.qlCalendarAdvance(Calendar,X1458,NDays&amp;"D")</f>
        <v>49045</v>
      </c>
      <c r="Z1458" s="185">
        <v>4.9025517006397609E-2</v>
      </c>
      <c r="AA1458" s="182">
        <v>4.8824884875640073E-2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49052</v>
      </c>
      <c r="Y1459" s="184">
        <f>_xll.qlCalendarAdvance(Calendar,X1459,NDays&amp;"D")</f>
        <v>49052</v>
      </c>
      <c r="Z1459" s="185">
        <v>4.901072387201022E-2</v>
      </c>
      <c r="AA1459" s="182">
        <v>4.8810577053649551E-2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49060</v>
      </c>
      <c r="Y1460" s="184">
        <f>_xll.qlCalendarAdvance(Calendar,X1460,NDays&amp;"D")</f>
        <v>49060</v>
      </c>
      <c r="Z1460" s="185">
        <v>4.8993787999613236E-2</v>
      </c>
      <c r="AA1460" s="182">
        <v>4.879415669559406E-2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49067</v>
      </c>
      <c r="Y1461" s="184">
        <f>_xll.qlCalendarAdvance(Calendar,X1461,NDays&amp;"D")</f>
        <v>49067</v>
      </c>
      <c r="Z1461" s="185">
        <v>4.898116369943472E-2</v>
      </c>
      <c r="AA1461" s="182">
        <v>4.877972889082538E-2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49074</v>
      </c>
      <c r="Y1462" s="184">
        <f>_xll.qlCalendarAdvance(Calendar,X1462,NDays&amp;"D")</f>
        <v>49074</v>
      </c>
      <c r="Z1462" s="185">
        <v>4.8966319596469937E-2</v>
      </c>
      <c r="AA1462" s="182">
        <v>4.8765245094261056E-2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49081</v>
      </c>
      <c r="Y1463" s="184">
        <f>_xll.qlCalendarAdvance(Calendar,X1463,NDays&amp;"D")</f>
        <v>49081</v>
      </c>
      <c r="Z1463" s="185">
        <v>4.8951476003625413E-2</v>
      </c>
      <c r="AA1463" s="182">
        <v>4.8750705305657949E-2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49088</v>
      </c>
      <c r="Y1464" s="184">
        <f>_xll.qlCalendarAdvance(Calendar,X1464,NDays&amp;"D")</f>
        <v>49088</v>
      </c>
      <c r="Z1464" s="185">
        <v>4.8936640611585362E-2</v>
      </c>
      <c r="AA1464" s="182">
        <v>4.8736109525097104E-2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49095</v>
      </c>
      <c r="Y1465" s="184">
        <f>_xll.qlCalendarAdvance(Calendar,X1465,NDays&amp;"D")</f>
        <v>49095</v>
      </c>
      <c r="Z1465" s="185">
        <v>4.8921821110922976E-2</v>
      </c>
      <c r="AA1465" s="182">
        <v>4.8721457752821662E-2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49102</v>
      </c>
      <c r="Y1466" s="184">
        <f>_xll.qlCalendarAdvance(Calendar,X1466,NDays&amp;"D")</f>
        <v>49102</v>
      </c>
      <c r="Z1466" s="185">
        <v>4.8907025192094306E-2</v>
      </c>
      <c r="AA1466" s="182">
        <v>4.870674998842639E-2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49109</v>
      </c>
      <c r="Y1467" s="184">
        <f>_xll.qlCalendarAdvance(Calendar,X1467,NDays&amp;"D")</f>
        <v>49109</v>
      </c>
      <c r="Z1467" s="185">
        <v>4.8892260545448783E-2</v>
      </c>
      <c r="AA1467" s="182">
        <v>4.8691986232235474E-2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49116</v>
      </c>
      <c r="Y1468" s="184">
        <f>_xll.qlCalendarAdvance(Calendar,X1468,NDays&amp;"D")</f>
        <v>49116</v>
      </c>
      <c r="Z1468" s="185">
        <v>4.8877534831318778E-2</v>
      </c>
      <c r="AA1468" s="182">
        <v>4.8677172937559021E-2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49123</v>
      </c>
      <c r="Y1469" s="184">
        <f>_xll.qlCalendarAdvance(Calendar,X1469,NDays&amp;"D")</f>
        <v>49123</v>
      </c>
      <c r="Z1469" s="185">
        <v>4.8862853105310508E-2</v>
      </c>
      <c r="AA1469" s="182">
        <v>4.866238279132129E-2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49130</v>
      </c>
      <c r="Y1470" s="184">
        <f>_xll.qlCalendarAdvance(Calendar,X1470,NDays&amp;"D")</f>
        <v>49130</v>
      </c>
      <c r="Z1470" s="185">
        <v>4.8848215834053216E-2</v>
      </c>
      <c r="AA1470" s="182">
        <v>4.8647636512517689E-2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49137</v>
      </c>
      <c r="Y1471" s="184">
        <f>_xll.qlCalendarAdvance(Calendar,X1471,NDays&amp;"D")</f>
        <v>49137</v>
      </c>
      <c r="Z1471" s="185">
        <v>4.883362301706063E-2</v>
      </c>
      <c r="AA1471" s="182">
        <v>4.863293410131031E-2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49144</v>
      </c>
      <c r="Y1472" s="184">
        <f>_xll.qlCalendarAdvance(Calendar,X1472,NDays&amp;"D")</f>
        <v>49144</v>
      </c>
      <c r="Z1472" s="185">
        <v>4.8819074653849111E-2</v>
      </c>
      <c r="AA1472" s="182">
        <v>4.8618275557456014E-2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49151</v>
      </c>
      <c r="Y1473" s="184">
        <f>_xll.qlCalendarAdvance(Calendar,X1473,NDays&amp;"D")</f>
        <v>49151</v>
      </c>
      <c r="Z1473" s="185">
        <v>4.8804570743936779E-2</v>
      </c>
      <c r="AA1473" s="182">
        <v>4.8603660881197941E-2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49158</v>
      </c>
      <c r="Y1474" s="184">
        <f>_xll.qlCalendarAdvance(Calendar,X1474,NDays&amp;"D")</f>
        <v>49158</v>
      </c>
      <c r="Z1474" s="185">
        <v>4.8790111286840888E-2</v>
      </c>
      <c r="AA1474" s="182">
        <v>4.8589090072373997E-2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49165</v>
      </c>
      <c r="Y1475" s="184">
        <f>_xll.qlCalendarAdvance(Calendar,X1475,NDays&amp;"D")</f>
        <v>49165</v>
      </c>
      <c r="Z1475" s="185">
        <v>4.8775696282081331E-2</v>
      </c>
      <c r="AA1475" s="182">
        <v>4.857456313082209E-2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49172</v>
      </c>
      <c r="Y1476" s="184">
        <f>_xll.qlCalendarAdvance(Calendar,X1476,NDays&amp;"D")</f>
        <v>49172</v>
      </c>
      <c r="Z1476" s="185">
        <v>4.8761325729182396E-2</v>
      </c>
      <c r="AA1476" s="182">
        <v>4.8560080056947452E-2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49179</v>
      </c>
      <c r="Y1477" s="184">
        <f>_xll.qlCalendarAdvance(Calendar,X1477,NDays&amp;"D")</f>
        <v>49179</v>
      </c>
      <c r="Z1477" s="185">
        <v>4.8746999627663087E-2</v>
      </c>
      <c r="AA1477" s="182">
        <v>4.8545640850425897E-2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49186</v>
      </c>
      <c r="Y1478" s="184">
        <f>_xll.qlCalendarAdvance(Calendar,X1478,NDays&amp;"D")</f>
        <v>49186</v>
      </c>
      <c r="Z1478" s="185">
        <v>4.8732717977052989E-2</v>
      </c>
      <c r="AA1478" s="182">
        <v>4.8531245511419518E-2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49193</v>
      </c>
      <c r="Y1479" s="184">
        <f>_xll.qlCalendarAdvance(Calendar,X1479,NDays&amp;"D")</f>
        <v>49193</v>
      </c>
      <c r="Z1479" s="185">
        <v>4.8716251216850338E-2</v>
      </c>
      <c r="AA1479" s="182">
        <v>4.8516894039766223E-2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49200</v>
      </c>
      <c r="Y1480" s="184">
        <f>_xll.qlCalendarAdvance(Calendar,X1480,NDays&amp;"D")</f>
        <v>49200</v>
      </c>
      <c r="Z1480" s="185">
        <v>4.8702057174582751E-2</v>
      </c>
      <c r="AA1480" s="182">
        <v>4.8502586435628103E-2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49207</v>
      </c>
      <c r="Y1481" s="184">
        <f>_xll.qlCalendarAdvance(Calendar,X1481,NDays&amp;"D")</f>
        <v>49207</v>
      </c>
      <c r="Z1481" s="185">
        <v>4.8687907575400542E-2</v>
      </c>
      <c r="AA1481" s="182">
        <v>4.848832269900516E-2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49214</v>
      </c>
      <c r="Y1482" s="184">
        <f>_xll.qlCalendarAdvance(Calendar,X1482,NDays&amp;"D")</f>
        <v>49214</v>
      </c>
      <c r="Z1482" s="185">
        <v>4.8673802418837911E-2</v>
      </c>
      <c r="AA1482" s="182">
        <v>4.8474102829654253E-2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49221</v>
      </c>
      <c r="Y1483" s="184">
        <f>_xll.qlCalendarAdvance(Calendar,X1483,NDays&amp;"D")</f>
        <v>49221</v>
      </c>
      <c r="Z1483" s="185">
        <v>4.8661976471069325E-2</v>
      </c>
      <c r="AA1483" s="182">
        <v>4.8459926827818522E-2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49228</v>
      </c>
      <c r="Y1484" s="184">
        <f>_xll.qlCalendarAdvance(Calendar,X1484,NDays&amp;"D")</f>
        <v>49228</v>
      </c>
      <c r="Z1484" s="185">
        <v>4.8647961515999531E-2</v>
      </c>
      <c r="AA1484" s="182">
        <v>4.8445794693335875E-2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49235</v>
      </c>
      <c r="Y1485" s="184">
        <f>_xll.qlCalendarAdvance(Calendar,X1485,NDays&amp;"D")</f>
        <v>49235</v>
      </c>
      <c r="Z1485" s="185">
        <v>4.8633991008551286E-2</v>
      </c>
      <c r="AA1485" s="182">
        <v>4.8431706426287358E-2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49242</v>
      </c>
      <c r="Y1486" s="184">
        <f>_xll.qlCalendarAdvance(Calendar,X1486,NDays&amp;"D")</f>
        <v>49242</v>
      </c>
      <c r="Z1486" s="185">
        <v>4.8620064948260336E-2</v>
      </c>
      <c r="AA1486" s="182">
        <v>4.841766202667297E-2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49249</v>
      </c>
      <c r="Y1487" s="184">
        <f>_xll.qlCalendarAdvance(Calendar,X1487,NDays&amp;"D")</f>
        <v>49249</v>
      </c>
      <c r="Z1487" s="185">
        <v>4.8606183334664183E-2</v>
      </c>
      <c r="AA1487" s="182">
        <v>4.8403661494330619E-2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49256</v>
      </c>
      <c r="Y1488" s="184">
        <f>_xll.qlCalendarAdvance(Calendar,X1488,NDays&amp;"D")</f>
        <v>49256</v>
      </c>
      <c r="Z1488" s="185">
        <v>4.8592346167303874E-2</v>
      </c>
      <c r="AA1488" s="182">
        <v>4.838970482958449E-2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49263</v>
      </c>
      <c r="Y1489" s="184">
        <f>_xll.qlCalendarAdvance(Calendar,X1489,NDays&amp;"D")</f>
        <v>49263</v>
      </c>
      <c r="Z1489" s="185">
        <v>4.8578553445719541E-2</v>
      </c>
      <c r="AA1489" s="182">
        <v>4.8375792032110398E-2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49270</v>
      </c>
      <c r="Y1490" s="184">
        <f>_xll.qlCalendarAdvance(Calendar,X1490,NDays&amp;"D")</f>
        <v>49270</v>
      </c>
      <c r="Z1490" s="185">
        <v>4.8564805169453988E-2</v>
      </c>
      <c r="AA1490" s="182">
        <v>4.8361923102070437E-2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49277</v>
      </c>
      <c r="Y1491" s="184">
        <f>_xll.qlCalendarAdvance(Calendar,X1491,NDays&amp;"D")</f>
        <v>49277</v>
      </c>
      <c r="Z1491" s="185">
        <v>4.8548855851799813E-2</v>
      </c>
      <c r="AA1491" s="182">
        <v>4.8348098039383558E-2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49284</v>
      </c>
      <c r="Y1492" s="184">
        <f>_xll.qlCalendarAdvance(Calendar,X1492,NDays&amp;"D")</f>
        <v>49284</v>
      </c>
      <c r="Z1492" s="185">
        <v>4.8532948571394112E-2</v>
      </c>
      <c r="AA1492" s="182">
        <v>4.8334316844130809E-2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49291</v>
      </c>
      <c r="Y1493" s="184">
        <f>_xll.qlCalendarAdvance(Calendar,X1493,NDays&amp;"D")</f>
        <v>49291</v>
      </c>
      <c r="Z1493" s="185">
        <v>4.8519330879172089E-2</v>
      </c>
      <c r="AA1493" s="182">
        <v>4.8320579516150097E-2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49298</v>
      </c>
      <c r="Y1494" s="184">
        <f>_xll.qlCalendarAdvance(Calendar,X1494,NDays&amp;"D")</f>
        <v>49298</v>
      </c>
      <c r="Z1494" s="185">
        <v>4.8505757617772025E-2</v>
      </c>
      <c r="AA1494" s="182">
        <v>4.8306886055684561E-2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49305</v>
      </c>
      <c r="Y1495" s="184">
        <f>_xll.qlCalendarAdvance(Calendar,X1495,NDays&amp;"D")</f>
        <v>49305</v>
      </c>
      <c r="Z1495" s="185">
        <v>4.8492228786751745E-2</v>
      </c>
      <c r="AA1495" s="182">
        <v>4.8293236462410016E-2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49312</v>
      </c>
      <c r="Y1496" s="184">
        <f>_xll.qlCalendarAdvance(Calendar,X1496,NDays&amp;"D")</f>
        <v>49312</v>
      </c>
      <c r="Z1496" s="185">
        <v>4.8478744385674517E-2</v>
      </c>
      <c r="AA1496" s="182">
        <v>4.8279630736650647E-2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49319</v>
      </c>
      <c r="Y1497" s="184">
        <f>_xll.qlCalendarAdvance(Calendar,X1497,NDays&amp;"D")</f>
        <v>49319</v>
      </c>
      <c r="Z1497" s="185">
        <v>4.8465304414102683E-2</v>
      </c>
      <c r="AA1497" s="182">
        <v>4.8266068878082269E-2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49326</v>
      </c>
      <c r="Y1498" s="184">
        <f>_xll.qlCalendarAdvance(Calendar,X1498,NDays&amp;"D")</f>
        <v>49326</v>
      </c>
      <c r="Z1498" s="185">
        <v>4.8451908871596797E-2</v>
      </c>
      <c r="AA1498" s="182">
        <v>4.8252550886866974E-2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49333</v>
      </c>
      <c r="Y1499" s="184">
        <f>_xll.qlCalendarAdvance(Calendar,X1499,NDays&amp;"D")</f>
        <v>49333</v>
      </c>
      <c r="Z1499" s="185">
        <v>4.843855775772641E-2</v>
      </c>
      <c r="AA1499" s="182">
        <v>4.8239076763085809E-2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49340</v>
      </c>
      <c r="Y1500" s="184">
        <f>_xll.qlCalendarAdvance(Calendar,X1500,NDays&amp;"D")</f>
        <v>49340</v>
      </c>
      <c r="Z1500" s="185">
        <v>4.8422993711191874E-2</v>
      </c>
      <c r="AA1500" s="182">
        <v>4.8225646506657727E-2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49347</v>
      </c>
      <c r="Y1501" s="184">
        <f>_xll.qlCalendarAdvance(Calendar,X1501,NDays&amp;"D")</f>
        <v>49347</v>
      </c>
      <c r="Z1501" s="185">
        <v>4.8409730029120059E-2</v>
      </c>
      <c r="AA1501" s="182">
        <v>4.8212260117501682E-2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49354</v>
      </c>
      <c r="Y1502" s="184">
        <f>_xll.qlCalendarAdvance(Calendar,X1502,NDays&amp;"D")</f>
        <v>49354</v>
      </c>
      <c r="Z1502" s="185">
        <v>4.8396510768083108E-2</v>
      </c>
      <c r="AA1502" s="182">
        <v>4.819891759569872E-2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49361</v>
      </c>
      <c r="Y1503" s="184">
        <f>_xll.qlCalendarAdvance(Calendar,X1503,NDays&amp;"D")</f>
        <v>49361</v>
      </c>
      <c r="Z1503" s="185">
        <v>4.8383335927660316E-2</v>
      </c>
      <c r="AA1503" s="182">
        <v>4.8185618941248842E-2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49368</v>
      </c>
      <c r="Y1504" s="184">
        <f>_xll.qlCalendarAdvance(Calendar,X1504,NDays&amp;"D")</f>
        <v>49368</v>
      </c>
      <c r="Z1504" s="185">
        <v>4.8376995807362953E-2</v>
      </c>
      <c r="AA1504" s="182">
        <v>4.8172364154071001E-2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49375</v>
      </c>
      <c r="Y1505" s="184">
        <f>_xll.qlCalendarAdvance(Calendar,X1505,NDays&amp;"D")</f>
        <v>49375</v>
      </c>
      <c r="Z1505" s="185">
        <v>4.8363914156958628E-2</v>
      </c>
      <c r="AA1505" s="182">
        <v>4.815915323432729E-2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49382</v>
      </c>
      <c r="Y1506" s="184">
        <f>_xll.qlCalendarAdvance(Calendar,X1506,NDays&amp;"D")</f>
        <v>49382</v>
      </c>
      <c r="Z1506" s="185">
        <v>4.835087694474894E-2</v>
      </c>
      <c r="AA1506" s="182">
        <v>4.8145986181693523E-2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49389</v>
      </c>
      <c r="Y1507" s="184">
        <f>_xll.qlCalendarAdvance(Calendar,X1507,NDays&amp;"D")</f>
        <v>49389</v>
      </c>
      <c r="Z1507" s="185">
        <v>4.8337884170303984E-2</v>
      </c>
      <c r="AA1507" s="182">
        <v>4.8132862996493886E-2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49396</v>
      </c>
      <c r="Y1508" s="184">
        <f>_xll.qlCalendarAdvance(Calendar,X1508,NDays&amp;"D")</f>
        <v>49396</v>
      </c>
      <c r="Z1508" s="185">
        <v>4.8324935833192986E-2</v>
      </c>
      <c r="AA1508" s="182">
        <v>4.8119783678566286E-2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49403</v>
      </c>
      <c r="Y1509" s="184">
        <f>_xll.qlCalendarAdvance(Calendar,X1509,NDays&amp;"D")</f>
        <v>49403</v>
      </c>
      <c r="Z1509" s="185">
        <v>4.8309760845408209E-2</v>
      </c>
      <c r="AA1509" s="182">
        <v>4.8106748227910723E-2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49410</v>
      </c>
      <c r="Y1510" s="184">
        <f>_xll.qlCalendarAdvance(Calendar,X1510,NDays&amp;"D")</f>
        <v>49410</v>
      </c>
      <c r="Z1510" s="185">
        <v>4.8296899899613596E-2</v>
      </c>
      <c r="AA1510" s="182">
        <v>4.8093756644608243E-2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49417</v>
      </c>
      <c r="Y1511" s="184">
        <f>_xll.qlCalendarAdvance(Calendar,X1511,NDays&amp;"D")</f>
        <v>49417</v>
      </c>
      <c r="Z1511" s="185">
        <v>4.8284083383607429E-2</v>
      </c>
      <c r="AA1511" s="182">
        <v>4.8080808928496754E-2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49425</v>
      </c>
      <c r="Y1512" s="184">
        <f>_xll.qlCalendarAdvance(Calendar,X1512,NDays&amp;"D")</f>
        <v>49425</v>
      </c>
      <c r="Z1512" s="185">
        <v>4.8269490340026693E-2</v>
      </c>
      <c r="AA1512" s="182">
        <v>4.8066065253710155E-2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49432</v>
      </c>
      <c r="Y1513" s="184">
        <f>_xll.qlCalendarAdvance(Calendar,X1513,NDays&amp;"D")</f>
        <v>49432</v>
      </c>
      <c r="Z1513" s="185">
        <v>4.8259046297582188E-2</v>
      </c>
      <c r="AA1513" s="182">
        <v>4.8053211538965357E-2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49439</v>
      </c>
      <c r="Y1514" s="184">
        <f>_xll.qlCalendarAdvance(Calendar,X1514,NDays&amp;"D")</f>
        <v>49439</v>
      </c>
      <c r="Z1514" s="185">
        <v>4.8246370923292196E-2</v>
      </c>
      <c r="AA1514" s="182">
        <v>4.8040401691573642E-2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49446</v>
      </c>
      <c r="Y1515" s="184">
        <f>_xll.qlCalendarAdvance(Calendar,X1515,NDays&amp;"D")</f>
        <v>49446</v>
      </c>
      <c r="Z1515" s="185">
        <v>4.8233739983300453E-2</v>
      </c>
      <c r="AA1515" s="182">
        <v>4.8027635711210825E-2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49453</v>
      </c>
      <c r="Y1516" s="184">
        <f>_xll.qlCalendarAdvance(Calendar,X1516,NDays&amp;"D")</f>
        <v>49453</v>
      </c>
      <c r="Z1516" s="185">
        <v>4.8221153477184989E-2</v>
      </c>
      <c r="AA1516" s="182">
        <v>4.8014913598363185E-2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49460</v>
      </c>
      <c r="Y1517" s="184">
        <f>_xll.qlCalendarAdvance(Calendar,X1517,NDays&amp;"D")</f>
        <v>49460</v>
      </c>
      <c r="Z1517" s="185">
        <v>4.8208611404532635E-2</v>
      </c>
      <c r="AA1517" s="182">
        <v>4.8002235352706535E-2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49467</v>
      </c>
      <c r="Y1518" s="184">
        <f>_xll.qlCalendarAdvance(Calendar,X1518,NDays&amp;"D")</f>
        <v>49467</v>
      </c>
      <c r="Z1518" s="185">
        <v>4.8196113764921431E-2</v>
      </c>
      <c r="AA1518" s="182">
        <v>4.798960097415983E-2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49474</v>
      </c>
      <c r="Y1519" s="184">
        <f>_xll.qlCalendarAdvance(Calendar,X1519,NDays&amp;"D")</f>
        <v>49474</v>
      </c>
      <c r="Z1519" s="185">
        <v>4.8183660557942619E-2</v>
      </c>
      <c r="AA1519" s="182">
        <v>4.7977010463047254E-2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49481</v>
      </c>
      <c r="Y1520" s="184">
        <f>_xll.qlCalendarAdvance(Calendar,X1520,NDays&amp;"D")</f>
        <v>49481</v>
      </c>
      <c r="Z1520" s="185">
        <v>4.8171251783180394E-2</v>
      </c>
      <c r="AA1520" s="182">
        <v>4.7964463818963576E-2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49488</v>
      </c>
      <c r="Y1521" s="184">
        <f>_xll.qlCalendarAdvance(Calendar,X1521,NDays&amp;"D")</f>
        <v>49488</v>
      </c>
      <c r="Z1521" s="185">
        <v>4.8158887440222481E-2</v>
      </c>
      <c r="AA1521" s="182">
        <v>4.7951961042314029E-2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49495</v>
      </c>
      <c r="Y1522" s="184">
        <f>_xll.qlCalendarAdvance(Calendar,X1522,NDays&amp;"D")</f>
        <v>49495</v>
      </c>
      <c r="Z1522" s="185">
        <v>4.8146567528661005E-2</v>
      </c>
      <c r="AA1522" s="182">
        <v>4.7939502132855472E-2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49502</v>
      </c>
      <c r="Y1523" s="184">
        <f>_xll.qlCalendarAdvance(Calendar,X1523,NDays&amp;"D")</f>
        <v>49502</v>
      </c>
      <c r="Z1523" s="185">
        <v>4.8134292048083685E-2</v>
      </c>
      <c r="AA1523" s="182">
        <v>4.7927087090587905E-2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49509</v>
      </c>
      <c r="Y1524" s="184">
        <f>_xll.qlCalendarAdvance(Calendar,X1524,NDays&amp;"D")</f>
        <v>49509</v>
      </c>
      <c r="Z1524" s="185">
        <v>4.8122060998087059E-2</v>
      </c>
      <c r="AA1524" s="182">
        <v>4.791471591551133E-2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49516</v>
      </c>
      <c r="Y1525" s="184">
        <f>_xll.qlCalendarAdvance(Calendar,X1525,NDays&amp;"D")</f>
        <v>49516</v>
      </c>
      <c r="Z1525" s="185">
        <v>4.8109874378261482E-2</v>
      </c>
      <c r="AA1525" s="182">
        <v>4.7902388607706792E-2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49523</v>
      </c>
      <c r="Y1526" s="184">
        <f>_xll.qlCalendarAdvance(Calendar,X1526,NDays&amp;"D")</f>
        <v>49523</v>
      </c>
      <c r="Z1526" s="185">
        <v>4.8097732188207003E-2</v>
      </c>
      <c r="AA1526" s="182">
        <v>4.7890105167174291E-2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49530</v>
      </c>
      <c r="Y1527" s="184">
        <f>_xll.qlCalendarAdvance(Calendar,X1527,NDays&amp;"D")</f>
        <v>49530</v>
      </c>
      <c r="Z1527" s="185">
        <v>4.808563442751753E-2</v>
      </c>
      <c r="AA1527" s="182">
        <v>4.7877865593751734E-2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49537</v>
      </c>
      <c r="Y1528" s="184">
        <f>_xll.qlCalendarAdvance(Calendar,X1528,NDays&amp;"D")</f>
        <v>49537</v>
      </c>
      <c r="Z1528" s="185">
        <v>4.8073581095793981E-2</v>
      </c>
      <c r="AA1528" s="182">
        <v>4.7865669887682261E-2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49544</v>
      </c>
      <c r="Y1529" s="184">
        <f>_xll.qlCalendarAdvance(Calendar,X1529,NDays&amp;"D")</f>
        <v>49544</v>
      </c>
      <c r="Z1529" s="185">
        <v>4.8061572192633767E-2</v>
      </c>
      <c r="AA1529" s="182">
        <v>4.7853518048641686E-2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49551</v>
      </c>
      <c r="Y1530" s="184">
        <f>_xll.qlCalendarAdvance(Calendar,X1530,NDays&amp;"D")</f>
        <v>49551</v>
      </c>
      <c r="Z1530" s="185">
        <v>4.8049607717639595E-2</v>
      </c>
      <c r="AA1530" s="182">
        <v>4.7841410076873148E-2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49558</v>
      </c>
      <c r="Y1531" s="184">
        <f>_xll.qlCalendarAdvance(Calendar,X1531,NDays&amp;"D")</f>
        <v>49558</v>
      </c>
      <c r="Z1531" s="185">
        <v>4.8035382307412097E-2</v>
      </c>
      <c r="AA1531" s="182">
        <v>4.78293459722956E-2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49565</v>
      </c>
      <c r="Y1532" s="184">
        <f>_xll.qlCalendarAdvance(Calendar,X1532,NDays&amp;"D")</f>
        <v>49565</v>
      </c>
      <c r="Z1532" s="185">
        <v>4.8023505067926631E-2</v>
      </c>
      <c r="AA1532" s="182">
        <v>4.7817325734746952E-2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49572</v>
      </c>
      <c r="Y1533" s="184">
        <f>_xll.qlCalendarAdvance(Calendar,X1533,NDays&amp;"D")</f>
        <v>49572</v>
      </c>
      <c r="Z1533" s="185">
        <v>4.8011672249258411E-2</v>
      </c>
      <c r="AA1533" s="182">
        <v>4.7805349364632432E-2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49579</v>
      </c>
      <c r="Y1534" s="184">
        <f>_xll.qlCalendarAdvance(Calendar,X1534,NDays&amp;"D")</f>
        <v>49579</v>
      </c>
      <c r="Z1534" s="185">
        <v>4.7999883851020012E-2</v>
      </c>
      <c r="AA1534" s="182">
        <v>4.7793416861627858E-2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49586</v>
      </c>
      <c r="Y1535" s="184">
        <f>_xll.qlCalendarAdvance(Calendar,X1535,NDays&amp;"D")</f>
        <v>49586</v>
      </c>
      <c r="Z1535" s="185">
        <v>4.7990451751330342E-2</v>
      </c>
      <c r="AA1535" s="182">
        <v>4.778152822589532E-2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49593</v>
      </c>
      <c r="Y1536" s="184">
        <f>_xll.qlCalendarAdvance(Calendar,X1536,NDays&amp;"D")</f>
        <v>49593</v>
      </c>
      <c r="Z1536" s="185">
        <v>4.7978753837051573E-2</v>
      </c>
      <c r="AA1536" s="182">
        <v>4.7769683457110634E-2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49600</v>
      </c>
      <c r="Y1537" s="184">
        <f>_xll.qlCalendarAdvance(Calendar,X1537,NDays&amp;"D")</f>
        <v>49600</v>
      </c>
      <c r="Z1537" s="185">
        <v>4.7967100348192085E-2</v>
      </c>
      <c r="AA1537" s="182">
        <v>4.7757882555679032E-2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49607</v>
      </c>
      <c r="Y1538" s="184">
        <f>_xll.qlCalendarAdvance(Calendar,X1538,NDays&amp;"D")</f>
        <v>49607</v>
      </c>
      <c r="Z1538" s="185">
        <v>4.7955491284365138E-2</v>
      </c>
      <c r="AA1538" s="182">
        <v>4.7746125521276328E-2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49614</v>
      </c>
      <c r="Y1539" s="184">
        <f>_xll.qlCalendarAdvance(Calendar,X1539,NDays&amp;"D")</f>
        <v>49614</v>
      </c>
      <c r="Z1539" s="185">
        <v>4.7943926645184883E-2</v>
      </c>
      <c r="AA1539" s="182">
        <v>4.7734412354145661E-2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49621</v>
      </c>
      <c r="Y1540" s="184">
        <f>_xll.qlCalendarAdvance(Calendar,X1540,NDays&amp;"D")</f>
        <v>49621</v>
      </c>
      <c r="Z1540" s="185">
        <v>4.7932406430268991E-2</v>
      </c>
      <c r="AA1540" s="182">
        <v>4.7722743054043892E-2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49628</v>
      </c>
      <c r="Y1541" s="184">
        <f>_xll.qlCalendarAdvance(Calendar,X1541,NDays&amp;"D")</f>
        <v>49628</v>
      </c>
      <c r="Z1541" s="185">
        <v>4.7920930639234249E-2</v>
      </c>
      <c r="AA1541" s="182">
        <v>4.7711117621214161E-2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49635</v>
      </c>
      <c r="Y1542" s="184">
        <f>_xll.qlCalendarAdvance(Calendar,X1542,NDays&amp;"D")</f>
        <v>49635</v>
      </c>
      <c r="Z1542" s="185">
        <v>4.7909499271700982E-2</v>
      </c>
      <c r="AA1542" s="182">
        <v>4.7699536055413327E-2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49642</v>
      </c>
      <c r="Y1543" s="184">
        <f>_xll.qlCalendarAdvance(Calendar,X1543,NDays&amp;"D")</f>
        <v>49642</v>
      </c>
      <c r="Z1543" s="185">
        <v>4.7898112327286864E-2</v>
      </c>
      <c r="AA1543" s="182">
        <v>4.7687998356884531E-2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49649</v>
      </c>
      <c r="Y1544" s="184">
        <f>_xll.qlCalendarAdvance(Calendar,X1544,NDays&amp;"D")</f>
        <v>49649</v>
      </c>
      <c r="Z1544" s="185">
        <v>4.7884442907854714E-2</v>
      </c>
      <c r="AA1544" s="182">
        <v>4.7676504525546726E-2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49656</v>
      </c>
      <c r="Y1545" s="184">
        <f>_xll.qlCalendarAdvance(Calendar,X1545,NDays&amp;"D")</f>
        <v>49656</v>
      </c>
      <c r="Z1545" s="185">
        <v>4.7873143109125646E-2</v>
      </c>
      <c r="AA1545" s="182">
        <v>4.7665054561156772E-2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49663</v>
      </c>
      <c r="Y1546" s="184">
        <f>_xll.qlCalendarAdvance(Calendar,X1546,NDays&amp;"D")</f>
        <v>49663</v>
      </c>
      <c r="Z1546" s="185">
        <v>4.7861887726282464E-2</v>
      </c>
      <c r="AA1546" s="182">
        <v>4.7653648464038856E-2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49670</v>
      </c>
      <c r="Y1547" s="184">
        <f>_xll.qlCalendarAdvance(Calendar,X1547,NDays&amp;"D")</f>
        <v>49670</v>
      </c>
      <c r="Z1547" s="185">
        <v>4.7850676758951112E-2</v>
      </c>
      <c r="AA1547" s="182">
        <v>4.7642286233949838E-2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49677</v>
      </c>
      <c r="Y1548" s="184">
        <f>_xll.qlCalendarAdvance(Calendar,X1548,NDays&amp;"D")</f>
        <v>49677</v>
      </c>
      <c r="Z1548" s="185">
        <v>4.7839510206767334E-2</v>
      </c>
      <c r="AA1548" s="182">
        <v>4.7630967870970764E-2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49684</v>
      </c>
      <c r="Y1549" s="184">
        <f>_xll.qlCalendarAdvance(Calendar,X1549,NDays&amp;"D")</f>
        <v>49684</v>
      </c>
      <c r="Z1549" s="185">
        <v>4.7828388069362397E-2</v>
      </c>
      <c r="AA1549" s="182">
        <v>4.7619693375101635E-2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49691</v>
      </c>
      <c r="Y1550" s="184">
        <f>_xll.qlCalendarAdvance(Calendar,X1550,NDays&amp;"D")</f>
        <v>49691</v>
      </c>
      <c r="Z1550" s="185">
        <v>4.7817310346372946E-2</v>
      </c>
      <c r="AA1550" s="182">
        <v>4.7608462746423497E-2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49698</v>
      </c>
      <c r="Y1551" s="184">
        <f>_xll.qlCalendarAdvance(Calendar,X1551,NDays&amp;"D")</f>
        <v>49698</v>
      </c>
      <c r="Z1551" s="185">
        <v>4.7806277037434709E-2</v>
      </c>
      <c r="AA1551" s="182">
        <v>4.7597275984855303E-2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49705</v>
      </c>
      <c r="Y1552" s="184">
        <f>_xll.qlCalendarAdvance(Calendar,X1552,NDays&amp;"D")</f>
        <v>49705</v>
      </c>
      <c r="Z1552" s="185">
        <v>4.7792947848864863E-2</v>
      </c>
      <c r="AA1552" s="182">
        <v>4.7586133090397054E-2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49712</v>
      </c>
      <c r="Y1553" s="184">
        <f>_xll.qlCalendarAdvance(Calendar,X1553,NDays&amp;"D")</f>
        <v>49712</v>
      </c>
      <c r="Z1553" s="185">
        <v>4.7782001619439428E-2</v>
      </c>
      <c r="AA1553" s="182">
        <v>4.7575034062967703E-2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49719</v>
      </c>
      <c r="Y1554" s="184">
        <f>_xll.qlCalendarAdvance(Calendar,X1554,NDays&amp;"D")</f>
        <v>49719</v>
      </c>
      <c r="Z1554" s="185">
        <v>4.7771099796907475E-2</v>
      </c>
      <c r="AA1554" s="182">
        <v>4.7563978902729342E-2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49726</v>
      </c>
      <c r="Y1555" s="184">
        <f>_xll.qlCalendarAdvance(Calendar,X1555,NDays&amp;"D")</f>
        <v>49726</v>
      </c>
      <c r="Z1555" s="185">
        <v>4.7760242380914204E-2</v>
      </c>
      <c r="AA1555" s="182">
        <v>4.7552967609600927E-2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49733</v>
      </c>
      <c r="Y1556" s="184">
        <f>_xll.qlCalendarAdvance(Calendar,X1556,NDays&amp;"D")</f>
        <v>49733</v>
      </c>
      <c r="Z1556" s="185">
        <v>4.7749429371106614E-2</v>
      </c>
      <c r="AA1556" s="182">
        <v>4.7542000183420363E-2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49740</v>
      </c>
      <c r="Y1557" s="184">
        <f>_xll.qlCalendarAdvance(Calendar,X1557,NDays&amp;"D")</f>
        <v>49740</v>
      </c>
      <c r="Z1557" s="185">
        <v>4.7743359324409117E-2</v>
      </c>
      <c r="AA1557" s="182">
        <v>4.753107662443079E-2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49747</v>
      </c>
      <c r="Y1558" s="184">
        <f>_xll.qlCalendarAdvance(Calendar,X1558,NDays&amp;"D")</f>
        <v>49747</v>
      </c>
      <c r="Z1558" s="185">
        <v>4.7732638682314185E-2</v>
      </c>
      <c r="AA1558" s="182">
        <v>4.7520196932551162E-2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49754</v>
      </c>
      <c r="Y1559" s="184">
        <f>_xll.qlCalendarAdvance(Calendar,X1559,NDays&amp;"D")</f>
        <v>49754</v>
      </c>
      <c r="Z1559" s="185">
        <v>4.7721962457473996E-2</v>
      </c>
      <c r="AA1559" s="182">
        <v>4.7509361107700432E-2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49761</v>
      </c>
      <c r="Y1560" s="184">
        <f>_xll.qlCalendarAdvance(Calendar,X1560,NDays&amp;"D")</f>
        <v>49761</v>
      </c>
      <c r="Z1560" s="185">
        <v>4.7711330649533527E-2</v>
      </c>
      <c r="AA1560" s="182">
        <v>4.74985691498786E-2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49768</v>
      </c>
      <c r="Y1561" s="184">
        <f>_xll.qlCalendarAdvance(Calendar,X1561,NDays&amp;"D")</f>
        <v>49768</v>
      </c>
      <c r="Z1561" s="185">
        <v>4.7698386641957725E-2</v>
      </c>
      <c r="AA1561" s="182">
        <v>4.7487821059247759E-2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49775</v>
      </c>
      <c r="Y1562" s="184">
        <f>_xll.qlCalendarAdvance(Calendar,X1562,NDays&amp;"D")</f>
        <v>49775</v>
      </c>
      <c r="Z1562" s="185">
        <v>4.7687841864009976E-2</v>
      </c>
      <c r="AA1562" s="182">
        <v>4.7486418563019273E-2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49782</v>
      </c>
      <c r="Y1563" s="184">
        <f>_xll.qlCalendarAdvance(Calendar,X1563,NDays&amp;"D")</f>
        <v>49782</v>
      </c>
      <c r="Z1563" s="185">
        <v>4.7677341495867859E-2</v>
      </c>
      <c r="AA1563" s="182">
        <v>4.7466456478991725E-2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49789</v>
      </c>
      <c r="Y1564" s="184">
        <f>_xll.qlCalendarAdvance(Calendar,X1564,NDays&amp;"D")</f>
        <v>49789</v>
      </c>
      <c r="Z1564" s="185">
        <v>4.7666885537184039E-2</v>
      </c>
      <c r="AA1564" s="182">
        <v>4.7462826239150768E-2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49796</v>
      </c>
      <c r="Y1565" s="184">
        <f>_xll.qlCalendarAdvance(Calendar,X1565,NDays&amp;"D")</f>
        <v>49796</v>
      </c>
      <c r="Z1565" s="185">
        <v>4.7658837851041476E-2</v>
      </c>
      <c r="AA1565" s="182">
        <v>4.7445267367094424E-2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49803</v>
      </c>
      <c r="Y1566" s="184">
        <f>_xll.qlCalendarAdvance(Calendar,X1566,NDays&amp;"D")</f>
        <v>49803</v>
      </c>
      <c r="Z1566" s="185">
        <v>4.7648472537147039E-2</v>
      </c>
      <c r="AA1566" s="182">
        <v>4.743473861168912E-2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49810</v>
      </c>
      <c r="Y1567" s="184">
        <f>_xll.qlCalendarAdvance(Calendar,X1567,NDays&amp;"D")</f>
        <v>49810</v>
      </c>
      <c r="Z1567" s="185">
        <v>4.7638151637714773E-2</v>
      </c>
      <c r="AA1567" s="182">
        <v>4.7424253723231669E-2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49817</v>
      </c>
      <c r="Y1568" s="184">
        <f>_xll.qlCalendarAdvance(Calendar,X1568,NDays&amp;"D")</f>
        <v>49817</v>
      </c>
      <c r="Z1568" s="185">
        <v>4.7627875152402875E-2</v>
      </c>
      <c r="AA1568" s="182">
        <v>4.7413812701965208E-2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49824</v>
      </c>
      <c r="Y1569" s="184">
        <f>_xll.qlCalendarAdvance(Calendar,X1569,NDays&amp;"D")</f>
        <v>49824</v>
      </c>
      <c r="Z1569" s="185">
        <v>4.7617643080870416E-2</v>
      </c>
      <c r="AA1569" s="182">
        <v>4.7403415547646599E-2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49831</v>
      </c>
      <c r="Y1570" s="184">
        <f>_xll.qlCalendarAdvance(Calendar,X1570,NDays&amp;"D")</f>
        <v>49831</v>
      </c>
      <c r="Z1570" s="185">
        <v>4.7607455422775592E-2</v>
      </c>
      <c r="AA1570" s="182">
        <v>4.7393062260356889E-2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49838</v>
      </c>
      <c r="Y1571" s="184">
        <f>_xll.qlCalendarAdvance(Calendar,X1571,NDays&amp;"D")</f>
        <v>49838</v>
      </c>
      <c r="Z1571" s="185">
        <v>4.7597312177785414E-2</v>
      </c>
      <c r="AA1571" s="182">
        <v>4.7382752840177123E-2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49845</v>
      </c>
      <c r="Y1572" s="184">
        <f>_xll.qlCalendarAdvance(Calendar,X1572,NDays&amp;"D")</f>
        <v>49845</v>
      </c>
      <c r="Z1572" s="185">
        <v>4.7587213345558071E-2</v>
      </c>
      <c r="AA1572" s="182">
        <v>4.7372487287107301E-2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49852</v>
      </c>
      <c r="Y1573" s="184">
        <f>_xll.qlCalendarAdvance(Calendar,X1573,NDays&amp;"D")</f>
        <v>49852</v>
      </c>
      <c r="Z1573" s="185">
        <v>4.7577158925763224E-2</v>
      </c>
      <c r="AA1573" s="182">
        <v>4.7362265600985332E-2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49859</v>
      </c>
      <c r="Y1574" s="184">
        <f>_xll.qlCalendarAdvance(Calendar,X1574,NDays&amp;"D")</f>
        <v>49859</v>
      </c>
      <c r="Z1574" s="185">
        <v>4.7567148918062581E-2</v>
      </c>
      <c r="AA1574" s="182">
        <v>4.7352087781730168E-2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49866</v>
      </c>
      <c r="Y1575" s="184">
        <f>_xll.qlCalendarAdvance(Calendar,X1575,NDays&amp;"D")</f>
        <v>49866</v>
      </c>
      <c r="Z1575" s="185">
        <v>4.755718332212755E-2</v>
      </c>
      <c r="AA1575" s="182">
        <v>4.7341953829747041E-2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49873</v>
      </c>
      <c r="Y1576" s="184">
        <f>_xll.qlCalendarAdvance(Calendar,X1576,NDays&amp;"D")</f>
        <v>49873</v>
      </c>
      <c r="Z1576" s="185">
        <v>4.7547262137626028E-2</v>
      </c>
      <c r="AA1576" s="182">
        <v>4.7331863744549674E-2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49880</v>
      </c>
      <c r="Y1577" s="184">
        <f>_xll.qlCalendarAdvance(Calendar,X1577,NDays&amp;"D")</f>
        <v>49880</v>
      </c>
      <c r="Z1577" s="185">
        <v>4.7537385364229419E-2</v>
      </c>
      <c r="AA1577" s="182">
        <v>4.7321817526462251E-2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49887</v>
      </c>
      <c r="Y1578" s="184">
        <f>_xll.qlCalendarAdvance(Calendar,X1578,NDays&amp;"D")</f>
        <v>49887</v>
      </c>
      <c r="Z1578" s="185">
        <v>4.752755300161178E-2</v>
      </c>
      <c r="AA1578" s="182">
        <v>4.7311815175403726E-2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49894</v>
      </c>
      <c r="Y1579" s="184">
        <f>_xll.qlCalendarAdvance(Calendar,X1579,NDays&amp;"D")</f>
        <v>49894</v>
      </c>
      <c r="Z1579" s="185">
        <v>4.7517765049443633E-2</v>
      </c>
      <c r="AA1579" s="182">
        <v>4.73018566913741E-2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49901</v>
      </c>
      <c r="Y1580" s="184">
        <f>_xll.qlCalendarAdvance(Calendar,X1580,NDays&amp;"D")</f>
        <v>49901</v>
      </c>
      <c r="Z1580" s="185">
        <v>4.7508021507401681E-2</v>
      </c>
      <c r="AA1580" s="182">
        <v>4.7291942074211279E-2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49908</v>
      </c>
      <c r="Y1581" s="184">
        <f>_xll.qlCalendarAdvance(Calendar,X1581,NDays&amp;"D")</f>
        <v>49908</v>
      </c>
      <c r="Z1581" s="185">
        <v>4.74983223751635E-2</v>
      </c>
      <c r="AA1581" s="182">
        <v>4.7282071324077357E-2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49915</v>
      </c>
      <c r="Y1582" s="184">
        <f>_xll.qlCalendarAdvance(Calendar,X1582,NDays&amp;"D")</f>
        <v>49915</v>
      </c>
      <c r="Z1582" s="185">
        <v>4.7488667652407543E-2</v>
      </c>
      <c r="AA1582" s="182">
        <v>4.7272244441134426E-2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49922</v>
      </c>
      <c r="Y1583" s="184">
        <f>_xll.qlCalendarAdvance(Calendar,X1583,NDays&amp;"D")</f>
        <v>49922</v>
      </c>
      <c r="Z1583" s="185">
        <v>4.7476659671748904E-2</v>
      </c>
      <c r="AA1583" s="182">
        <v>4.7262461424896207E-2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49929</v>
      </c>
      <c r="Y1584" s="184">
        <f>_xll.qlCalendarAdvance(Calendar,X1584,NDays&amp;"D")</f>
        <v>49929</v>
      </c>
      <c r="Z1584" s="185">
        <v>4.746709183213043E-2</v>
      </c>
      <c r="AA1584" s="182">
        <v>4.7252722276011072E-2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49936</v>
      </c>
      <c r="Y1585" s="184">
        <f>_xll.qlCalendarAdvance(Calendar,X1585,NDays&amp;"D")</f>
        <v>49936</v>
      </c>
      <c r="Z1585" s="185">
        <v>4.7457568395069746E-2</v>
      </c>
      <c r="AA1585" s="182">
        <v>4.7243026993749604E-2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49943</v>
      </c>
      <c r="Y1586" s="184">
        <f>_xll.qlCalendarAdvance(Calendar,X1586,NDays&amp;"D")</f>
        <v>49943</v>
      </c>
      <c r="Z1586" s="185">
        <v>4.7457705684315662E-2</v>
      </c>
      <c r="AA1586" s="182">
        <v>4.723337557859808E-2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49950</v>
      </c>
      <c r="Y1587" s="184">
        <f>_xll.qlCalendarAdvance(Calendar,X1587,NDays&amp;"D")</f>
        <v>49950</v>
      </c>
      <c r="Z1587" s="185">
        <v>4.7441060169687355E-2</v>
      </c>
      <c r="AA1587" s="182">
        <v>4.7223768030394409E-2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49957</v>
      </c>
      <c r="Y1588" s="184">
        <f>_xll.qlCalendarAdvance(Calendar,X1588,NDays&amp;"D")</f>
        <v>49957</v>
      </c>
      <c r="Z1588" s="185">
        <v>4.7431671897145491E-2</v>
      </c>
      <c r="AA1588" s="182">
        <v>4.7214204349138589E-2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49964</v>
      </c>
      <c r="Y1589" s="184">
        <f>_xll.qlCalendarAdvance(Calendar,X1589,NDays&amp;"D")</f>
        <v>49964</v>
      </c>
      <c r="Z1589" s="185">
        <v>4.7422328031875578E-2</v>
      </c>
      <c r="AA1589" s="182">
        <v>4.7204684534992714E-2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49971</v>
      </c>
      <c r="Y1590" s="184">
        <f>_xll.qlCalendarAdvance(Calendar,X1590,NDays&amp;"D")</f>
        <v>49971</v>
      </c>
      <c r="Z1590" s="185">
        <v>4.741302857356313E-2</v>
      </c>
      <c r="AA1590" s="182">
        <v>4.7195208587632598E-2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49978</v>
      </c>
      <c r="Y1591" s="184">
        <f>_xll.qlCalendarAdvance(Calendar,X1591,NDays&amp;"D")</f>
        <v>49978</v>
      </c>
      <c r="Z1591" s="185">
        <v>4.7403773521904211E-2</v>
      </c>
      <c r="AA1591" s="182">
        <v>4.7185776507382426E-2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49985</v>
      </c>
      <c r="Y1592" s="184">
        <f>_xll.qlCalendarAdvance(Calendar,X1592,NDays&amp;"D")</f>
        <v>49985</v>
      </c>
      <c r="Z1592" s="185">
        <v>4.7394562876591384E-2</v>
      </c>
      <c r="AA1592" s="182">
        <v>4.7176388293999061E-2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49992</v>
      </c>
      <c r="Y1593" s="184">
        <f>_xll.qlCalendarAdvance(Calendar,X1593,NDays&amp;"D")</f>
        <v>49992</v>
      </c>
      <c r="Z1593" s="185">
        <v>4.7385396637317195E-2</v>
      </c>
      <c r="AA1593" s="182">
        <v>4.7167043947563547E-2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49999</v>
      </c>
      <c r="Y1594" s="184">
        <f>_xll.qlCalendarAdvance(Calendar,X1594,NDays&amp;"D")</f>
        <v>49999</v>
      </c>
      <c r="Z1594" s="185">
        <v>4.7376274803778609E-2</v>
      </c>
      <c r="AA1594" s="182">
        <v>4.7157743468156932E-2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50006</v>
      </c>
      <c r="Y1595" s="184">
        <f>_xll.qlCalendarAdvance(Calendar,X1595,NDays&amp;"D")</f>
        <v>50006</v>
      </c>
      <c r="Z1595" s="185">
        <v>4.736719737567345E-2</v>
      </c>
      <c r="AA1595" s="182">
        <v>4.7148486855698168E-2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50013</v>
      </c>
      <c r="Y1596" s="184">
        <f>_xll.qlCalendarAdvance(Calendar,X1596,NDays&amp;"D")</f>
        <v>50013</v>
      </c>
      <c r="Z1596" s="185">
        <v>4.7353318184462513E-2</v>
      </c>
      <c r="AA1596" s="182">
        <v>4.7139274110106211E-2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50020</v>
      </c>
      <c r="Y1597" s="184">
        <f>_xll.qlCalendarAdvance(Calendar,X1597,NDays&amp;"D")</f>
        <v>50020</v>
      </c>
      <c r="Z1597" s="185">
        <v>4.7344325542708399E-2</v>
      </c>
      <c r="AA1597" s="182">
        <v>4.7130105231462105E-2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50027</v>
      </c>
      <c r="Y1598" s="184">
        <f>_xll.qlCalendarAdvance(Calendar,X1598,NDays&amp;"D")</f>
        <v>50027</v>
      </c>
      <c r="Z1598" s="185">
        <v>4.7335377293643961E-2</v>
      </c>
      <c r="AA1598" s="182">
        <v>4.7120980219765851E-2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50038</v>
      </c>
      <c r="Y1599" s="184">
        <f>_xll.qlCalendarAdvance(Calendar,X1599,NDays&amp;"D")</f>
        <v>50038</v>
      </c>
      <c r="Z1599" s="185">
        <v>4.7323835544597362E-2</v>
      </c>
      <c r="AA1599" s="182">
        <v>4.710672954480466E-2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50045</v>
      </c>
      <c r="Y1600" s="184">
        <f>_xll.qlCalendarAdvance(Calendar,X1600,NDays&amp;"D")</f>
        <v>50045</v>
      </c>
      <c r="Z1600" s="185">
        <v>4.7317436010831271E-2</v>
      </c>
      <c r="AA1600" s="182">
        <v>4.7097717333808298E-2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50052</v>
      </c>
      <c r="Y1601" s="184">
        <f>_xll.qlCalendarAdvance(Calendar,X1601,NDays&amp;"D")</f>
        <v>50052</v>
      </c>
      <c r="Z1601" s="185">
        <v>4.730621581182326E-2</v>
      </c>
      <c r="AA1601" s="182">
        <v>4.7088748989678741E-2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50059</v>
      </c>
      <c r="Y1602" s="184">
        <f>_xll.qlCalendarAdvance(Calendar,X1602,NDays&amp;"D")</f>
        <v>50059</v>
      </c>
      <c r="Z1602" s="185">
        <v>4.7297472541504466E-2</v>
      </c>
      <c r="AA1602" s="182">
        <v>4.7079824512578083E-2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50067</v>
      </c>
      <c r="Y1603" s="184">
        <f>_xll.qlCalendarAdvance(Calendar,X1603,NDays&amp;"D")</f>
        <v>50067</v>
      </c>
      <c r="Z1603" s="185">
        <v>4.728509604246238E-2</v>
      </c>
      <c r="AA1603" s="182">
        <v>4.7069678824688266E-2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50074</v>
      </c>
      <c r="Y1604" s="184">
        <f>_xll.qlCalendarAdvance(Calendar,X1604,NDays&amp;"D")</f>
        <v>50074</v>
      </c>
      <c r="Z1604" s="185">
        <v>4.7276445851148916E-2</v>
      </c>
      <c r="AA1604" s="182">
        <v>4.7060848348143836E-2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50081</v>
      </c>
      <c r="Y1605" s="184">
        <f>_xll.qlCalendarAdvance(Calendar,X1605,NDays&amp;"D")</f>
        <v>50081</v>
      </c>
      <c r="Z1605" s="185">
        <v>4.7267840050321565E-2</v>
      </c>
      <c r="AA1605" s="182">
        <v>4.7052061738385165E-2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50088</v>
      </c>
      <c r="Y1606" s="184">
        <f>_xll.qlCalendarAdvance(Calendar,X1606,NDays&amp;"D")</f>
        <v>50088</v>
      </c>
      <c r="Z1606" s="185">
        <v>4.7259278639701169E-2</v>
      </c>
      <c r="AA1606" s="182">
        <v>4.7043318995655392E-2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50095</v>
      </c>
      <c r="Y1607" s="184">
        <f>_xll.qlCalendarAdvance(Calendar,X1607,NDays&amp;"D")</f>
        <v>50095</v>
      </c>
      <c r="Z1607" s="185">
        <v>4.7250761619011268E-2</v>
      </c>
      <c r="AA1607" s="182">
        <v>4.7034620119792425E-2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50102</v>
      </c>
      <c r="Y1608" s="184">
        <f>_xll.qlCalendarAdvance(Calendar,X1608,NDays&amp;"D")</f>
        <v>50102</v>
      </c>
      <c r="Z1608" s="185">
        <v>4.7247187193981216E-2</v>
      </c>
      <c r="AA1608" s="182">
        <v>4.7025965110715218E-2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50109</v>
      </c>
      <c r="Y1609" s="184">
        <f>_xll.qlCalendarAdvance(Calendar,X1609,NDays&amp;"D")</f>
        <v>50109</v>
      </c>
      <c r="Z1609" s="185">
        <v>4.7238763126070595E-2</v>
      </c>
      <c r="AA1609" s="182">
        <v>4.7017353968747955E-2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50116</v>
      </c>
      <c r="Y1610" s="184">
        <f>_xll.qlCalendarAdvance(Calendar,X1610,NDays&amp;"D")</f>
        <v>50116</v>
      </c>
      <c r="Z1610" s="185">
        <v>4.7230383459030155E-2</v>
      </c>
      <c r="AA1610" s="182">
        <v>4.7008786693404359E-2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50123</v>
      </c>
      <c r="Y1611" s="184">
        <f>_xll.qlCalendarAdvance(Calendar,X1611,NDays&amp;"D")</f>
        <v>50123</v>
      </c>
      <c r="Z1611" s="185">
        <v>4.7222048192585922E-2</v>
      </c>
      <c r="AA1611" s="182">
        <v>4.7000263285251753E-2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50130</v>
      </c>
      <c r="Y1612" s="184">
        <f>_xll.qlCalendarAdvance(Calendar,X1612,NDays&amp;"D")</f>
        <v>50130</v>
      </c>
      <c r="Z1612" s="185">
        <v>4.7211299634275422E-2</v>
      </c>
      <c r="AA1612" s="182">
        <v>4.6991783743884907E-2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50137</v>
      </c>
      <c r="Y1613" s="184">
        <f>_xll.qlCalendarAdvance(Calendar,X1613,NDays&amp;"D")</f>
        <v>50137</v>
      </c>
      <c r="Z1613" s="185">
        <v>4.7203051057446238E-2</v>
      </c>
      <c r="AA1613" s="182">
        <v>4.6983348069303821E-2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50144</v>
      </c>
      <c r="Y1614" s="184">
        <f>_xll.qlCalendarAdvance(Calendar,X1614,NDays&amp;"D")</f>
        <v>50144</v>
      </c>
      <c r="Z1614" s="185">
        <v>4.7194846874515362E-2</v>
      </c>
      <c r="AA1614" s="182">
        <v>4.6974956261751633E-2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50151</v>
      </c>
      <c r="Y1615" s="184">
        <f>_xll.qlCalendarAdvance(Calendar,X1615,NDays&amp;"D")</f>
        <v>50151</v>
      </c>
      <c r="Z1615" s="185">
        <v>4.7186687085210254E-2</v>
      </c>
      <c r="AA1615" s="182">
        <v>4.6966608320904157E-2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50158</v>
      </c>
      <c r="Y1616" s="184">
        <f>_xll.qlCalendarAdvance(Calendar,X1616,NDays&amp;"D")</f>
        <v>50158</v>
      </c>
      <c r="Z1616" s="185">
        <v>4.7178571689266403E-2</v>
      </c>
      <c r="AA1616" s="182">
        <v>4.695830424708558E-2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50165</v>
      </c>
      <c r="Y1617" s="184">
        <f>_xll.qlCalendarAdvance(Calendar,X1617,NDays&amp;"D")</f>
        <v>50165</v>
      </c>
      <c r="Z1617" s="185">
        <v>4.7172968990996267E-2</v>
      </c>
      <c r="AA1617" s="182">
        <v>4.6950044040133809E-2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50172</v>
      </c>
      <c r="Y1618" s="184">
        <f>_xll.qlCalendarAdvance(Calendar,X1618,NDays&amp;"D")</f>
        <v>50172</v>
      </c>
      <c r="Z1618" s="185">
        <v>4.7164944521046345E-2</v>
      </c>
      <c r="AA1618" s="182">
        <v>4.6941827700048844E-2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50179</v>
      </c>
      <c r="Y1619" s="184">
        <f>_xll.qlCalendarAdvance(Calendar,X1619,NDays&amp;"D")</f>
        <v>50179</v>
      </c>
      <c r="Z1619" s="185">
        <v>4.7156964449519362E-2</v>
      </c>
      <c r="AA1619" s="182">
        <v>4.6933655226830684E-2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50186</v>
      </c>
      <c r="Y1620" s="184">
        <f>_xll.qlCalendarAdvance(Calendar,X1620,NDays&amp;"D")</f>
        <v>50186</v>
      </c>
      <c r="Z1620" s="185">
        <v>4.7149028776151028E-2</v>
      </c>
      <c r="AA1620" s="182">
        <v>4.692552662047933E-2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50193</v>
      </c>
      <c r="Y1621" s="184">
        <f>_xll.qlCalendarAdvance(Calendar,X1621,NDays&amp;"D")</f>
        <v>50193</v>
      </c>
      <c r="Z1621" s="185">
        <v>4.7141137500677062E-2</v>
      </c>
      <c r="AA1621" s="182">
        <v>4.6917441880832689E-2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50200</v>
      </c>
      <c r="Y1622" s="184">
        <f>_xll.qlCalendarAdvance(Calendar,X1622,NDays&amp;"D")</f>
        <v>50200</v>
      </c>
      <c r="Z1622" s="185">
        <v>4.713329062283847E-2</v>
      </c>
      <c r="AA1622" s="182">
        <v>4.6909401008295992E-2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50207</v>
      </c>
      <c r="Y1623" s="184">
        <f>_xll.qlCalendarAdvance(Calendar,X1623,NDays&amp;"D")</f>
        <v>50207</v>
      </c>
      <c r="Z1623" s="185">
        <v>4.7125488142370976E-2</v>
      </c>
      <c r="AA1623" s="182">
        <v>4.6901404002301916E-2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50214</v>
      </c>
      <c r="Y1624" s="184">
        <f>_xll.qlCalendarAdvance(Calendar,X1624,NDays&amp;"D")</f>
        <v>50214</v>
      </c>
      <c r="Z1624" s="185">
        <v>4.7117730059018224E-2</v>
      </c>
      <c r="AA1624" s="182">
        <v>4.6893450863498831E-2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50221</v>
      </c>
      <c r="Y1625" s="184">
        <f>_xll.qlCalendarAdvance(Calendar,X1625,NDays&amp;"D")</f>
        <v>50221</v>
      </c>
      <c r="Z1625" s="185">
        <v>4.7110016372522975E-2</v>
      </c>
      <c r="AA1625" s="182">
        <v>4.6885541591400459E-2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50228</v>
      </c>
      <c r="Y1626" s="184">
        <f>_xll.qlCalendarAdvance(Calendar,X1626,NDays&amp;"D")</f>
        <v>50228</v>
      </c>
      <c r="Z1626" s="185">
        <v>4.7102347082627997E-2</v>
      </c>
      <c r="AA1626" s="182">
        <v>4.6877676186249939E-2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50235</v>
      </c>
      <c r="Y1627" s="184">
        <f>_xll.qlCalendarAdvance(Calendar,X1627,NDays&amp;"D")</f>
        <v>50235</v>
      </c>
      <c r="Z1627" s="185">
        <v>4.7094722189079584E-2</v>
      </c>
      <c r="AA1627" s="182">
        <v>4.6869854647885179E-2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50242</v>
      </c>
      <c r="Y1628" s="184">
        <f>_xll.qlCalendarAdvance(Calendar,X1628,NDays&amp;"D")</f>
        <v>50242</v>
      </c>
      <c r="Z1628" s="185">
        <v>4.7087141691624909E-2</v>
      </c>
      <c r="AA1628" s="182">
        <v>4.6862076976225131E-2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50249</v>
      </c>
      <c r="Y1629" s="184">
        <f>_xll.qlCalendarAdvance(Calendar,X1629,NDays&amp;"D")</f>
        <v>50249</v>
      </c>
      <c r="Z1629" s="185">
        <v>4.7079605590012896E-2</v>
      </c>
      <c r="AA1629" s="182">
        <v>4.6854343171593982E-2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50256</v>
      </c>
      <c r="Y1630" s="184">
        <f>_xll.qlCalendarAdvance(Calendar,X1630,NDays&amp;"D")</f>
        <v>50256</v>
      </c>
      <c r="Z1630" s="185">
        <v>4.7072113883992482E-2</v>
      </c>
      <c r="AA1630" s="182">
        <v>4.6846653233748592E-2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50263</v>
      </c>
      <c r="Y1631" s="184">
        <f>_xll.qlCalendarAdvance(Calendar,X1631,NDays&amp;"D")</f>
        <v>50263</v>
      </c>
      <c r="Z1631" s="185">
        <v>4.7064666573316122E-2</v>
      </c>
      <c r="AA1631" s="182">
        <v>4.6839007162607915E-2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50270</v>
      </c>
      <c r="Y1632" s="184">
        <f>_xll.qlCalendarAdvance(Calendar,X1632,NDays&amp;"D")</f>
        <v>50270</v>
      </c>
      <c r="Z1632" s="185">
        <v>4.7057263657736277E-2</v>
      </c>
      <c r="AA1632" s="182">
        <v>4.683140495841509E-2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50277</v>
      </c>
      <c r="Y1633" s="184">
        <f>_xll.qlCalendarAdvance(Calendar,X1633,NDays&amp;"D")</f>
        <v>50277</v>
      </c>
      <c r="Z1633" s="185">
        <v>4.7049905137007166E-2</v>
      </c>
      <c r="AA1633" s="182">
        <v>4.6823846621008025E-2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50284</v>
      </c>
      <c r="Y1634" s="184">
        <f>_xll.qlCalendarAdvance(Calendar,X1634,NDays&amp;"D")</f>
        <v>50284</v>
      </c>
      <c r="Z1634" s="185">
        <v>4.7040085530310659E-2</v>
      </c>
      <c r="AA1634" s="182">
        <v>4.6816332150548812E-2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50291</v>
      </c>
      <c r="Y1635" s="184">
        <f>_xll.qlCalendarAdvance(Calendar,X1635,NDays&amp;"D")</f>
        <v>50291</v>
      </c>
      <c r="Z1635" s="185">
        <v>4.7032813559271636E-2</v>
      </c>
      <c r="AA1635" s="182">
        <v>4.6808861546794311E-2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50298</v>
      </c>
      <c r="Y1636" s="184">
        <f>_xll.qlCalendarAdvance(Calendar,X1636,NDays&amp;"D")</f>
        <v>50298</v>
      </c>
      <c r="Z1636" s="185">
        <v>4.7025585976545846E-2</v>
      </c>
      <c r="AA1636" s="182">
        <v>4.6801434809987663E-2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50305</v>
      </c>
      <c r="Y1637" s="184">
        <f>_xll.qlCalendarAdvance(Calendar,X1637,NDays&amp;"D")</f>
        <v>50305</v>
      </c>
      <c r="Z1637" s="185">
        <v>4.701840278189371E-2</v>
      </c>
      <c r="AA1637" s="182">
        <v>4.6794051939804682E-2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50312</v>
      </c>
      <c r="Y1638" s="184">
        <f>_xll.qlCalendarAdvance(Calendar,X1638,NDays&amp;"D")</f>
        <v>50312</v>
      </c>
      <c r="Z1638" s="185">
        <v>4.7011263975080111E-2</v>
      </c>
      <c r="AA1638" s="182">
        <v>4.6786712936650598E-2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50319</v>
      </c>
      <c r="Y1639" s="184">
        <f>_xll.qlCalendarAdvance(Calendar,X1639,NDays&amp;"D")</f>
        <v>50319</v>
      </c>
      <c r="Z1639" s="185">
        <v>4.7006686290948986E-2</v>
      </c>
      <c r="AA1639" s="182">
        <v>4.6779417800201228E-2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50326</v>
      </c>
      <c r="Y1640" s="184">
        <f>_xll.qlCalendarAdvance(Calendar,X1640,NDays&amp;"D")</f>
        <v>50326</v>
      </c>
      <c r="Z1640" s="185">
        <v>4.6999638527427001E-2</v>
      </c>
      <c r="AA1640" s="182">
        <v>4.6772166530618664E-2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50333</v>
      </c>
      <c r="Y1641" s="184">
        <f>_xll.qlCalendarAdvance(Calendar,X1641,NDays&amp;"D")</f>
        <v>50333</v>
      </c>
      <c r="Z1641" s="185">
        <v>4.6992635156844993E-2</v>
      </c>
      <c r="AA1641" s="182">
        <v>4.6764959127740813E-2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50340</v>
      </c>
      <c r="Y1642" s="184">
        <f>_xll.qlCalendarAdvance(Calendar,X1642,NDays&amp;"D")</f>
        <v>50340</v>
      </c>
      <c r="Z1642" s="185">
        <v>4.6985676178970391E-2</v>
      </c>
      <c r="AA1642" s="182">
        <v>4.6757795591729767E-2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50347</v>
      </c>
      <c r="Y1643" s="184">
        <f>_xll.qlCalendarAdvance(Calendar,X1643,NDays&amp;"D")</f>
        <v>50347</v>
      </c>
      <c r="Z1643" s="185">
        <v>4.6978761593574149E-2</v>
      </c>
      <c r="AA1643" s="182">
        <v>4.6750675922504481E-2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50354</v>
      </c>
      <c r="Y1644" s="184">
        <f>_xll.qlCalendarAdvance(Calendar,X1644,NDays&amp;"D")</f>
        <v>50354</v>
      </c>
      <c r="Z1644" s="185">
        <v>4.697189140042371E-2</v>
      </c>
      <c r="AA1644" s="182">
        <v>4.6743600120064954E-2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50361</v>
      </c>
      <c r="Y1645" s="184">
        <f>_xll.qlCalendarAdvance(Calendar,X1645,NDays&amp;"D")</f>
        <v>50361</v>
      </c>
      <c r="Z1645" s="185">
        <v>4.6965065599294434E-2</v>
      </c>
      <c r="AA1645" s="182">
        <v>4.6736568184492233E-2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50368</v>
      </c>
      <c r="Y1646" s="184">
        <f>_xll.qlCalendarAdvance(Calendar,X1646,NDays&amp;"D")</f>
        <v>50368</v>
      </c>
      <c r="Z1646" s="185">
        <v>4.6958284189955499E-2</v>
      </c>
      <c r="AA1646" s="182">
        <v>4.6729580115624225E-2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50375</v>
      </c>
      <c r="Y1647" s="184">
        <f>_xll.qlCalendarAdvance(Calendar,X1647,NDays&amp;"D")</f>
        <v>50375</v>
      </c>
      <c r="Z1647" s="185">
        <v>4.6946477522101758E-2</v>
      </c>
      <c r="AA1647" s="182">
        <v>4.6722635913704069E-2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50382</v>
      </c>
      <c r="Y1648" s="184">
        <f>_xll.qlCalendarAdvance(Calendar,X1648,NDays&amp;"D")</f>
        <v>50382</v>
      </c>
      <c r="Z1648" s="185">
        <v>4.6939780267104166E-2</v>
      </c>
      <c r="AA1648" s="182">
        <v>4.671573557840758E-2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50389</v>
      </c>
      <c r="Y1649" s="184">
        <f>_xll.qlCalendarAdvance(Calendar,X1649,NDays&amp;"D")</f>
        <v>50389</v>
      </c>
      <c r="Z1649" s="185">
        <v>4.693312739166855E-2</v>
      </c>
      <c r="AA1649" s="182">
        <v>4.6708879110058943E-2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50396</v>
      </c>
      <c r="Y1650" s="184">
        <f>_xll.qlCalendarAdvance(Calendar,X1650,NDays&amp;"D")</f>
        <v>50396</v>
      </c>
      <c r="Z1650" s="185">
        <v>4.6926518895578792E-2</v>
      </c>
      <c r="AA1650" s="182">
        <v>4.6702066508252926E-2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50403</v>
      </c>
      <c r="Y1651" s="184">
        <f>_xll.qlCalendarAdvance(Calendar,X1651,NDays&amp;"D")</f>
        <v>50403</v>
      </c>
      <c r="Z1651" s="185">
        <v>4.6919954778622361E-2</v>
      </c>
      <c r="AA1651" s="182">
        <v>4.6695297773556854E-2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50410</v>
      </c>
      <c r="Y1652" s="184">
        <f>_xll.qlCalendarAdvance(Calendar,X1652,NDays&amp;"D")</f>
        <v>50410</v>
      </c>
      <c r="Z1652" s="185">
        <v>4.6913435040583137E-2</v>
      </c>
      <c r="AA1652" s="182">
        <v>4.6688572905403403E-2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50417</v>
      </c>
      <c r="Y1653" s="184">
        <f>_xll.qlCalendarAdvance(Calendar,X1653,NDays&amp;"D")</f>
        <v>50417</v>
      </c>
      <c r="Z1653" s="185">
        <v>4.6906959681252199E-2</v>
      </c>
      <c r="AA1653" s="182">
        <v>4.6681891904035711E-2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50424</v>
      </c>
      <c r="Y1654" s="184">
        <f>_xll.qlCalendarAdvance(Calendar,X1654,NDays&amp;"D")</f>
        <v>50424</v>
      </c>
      <c r="Z1654" s="185">
        <v>4.6900528700417936E-2</v>
      </c>
      <c r="AA1654" s="182">
        <v>4.6675254769453778E-2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50432</v>
      </c>
      <c r="Y1655" s="184">
        <f>_xll.qlCalendarAdvance(Calendar,X1655,NDays&amp;"D")</f>
        <v>50432</v>
      </c>
      <c r="Z1655" s="185">
        <v>4.6893233348786187E-2</v>
      </c>
      <c r="AA1655" s="182">
        <v>4.6667723187288068E-2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50439</v>
      </c>
      <c r="Y1656" s="184">
        <f>_xll.qlCalendarAdvance(Calendar,X1656,NDays&amp;"D")</f>
        <v>50439</v>
      </c>
      <c r="Z1656" s="185">
        <v>4.6884341931027723E-2</v>
      </c>
      <c r="AA1656" s="182">
        <v>4.6661180053019224E-2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50446</v>
      </c>
      <c r="Y1657" s="184">
        <f>_xll.qlCalendarAdvance(Calendar,X1657,NDays&amp;"D")</f>
        <v>50446</v>
      </c>
      <c r="Z1657" s="185">
        <v>4.687804805815058E-2</v>
      </c>
      <c r="AA1657" s="182">
        <v>4.6654680785374048E-2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50453</v>
      </c>
      <c r="Y1658" s="184">
        <f>_xll.qlCalendarAdvance(Calendar,X1658,NDays&amp;"D")</f>
        <v>50453</v>
      </c>
      <c r="Z1658" s="185">
        <v>4.6871798557156917E-2</v>
      </c>
      <c r="AA1658" s="182">
        <v>4.6648225384676723E-2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50460</v>
      </c>
      <c r="Y1659" s="184">
        <f>_xll.qlCalendarAdvance(Calendar,X1659,NDays&amp;"D")</f>
        <v>50460</v>
      </c>
      <c r="Z1659" s="185">
        <v>4.6865593427847317E-2</v>
      </c>
      <c r="AA1659" s="182">
        <v>4.6641813850684111E-2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50467</v>
      </c>
      <c r="Y1660" s="184">
        <f>_xll.qlCalendarAdvance(Calendar,X1660,NDays&amp;"D")</f>
        <v>50467</v>
      </c>
      <c r="Z1660" s="185">
        <v>4.6867129105328247E-2</v>
      </c>
      <c r="AA1660" s="182">
        <v>4.6635446183315166E-2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50474</v>
      </c>
      <c r="Y1661" s="184">
        <f>_xll.qlCalendarAdvance(Calendar,X1661,NDays&amp;"D")</f>
        <v>50474</v>
      </c>
      <c r="Z1661" s="185">
        <v>4.6861019887928519E-2</v>
      </c>
      <c r="AA1661" s="182">
        <v>4.6629122382975119E-2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50481</v>
      </c>
      <c r="Y1662" s="184">
        <f>_xll.qlCalendarAdvance(Calendar,X1662,NDays&amp;"D")</f>
        <v>50481</v>
      </c>
      <c r="Z1662" s="185">
        <v>4.6854955058870273E-2</v>
      </c>
      <c r="AA1662" s="182">
        <v>4.6622842449177693E-2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50488</v>
      </c>
      <c r="Y1663" s="184">
        <f>_xll.qlCalendarAdvance(Calendar,X1663,NDays&amp;"D")</f>
        <v>50488</v>
      </c>
      <c r="Z1663" s="185">
        <v>4.684893461795353E-2</v>
      </c>
      <c r="AA1663" s="182">
        <v>4.6616606382247072E-2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50495</v>
      </c>
      <c r="Y1664" s="184">
        <f>_xll.qlCalendarAdvance(Calendar,X1664,NDays&amp;"D")</f>
        <v>50495</v>
      </c>
      <c r="Z1664" s="185">
        <v>4.6840383043239744E-2</v>
      </c>
      <c r="AA1664" s="182">
        <v>4.6610414181859072E-2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50502</v>
      </c>
      <c r="Y1665" s="184">
        <f>_xll.qlCalendarAdvance(Calendar,X1665,NDays&amp;"D")</f>
        <v>50502</v>
      </c>
      <c r="Z1665" s="185">
        <v>4.6834448964577571E-2</v>
      </c>
      <c r="AA1665" s="182">
        <v>4.6604265848499971E-2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50509</v>
      </c>
      <c r="Y1666" s="184">
        <f>_xll.qlCalendarAdvance(Calendar,X1666,NDays&amp;"D")</f>
        <v>50509</v>
      </c>
      <c r="Z1666" s="185">
        <v>4.6828559267719096E-2</v>
      </c>
      <c r="AA1666" s="182">
        <v>4.6598161381683489E-2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50516</v>
      </c>
      <c r="Y1667" s="184">
        <f>_xll.qlCalendarAdvance(Calendar,X1667,NDays&amp;"D")</f>
        <v>50516</v>
      </c>
      <c r="Z1667" s="185">
        <v>4.6822713952470174E-2</v>
      </c>
      <c r="AA1667" s="182">
        <v>4.659210078181486E-2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50523</v>
      </c>
      <c r="Y1668" s="184">
        <f>_xll.qlCalendarAdvance(Calendar,X1668,NDays&amp;"D")</f>
        <v>50523</v>
      </c>
      <c r="Z1668" s="185">
        <v>4.6816913018640202E-2</v>
      </c>
      <c r="AA1668" s="182">
        <v>4.6586084048650944E-2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50530</v>
      </c>
      <c r="Y1669" s="184">
        <f>_xll.qlCalendarAdvance(Calendar,X1669,NDays&amp;"D")</f>
        <v>50530</v>
      </c>
      <c r="Z1669" s="185">
        <v>4.681374411232582E-2</v>
      </c>
      <c r="AA1669" s="182">
        <v>4.6580111182110695E-2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50537</v>
      </c>
      <c r="Y1670" s="184">
        <f>_xll.qlCalendarAdvance(Calendar,X1670,NDays&amp;"D")</f>
        <v>50537</v>
      </c>
      <c r="Z1670" s="185">
        <v>4.6808034382885839E-2</v>
      </c>
      <c r="AA1670" s="182">
        <v>4.6574182182356205E-2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50544</v>
      </c>
      <c r="Y1671" s="184">
        <f>_xll.qlCalendarAdvance(Calendar,X1671,NDays&amp;"D")</f>
        <v>50544</v>
      </c>
      <c r="Z1671" s="185">
        <v>4.6802369040029872E-2</v>
      </c>
      <c r="AA1671" s="182">
        <v>4.6568297049306429E-2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50551</v>
      </c>
      <c r="Y1672" s="184">
        <f>_xll.qlCalendarAdvance(Calendar,X1672,NDays&amp;"D")</f>
        <v>50551</v>
      </c>
      <c r="Z1672" s="185">
        <v>4.6796748083572044E-2</v>
      </c>
      <c r="AA1672" s="182">
        <v>4.6562455783123458E-2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50558</v>
      </c>
      <c r="Y1673" s="184">
        <f>_xll.qlCalendarAdvance(Calendar,X1673,NDays&amp;"D")</f>
        <v>50558</v>
      </c>
      <c r="Z1673" s="185">
        <v>4.6791171513322058E-2</v>
      </c>
      <c r="AA1673" s="182">
        <v>4.6556658383402061E-2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50565</v>
      </c>
      <c r="Y1674" s="184">
        <f>_xll.qlCalendarAdvance(Calendar,X1674,NDays&amp;"D")</f>
        <v>50565</v>
      </c>
      <c r="Z1674" s="185">
        <v>4.6785639329097566E-2</v>
      </c>
      <c r="AA1674" s="182">
        <v>4.6550904850628516E-2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50572</v>
      </c>
      <c r="Y1675" s="184">
        <f>_xll.qlCalendarAdvance(Calendar,X1675,NDays&amp;"D")</f>
        <v>50572</v>
      </c>
      <c r="Z1675" s="185">
        <v>4.678015153071622E-2</v>
      </c>
      <c r="AA1675" s="182">
        <v>4.6545195184559685E-2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50579</v>
      </c>
      <c r="Y1676" s="184">
        <f>_xll.qlCalendarAdvance(Calendar,X1676,NDays&amp;"D")</f>
        <v>50579</v>
      </c>
      <c r="Z1676" s="185">
        <v>4.6774708117993016E-2</v>
      </c>
      <c r="AA1676" s="182">
        <v>4.653952938511452E-2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50586</v>
      </c>
      <c r="Y1677" s="184">
        <f>_xll.qlCalendarAdvance(Calendar,X1677,NDays&amp;"D")</f>
        <v>50586</v>
      </c>
      <c r="Z1677" s="185">
        <v>4.6769309090750881E-2</v>
      </c>
      <c r="AA1677" s="182">
        <v>4.6533907452455114E-2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50593</v>
      </c>
      <c r="Y1678" s="184">
        <f>_xll.qlCalendarAdvance(Calendar,X1678,NDays&amp;"D")</f>
        <v>50593</v>
      </c>
      <c r="Z1678" s="185">
        <v>4.6763954448806593E-2</v>
      </c>
      <c r="AA1678" s="182">
        <v>4.6528329386581468E-2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50600</v>
      </c>
      <c r="Y1679" s="184">
        <f>_xll.qlCalendarAdvance(Calendar,X1679,NDays&amp;"D")</f>
        <v>50600</v>
      </c>
      <c r="Z1679" s="185">
        <v>4.6758644191987483E-2</v>
      </c>
      <c r="AA1679" s="182">
        <v>4.6522795187493582E-2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50607</v>
      </c>
      <c r="Y1680" s="184">
        <f>_xll.qlCalendarAdvance(Calendar,X1680,NDays&amp;"D")</f>
        <v>50607</v>
      </c>
      <c r="Z1680" s="185">
        <v>4.6753378320113836E-2</v>
      </c>
      <c r="AA1680" s="182">
        <v>4.6517304854948316E-2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50614</v>
      </c>
      <c r="Y1681" s="184">
        <f>_xll.qlCalendarAdvance(Calendar,X1681,NDays&amp;"D")</f>
        <v>50614</v>
      </c>
      <c r="Z1681" s="185">
        <v>4.674815683301211E-2</v>
      </c>
      <c r="AA1681" s="182">
        <v>4.6511858389269856E-2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50621</v>
      </c>
      <c r="Y1682" s="184">
        <f>_xll.qlCalendarAdvance(Calendar,X1682,NDays&amp;"D")</f>
        <v>50621</v>
      </c>
      <c r="Z1682" s="185">
        <v>4.6742979730506999E-2</v>
      </c>
      <c r="AA1682" s="182">
        <v>4.650645579005297E-2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50628</v>
      </c>
      <c r="Y1683" s="184">
        <f>_xll.qlCalendarAdvance(Calendar,X1683,NDays&amp;"D")</f>
        <v>50628</v>
      </c>
      <c r="Z1683" s="185">
        <v>4.6737847012429362E-2</v>
      </c>
      <c r="AA1683" s="182">
        <v>4.6501097057783936E-2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50635</v>
      </c>
      <c r="Y1684" s="184">
        <f>_xll.qlCalendarAdvance(Calendar,X1684,NDays&amp;"D")</f>
        <v>50635</v>
      </c>
      <c r="Z1684" s="185">
        <v>4.6732758678611819E-2</v>
      </c>
      <c r="AA1684" s="182">
        <v>4.6495782192138568E-2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50642</v>
      </c>
      <c r="Y1685" s="184">
        <f>_xll.qlCalendarAdvance(Calendar,X1685,NDays&amp;"D")</f>
        <v>50642</v>
      </c>
      <c r="Z1685" s="185">
        <v>4.6727714728878184E-2</v>
      </c>
      <c r="AA1685" s="182">
        <v>4.6490511193278961E-2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50649</v>
      </c>
      <c r="Y1686" s="184">
        <f>_xll.qlCalendarAdvance(Calendar,X1686,NDays&amp;"D")</f>
        <v>50649</v>
      </c>
      <c r="Z1686" s="185">
        <v>4.6720085222319074E-2</v>
      </c>
      <c r="AA1686" s="182">
        <v>4.6485284061124066E-2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50656</v>
      </c>
      <c r="Y1687" s="184">
        <f>_xll.qlCalendarAdvance(Calendar,X1687,NDays&amp;"D")</f>
        <v>50656</v>
      </c>
      <c r="Z1687" s="185">
        <v>4.6715127500936898E-2</v>
      </c>
      <c r="AA1687" s="182">
        <v>4.6480100795592838E-2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50663</v>
      </c>
      <c r="Y1688" s="184">
        <f>_xll.qlCalendarAdvance(Calendar,X1688,NDays&amp;"D")</f>
        <v>50663</v>
      </c>
      <c r="Z1688" s="185">
        <v>4.6710214157444148E-2</v>
      </c>
      <c r="AA1688" s="182">
        <v>4.647496139684737E-2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50670</v>
      </c>
      <c r="Y1689" s="184">
        <f>_xll.qlCalendarAdvance(Calendar,X1689,NDays&amp;"D")</f>
        <v>50670</v>
      </c>
      <c r="Z1689" s="185">
        <v>4.6705345191676961E-2</v>
      </c>
      <c r="AA1689" s="182">
        <v>4.6469865864725568E-2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50677</v>
      </c>
      <c r="Y1690" s="184">
        <f>_xll.qlCalendarAdvance(Calendar,X1690,NDays&amp;"D")</f>
        <v>50677</v>
      </c>
      <c r="Z1690" s="185">
        <v>4.6700520603478589E-2</v>
      </c>
      <c r="AA1690" s="182">
        <v>4.646481419930848E-2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50684</v>
      </c>
      <c r="Y1691" s="184">
        <f>_xll.qlCalendarAdvance(Calendar,X1691,NDays&amp;"D")</f>
        <v>50684</v>
      </c>
      <c r="Z1691" s="185">
        <v>4.6698383087062603E-2</v>
      </c>
      <c r="AA1691" s="182">
        <v>4.6459806400515058E-2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50691</v>
      </c>
      <c r="Y1692" s="184">
        <f>_xll.qlCalendarAdvance(Calendar,X1692,NDays&amp;"D")</f>
        <v>50691</v>
      </c>
      <c r="Z1692" s="185">
        <v>4.6693649821343379E-2</v>
      </c>
      <c r="AA1692" s="182">
        <v>4.6454842468588442E-2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50698</v>
      </c>
      <c r="Y1693" s="184">
        <f>_xll.qlCalendarAdvance(Calendar,X1693,NDays&amp;"D")</f>
        <v>50698</v>
      </c>
      <c r="Z1693" s="185">
        <v>4.6688960938414847E-2</v>
      </c>
      <c r="AA1693" s="182">
        <v>4.6449922403285493E-2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50705</v>
      </c>
      <c r="Y1694" s="184">
        <f>_xll.qlCalendarAdvance(Calendar,X1694,NDays&amp;"D")</f>
        <v>50705</v>
      </c>
      <c r="Z1694" s="185">
        <v>4.6684316438121078E-2</v>
      </c>
      <c r="AA1694" s="182">
        <v>4.6445046204687257E-2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50712</v>
      </c>
      <c r="Y1695" s="184">
        <f>_xll.qlCalendarAdvance(Calendar,X1695,NDays&amp;"D")</f>
        <v>50712</v>
      </c>
      <c r="Z1695" s="185">
        <v>4.6679716320308789E-2</v>
      </c>
      <c r="AA1695" s="182">
        <v>4.6440213872793734E-2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50719</v>
      </c>
      <c r="Y1696" s="184">
        <f>_xll.qlCalendarAdvance(Calendar,X1696,NDays&amp;"D")</f>
        <v>50719</v>
      </c>
      <c r="Z1696" s="185">
        <v>4.6675160584824703E-2</v>
      </c>
      <c r="AA1696" s="182">
        <v>4.6435425407523878E-2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50726</v>
      </c>
      <c r="Y1697" s="184">
        <f>_xll.qlCalendarAdvance(Calendar,X1697,NDays&amp;"D")</f>
        <v>50726</v>
      </c>
      <c r="Z1697" s="185">
        <v>4.6670649231519055E-2</v>
      </c>
      <c r="AA1697" s="182">
        <v>4.6430680809039782E-2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50733</v>
      </c>
      <c r="Y1698" s="184">
        <f>_xll.qlCalendarAdvance(Calendar,X1698,NDays&amp;"D")</f>
        <v>50733</v>
      </c>
      <c r="Z1698" s="185">
        <v>4.6666182260239449E-2</v>
      </c>
      <c r="AA1698" s="182">
        <v>4.6425980077098306E-2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50740</v>
      </c>
      <c r="Y1699" s="184">
        <f>_xll.qlCalendarAdvance(Calendar,X1699,NDays&amp;"D")</f>
        <v>50740</v>
      </c>
      <c r="Z1699" s="185">
        <v>4.6656433354000139E-2</v>
      </c>
      <c r="AA1699" s="182">
        <v>4.6421323212023635E-2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50747</v>
      </c>
      <c r="Y1700" s="184">
        <f>_xll.qlCalendarAdvance(Calendar,X1700,NDays&amp;"D")</f>
        <v>50747</v>
      </c>
      <c r="Z1700" s="185">
        <v>4.6652049920435333E-2</v>
      </c>
      <c r="AA1700" s="182">
        <v>4.6416710213491585E-2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50754</v>
      </c>
      <c r="Y1701" s="184">
        <f>_xll.qlCalendarAdvance(Calendar,X1701,NDays&amp;"D")</f>
        <v>50754</v>
      </c>
      <c r="Z1701" s="185">
        <v>4.664771085709507E-2</v>
      </c>
      <c r="AA1701" s="182">
        <v>4.6412141081664249E-2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50761</v>
      </c>
      <c r="Y1702" s="184">
        <f>_xll.qlCalendarAdvance(Calendar,X1702,NDays&amp;"D")</f>
        <v>50761</v>
      </c>
      <c r="Z1702" s="185">
        <v>4.6643416163842481E-2</v>
      </c>
      <c r="AA1702" s="182">
        <v>4.6407615816541625E-2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50768</v>
      </c>
      <c r="Y1703" s="184">
        <f>_xll.qlCalendarAdvance(Calendar,X1703,NDays&amp;"D")</f>
        <v>50768</v>
      </c>
      <c r="Z1703" s="185">
        <v>4.663916584053527E-2</v>
      </c>
      <c r="AA1703" s="182">
        <v>4.6403134418042669E-2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50775</v>
      </c>
      <c r="Y1704" s="184">
        <f>_xll.qlCalendarAdvance(Calendar,X1704,NDays&amp;"D")</f>
        <v>50775</v>
      </c>
      <c r="Z1704" s="185">
        <v>4.6634959887035664E-2</v>
      </c>
      <c r="AA1704" s="182">
        <v>4.6398696886248425E-2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50782</v>
      </c>
      <c r="Y1705" s="184">
        <f>_xll.qlCalendarAdvance(Calendar,X1705,NDays&amp;"D")</f>
        <v>50782</v>
      </c>
      <c r="Z1705" s="185">
        <v>4.6630798303208591E-2</v>
      </c>
      <c r="AA1705" s="182">
        <v>4.6394303221158895E-2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50789</v>
      </c>
      <c r="Y1706" s="184">
        <f>_xll.qlCalendarAdvance(Calendar,X1706,NDays&amp;"D")</f>
        <v>50789</v>
      </c>
      <c r="Z1706" s="185">
        <v>4.6626681088917162E-2</v>
      </c>
      <c r="AA1706" s="182">
        <v>4.6389953422693031E-2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50797</v>
      </c>
      <c r="Y1707" s="184">
        <f>_xll.qlCalendarAdvance(Calendar,X1707,NDays&amp;"D")</f>
        <v>50797</v>
      </c>
      <c r="Z1707" s="185">
        <v>4.6622030031030937E-2</v>
      </c>
      <c r="AA1707" s="182">
        <v>4.6385035938795172E-2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50804</v>
      </c>
      <c r="Y1708" s="184">
        <f>_xll.qlCalendarAdvance(Calendar,X1708,NDays&amp;"D")</f>
        <v>50804</v>
      </c>
      <c r="Z1708" s="185">
        <v>4.6615321357806487E-2</v>
      </c>
      <c r="AA1708" s="182">
        <v>4.6380780140318212E-2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50811</v>
      </c>
      <c r="Y1709" s="184">
        <f>_xll.qlCalendarAdvance(Calendar,X1709,NDays&amp;"D")</f>
        <v>50811</v>
      </c>
      <c r="Z1709" s="185">
        <v>4.6611340926054276E-2</v>
      </c>
      <c r="AA1709" s="182">
        <v>4.6376568208708058E-2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50818</v>
      </c>
      <c r="Y1710" s="184">
        <f>_xll.qlCalendarAdvance(Calendar,X1710,NDays&amp;"D")</f>
        <v>50818</v>
      </c>
      <c r="Z1710" s="185">
        <v>4.6607404857625608E-2</v>
      </c>
      <c r="AA1710" s="182">
        <v>4.6372400143478432E-2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50825</v>
      </c>
      <c r="Y1711" s="184">
        <f>_xll.qlCalendarAdvance(Calendar,X1711,NDays&amp;"D")</f>
        <v>50825</v>
      </c>
      <c r="Z1711" s="185">
        <v>4.6603513152397545E-2</v>
      </c>
      <c r="AA1711" s="182">
        <v>4.6368275945115611E-2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50832</v>
      </c>
      <c r="Y1712" s="184">
        <f>_xll.qlCalendarAdvance(Calendar,X1712,NDays&amp;"D")</f>
        <v>50832</v>
      </c>
      <c r="Z1712" s="185">
        <v>4.6607758940999999E-2</v>
      </c>
      <c r="AA1712" s="182">
        <v>4.6364195613376458E-2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50839</v>
      </c>
      <c r="Y1713" s="184">
        <f>_xll.qlCalendarAdvance(Calendar,X1713,NDays&amp;"D")</f>
        <v>50839</v>
      </c>
      <c r="Z1713" s="185">
        <v>4.6603964023168236E-2</v>
      </c>
      <c r="AA1713" s="182">
        <v>4.6360159148260971E-2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50846</v>
      </c>
      <c r="Y1714" s="184">
        <f>_xll.qlCalendarAdvance(Calendar,X1714,NDays&amp;"D")</f>
        <v>50846</v>
      </c>
      <c r="Z1714" s="185">
        <v>4.6600213485151351E-2</v>
      </c>
      <c r="AA1714" s="182">
        <v>4.6356166549850197E-2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50853</v>
      </c>
      <c r="Y1715" s="184">
        <f>_xll.qlCalendarAdvance(Calendar,X1715,NDays&amp;"D")</f>
        <v>50853</v>
      </c>
      <c r="Z1715" s="185">
        <v>4.6596506931066463E-2</v>
      </c>
      <c r="AA1715" s="182">
        <v>4.6352217818144137E-2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50860</v>
      </c>
      <c r="Y1716" s="184">
        <f>_xll.qlCalendarAdvance(Calendar,X1716,NDays&amp;"D")</f>
        <v>50860</v>
      </c>
      <c r="Z1716" s="185">
        <v>4.6590134004505006E-2</v>
      </c>
      <c r="AA1716" s="182">
        <v>4.6348312952818604E-2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50867</v>
      </c>
      <c r="Y1717" s="184">
        <f>_xll.qlCalendarAdvance(Calendar,X1717,NDays&amp;"D")</f>
        <v>50867</v>
      </c>
      <c r="Z1717" s="185">
        <v>4.6586507126332853E-2</v>
      </c>
      <c r="AA1717" s="182">
        <v>4.6355127515150363E-2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50874</v>
      </c>
      <c r="Y1718" s="184">
        <f>_xll.qlCalendarAdvance(Calendar,X1718,NDays&amp;"D")</f>
        <v>50874</v>
      </c>
      <c r="Z1718" s="185">
        <v>4.6582917763688766E-2</v>
      </c>
      <c r="AA1718" s="182">
        <v>4.6340634822605864E-2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50881</v>
      </c>
      <c r="Y1719" s="184">
        <f>_xll.qlCalendarAdvance(Calendar,X1719,NDays&amp;"D")</f>
        <v>50881</v>
      </c>
      <c r="Z1719" s="185">
        <v>4.6579363516120832E-2</v>
      </c>
      <c r="AA1719" s="182">
        <v>4.6336861557475517E-2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50888</v>
      </c>
      <c r="Y1720" s="184">
        <f>_xll.qlCalendarAdvance(Calendar,X1720,NDays&amp;"D")</f>
        <v>50888</v>
      </c>
      <c r="Z1720" s="185">
        <v>4.6575841983186948E-2</v>
      </c>
      <c r="AA1720" s="182">
        <v>4.6333132158887791E-2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50895</v>
      </c>
      <c r="Y1721" s="184">
        <f>_xll.qlCalendarAdvance(Calendar,X1721,NDays&amp;"D")</f>
        <v>50895</v>
      </c>
      <c r="Z1721" s="185">
        <v>4.6575066598069224E-2</v>
      </c>
      <c r="AA1721" s="182">
        <v>4.632944662716687E-2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50902</v>
      </c>
      <c r="Y1722" s="184">
        <f>_xll.qlCalendarAdvance(Calendar,X1722,NDays&amp;"D")</f>
        <v>50902</v>
      </c>
      <c r="Z1722" s="185">
        <v>4.6571604211019482E-2</v>
      </c>
      <c r="AA1722" s="182">
        <v>4.6325804961826478E-2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50909</v>
      </c>
      <c r="Y1723" s="184">
        <f>_xll.qlCalendarAdvance(Calendar,X1723,NDays&amp;"D")</f>
        <v>50909</v>
      </c>
      <c r="Z1723" s="185">
        <v>4.6568167206402507E-2</v>
      </c>
      <c r="AA1723" s="182">
        <v>4.6322207163190798E-2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50916</v>
      </c>
      <c r="Y1724" s="184">
        <f>_xll.qlCalendarAdvance(Calendar,X1724,NDays&amp;"D")</f>
        <v>50916</v>
      </c>
      <c r="Z1724" s="185">
        <v>4.6564753209599269E-2</v>
      </c>
      <c r="AA1724" s="182">
        <v>4.6318653231340878E-2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50923</v>
      </c>
      <c r="Y1725" s="184">
        <f>_xll.qlCalendarAdvance(Calendar,X1725,NDays&amp;"D")</f>
        <v>50923</v>
      </c>
      <c r="Z1725" s="185">
        <v>4.6561359846002182E-2</v>
      </c>
      <c r="AA1725" s="182">
        <v>4.6315143166114625E-2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50930</v>
      </c>
      <c r="Y1726" s="184">
        <f>_xll.qlCalendarAdvance(Calendar,X1726,NDays&amp;"D")</f>
        <v>50930</v>
      </c>
      <c r="Z1726" s="185">
        <v>4.6557984741010729E-2</v>
      </c>
      <c r="AA1726" s="182">
        <v>4.6311676967430992E-2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50937</v>
      </c>
      <c r="Y1727" s="184">
        <f>_xll.qlCalendarAdvance(Calendar,X1727,NDays&amp;"D")</f>
        <v>50937</v>
      </c>
      <c r="Z1727" s="185">
        <v>4.6554625520034948E-2</v>
      </c>
      <c r="AA1727" s="182">
        <v>4.6308254635452073E-2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50944</v>
      </c>
      <c r="Y1728" s="184">
        <f>_xll.qlCalendarAdvance(Calendar,X1728,NDays&amp;"D")</f>
        <v>50944</v>
      </c>
      <c r="Z1728" s="185">
        <v>4.6551280057709241E-2</v>
      </c>
      <c r="AA1728" s="182">
        <v>4.6304862843656869E-2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50951</v>
      </c>
      <c r="Y1729" s="184">
        <f>_xll.qlCalendarAdvance(Calendar,X1729,NDays&amp;"D")</f>
        <v>50951</v>
      </c>
      <c r="Z1729" s="185">
        <v>4.6547947766715884E-2</v>
      </c>
      <c r="AA1729" s="182">
        <v>4.6301484173173479E-2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50958</v>
      </c>
      <c r="Y1730" s="184">
        <f>_xll.qlCalendarAdvance(Calendar,X1730,NDays&amp;"D")</f>
        <v>50958</v>
      </c>
      <c r="Z1730" s="185">
        <v>4.6544628645864727E-2</v>
      </c>
      <c r="AA1730" s="182">
        <v>4.6298118518965925E-2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50965</v>
      </c>
      <c r="Y1731" s="184">
        <f>_xll.qlCalendarAdvance(Calendar,X1731,NDays&amp;"D")</f>
        <v>50965</v>
      </c>
      <c r="Z1731" s="185">
        <v>4.6541322695125814E-2</v>
      </c>
      <c r="AA1731" s="182">
        <v>4.6294765881277344E-2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50972</v>
      </c>
      <c r="Y1732" s="184">
        <f>_xll.qlCalendarAdvance(Calendar,X1732,NDays&amp;"D")</f>
        <v>50972</v>
      </c>
      <c r="Z1732" s="185">
        <v>4.6538029914462146E-2</v>
      </c>
      <c r="AA1732" s="182">
        <v>4.6291426259864599E-2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50979</v>
      </c>
      <c r="Y1733" s="184">
        <f>_xll.qlCalendarAdvance(Calendar,X1733,NDays&amp;"D")</f>
        <v>50979</v>
      </c>
      <c r="Z1733" s="185">
        <v>4.6534750303845546E-2</v>
      </c>
      <c r="AA1733" s="182">
        <v>4.6288099654808734E-2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50986</v>
      </c>
      <c r="Y1734" s="184">
        <f>_xll.qlCalendarAdvance(Calendar,X1734,NDays&amp;"D")</f>
        <v>50986</v>
      </c>
      <c r="Z1734" s="185">
        <v>4.6531483863242518E-2</v>
      </c>
      <c r="AA1734" s="182">
        <v>4.6284786066271844E-2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50993</v>
      </c>
      <c r="Y1735" s="184">
        <f>_xll.qlCalendarAdvance(Calendar,X1735,NDays&amp;"D")</f>
        <v>50993</v>
      </c>
      <c r="Z1735" s="185">
        <v>4.6528230592619603E-2</v>
      </c>
      <c r="AA1735" s="182">
        <v>4.6281485493848695E-2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51000</v>
      </c>
      <c r="Y1736" s="184">
        <f>_xll.qlCalendarAdvance(Calendar,X1736,NDays&amp;"D")</f>
        <v>51000</v>
      </c>
      <c r="Z1736" s="185">
        <v>4.652499049194684E-2</v>
      </c>
      <c r="AA1736" s="182">
        <v>4.6278197937944521E-2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51007</v>
      </c>
      <c r="Y1737" s="184">
        <f>_xll.qlCalendarAdvance(Calendar,X1737,NDays&amp;"D")</f>
        <v>51007</v>
      </c>
      <c r="Z1737" s="185">
        <v>4.6521763561189873E-2</v>
      </c>
      <c r="AA1737" s="182">
        <v>4.6274923398397227E-2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51014</v>
      </c>
      <c r="Y1738" s="184">
        <f>_xll.qlCalendarAdvance(Calendar,X1738,NDays&amp;"D")</f>
        <v>51014</v>
      </c>
      <c r="Z1738" s="185">
        <v>4.6515824133455043E-2</v>
      </c>
      <c r="AA1738" s="182">
        <v>4.6271661875287862E-2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51021</v>
      </c>
      <c r="Y1739" s="184">
        <f>_xll.qlCalendarAdvance(Calendar,X1739,NDays&amp;"D")</f>
        <v>51021</v>
      </c>
      <c r="Z1739" s="185">
        <v>4.651262300735403E-2</v>
      </c>
      <c r="AA1739" s="182">
        <v>4.6268413368454331E-2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51028</v>
      </c>
      <c r="Y1740" s="184">
        <f>_xll.qlCalendarAdvance(Calendar,X1740,NDays&amp;"D")</f>
        <v>51028</v>
      </c>
      <c r="Z1740" s="185">
        <v>4.6509435049382854E-2</v>
      </c>
      <c r="AA1740" s="182">
        <v>4.6265177878139774E-2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51035</v>
      </c>
      <c r="Y1741" s="184">
        <f>_xll.qlCalendarAdvance(Calendar,X1741,NDays&amp;"D")</f>
        <v>51035</v>
      </c>
      <c r="Z1741" s="185">
        <v>4.6506260259508575E-2</v>
      </c>
      <c r="AA1741" s="182">
        <v>4.6261955403857913E-2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51042</v>
      </c>
      <c r="Y1742" s="184">
        <f>_xll.qlCalendarAdvance(Calendar,X1742,NDays&amp;"D")</f>
        <v>51042</v>
      </c>
      <c r="Z1742" s="185">
        <v>4.6503098637701801E-2</v>
      </c>
      <c r="AA1742" s="182">
        <v>4.6258745946257118E-2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51049</v>
      </c>
      <c r="Y1743" s="184">
        <f>_xll.qlCalendarAdvance(Calendar,X1743,NDays&amp;"D")</f>
        <v>51049</v>
      </c>
      <c r="Z1743" s="185">
        <v>4.6502678543146152E-2</v>
      </c>
      <c r="AA1743" s="182">
        <v>4.6255549505013205E-2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51056</v>
      </c>
      <c r="Y1744" s="184">
        <f>_xll.qlCalendarAdvance(Calendar,X1744,NDays&amp;"D")</f>
        <v>51056</v>
      </c>
      <c r="Z1744" s="185">
        <v>4.6499543800928529E-2</v>
      </c>
      <c r="AA1744" s="182">
        <v>4.6252366080045126E-2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51063</v>
      </c>
      <c r="Y1745" s="184">
        <f>_xll.qlCalendarAdvance(Calendar,X1745,NDays&amp;"D")</f>
        <v>51063</v>
      </c>
      <c r="Z1745" s="185">
        <v>4.649642222837827E-2</v>
      </c>
      <c r="AA1745" s="182">
        <v>4.6249195671514975E-2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51070</v>
      </c>
      <c r="Y1746" s="184">
        <f>_xll.qlCalendarAdvance(Calendar,X1746,NDays&amp;"D")</f>
        <v>51070</v>
      </c>
      <c r="Z1746" s="185">
        <v>4.6493313825463678E-2</v>
      </c>
      <c r="AA1746" s="182">
        <v>4.6246038279179613E-2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51077</v>
      </c>
      <c r="Y1747" s="184">
        <f>_xll.qlCalendarAdvance(Calendar,X1747,NDays&amp;"D")</f>
        <v>51077</v>
      </c>
      <c r="Z1747" s="185">
        <v>4.649021859215479E-2</v>
      </c>
      <c r="AA1747" s="182">
        <v>4.6242893903363225E-2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51084</v>
      </c>
      <c r="Y1748" s="184">
        <f>_xll.qlCalendarAdvance(Calendar,X1748,NDays&amp;"D")</f>
        <v>51084</v>
      </c>
      <c r="Z1748" s="185">
        <v>4.6487136528419022E-2</v>
      </c>
      <c r="AA1748" s="182">
        <v>4.6239762543822671E-2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51091</v>
      </c>
      <c r="Y1749" s="184">
        <f>_xll.qlCalendarAdvance(Calendar,X1749,NDays&amp;"D")</f>
        <v>51091</v>
      </c>
      <c r="Z1749" s="185">
        <v>4.6484067634230818E-2</v>
      </c>
      <c r="AA1749" s="182">
        <v>4.6236644200801091E-2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51098</v>
      </c>
      <c r="Y1750" s="184">
        <f>_xll.qlCalendarAdvance(Calendar,X1750,NDays&amp;"D")</f>
        <v>51098</v>
      </c>
      <c r="Z1750" s="185">
        <v>4.6481011909555815E-2</v>
      </c>
      <c r="AA1750" s="182">
        <v>4.6233538874055347E-2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51105</v>
      </c>
      <c r="Y1751" s="184">
        <f>_xll.qlCalendarAdvance(Calendar,X1751,NDays&amp;"D")</f>
        <v>51105</v>
      </c>
      <c r="Z1751" s="185">
        <v>4.6475236599389479E-2</v>
      </c>
      <c r="AA1751" s="182">
        <v>4.6230446563666483E-2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51112</v>
      </c>
      <c r="Y1752" s="184">
        <f>_xll.qlCalendarAdvance(Calendar,X1752,NDays&amp;"D")</f>
        <v>51112</v>
      </c>
      <c r="Z1752" s="185">
        <v>4.647220665657447E-2</v>
      </c>
      <c r="AA1752" s="182">
        <v>4.6227367269634501E-2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51119</v>
      </c>
      <c r="Y1753" s="184">
        <f>_xll.qlCalendarAdvance(Calendar,X1753,NDays&amp;"D")</f>
        <v>51119</v>
      </c>
      <c r="Z1753" s="185">
        <v>4.6469189881495648E-2</v>
      </c>
      <c r="AA1753" s="182">
        <v>4.6224300992040446E-2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51126</v>
      </c>
      <c r="Y1754" s="184">
        <f>_xll.qlCalendarAdvance(Calendar,X1754,NDays&amp;"D")</f>
        <v>51126</v>
      </c>
      <c r="Z1754" s="185">
        <v>4.6466186274121857E-2</v>
      </c>
      <c r="AA1754" s="182">
        <v>4.6221247730722226E-2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51133</v>
      </c>
      <c r="Y1755" s="184">
        <f>_xll.qlCalendarAdvance(Calendar,X1755,NDays&amp;"D")</f>
        <v>51133</v>
      </c>
      <c r="Z1755" s="185">
        <v>4.6463195834423689E-2</v>
      </c>
      <c r="AA1755" s="182">
        <v>4.6218207485679841E-2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51140</v>
      </c>
      <c r="Y1756" s="184">
        <f>_xll.qlCalendarAdvance(Calendar,X1756,NDays&amp;"D")</f>
        <v>51140</v>
      </c>
      <c r="Z1756" s="185">
        <v>4.6460218562374436E-2</v>
      </c>
      <c r="AA1756" s="182">
        <v>4.621518025715643E-2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51147</v>
      </c>
      <c r="Y1757" s="184">
        <f>_xll.qlCalendarAdvance(Calendar,X1757,NDays&amp;"D")</f>
        <v>51147</v>
      </c>
      <c r="Z1757" s="185">
        <v>4.6457254457942923E-2</v>
      </c>
      <c r="AA1757" s="182">
        <v>4.62121660449899E-2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51154</v>
      </c>
      <c r="Y1758" s="184">
        <f>_xll.qlCalendarAdvance(Calendar,X1758,NDays&amp;"D")</f>
        <v>51154</v>
      </c>
      <c r="Z1758" s="185">
        <v>4.6454303521099763E-2</v>
      </c>
      <c r="AA1758" s="182">
        <v>4.6209164849099205E-2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51162</v>
      </c>
      <c r="Y1759" s="184">
        <f>_xll.qlCalendarAdvance(Calendar,X1759,NDays&amp;"D")</f>
        <v>51162</v>
      </c>
      <c r="Z1759" s="185">
        <v>4.6450947145393731E-2</v>
      </c>
      <c r="AA1759" s="182">
        <v>4.6211174759284532E-2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51169</v>
      </c>
      <c r="Y1760" s="184">
        <f>_xll.qlCalendarAdvance(Calendar,X1760,NDays&amp;"D")</f>
        <v>51169</v>
      </c>
      <c r="Z1760" s="185">
        <v>4.644528679953102E-2</v>
      </c>
      <c r="AA1760" s="182">
        <v>4.6208202562806708E-2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51176</v>
      </c>
      <c r="Y1761" s="184">
        <f>_xll.qlCalendarAdvance(Calendar,X1761,NDays&amp;"D")</f>
        <v>51176</v>
      </c>
      <c r="Z1761" s="185">
        <v>4.6442376674034912E-2</v>
      </c>
      <c r="AA1761" s="182">
        <v>4.6205243386035676E-2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51183</v>
      </c>
      <c r="Y1762" s="184">
        <f>_xll.qlCalendarAdvance(Calendar,X1762,NDays&amp;"D")</f>
        <v>51183</v>
      </c>
      <c r="Z1762" s="185">
        <v>4.6439479714324314E-2</v>
      </c>
      <c r="AA1762" s="182">
        <v>4.6202297228971442E-2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51190</v>
      </c>
      <c r="Y1763" s="184">
        <f>_xll.qlCalendarAdvance(Calendar,X1763,NDays&amp;"D")</f>
        <v>51190</v>
      </c>
      <c r="Z1763" s="185">
        <v>4.6436595920368605E-2</v>
      </c>
      <c r="AA1763" s="182">
        <v>4.6199364091614001E-2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51197</v>
      </c>
      <c r="Y1764" s="184">
        <f>_xll.qlCalendarAdvance(Calendar,X1764,NDays&amp;"D")</f>
        <v>51197</v>
      </c>
      <c r="Z1764" s="185">
        <v>4.6444686711006898E-2</v>
      </c>
      <c r="AA1764" s="182">
        <v>4.6196443973936338E-2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51204</v>
      </c>
      <c r="Y1765" s="184">
        <f>_xll.qlCalendarAdvance(Calendar,X1765,NDays&amp;"D")</f>
        <v>51204</v>
      </c>
      <c r="Z1765" s="185">
        <v>4.6444573217516744E-2</v>
      </c>
      <c r="AA1765" s="182">
        <v>4.6193536875992487E-2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51211</v>
      </c>
      <c r="Y1766" s="184">
        <f>_xll.qlCalendarAdvance(Calendar,X1766,NDays&amp;"D")</f>
        <v>51211</v>
      </c>
      <c r="Z1766" s="185">
        <v>4.6438989593234573E-2</v>
      </c>
      <c r="AA1766" s="182">
        <v>4.6190642797728408E-2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51218</v>
      </c>
      <c r="Y1767" s="184">
        <f>_xll.qlCalendarAdvance(Calendar,X1767,NDays&amp;"D")</f>
        <v>51218</v>
      </c>
      <c r="Z1767" s="185">
        <v>4.6436160792944096E-2</v>
      </c>
      <c r="AA1767" s="182">
        <v>4.6187761739171128E-2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51229</v>
      </c>
      <c r="Y1768" s="184">
        <f>_xll.qlCalendarAdvance(Calendar,X1768,NDays&amp;"D")</f>
        <v>51229</v>
      </c>
      <c r="Z1768" s="185">
        <v>4.6423512666507759E-2</v>
      </c>
      <c r="AA1768" s="182">
        <v>4.617782602260867E-2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51236</v>
      </c>
      <c r="Y1769" s="184">
        <f>_xll.qlCalendarAdvance(Calendar,X1769,NDays&amp;"D")</f>
        <v>51236</v>
      </c>
      <c r="Z1769" s="185">
        <v>4.6420715976467061E-2</v>
      </c>
      <c r="AA1769" s="182">
        <v>4.6174977304354048E-2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51243</v>
      </c>
      <c r="Y1770" s="184">
        <f>_xll.qlCalendarAdvance(Calendar,X1770,NDays&amp;"D")</f>
        <v>51243</v>
      </c>
      <c r="Z1770" s="185">
        <v>4.641793245365846E-2</v>
      </c>
      <c r="AA1770" s="182">
        <v>4.6172141602051076E-2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51250</v>
      </c>
      <c r="Y1771" s="184">
        <f>_xll.qlCalendarAdvance(Calendar,X1771,NDays&amp;"D")</f>
        <v>51250</v>
      </c>
      <c r="Z1771" s="185">
        <v>4.6415162098056142E-2</v>
      </c>
      <c r="AA1771" s="182">
        <v>4.6172037810050526E-2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51257</v>
      </c>
      <c r="Y1772" s="184">
        <f>_xll.qlCalendarAdvance(Calendar,X1772,NDays&amp;"D")</f>
        <v>51257</v>
      </c>
      <c r="Z1772" s="185">
        <v>4.641515014069858E-2</v>
      </c>
      <c r="AA1772" s="182">
        <v>4.6166509247002052E-2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51264</v>
      </c>
      <c r="Y1773" s="184">
        <f>_xll.qlCalendarAdvance(Calendar,X1773,NDays&amp;"D")</f>
        <v>51264</v>
      </c>
      <c r="Z1773" s="185">
        <v>4.6412406713127664E-2</v>
      </c>
      <c r="AA1773" s="182">
        <v>4.6163712594012862E-2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51271</v>
      </c>
      <c r="Y1774" s="184">
        <f>_xll.qlCalendarAdvance(Calendar,X1774,NDays&amp;"D")</f>
        <v>51271</v>
      </c>
      <c r="Z1774" s="185">
        <v>4.640967645436609E-2</v>
      </c>
      <c r="AA1774" s="182">
        <v>4.6160928957380554E-2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51278</v>
      </c>
      <c r="Y1775" s="184">
        <f>_xll.qlCalendarAdvance(Calendar,X1775,NDays&amp;"D")</f>
        <v>51278</v>
      </c>
      <c r="Z1775" s="185">
        <v>4.6406959364385665E-2</v>
      </c>
      <c r="AA1775" s="182">
        <v>4.6158158337105126E-2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51285</v>
      </c>
      <c r="Y1776" s="184">
        <f>_xll.qlCalendarAdvance(Calendar,X1776,NDays&amp;"D")</f>
        <v>51285</v>
      </c>
      <c r="Z1776" s="185">
        <v>4.6404255443161728E-2</v>
      </c>
      <c r="AA1776" s="182">
        <v>4.615540073318658E-2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51292</v>
      </c>
      <c r="Y1777" s="184">
        <f>_xll.qlCalendarAdvance(Calendar,X1777,NDays&amp;"D")</f>
        <v>51292</v>
      </c>
      <c r="Z1777" s="185">
        <v>4.6401564690666079E-2</v>
      </c>
      <c r="AA1777" s="182">
        <v>4.6152656145624915E-2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51299</v>
      </c>
      <c r="Y1778" s="184">
        <f>_xll.qlCalendarAdvance(Calendar,X1778,NDays&amp;"D")</f>
        <v>51299</v>
      </c>
      <c r="Z1778" s="185">
        <v>4.6398887106873184E-2</v>
      </c>
      <c r="AA1778" s="182">
        <v>4.6149924574420131E-2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51306</v>
      </c>
      <c r="Y1779" s="184">
        <f>_xll.qlCalendarAdvance(Calendar,X1779,NDays&amp;"D")</f>
        <v>51306</v>
      </c>
      <c r="Z1779" s="185">
        <v>4.6396222691754835E-2</v>
      </c>
      <c r="AA1779" s="182">
        <v>4.614720601932909E-2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51313</v>
      </c>
      <c r="Y1780" s="184">
        <f>_xll.qlCalendarAdvance(Calendar,X1780,NDays&amp;"D")</f>
        <v>51313</v>
      </c>
      <c r="Z1780" s="185">
        <v>4.6393571445288148E-2</v>
      </c>
      <c r="AA1780" s="182">
        <v>4.6144500480919115E-2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51320</v>
      </c>
      <c r="Y1781" s="184">
        <f>_xll.qlCalendarAdvance(Calendar,X1781,NDays&amp;"D")</f>
        <v>51320</v>
      </c>
      <c r="Z1781" s="185">
        <v>4.639093336744668E-2</v>
      </c>
      <c r="AA1781" s="182">
        <v>4.6141807958703929E-2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51327</v>
      </c>
      <c r="Y1782" s="184">
        <f>_xll.qlCalendarAdvance(Calendar,X1782,NDays&amp;"D")</f>
        <v>51327</v>
      </c>
      <c r="Z1782" s="185">
        <v>4.6388308458201369E-2</v>
      </c>
      <c r="AA1782" s="182">
        <v>4.6139128453007716E-2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51334</v>
      </c>
      <c r="Y1783" s="184">
        <f>_xll.qlCalendarAdvance(Calendar,X1783,NDays&amp;"D")</f>
        <v>51334</v>
      </c>
      <c r="Z1783" s="185">
        <v>4.6385696717527541E-2</v>
      </c>
      <c r="AA1783" s="182">
        <v>4.6136461963506292E-2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51341</v>
      </c>
      <c r="Y1784" s="184">
        <f>_xll.qlCalendarAdvance(Calendar,X1784,NDays&amp;"D")</f>
        <v>51341</v>
      </c>
      <c r="Z1784" s="185">
        <v>4.6383098145400529E-2</v>
      </c>
      <c r="AA1784" s="182">
        <v>4.6133808490442796E-2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51348</v>
      </c>
      <c r="Y1785" s="184">
        <f>_xll.qlCalendarAdvance(Calendar,X1785,NDays&amp;"D")</f>
        <v>51348</v>
      </c>
      <c r="Z1785" s="185">
        <v>4.6380512741795679E-2</v>
      </c>
      <c r="AA1785" s="182">
        <v>4.6131168033655134E-2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51355</v>
      </c>
      <c r="Y1786" s="184">
        <f>_xll.qlCalendarAdvance(Calendar,X1786,NDays&amp;"D")</f>
        <v>51355</v>
      </c>
      <c r="Z1786" s="185">
        <v>4.637794050668391E-2</v>
      </c>
      <c r="AA1786" s="182">
        <v>4.61285405933054E-2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51362</v>
      </c>
      <c r="Y1787" s="184">
        <f>_xll.qlCalendarAdvance(Calendar,X1787,NDays&amp;"D")</f>
        <v>51362</v>
      </c>
      <c r="Z1787" s="185">
        <v>4.6375381440044085E-2</v>
      </c>
      <c r="AA1787" s="182">
        <v>4.6125926169312548E-2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51369</v>
      </c>
      <c r="Y1788" s="184">
        <f>_xll.qlCalendarAdvance(Calendar,X1788,NDays&amp;"D")</f>
        <v>51369</v>
      </c>
      <c r="Z1788" s="185">
        <v>4.6372835541847131E-2</v>
      </c>
      <c r="AA1788" s="182">
        <v>4.612332476159553E-2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51376</v>
      </c>
      <c r="Y1789" s="184">
        <f>_xll.qlCalendarAdvance(Calendar,X1789,NDays&amp;"D")</f>
        <v>51376</v>
      </c>
      <c r="Z1789" s="185">
        <v>4.6370302812071017E-2</v>
      </c>
      <c r="AA1789" s="182">
        <v>4.612073637031644E-2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51383</v>
      </c>
      <c r="Y1790" s="184">
        <f>_xll.qlCalendarAdvance(Calendar,X1790,NDays&amp;"D")</f>
        <v>51383</v>
      </c>
      <c r="Z1790" s="185">
        <v>4.6365027075776319E-2</v>
      </c>
      <c r="AA1790" s="182">
        <v>4.6118160995313184E-2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51390</v>
      </c>
      <c r="Y1791" s="184">
        <f>_xll.qlCalendarAdvance(Calendar,X1791,NDays&amp;"D")</f>
        <v>51390</v>
      </c>
      <c r="Z1791" s="185">
        <v>4.6362520058813292E-2</v>
      </c>
      <c r="AA1791" s="182">
        <v>4.611559863666681E-2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51397</v>
      </c>
      <c r="Y1792" s="184">
        <f>_xll.qlCalendarAdvance(Calendar,X1792,NDays&amp;"D")</f>
        <v>51397</v>
      </c>
      <c r="Z1792" s="185">
        <v>4.6360026208517716E-2</v>
      </c>
      <c r="AA1792" s="182">
        <v>4.6113049294458364E-2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51404</v>
      </c>
      <c r="Y1793" s="184">
        <f>_xll.qlCalendarAdvance(Calendar,X1793,NDays&amp;"D")</f>
        <v>51404</v>
      </c>
      <c r="Z1793" s="185">
        <v>4.6363061921084643E-2</v>
      </c>
      <c r="AA1793" s="182">
        <v>4.6110512968606798E-2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51411</v>
      </c>
      <c r="Y1794" s="184">
        <f>_xll.qlCalendarAdvance(Calendar,X1794,NDays&amp;"D")</f>
        <v>51411</v>
      </c>
      <c r="Z1794" s="185">
        <v>4.6357836688618696E-2</v>
      </c>
      <c r="AA1794" s="182">
        <v>4.6107989658950022E-2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51418</v>
      </c>
      <c r="Y1795" s="184">
        <f>_xll.qlCalendarAdvance(Calendar,X1795,NDays&amp;"D")</f>
        <v>51418</v>
      </c>
      <c r="Z1795" s="185">
        <v>4.6355382968841743E-2</v>
      </c>
      <c r="AA1795" s="182">
        <v>4.6105479365893265E-2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51425</v>
      </c>
      <c r="Y1796" s="184">
        <f>_xll.qlCalendarAdvance(Calendar,X1796,NDays&amp;"D")</f>
        <v>51425</v>
      </c>
      <c r="Z1796" s="185">
        <v>4.6352942417313858E-2</v>
      </c>
      <c r="AA1796" s="182">
        <v>4.6102982089031297E-2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51432</v>
      </c>
      <c r="Y1797" s="184">
        <f>_xll.qlCalendarAdvance(Calendar,X1797,NDays&amp;"D")</f>
        <v>51432</v>
      </c>
      <c r="Z1797" s="185">
        <v>4.6350515034008603E-2</v>
      </c>
      <c r="AA1797" s="182">
        <v>4.6100497828445164E-2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51439</v>
      </c>
      <c r="Y1798" s="184">
        <f>_xll.qlCalendarAdvance(Calendar,X1798,NDays&amp;"D")</f>
        <v>51439</v>
      </c>
      <c r="Z1798" s="185">
        <v>4.6348100818903962E-2</v>
      </c>
      <c r="AA1798" s="182">
        <v>4.6098026584378005E-2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51446</v>
      </c>
      <c r="Y1799" s="184">
        <f>_xll.qlCalendarAdvance(Calendar,X1799,NDays&amp;"D")</f>
        <v>51446</v>
      </c>
      <c r="Z1799" s="185">
        <v>4.6345699771976147E-2</v>
      </c>
      <c r="AA1799" s="182">
        <v>4.609556835658668E-2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51453</v>
      </c>
      <c r="Y1800" s="184">
        <f>_xll.qlCalendarAdvance(Calendar,X1800,NDays&amp;"D")</f>
        <v>51453</v>
      </c>
      <c r="Z1800" s="185">
        <v>4.6343311893200498E-2</v>
      </c>
      <c r="AA1800" s="182">
        <v>4.6093123145152237E-2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51460</v>
      </c>
      <c r="Y1801" s="184">
        <f>_xll.qlCalendarAdvance(Calendar,X1801,NDays&amp;"D")</f>
        <v>51460</v>
      </c>
      <c r="Z1801" s="185">
        <v>4.6340937182554096E-2</v>
      </c>
      <c r="AA1801" s="182">
        <v>4.6090690949993629E-2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51467</v>
      </c>
      <c r="Y1802" s="184">
        <f>_xll.qlCalendarAdvance(Calendar,X1802,NDays&amp;"D")</f>
        <v>51467</v>
      </c>
      <c r="Z1802" s="185">
        <v>4.6338575640012293E-2</v>
      </c>
      <c r="AA1802" s="182">
        <v>4.6088271771191902E-2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51474</v>
      </c>
      <c r="Y1803" s="184">
        <f>_xll.qlCalendarAdvance(Calendar,X1803,NDays&amp;"D")</f>
        <v>51474</v>
      </c>
      <c r="Z1803" s="185">
        <v>4.6330698725942657E-2</v>
      </c>
      <c r="AA1803" s="182">
        <v>4.6085865608990195E-2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51481</v>
      </c>
      <c r="Y1804" s="184">
        <f>_xll.qlCalendarAdvance(Calendar,X1804,NDays&amp;"D")</f>
        <v>51481</v>
      </c>
      <c r="Z1804" s="185">
        <v>4.6328362228253088E-2</v>
      </c>
      <c r="AA1804" s="182">
        <v>4.6083472462821184E-2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51488</v>
      </c>
      <c r="Y1805" s="184">
        <f>_xll.qlCalendarAdvance(Calendar,X1805,NDays&amp;"D")</f>
        <v>51488</v>
      </c>
      <c r="Z1805" s="185">
        <v>4.6326038895250395E-2</v>
      </c>
      <c r="AA1805" s="182">
        <v>4.6081092333252194E-2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51497</v>
      </c>
      <c r="Y1806" s="184">
        <f>_xll.qlCalendarAdvance(Calendar,X1806,NDays&amp;"D")</f>
        <v>51497</v>
      </c>
      <c r="Z1806" s="185">
        <v>4.6323071096812933E-2</v>
      </c>
      <c r="AA1806" s="182">
        <v>4.607805129257847E-2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51504</v>
      </c>
      <c r="Y1807" s="184">
        <f>_xll.qlCalendarAdvance(Calendar,X1807,NDays&amp;"D")</f>
        <v>51504</v>
      </c>
      <c r="Z1807" s="185">
        <v>4.6320777854438347E-2</v>
      </c>
      <c r="AA1807" s="182">
        <v>4.6075700914369744E-2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51511</v>
      </c>
      <c r="Y1808" s="184">
        <f>_xll.qlCalendarAdvance(Calendar,X1808,NDays&amp;"D")</f>
        <v>51511</v>
      </c>
      <c r="Z1808" s="185">
        <v>4.6318497776679506E-2</v>
      </c>
      <c r="AA1808" s="182">
        <v>4.607336355292313E-2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51518</v>
      </c>
      <c r="Y1809" s="184">
        <f>_xll.qlCalendarAdvance(Calendar,X1809,NDays&amp;"D")</f>
        <v>51518</v>
      </c>
      <c r="Z1809" s="185">
        <v>4.6316230863512088E-2</v>
      </c>
      <c r="AA1809" s="182">
        <v>4.6071039207509212E-2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51525</v>
      </c>
      <c r="Y1810" s="184">
        <f>_xll.qlCalendarAdvance(Calendar,X1810,NDays&amp;"D")</f>
        <v>51525</v>
      </c>
      <c r="Z1810" s="185">
        <v>4.6313977114914487E-2</v>
      </c>
      <c r="AA1810" s="182">
        <v>4.6068727878452176E-2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51532</v>
      </c>
      <c r="Y1811" s="184">
        <f>_xll.qlCalendarAdvance(Calendar,X1811,NDays&amp;"D")</f>
        <v>51532</v>
      </c>
      <c r="Z1811" s="185">
        <v>4.6308967305226892E-2</v>
      </c>
      <c r="AA1811" s="182">
        <v>4.6066429565833067E-2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51539</v>
      </c>
      <c r="Y1812" s="184">
        <f>_xll.qlCalendarAdvance(Calendar,X1812,NDays&amp;"D")</f>
        <v>51539</v>
      </c>
      <c r="Z1812" s="185">
        <v>4.6306739226493331E-2</v>
      </c>
      <c r="AA1812" s="182">
        <v>4.6064144269489793E-2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51546</v>
      </c>
      <c r="Y1813" s="184">
        <f>_xll.qlCalendarAdvance(Calendar,X1813,NDays&amp;"D")</f>
        <v>51546</v>
      </c>
      <c r="Z1813" s="185">
        <v>4.6304524310595507E-2</v>
      </c>
      <c r="AA1813" s="182">
        <v>4.6061871989584446E-2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51553</v>
      </c>
      <c r="Y1814" s="184">
        <f>_xll.qlCalendarAdvance(Calendar,X1814,NDays&amp;"D")</f>
        <v>51553</v>
      </c>
      <c r="Z1814" s="185">
        <v>4.6302322557508845E-2</v>
      </c>
      <c r="AA1814" s="182">
        <v>4.6059612726035981E-2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51560</v>
      </c>
      <c r="Y1815" s="184">
        <f>_xll.qlCalendarAdvance(Calendar,X1815,NDays&amp;"D")</f>
        <v>51560</v>
      </c>
      <c r="Z1815" s="185">
        <v>4.6308450475869983E-2</v>
      </c>
      <c r="AA1815" s="182">
        <v>4.6057366478844397E-2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51567</v>
      </c>
      <c r="Y1816" s="184">
        <f>_xll.qlCalendarAdvance(Calendar,X1816,NDays&amp;"D")</f>
        <v>51567</v>
      </c>
      <c r="Z1816" s="185">
        <v>4.6306277046651849E-2</v>
      </c>
      <c r="AA1816" s="182">
        <v>4.6055133247847602E-2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51574</v>
      </c>
      <c r="Y1817" s="184">
        <f>_xll.qlCalendarAdvance(Calendar,X1817,NDays&amp;"D")</f>
        <v>51574</v>
      </c>
      <c r="Z1817" s="185">
        <v>4.6304116785198267E-2</v>
      </c>
      <c r="AA1817" s="182">
        <v>4.6052913033450826E-2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51581</v>
      </c>
      <c r="Y1818" s="184">
        <f>_xll.qlCalendarAdvance(Calendar,X1818,NDays&amp;"D")</f>
        <v>51581</v>
      </c>
      <c r="Z1818" s="185">
        <v>4.6301969691488087E-2</v>
      </c>
      <c r="AA1818" s="182">
        <v>4.6050705835086747E-2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51588</v>
      </c>
      <c r="Y1819" s="184">
        <f>_xll.qlCalendarAdvance(Calendar,X1819,NDays&amp;"D")</f>
        <v>51588</v>
      </c>
      <c r="Z1819" s="185">
        <v>4.6299835765500168E-2</v>
      </c>
      <c r="AA1819" s="182">
        <v>4.6048511653322688E-2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51595</v>
      </c>
      <c r="Y1820" s="184">
        <f>_xll.qlCalendarAdvance(Calendar,X1820,NDays&amp;"D")</f>
        <v>51595</v>
      </c>
      <c r="Z1820" s="185">
        <v>4.6294939192352405E-2</v>
      </c>
      <c r="AA1820" s="182">
        <v>4.6046330487753417E-2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51602</v>
      </c>
      <c r="Y1821" s="184">
        <f>_xll.qlCalendarAdvance(Calendar,X1821,NDays&amp;"D")</f>
        <v>51602</v>
      </c>
      <c r="Z1821" s="185">
        <v>4.6292830927081766E-2</v>
      </c>
      <c r="AA1821" s="182">
        <v>4.6044162338622074E-2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51609</v>
      </c>
      <c r="Y1822" s="184">
        <f>_xll.qlCalendarAdvance(Calendar,X1822,NDays&amp;"D")</f>
        <v>51609</v>
      </c>
      <c r="Z1822" s="185">
        <v>4.6290735827799037E-2</v>
      </c>
      <c r="AA1822" s="182">
        <v>4.6053010972305186E-2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51617</v>
      </c>
      <c r="Y1823" s="184">
        <f>_xll.qlCalendarAdvance(Calendar,X1823,NDays&amp;"D")</f>
        <v>51617</v>
      </c>
      <c r="Z1823" s="185">
        <v>4.6288357550213266E-2</v>
      </c>
      <c r="AA1823" s="182">
        <v>4.6045062938537093E-2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51624</v>
      </c>
      <c r="Y1824" s="184">
        <f>_xll.qlCalendarAdvance(Calendar,X1824,NDays&amp;"D")</f>
        <v>51624</v>
      </c>
      <c r="Z1824" s="185">
        <v>4.6297406941010949E-2</v>
      </c>
      <c r="AA1824" s="182">
        <v>4.6042937021136827E-2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51631</v>
      </c>
      <c r="Y1825" s="184">
        <f>_xll.qlCalendarAdvance(Calendar,X1825,NDays&amp;"D")</f>
        <v>51631</v>
      </c>
      <c r="Z1825" s="185">
        <v>4.6292575747865543E-2</v>
      </c>
      <c r="AA1825" s="182">
        <v>4.6040824123470367E-2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51638</v>
      </c>
      <c r="Y1826" s="184">
        <f>_xll.qlCalendarAdvance(Calendar,X1826,NDays&amp;"D")</f>
        <v>51638</v>
      </c>
      <c r="Z1826" s="185">
        <v>4.6290537243564564E-2</v>
      </c>
      <c r="AA1826" s="182">
        <v>4.6038724245348613E-2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51645</v>
      </c>
      <c r="Y1827" s="184">
        <f>_xll.qlCalendarAdvance(Calendar,X1827,NDays&amp;"D")</f>
        <v>51645</v>
      </c>
      <c r="Z1827" s="185">
        <v>4.6288511910157627E-2</v>
      </c>
      <c r="AA1827" s="182">
        <v>4.6036637386987676E-2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51652</v>
      </c>
      <c r="Y1828" s="184">
        <f>_xll.qlCalendarAdvance(Calendar,X1828,NDays&amp;"D")</f>
        <v>51652</v>
      </c>
      <c r="Z1828" s="185">
        <v>4.6278154776680888E-2</v>
      </c>
      <c r="AA1828" s="182">
        <v>4.6034563548225479E-2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51659</v>
      </c>
      <c r="Y1829" s="184">
        <f>_xll.qlCalendarAdvance(Calendar,X1829,NDays&amp;"D")</f>
        <v>51659</v>
      </c>
      <c r="Z1829" s="185">
        <v>4.6284500755949101E-2</v>
      </c>
      <c r="AA1829" s="182">
        <v>4.6035258568765114E-2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51666</v>
      </c>
      <c r="Y1830" s="184">
        <f>_xll.qlCalendarAdvance(Calendar,X1830,NDays&amp;"D")</f>
        <v>51666</v>
      </c>
      <c r="Z1830" s="185">
        <v>4.6282514935106996E-2</v>
      </c>
      <c r="AA1830" s="182">
        <v>4.6030454929659369E-2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51673</v>
      </c>
      <c r="Y1831" s="184">
        <f>_xll.qlCalendarAdvance(Calendar,X1831,NDays&amp;"D")</f>
        <v>51673</v>
      </c>
      <c r="Z1831" s="185">
        <v>4.6280542285078739E-2</v>
      </c>
      <c r="AA1831" s="182">
        <v>4.6028420149882475E-2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51680</v>
      </c>
      <c r="Y1832" s="184">
        <f>_xll.qlCalendarAdvance(Calendar,X1832,NDays&amp;"D")</f>
        <v>51680</v>
      </c>
      <c r="Z1832" s="185">
        <v>4.6278582805845368E-2</v>
      </c>
      <c r="AA1832" s="182">
        <v>4.6026398389704314E-2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51687</v>
      </c>
      <c r="Y1833" s="184">
        <f>_xll.qlCalendarAdvance(Calendar,X1833,NDays&amp;"D")</f>
        <v>51687</v>
      </c>
      <c r="Z1833" s="185">
        <v>4.6279422215270719E-2</v>
      </c>
      <c r="AA1833" s="182">
        <v>4.6024389649178918E-2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51694</v>
      </c>
      <c r="Y1834" s="184">
        <f>_xll.qlCalendarAdvance(Calendar,X1834,NDays&amp;"D")</f>
        <v>51694</v>
      </c>
      <c r="Z1834" s="185">
        <v>4.6274703359683936E-2</v>
      </c>
      <c r="AA1834" s="182">
        <v>4.6022393928333301E-2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51701</v>
      </c>
      <c r="Y1835" s="184">
        <f>_xll.qlCalendarAdvance(Calendar,X1835,NDays&amp;"D")</f>
        <v>51701</v>
      </c>
      <c r="Z1835" s="185">
        <v>4.6272783392717086E-2</v>
      </c>
      <c r="AA1835" s="182">
        <v>4.6020411227086409E-2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51708</v>
      </c>
      <c r="Y1836" s="184">
        <f>_xll.qlCalendarAdvance(Calendar,X1836,NDays&amp;"D")</f>
        <v>51708</v>
      </c>
      <c r="Z1836" s="185">
        <v>4.627087659646751E-2</v>
      </c>
      <c r="AA1836" s="182">
        <v>4.6018441545573337E-2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51715</v>
      </c>
      <c r="Y1837" s="184">
        <f>_xll.qlCalendarAdvance(Calendar,X1837,NDays&amp;"D")</f>
        <v>51715</v>
      </c>
      <c r="Z1837" s="185">
        <v>4.6268982970913669E-2</v>
      </c>
      <c r="AA1837" s="182">
        <v>4.6019246144480275E-2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51722</v>
      </c>
      <c r="Y1838" s="184">
        <f>_xll.qlCalendarAdvance(Calendar,X1838,NDays&amp;"D")</f>
        <v>51722</v>
      </c>
      <c r="Z1838" s="185">
        <v>4.6267102516040035E-2</v>
      </c>
      <c r="AA1838" s="182">
        <v>4.6014541241343375E-2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51729</v>
      </c>
      <c r="Y1839" s="184">
        <f>_xll.qlCalendarAdvance(Calendar,X1839,NDays&amp;"D")</f>
        <v>51729</v>
      </c>
      <c r="Z1839" s="185">
        <v>4.6265235231825054E-2</v>
      </c>
      <c r="AA1839" s="182">
        <v>4.6012610618734559E-2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51736</v>
      </c>
      <c r="Y1840" s="184">
        <f>_xll.qlCalendarAdvance(Calendar,X1840,NDays&amp;"D")</f>
        <v>51736</v>
      </c>
      <c r="Z1840" s="185">
        <v>4.6263381118249756E-2</v>
      </c>
      <c r="AA1840" s="182">
        <v>4.6010693015697456E-2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51743</v>
      </c>
      <c r="Y1841" s="184">
        <f>_xll.qlCalendarAdvance(Calendar,X1841,NDays&amp;"D")</f>
        <v>51743</v>
      </c>
      <c r="Z1841" s="185">
        <v>4.6253167963536068E-2</v>
      </c>
      <c r="AA1841" s="182">
        <v>4.6008788432367151E-2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51750</v>
      </c>
      <c r="Y1842" s="184">
        <f>_xll.qlCalendarAdvance(Calendar,X1842,NDays&amp;"D")</f>
        <v>51750</v>
      </c>
      <c r="Z1842" s="185">
        <v>4.6251338060717413E-2</v>
      </c>
      <c r="AA1842" s="182">
        <v>4.6006896868635579E-2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51757</v>
      </c>
      <c r="Y1843" s="184">
        <f>_xll.qlCalendarAdvance(Calendar,X1843,NDays&amp;"D")</f>
        <v>51757</v>
      </c>
      <c r="Z1843" s="185">
        <v>4.6249521323485004E-2</v>
      </c>
      <c r="AA1843" s="182">
        <v>4.6005018324610798E-2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51764</v>
      </c>
      <c r="Y1844" s="184">
        <f>_xll.qlCalendarAdvance(Calendar,X1844,NDays&amp;"D")</f>
        <v>51764</v>
      </c>
      <c r="Z1844" s="185">
        <v>4.6247717751817463E-2</v>
      </c>
      <c r="AA1844" s="182">
        <v>4.6003152800130717E-2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51771</v>
      </c>
      <c r="Y1845" s="184">
        <f>_xll.qlCalendarAdvance(Calendar,X1845,NDays&amp;"D")</f>
        <v>51771</v>
      </c>
      <c r="Z1845" s="185">
        <v>4.6245927345701425E-2</v>
      </c>
      <c r="AA1845" s="182">
        <v>4.6001300295384448E-2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51778</v>
      </c>
      <c r="Y1846" s="184">
        <f>_xll.qlCalendarAdvance(Calendar,X1846,NDays&amp;"D")</f>
        <v>51778</v>
      </c>
      <c r="Z1846" s="185">
        <v>4.6252533019226043E-2</v>
      </c>
      <c r="AA1846" s="182">
        <v>4.6002228296324332E-2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51785</v>
      </c>
      <c r="Y1847" s="184">
        <f>_xll.qlCalendarAdvance(Calendar,X1847,NDays&amp;"D")</f>
        <v>51785</v>
      </c>
      <c r="Z1847" s="185">
        <v>4.6250771099621578E-2</v>
      </c>
      <c r="AA1847" s="182">
        <v>4.599763434471512E-2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51792</v>
      </c>
      <c r="Y1848" s="184">
        <f>_xll.qlCalendarAdvance(Calendar,X1848,NDays&amp;"D")</f>
        <v>51792</v>
      </c>
      <c r="Z1848" s="185">
        <v>4.6249022350514528E-2</v>
      </c>
      <c r="AA1848" s="182">
        <v>4.5995820898873115E-2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51799</v>
      </c>
      <c r="Y1849" s="184">
        <f>_xll.qlCalendarAdvance(Calendar,X1849,NDays&amp;"D")</f>
        <v>51799</v>
      </c>
      <c r="Z1849" s="185">
        <v>4.6250083845596215E-2</v>
      </c>
      <c r="AA1849" s="182">
        <v>4.5994020472656848E-2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51806</v>
      </c>
      <c r="Y1850" s="184">
        <f>_xll.qlCalendarAdvance(Calendar,X1850,NDays&amp;"D")</f>
        <v>51806</v>
      </c>
      <c r="Z1850" s="185">
        <v>4.6245564363712521E-2</v>
      </c>
      <c r="AA1850" s="182">
        <v>4.5992233066012307E-2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51813</v>
      </c>
      <c r="Y1851" s="184">
        <f>_xll.qlCalendarAdvance(Calendar,X1851,NDays&amp;"D")</f>
        <v>51813</v>
      </c>
      <c r="Z1851" s="185">
        <v>4.6243855125984792E-2</v>
      </c>
      <c r="AA1851" s="182">
        <v>4.5990458679074551E-2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51820</v>
      </c>
      <c r="Y1852" s="184">
        <f>_xll.qlCalendarAdvance(Calendar,X1852,NDays&amp;"D")</f>
        <v>51820</v>
      </c>
      <c r="Z1852" s="185">
        <v>4.6242159058684652E-2</v>
      </c>
      <c r="AA1852" s="182">
        <v>4.5988697311789568E-2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51827</v>
      </c>
      <c r="Y1853" s="184">
        <f>_xll.qlCalendarAdvance(Calendar,X1853,NDays&amp;"D")</f>
        <v>51827</v>
      </c>
      <c r="Z1853" s="185">
        <v>4.6240476161790549E-2</v>
      </c>
      <c r="AA1853" s="182">
        <v>4.5986948964076298E-2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51834</v>
      </c>
      <c r="Y1854" s="184">
        <f>_xll.qlCalendarAdvance(Calendar,X1854,NDays&amp;"D")</f>
        <v>51834</v>
      </c>
      <c r="Z1854" s="185">
        <v>4.6230406137556294E-2</v>
      </c>
      <c r="AA1854" s="182">
        <v>4.5985213636042806E-2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51841</v>
      </c>
      <c r="Y1855" s="184">
        <f>_xll.qlCalendarAdvance(Calendar,X1855,NDays&amp;"D")</f>
        <v>51841</v>
      </c>
      <c r="Z1855" s="185">
        <v>4.6225947165852974E-2</v>
      </c>
      <c r="AA1855" s="182">
        <v>4.5983491327608046E-2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51848</v>
      </c>
      <c r="Y1856" s="184">
        <f>_xll.qlCalendarAdvance(Calendar,X1856,NDays&amp;"D")</f>
        <v>51848</v>
      </c>
      <c r="Z1856" s="185">
        <v>4.6224300846610104E-2</v>
      </c>
      <c r="AA1856" s="182">
        <v>4.5981782038853065E-2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51855</v>
      </c>
      <c r="Y1857" s="184">
        <f>_xll.qlCalendarAdvance(Calendar,X1857,NDays&amp;"D")</f>
        <v>51855</v>
      </c>
      <c r="Z1857" s="185">
        <v>4.6222667691051843E-2</v>
      </c>
      <c r="AA1857" s="182">
        <v>4.5980085769669797E-2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51862</v>
      </c>
      <c r="Y1858" s="184">
        <f>_xll.qlCalendarAdvance(Calendar,X1858,NDays&amp;"D")</f>
        <v>51862</v>
      </c>
      <c r="Z1858" s="185">
        <v>4.6221047699163791E-2</v>
      </c>
      <c r="AA1858" s="182">
        <v>4.5978402520166314E-2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51869</v>
      </c>
      <c r="Y1859" s="184">
        <f>_xll.qlCalendarAdvance(Calendar,X1859,NDays&amp;"D")</f>
        <v>51869</v>
      </c>
      <c r="Z1859" s="185">
        <v>4.6219440870927025E-2</v>
      </c>
      <c r="AA1859" s="182">
        <v>4.597673229031559E-2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51876</v>
      </c>
      <c r="Y1860" s="184">
        <f>_xll.qlCalendarAdvance(Calendar,X1860,NDays&amp;"D")</f>
        <v>51876</v>
      </c>
      <c r="Z1860" s="185">
        <v>4.6217847206331646E-2</v>
      </c>
      <c r="AA1860" s="182">
        <v>4.5975075080090619E-2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51883</v>
      </c>
      <c r="Y1861" s="184">
        <f>_xll.qlCalendarAdvance(Calendar,X1861,NDays&amp;"D")</f>
        <v>51883</v>
      </c>
      <c r="Z1861" s="185">
        <v>4.6216266705357847E-2</v>
      </c>
      <c r="AA1861" s="182">
        <v>4.597343088946438E-2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51890</v>
      </c>
      <c r="Y1862" s="184">
        <f>_xll.qlCalendarAdvance(Calendar,X1862,NDays&amp;"D")</f>
        <v>51890</v>
      </c>
      <c r="Z1862" s="185">
        <v>4.6214699367989415E-2</v>
      </c>
      <c r="AA1862" s="182">
        <v>4.597457860148868E-2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51897</v>
      </c>
      <c r="Y1863" s="184">
        <f>_xll.qlCalendarAdvance(Calendar,X1863,NDays&amp;"D")</f>
        <v>51897</v>
      </c>
      <c r="Z1863" s="185">
        <v>4.6210339370146819E-2</v>
      </c>
      <c r="AA1863" s="182">
        <v>4.5970181567116151E-2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51904</v>
      </c>
      <c r="Y1864" s="184">
        <f>_xll.qlCalendarAdvance(Calendar,X1864,NDays&amp;"D")</f>
        <v>51904</v>
      </c>
      <c r="Z1864" s="185">
        <v>4.6208797613806203E-2</v>
      </c>
      <c r="AA1864" s="182">
        <v>4.5968576435367156E-2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51911</v>
      </c>
      <c r="Y1865" s="184">
        <f>_xll.qlCalendarAdvance(Calendar,X1865,NDays&amp;"D")</f>
        <v>51911</v>
      </c>
      <c r="Z1865" s="185">
        <v>4.6207269019367024E-2</v>
      </c>
      <c r="AA1865" s="182">
        <v>4.5966984323324953E-2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51918</v>
      </c>
      <c r="Y1866" s="184">
        <f>_xll.qlCalendarAdvance(Calendar,X1866,NDays&amp;"D")</f>
        <v>51918</v>
      </c>
      <c r="Z1866" s="185">
        <v>4.6205753586811067E-2</v>
      </c>
      <c r="AA1866" s="182">
        <v>4.5965405230800435E-2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51925</v>
      </c>
      <c r="Y1867" s="184">
        <f>_xll.qlCalendarAdvance(Calendar,X1867,NDays&amp;"D")</f>
        <v>51925</v>
      </c>
      <c r="Z1867" s="185">
        <v>4.6209869261295521E-2</v>
      </c>
      <c r="AA1867" s="182">
        <v>4.596383915798271E-2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51932</v>
      </c>
      <c r="Y1868" s="184">
        <f>_xll.qlCalendarAdvance(Calendar,X1868,NDays&amp;"D")</f>
        <v>51932</v>
      </c>
      <c r="Z1868" s="185">
        <v>4.6219624258858207E-2</v>
      </c>
      <c r="AA1868" s="182">
        <v>4.5962286104763724E-2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51939</v>
      </c>
      <c r="Y1869" s="184">
        <f>_xll.qlCalendarAdvance(Calendar,X1869,NDays&amp;"D")</f>
        <v>51939</v>
      </c>
      <c r="Z1869" s="185">
        <v>4.6215340973684953E-2</v>
      </c>
      <c r="AA1869" s="182">
        <v>4.5960746071197496E-2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51946</v>
      </c>
      <c r="Y1870" s="184">
        <f>_xll.qlCalendarAdvance(Calendar,X1870,NDays&amp;"D")</f>
        <v>51946</v>
      </c>
      <c r="Z1870" s="185">
        <v>4.6213881971257663E-2</v>
      </c>
      <c r="AA1870" s="182">
        <v>4.5959219057230001E-2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51953</v>
      </c>
      <c r="Y1871" s="184">
        <f>_xll.qlCalendarAdvance(Calendar,X1871,NDays&amp;"D")</f>
        <v>51953</v>
      </c>
      <c r="Z1871" s="185">
        <v>4.6212436138955329E-2</v>
      </c>
      <c r="AA1871" s="182">
        <v>4.5957705062861239E-2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51964</v>
      </c>
      <c r="Y1872" s="184">
        <f>_xll.qlCalendarAdvance(Calendar,X1872,NDays&amp;"D")</f>
        <v>51964</v>
      </c>
      <c r="Z1872" s="185">
        <v>4.620174884145125E-2</v>
      </c>
      <c r="AA1872" s="182">
        <v>4.594977985868498E-2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51971</v>
      </c>
      <c r="Y1873" s="184">
        <f>_xll.qlCalendarAdvance(Calendar,X1873,NDays&amp;"D")</f>
        <v>51971</v>
      </c>
      <c r="Z1873" s="185">
        <v>4.6200334587032627E-2</v>
      </c>
      <c r="AA1873" s="182">
        <v>4.5948297856606146E-2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51978</v>
      </c>
      <c r="Y1874" s="184">
        <f>_xll.qlCalendarAdvance(Calendar,X1874,NDays&amp;"D")</f>
        <v>51978</v>
      </c>
      <c r="Z1874" s="185">
        <v>4.6198933497701489E-2</v>
      </c>
      <c r="AA1874" s="182">
        <v>4.5946828870803147E-2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51985</v>
      </c>
      <c r="Y1875" s="184">
        <f>_xll.qlCalendarAdvance(Calendar,X1875,NDays&amp;"D")</f>
        <v>51985</v>
      </c>
      <c r="Z1875" s="185">
        <v>4.6197545573445374E-2</v>
      </c>
      <c r="AA1875" s="182">
        <v>4.5945372901357029E-2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51992</v>
      </c>
      <c r="Y1876" s="184">
        <f>_xll.qlCalendarAdvance(Calendar,X1876,NDays&amp;"D")</f>
        <v>51992</v>
      </c>
      <c r="Z1876" s="185">
        <v>4.6198987526337956E-2</v>
      </c>
      <c r="AA1876" s="182">
        <v>4.5943929948348838E-2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51999</v>
      </c>
      <c r="Y1877" s="184">
        <f>_xll.qlCalendarAdvance(Calendar,X1877,NDays&amp;"D")</f>
        <v>51999</v>
      </c>
      <c r="Z1877" s="185">
        <v>4.6197626701315012E-2</v>
      </c>
      <c r="AA1877" s="182">
        <v>4.5942500011616483E-2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52006</v>
      </c>
      <c r="Y1878" s="184">
        <f>_xll.qlCalendarAdvance(Calendar,X1878,NDays&amp;"D")</f>
        <v>52006</v>
      </c>
      <c r="Z1878" s="185">
        <v>4.6196279042988918E-2</v>
      </c>
      <c r="AA1878" s="182">
        <v>4.5941083091241008E-2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52013</v>
      </c>
      <c r="Y1879" s="184">
        <f>_xll.qlCalendarAdvance(Calendar,X1879,NDays&amp;"D")</f>
        <v>52013</v>
      </c>
      <c r="Z1879" s="185">
        <v>4.6194944551343819E-2</v>
      </c>
      <c r="AA1879" s="182">
        <v>4.5939679187060323E-2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52020</v>
      </c>
      <c r="Y1880" s="184">
        <f>_xll.qlCalendarAdvance(Calendar,X1880,NDays&amp;"D")</f>
        <v>52020</v>
      </c>
      <c r="Z1880" s="185">
        <v>4.6193623226367379E-2</v>
      </c>
      <c r="AA1880" s="182">
        <v>4.5938288299398611E-2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52027</v>
      </c>
      <c r="Y1881" s="184">
        <f>_xll.qlCalendarAdvance(Calendar,X1881,NDays&amp;"D")</f>
        <v>52027</v>
      </c>
      <c r="Z1881" s="185">
        <v>4.6192315068048155E-2</v>
      </c>
      <c r="AA1881" s="182">
        <v>4.5936910427931688E-2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52034</v>
      </c>
      <c r="Y1882" s="184">
        <f>_xll.qlCalendarAdvance(Calendar,X1882,NDays&amp;"D")</f>
        <v>52034</v>
      </c>
      <c r="Z1882" s="185">
        <v>4.6191020076371159E-2</v>
      </c>
      <c r="AA1882" s="182">
        <v>4.5935545572821646E-2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52041</v>
      </c>
      <c r="Y1883" s="184">
        <f>_xll.qlCalendarAdvance(Calendar,X1883,NDays&amp;"D")</f>
        <v>52041</v>
      </c>
      <c r="Z1883" s="185">
        <v>4.6189738251325822E-2</v>
      </c>
      <c r="AA1883" s="182">
        <v>4.5934193734068485E-2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52048</v>
      </c>
      <c r="Y1884" s="184">
        <f>_xll.qlCalendarAdvance(Calendar,X1884,NDays&amp;"D")</f>
        <v>52048</v>
      </c>
      <c r="Z1884" s="185">
        <v>4.618846959289629E-2</v>
      </c>
      <c r="AA1884" s="182">
        <v>4.5932854911753251E-2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52055</v>
      </c>
      <c r="Y1885" s="184">
        <f>_xll.qlCalendarAdvance(Calendar,X1885,NDays&amp;"D")</f>
        <v>52055</v>
      </c>
      <c r="Z1885" s="185">
        <v>4.6187214101074639E-2</v>
      </c>
      <c r="AA1885" s="182">
        <v>4.5931529105713853E-2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52062</v>
      </c>
      <c r="Y1886" s="184">
        <f>_xll.qlCalendarAdvance(Calendar,X1886,NDays&amp;"D")</f>
        <v>52062</v>
      </c>
      <c r="Z1886" s="185">
        <v>4.6185971775844124E-2</v>
      </c>
      <c r="AA1886" s="182">
        <v>4.5930216315869243E-2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52069</v>
      </c>
      <c r="Y1887" s="184">
        <f>_xll.qlCalendarAdvance(Calendar,X1887,NDays&amp;"D")</f>
        <v>52069</v>
      </c>
      <c r="Z1887" s="185">
        <v>4.618474261719506E-2</v>
      </c>
      <c r="AA1887" s="182">
        <v>4.5928916542543607E-2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52076</v>
      </c>
      <c r="Y1888" s="184">
        <f>_xll.qlCalendarAdvance(Calendar,X1888,NDays&amp;"D")</f>
        <v>52076</v>
      </c>
      <c r="Z1888" s="185">
        <v>4.6183526625113346E-2</v>
      </c>
      <c r="AA1888" s="182">
        <v>4.5927629785493806E-2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52083</v>
      </c>
      <c r="Y1889" s="184">
        <f>_xll.qlCalendarAdvance(Calendar,X1889,NDays&amp;"D")</f>
        <v>52083</v>
      </c>
      <c r="Z1889" s="185">
        <v>4.6182323799591057E-2</v>
      </c>
      <c r="AA1889" s="182">
        <v>4.5926356044800887E-2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52090</v>
      </c>
      <c r="Y1890" s="184">
        <f>_xll.qlCalendarAdvance(Calendar,X1890,NDays&amp;"D")</f>
        <v>52090</v>
      </c>
      <c r="Z1890" s="185">
        <v>4.6181134140611459E-2</v>
      </c>
      <c r="AA1890" s="182">
        <v>4.5925095320302756E-2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52097</v>
      </c>
      <c r="Y1891" s="184">
        <f>_xll.qlCalendarAdvance(Calendar,X1891,NDays&amp;"D")</f>
        <v>52097</v>
      </c>
      <c r="Z1891" s="185">
        <v>4.6179957648165737E-2</v>
      </c>
      <c r="AA1891" s="182">
        <v>4.5923847612242552E-2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52104</v>
      </c>
      <c r="Y1892" s="184">
        <f>_xll.qlCalendarAdvance(Calendar,X1892,NDays&amp;"D")</f>
        <v>52104</v>
      </c>
      <c r="Z1892" s="185">
        <v>4.6178794322240674E-2</v>
      </c>
      <c r="AA1892" s="182">
        <v>4.592261292053923E-2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52111</v>
      </c>
      <c r="Y1893" s="184">
        <f>_xll.qlCalendarAdvance(Calendar,X1893,NDays&amp;"D")</f>
        <v>52111</v>
      </c>
      <c r="Z1893" s="185">
        <v>4.6174814149840364E-2</v>
      </c>
      <c r="AA1893" s="182">
        <v>4.5921391245030696E-2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52118</v>
      </c>
      <c r="Y1894" s="184">
        <f>_xll.qlCalendarAdvance(Calendar,X1894,NDays&amp;"D")</f>
        <v>52118</v>
      </c>
      <c r="Z1894" s="185">
        <v>4.6173676359585469E-2</v>
      </c>
      <c r="AA1894" s="182">
        <v>4.5920182586122182E-2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52125</v>
      </c>
      <c r="Y1895" s="184">
        <f>_xll.qlCalendarAdvance(Calendar,X1895,NDays&amp;"D")</f>
        <v>52125</v>
      </c>
      <c r="Z1895" s="185">
        <v>4.6172551734158011E-2</v>
      </c>
      <c r="AA1895" s="182">
        <v>4.5918986943246365E-2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52132</v>
      </c>
      <c r="Y1896" s="184">
        <f>_xll.qlCalendarAdvance(Calendar,X1896,NDays&amp;"D")</f>
        <v>52132</v>
      </c>
      <c r="Z1896" s="185">
        <v>4.6171440273548185E-2</v>
      </c>
      <c r="AA1896" s="182">
        <v>4.5917804317051614E-2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52139</v>
      </c>
      <c r="Y1897" s="184">
        <f>_xll.qlCalendarAdvance(Calendar,X1897,NDays&amp;"D")</f>
        <v>52139</v>
      </c>
      <c r="Z1897" s="185">
        <v>4.617317519004565E-2</v>
      </c>
      <c r="AA1897" s="182">
        <v>4.5916634706808512E-2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52146</v>
      </c>
      <c r="Y1898" s="184">
        <f>_xll.qlCalendarAdvance(Calendar,X1898,NDays&amp;"D")</f>
        <v>52146</v>
      </c>
      <c r="Z1898" s="185">
        <v>4.6172090863014645E-2</v>
      </c>
      <c r="AA1898" s="182">
        <v>4.5915478113084385E-2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52153</v>
      </c>
      <c r="Y1899" s="184">
        <f>_xll.qlCalendarAdvance(Calendar,X1899,NDays&amp;"D")</f>
        <v>52153</v>
      </c>
      <c r="Z1899" s="185">
        <v>4.6171019702427665E-2</v>
      </c>
      <c r="AA1899" s="182">
        <v>4.5914334535717138E-2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52160</v>
      </c>
      <c r="Y1900" s="184">
        <f>_xll.qlCalendarAdvance(Calendar,X1900,NDays&amp;"D")</f>
        <v>52160</v>
      </c>
      <c r="Z1900" s="185">
        <v>4.6169961708274136E-2</v>
      </c>
      <c r="AA1900" s="182">
        <v>4.5913203974544681E-2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52167</v>
      </c>
      <c r="Y1901" s="184">
        <f>_xll.qlCalendarAdvance(Calendar,X1901,NDays&amp;"D")</f>
        <v>52167</v>
      </c>
      <c r="Z1901" s="185">
        <v>4.6168916880543483E-2</v>
      </c>
      <c r="AA1901" s="182">
        <v>4.5912086429810151E-2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52174</v>
      </c>
      <c r="Y1902" s="184">
        <f>_xll.qlCalendarAdvance(Calendar,X1902,NDays&amp;"D")</f>
        <v>52174</v>
      </c>
      <c r="Z1902" s="185">
        <v>4.6167885219226025E-2</v>
      </c>
      <c r="AA1902" s="182">
        <v>4.5910981901432502E-2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52181</v>
      </c>
      <c r="Y1903" s="184">
        <f>_xll.qlCalendarAdvance(Calendar,X1903,NDays&amp;"D")</f>
        <v>52181</v>
      </c>
      <c r="Z1903" s="185">
        <v>4.6166866724312063E-2</v>
      </c>
      <c r="AA1903" s="182">
        <v>4.5909890389330688E-2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52188</v>
      </c>
      <c r="Y1904" s="184">
        <f>_xll.qlCalendarAdvance(Calendar,X1904,NDays&amp;"D")</f>
        <v>52188</v>
      </c>
      <c r="Z1904" s="185">
        <v>4.6165861395789265E-2</v>
      </c>
      <c r="AA1904" s="182">
        <v>4.5908811893585755E-2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52195</v>
      </c>
      <c r="Y1905" s="184">
        <f>_xll.qlCalendarAdvance(Calendar,X1905,NDays&amp;"D")</f>
        <v>52195</v>
      </c>
      <c r="Z1905" s="185">
        <v>4.6164869233650582E-2</v>
      </c>
      <c r="AA1905" s="182">
        <v>4.5907746414197703E-2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52202</v>
      </c>
      <c r="Y1906" s="184">
        <f>_xll.qlCalendarAdvance(Calendar,X1906,NDays&amp;"D")</f>
        <v>52202</v>
      </c>
      <c r="Z1906" s="185">
        <v>4.6158209538954817E-2</v>
      </c>
      <c r="AA1906" s="182">
        <v>4.590669395100444E-2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52209</v>
      </c>
      <c r="Y1907" s="184">
        <f>_xll.qlCalendarAdvance(Calendar,X1907,NDays&amp;"D")</f>
        <v>52209</v>
      </c>
      <c r="Z1907" s="185">
        <v>4.6157242071983233E-2</v>
      </c>
      <c r="AA1907" s="182">
        <v>4.5905654504330151E-2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52216</v>
      </c>
      <c r="Y1908" s="184">
        <f>_xll.qlCalendarAdvance(Calendar,X1908,NDays&amp;"D")</f>
        <v>52216</v>
      </c>
      <c r="Z1908" s="185">
        <v>4.615628776805239E-2</v>
      </c>
      <c r="AA1908" s="182">
        <v>4.5904628073850651E-2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52223</v>
      </c>
      <c r="Y1909" s="184">
        <f>_xll.qlCalendarAdvance(Calendar,X1909,NDays&amp;"D")</f>
        <v>52223</v>
      </c>
      <c r="Z1909" s="185">
        <v>4.6155346627152385E-2</v>
      </c>
      <c r="AA1909" s="182">
        <v>4.5903614659809078E-2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52230</v>
      </c>
      <c r="Y1910" s="184">
        <f>_xll.qlCalendarAdvance(Calendar,X1910,NDays&amp;"D")</f>
        <v>52230</v>
      </c>
      <c r="Z1910" s="185">
        <v>4.615726212508147E-2</v>
      </c>
      <c r="AA1910" s="182">
        <v>4.590261426204334E-2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52237</v>
      </c>
      <c r="Y1911" s="184">
        <f>_xll.qlCalendarAdvance(Calendar,X1911,NDays&amp;"D")</f>
        <v>52237</v>
      </c>
      <c r="Z1911" s="185">
        <v>4.6153503834405273E-2</v>
      </c>
      <c r="AA1911" s="182">
        <v>4.5901626880634483E-2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52244</v>
      </c>
      <c r="Y1912" s="184">
        <f>_xll.qlCalendarAdvance(Calendar,X1912,NDays&amp;"D")</f>
        <v>52244</v>
      </c>
      <c r="Z1912" s="185">
        <v>4.6152602182541955E-2</v>
      </c>
      <c r="AA1912" s="182">
        <v>4.5900652515501461E-2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52251</v>
      </c>
      <c r="Y1913" s="184">
        <f>_xll.qlCalendarAdvance(Calendar,X1913,NDays&amp;"D")</f>
        <v>52251</v>
      </c>
      <c r="Z1913" s="185">
        <v>4.6151713693673449E-2</v>
      </c>
      <c r="AA1913" s="182">
        <v>4.5899691166806367E-2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52258</v>
      </c>
      <c r="Y1914" s="184">
        <f>_xll.qlCalendarAdvance(Calendar,X1914,NDays&amp;"D")</f>
        <v>52258</v>
      </c>
      <c r="Z1914" s="185">
        <v>4.6150838367789861E-2</v>
      </c>
      <c r="AA1914" s="182">
        <v>4.5898742834225015E-2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52265</v>
      </c>
      <c r="Y1915" s="184">
        <f>_xll.qlCalendarAdvance(Calendar,X1915,NDays&amp;"D")</f>
        <v>52265</v>
      </c>
      <c r="Z1915" s="185">
        <v>4.6149976204884875E-2</v>
      </c>
      <c r="AA1915" s="182">
        <v>4.5897807518162637E-2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52272</v>
      </c>
      <c r="Y1916" s="184">
        <f>_xll.qlCalendarAdvance(Calendar,X1916,NDays&amp;"D")</f>
        <v>52272</v>
      </c>
      <c r="Z1916" s="185">
        <v>4.6149127204948598E-2</v>
      </c>
      <c r="AA1916" s="182">
        <v>4.5896885218376093E-2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52279</v>
      </c>
      <c r="Y1917" s="184">
        <f>_xll.qlCalendarAdvance(Calendar,X1917,NDays&amp;"D")</f>
        <v>52279</v>
      </c>
      <c r="Z1917" s="185">
        <v>4.6148291367975616E-2</v>
      </c>
      <c r="AA1917" s="182">
        <v>4.5895975934865385E-2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52286</v>
      </c>
      <c r="Y1918" s="184">
        <f>_xll.qlCalendarAdvance(Calendar,X1918,NDays&amp;"D")</f>
        <v>52286</v>
      </c>
      <c r="Z1918" s="185">
        <v>4.6147468693955133E-2</v>
      </c>
      <c r="AA1918" s="182">
        <v>4.5895079667792604E-2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52293</v>
      </c>
      <c r="Y1919" s="184">
        <f>_xll.qlCalendarAdvance(Calendar,X1919,NDays&amp;"D")</f>
        <v>52293</v>
      </c>
      <c r="Z1919" s="185">
        <v>4.6152361428666897E-2</v>
      </c>
      <c r="AA1919" s="182">
        <v>4.5894196416914612E-2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52300</v>
      </c>
      <c r="Y1920" s="184">
        <f>_xll.qlCalendarAdvance(Calendar,X1920,NDays&amp;"D")</f>
        <v>52300</v>
      </c>
      <c r="Z1920" s="185">
        <v>4.6151566761172082E-2</v>
      </c>
      <c r="AA1920" s="182">
        <v>4.5893326182474548E-2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52307</v>
      </c>
      <c r="Y1921" s="184">
        <f>_xll.qlCalendarAdvance(Calendar,X1921,NDays&amp;"D")</f>
        <v>52307</v>
      </c>
      <c r="Z1921" s="185">
        <v>4.6150785259917795E-2</v>
      </c>
      <c r="AA1921" s="182">
        <v>4.5892468964391364E-2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52314</v>
      </c>
      <c r="Y1922" s="184">
        <f>_xll.qlCalendarAdvance(Calendar,X1922,NDays&amp;"D")</f>
        <v>52314</v>
      </c>
      <c r="Z1922" s="185">
        <v>4.6150016924897862E-2</v>
      </c>
      <c r="AA1922" s="182">
        <v>4.5891624762502969E-2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52321</v>
      </c>
      <c r="Y1923" s="184">
        <f>_xll.qlCalendarAdvance(Calendar,X1923,NDays&amp;"D")</f>
        <v>52321</v>
      </c>
      <c r="Z1923" s="185">
        <v>4.6146407101804281E-2</v>
      </c>
      <c r="AA1923" s="182">
        <v>4.5890793577052502E-2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52328</v>
      </c>
      <c r="Y1924" s="184">
        <f>_xll.qlCalendarAdvance(Calendar,X1924,NDays&amp;"D")</f>
        <v>52328</v>
      </c>
      <c r="Z1924" s="185">
        <v>4.6145664252174007E-2</v>
      </c>
      <c r="AA1924" s="182">
        <v>4.588997540787787E-2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52335</v>
      </c>
      <c r="Y1925" s="184">
        <f>_xll.qlCalendarAdvance(Calendar,X1925,NDays&amp;"D")</f>
        <v>52335</v>
      </c>
      <c r="Z1925" s="185">
        <v>4.6144934567100428E-2</v>
      </c>
      <c r="AA1925" s="182">
        <v>4.5889170255060119E-2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52342</v>
      </c>
      <c r="Y1926" s="184">
        <f>_xll.qlCalendarAdvance(Calendar,X1926,NDays&amp;"D")</f>
        <v>52342</v>
      </c>
      <c r="Z1926" s="185">
        <v>4.6144218046575508E-2</v>
      </c>
      <c r="AA1926" s="182">
        <v>4.5888378118599249E-2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52349</v>
      </c>
      <c r="Y1927" s="184">
        <f>_xll.qlCalendarAdvance(Calendar,X1927,NDays&amp;"D")</f>
        <v>52349</v>
      </c>
      <c r="Z1927" s="185">
        <v>4.6143514690593031E-2</v>
      </c>
      <c r="AA1927" s="182">
        <v>4.588759899849526E-2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52356</v>
      </c>
      <c r="Y1928" s="184">
        <f>_xll.qlCalendarAdvance(Calendar,X1928,NDays&amp;"D")</f>
        <v>52356</v>
      </c>
      <c r="Z1928" s="185">
        <v>4.6145683405291939E-2</v>
      </c>
      <c r="AA1928" s="182">
        <v>4.5886832894667107E-2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52363</v>
      </c>
      <c r="Y1929" s="184">
        <f>_xll.qlCalendarAdvance(Calendar,X1929,NDays&amp;"D")</f>
        <v>52363</v>
      </c>
      <c r="Z1929" s="185">
        <v>4.6145007233708145E-2</v>
      </c>
      <c r="AA1929" s="182">
        <v>4.5886079807033742E-2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52370</v>
      </c>
      <c r="Y1930" s="184">
        <f>_xll.qlCalendarAdvance(Calendar,X1930,NDays&amp;"D")</f>
        <v>52370</v>
      </c>
      <c r="Z1930" s="185">
        <v>4.6144344228304969E-2</v>
      </c>
      <c r="AA1930" s="182">
        <v>4.5885339736000397E-2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52377</v>
      </c>
      <c r="Y1931" s="184">
        <f>_xll.qlCalendarAdvance(Calendar,X1931,NDays&amp;"D")</f>
        <v>52377</v>
      </c>
      <c r="Z1931" s="185">
        <v>4.6143694389069199E-2</v>
      </c>
      <c r="AA1931" s="182">
        <v>4.5884612681080794E-2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52384</v>
      </c>
      <c r="Y1932" s="184">
        <f>_xll.qlCalendarAdvance(Calendar,X1932,NDays&amp;"D")</f>
        <v>52384</v>
      </c>
      <c r="Z1932" s="185">
        <v>4.6143057716001717E-2</v>
      </c>
      <c r="AA1932" s="182">
        <v>4.5883898642599119E-2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52391</v>
      </c>
      <c r="Y1933" s="184">
        <f>_xll.qlCalendarAdvance(Calendar,X1933,NDays&amp;"D")</f>
        <v>52391</v>
      </c>
      <c r="Z1933" s="185">
        <v>4.6142434209090193E-2</v>
      </c>
      <c r="AA1933" s="182">
        <v>4.5883197620474325E-2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52398</v>
      </c>
      <c r="Y1934" s="184">
        <f>_xll.qlCalendarAdvance(Calendar,X1934,NDays&amp;"D")</f>
        <v>52398</v>
      </c>
      <c r="Z1934" s="185">
        <v>4.6141823868331981E-2</v>
      </c>
      <c r="AA1934" s="182">
        <v>4.588250961454432E-2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52405</v>
      </c>
      <c r="Y1935" s="184">
        <f>_xll.qlCalendarAdvance(Calendar,X1935,NDays&amp;"D")</f>
        <v>52405</v>
      </c>
      <c r="Z1935" s="185">
        <v>4.6141226693719159E-2</v>
      </c>
      <c r="AA1935" s="182">
        <v>4.588183462489015E-2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52412</v>
      </c>
      <c r="Y1936" s="184">
        <f>_xll.qlCalendarAdvance(Calendar,X1936,NDays&amp;"D")</f>
        <v>52412</v>
      </c>
      <c r="Z1936" s="185">
        <v>4.6140642685248187E-2</v>
      </c>
      <c r="AA1936" s="182">
        <v>4.5881172651917046E-2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52419</v>
      </c>
      <c r="Y1937" s="184">
        <f>_xll.qlCalendarAdvance(Calendar,X1937,NDays&amp;"D")</f>
        <v>52419</v>
      </c>
      <c r="Z1937" s="185">
        <v>4.6140071842910274E-2</v>
      </c>
      <c r="AA1937" s="182">
        <v>4.5880523694976638E-2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52426</v>
      </c>
      <c r="Y1938" s="184">
        <f>_xll.qlCalendarAdvance(Calendar,X1938,NDays&amp;"D")</f>
        <v>52426</v>
      </c>
      <c r="Z1938" s="185">
        <v>4.6139514166701007E-2</v>
      </c>
      <c r="AA1938" s="182">
        <v>4.5879887754393112E-2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52433</v>
      </c>
      <c r="Y1939" s="184">
        <f>_xll.qlCalendarAdvance(Calendar,X1939,NDays&amp;"D")</f>
        <v>52433</v>
      </c>
      <c r="Z1939" s="185">
        <v>4.613896965661686E-2</v>
      </c>
      <c r="AA1939" s="182">
        <v>4.587926483008542E-2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52440</v>
      </c>
      <c r="Y1940" s="184">
        <f>_xll.qlCalendarAdvance(Calendar,X1940,NDays&amp;"D")</f>
        <v>52440</v>
      </c>
      <c r="Z1940" s="185">
        <v>4.6138438312649022E-2</v>
      </c>
      <c r="AA1940" s="182">
        <v>4.5878654922296702E-2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52447</v>
      </c>
      <c r="Y1941" s="184">
        <f>_xll.qlCalendarAdvance(Calendar,X1941,NDays&amp;"D")</f>
        <v>52447</v>
      </c>
      <c r="Z1941" s="185">
        <v>4.6137920134796624E-2</v>
      </c>
      <c r="AA1941" s="182">
        <v>4.5878058030621727E-2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52454</v>
      </c>
      <c r="Y1942" s="184">
        <f>_xll.qlCalendarAdvance(Calendar,X1942,NDays&amp;"D")</f>
        <v>52454</v>
      </c>
      <c r="Z1942" s="185">
        <v>4.613741512304996E-2</v>
      </c>
      <c r="AA1942" s="182">
        <v>4.5877474155384679E-2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52461</v>
      </c>
      <c r="Y1943" s="184">
        <f>_xll.qlCalendarAdvance(Calendar,X1943,NDays&amp;"D")</f>
        <v>52461</v>
      </c>
      <c r="Z1943" s="185">
        <v>4.6136923277407281E-2</v>
      </c>
      <c r="AA1943" s="182">
        <v>4.5876903296504512E-2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52468</v>
      </c>
      <c r="Y1944" s="184">
        <f>_xll.qlCalendarAdvance(Calendar,X1944,NDays&amp;"D")</f>
        <v>52468</v>
      </c>
      <c r="Z1944" s="185">
        <v>4.6136444597862411E-2</v>
      </c>
      <c r="AA1944" s="182">
        <v>4.5876345453819134E-2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52475</v>
      </c>
      <c r="Y1945" s="184">
        <f>_xll.qlCalendarAdvance(Calendar,X1945,NDays&amp;"D")</f>
        <v>52475</v>
      </c>
      <c r="Z1945" s="185">
        <v>4.613310541243125E-2</v>
      </c>
      <c r="AA1945" s="182">
        <v>4.587580062765273E-2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52482</v>
      </c>
      <c r="Y1946" s="184">
        <f>_xll.qlCalendarAdvance(Calendar,X1946,NDays&amp;"D")</f>
        <v>52482</v>
      </c>
      <c r="Z1946" s="185">
        <v>4.6132652181595457E-2</v>
      </c>
      <c r="AA1946" s="182">
        <v>4.587526881776216E-2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52489</v>
      </c>
      <c r="Y1947" s="184">
        <f>_xll.qlCalendarAdvance(Calendar,X1947,NDays&amp;"D")</f>
        <v>52489</v>
      </c>
      <c r="Z1947" s="185">
        <v>4.6132212115187206E-2</v>
      </c>
      <c r="AA1947" s="182">
        <v>4.5874750024147426E-2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52496</v>
      </c>
      <c r="Y1948" s="184">
        <f>_xll.qlCalendarAdvance(Calendar,X1948,NDays&amp;"D")</f>
        <v>52496</v>
      </c>
      <c r="Z1948" s="185">
        <v>4.6131785213207398E-2</v>
      </c>
      <c r="AA1948" s="182">
        <v>4.5874244246970619E-2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52503</v>
      </c>
      <c r="Y1949" s="184">
        <f>_xll.qlCalendarAdvance(Calendar,X1949,NDays&amp;"D")</f>
        <v>52503</v>
      </c>
      <c r="Z1949" s="185">
        <v>4.6131371475645333E-2</v>
      </c>
      <c r="AA1949" s="182">
        <v>4.5873751485988601E-2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52510</v>
      </c>
      <c r="Y1950" s="184">
        <f>_xll.qlCalendarAdvance(Calendar,X1950,NDays&amp;"D")</f>
        <v>52510</v>
      </c>
      <c r="Z1950" s="185">
        <v>4.6133849008397988E-2</v>
      </c>
      <c r="AA1950" s="182">
        <v>4.587327174144451E-2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52517</v>
      </c>
      <c r="Y1951" s="184">
        <f>_xll.qlCalendarAdvance(Calendar,X1951,NDays&amp;"D")</f>
        <v>52517</v>
      </c>
      <c r="Z1951" s="185">
        <v>4.6133462491412723E-2</v>
      </c>
      <c r="AA1951" s="182">
        <v>4.5872805013014162E-2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52524</v>
      </c>
      <c r="Y1952" s="184">
        <f>_xll.qlCalendarAdvance(Calendar,X1952,NDays&amp;"D")</f>
        <v>52524</v>
      </c>
      <c r="Z1952" s="185">
        <v>4.6133089140494438E-2</v>
      </c>
      <c r="AA1952" s="182">
        <v>4.5872351301102787E-2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52531</v>
      </c>
      <c r="Y1953" s="184">
        <f>_xll.qlCalendarAdvance(Calendar,X1953,NDays&amp;"D")</f>
        <v>52531</v>
      </c>
      <c r="Z1953" s="185">
        <v>4.6132728955635208E-2</v>
      </c>
      <c r="AA1953" s="182">
        <v>4.5871910605386201E-2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52538</v>
      </c>
      <c r="Y1954" s="184">
        <f>_xll.qlCalendarAdvance(Calendar,X1954,NDays&amp;"D")</f>
        <v>52538</v>
      </c>
      <c r="Z1954" s="185">
        <v>4.6132381936833264E-2</v>
      </c>
      <c r="AA1954" s="182">
        <v>4.5871482926269636E-2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52545</v>
      </c>
      <c r="Y1955" s="184">
        <f>_xll.qlCalendarAdvance(Calendar,X1955,NDays&amp;"D")</f>
        <v>52545</v>
      </c>
      <c r="Z1955" s="185">
        <v>4.6132048084083326E-2</v>
      </c>
      <c r="AA1955" s="182">
        <v>4.5871068263185766E-2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52552</v>
      </c>
      <c r="Y1956" s="184">
        <f>_xll.qlCalendarAdvance(Calendar,X1956,NDays&amp;"D")</f>
        <v>52552</v>
      </c>
      <c r="Z1956" s="185">
        <v>4.6131727397385393E-2</v>
      </c>
      <c r="AA1956" s="182">
        <v>4.5870666616458777E-2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52559</v>
      </c>
      <c r="Y1957" s="184">
        <f>_xll.qlCalendarAdvance(Calendar,X1957,NDays&amp;"D")</f>
        <v>52559</v>
      </c>
      <c r="Z1957" s="185">
        <v>4.6131419876732416E-2</v>
      </c>
      <c r="AA1957" s="182">
        <v>4.5870277986169716E-2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52566</v>
      </c>
      <c r="Y1958" s="184">
        <f>_xll.qlCalendarAdvance(Calendar,X1958,NDays&amp;"D")</f>
        <v>52566</v>
      </c>
      <c r="Z1958" s="185">
        <v>4.6128240235933045E-2</v>
      </c>
      <c r="AA1958" s="182">
        <v>4.586990237215649E-2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52573</v>
      </c>
      <c r="Y1959" s="184">
        <f>_xll.qlCalendarAdvance(Calendar,X1959,NDays&amp;"D")</f>
        <v>52573</v>
      </c>
      <c r="Z1959" s="185">
        <v>4.6127958142383706E-2</v>
      </c>
      <c r="AA1959" s="182">
        <v>4.5869539774500145E-2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52580</v>
      </c>
      <c r="Y1960" s="184">
        <f>_xll.qlCalendarAdvance(Calendar,X1960,NDays&amp;"D")</f>
        <v>52580</v>
      </c>
      <c r="Z1960" s="185">
        <v>4.6127689213219164E-2</v>
      </c>
      <c r="AA1960" s="182">
        <v>4.5869190193200682E-2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52587</v>
      </c>
      <c r="Y1961" s="184">
        <f>_xll.qlCalendarAdvance(Calendar,X1961,NDays&amp;"D")</f>
        <v>52587</v>
      </c>
      <c r="Z1961" s="185">
        <v>4.6127433448435853E-2</v>
      </c>
      <c r="AA1961" s="182">
        <v>4.5868853628177053E-2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52594</v>
      </c>
      <c r="Y1962" s="184">
        <f>_xll.qlCalendarAdvance(Calendar,X1962,NDays&amp;"D")</f>
        <v>52594</v>
      </c>
      <c r="Z1962" s="185">
        <v>4.6127190848031109E-2</v>
      </c>
      <c r="AA1962" s="182">
        <v>4.5868530079591352E-2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52601</v>
      </c>
      <c r="Y1963" s="184">
        <f>_xll.qlCalendarAdvance(Calendar,X1963,NDays&amp;"D")</f>
        <v>52601</v>
      </c>
      <c r="Z1963" s="185">
        <v>4.6126961412001365E-2</v>
      </c>
      <c r="AA1963" s="182">
        <v>4.5868219547119393E-2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52608</v>
      </c>
      <c r="Y1964" s="184">
        <f>_xll.qlCalendarAdvance(Calendar,X1964,NDays&amp;"D")</f>
        <v>52608</v>
      </c>
      <c r="Z1964" s="185">
        <v>4.6126745140346613E-2</v>
      </c>
      <c r="AA1964" s="182">
        <v>4.5867922031085362E-2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52615</v>
      </c>
      <c r="Y1965" s="184">
        <f>_xll.qlCalendarAdvance(Calendar,X1965,NDays&amp;"D")</f>
        <v>52615</v>
      </c>
      <c r="Z1965" s="185">
        <v>4.6126542033065085E-2</v>
      </c>
      <c r="AA1965" s="182">
        <v>4.5867637531408212E-2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52623</v>
      </c>
      <c r="Y1966" s="184">
        <f>_xll.qlCalendarAdvance(Calendar,X1966,NDays&amp;"D")</f>
        <v>52623</v>
      </c>
      <c r="Z1966" s="185">
        <v>4.6126326030092112E-2</v>
      </c>
      <c r="AA1966" s="182">
        <v>4.5867328327203749E-2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52630</v>
      </c>
      <c r="Y1967" s="184">
        <f>_xll.qlCalendarAdvance(Calendar,X1967,NDays&amp;"D")</f>
        <v>52630</v>
      </c>
      <c r="Z1967" s="185">
        <v>4.6123257840772862E-2</v>
      </c>
      <c r="AA1967" s="182">
        <v>4.5867071719685182E-2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52637</v>
      </c>
      <c r="Y1968" s="184">
        <f>_xll.qlCalendarAdvance(Calendar,X1968,NDays&amp;"D")</f>
        <v>52637</v>
      </c>
      <c r="Z1968" s="185">
        <v>4.612309518734669E-2</v>
      </c>
      <c r="AA1968" s="182">
        <v>4.5866828128523496E-2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52644</v>
      </c>
      <c r="Y1969" s="184">
        <f>_xll.qlCalendarAdvance(Calendar,X1969,NDays&amp;"D")</f>
        <v>52644</v>
      </c>
      <c r="Z1969" s="185">
        <v>4.612294569662987E-2</v>
      </c>
      <c r="AA1969" s="182">
        <v>4.5866597553394506E-2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52651</v>
      </c>
      <c r="Y1970" s="184">
        <f>_xll.qlCalendarAdvance(Calendar,X1970,NDays&amp;"D")</f>
        <v>52651</v>
      </c>
      <c r="Z1970" s="185">
        <v>4.6122809368622404E-2</v>
      </c>
      <c r="AA1970" s="182">
        <v>4.5866379994865536E-2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52658</v>
      </c>
      <c r="Y1971" s="184">
        <f>_xll.qlCalendarAdvance(Calendar,X1971,NDays&amp;"D")</f>
        <v>52658</v>
      </c>
      <c r="Z1971" s="185">
        <v>4.6128480496380846E-2</v>
      </c>
      <c r="AA1971" s="182">
        <v>4.5866175452612401E-2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52665</v>
      </c>
      <c r="Y1972" s="184">
        <f>_xll.qlCalendarAdvance(Calendar,X1972,NDays&amp;"D")</f>
        <v>52665</v>
      </c>
      <c r="Z1972" s="185">
        <v>4.6128372347001886E-2</v>
      </c>
      <c r="AA1972" s="182">
        <v>4.5865983926635101E-2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52672</v>
      </c>
      <c r="Y1973" s="184">
        <f>_xll.qlCalendarAdvance(Calendar,X1973,NDays&amp;"D")</f>
        <v>52672</v>
      </c>
      <c r="Z1973" s="185">
        <v>4.6128277363637053E-2</v>
      </c>
      <c r="AA1973" s="182">
        <v>4.5865805417014682E-2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52679</v>
      </c>
      <c r="Y1974" s="184">
        <f>_xll.qlCalendarAdvance(Calendar,X1974,NDays&amp;"D")</f>
        <v>52679</v>
      </c>
      <c r="Z1974" s="185" t="e">
        <v>#N/A</v>
      </c>
      <c r="AA1974" s="182">
        <v>4.5865639923751145E-2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52686</v>
      </c>
      <c r="Y1975" s="184">
        <f>_xll.qlCalendarAdvance(Calendar,X1975,NDays&amp;"D")</f>
        <v>52686</v>
      </c>
      <c r="Z1975" s="185" t="e">
        <v>#N/A</v>
      </c>
      <c r="AA1975" s="182">
        <v>4.5865487446763442E-2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52693</v>
      </c>
      <c r="Y1976" s="184">
        <f>_xll.qlCalendarAdvance(Calendar,X1976,NDays&amp;"D")</f>
        <v>52693</v>
      </c>
      <c r="Z1976" s="185" t="e">
        <v>#N/A</v>
      </c>
      <c r="AA1976" s="182">
        <v>4.5865347986132621E-2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52700</v>
      </c>
      <c r="Y1977" s="184">
        <f>_xll.qlCalendarAdvance(Calendar,X1977,NDays&amp;"D")</f>
        <v>52700</v>
      </c>
      <c r="Z1977" s="185" t="e">
        <v>#N/A</v>
      </c>
      <c r="AA1977" s="182">
        <v>4.5865221541858681E-2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52707</v>
      </c>
      <c r="Y1978" s="184">
        <f>_xll.qlCalendarAdvance(Calendar,X1978,NDays&amp;"D")</f>
        <v>52707</v>
      </c>
      <c r="Z1978" s="185" t="e">
        <v>#N/A</v>
      </c>
      <c r="AA1978" s="182">
        <v>4.5865108113860575E-2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52714</v>
      </c>
      <c r="Y1979" s="184">
        <f>_xll.qlCalendarAdvance(Calendar,X1979,NDays&amp;"D")</f>
        <v>52714</v>
      </c>
      <c r="Z1979" s="185" t="e">
        <v>#N/A</v>
      </c>
      <c r="AA1979" s="182">
        <v>4.5865007702219351E-2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52721</v>
      </c>
      <c r="Y1980" s="184">
        <f>_xll.qlCalendarAdvance(Calendar,X1980,NDays&amp;"D")</f>
        <v>52721</v>
      </c>
      <c r="Z1980" s="185" t="e">
        <v>#N/A</v>
      </c>
      <c r="AA1980" s="182">
        <v>4.5864920306772916E-2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52728</v>
      </c>
      <c r="Y1981" s="184">
        <f>_xll.qlCalendarAdvance(Calendar,X1981,NDays&amp;"D")</f>
        <v>52728</v>
      </c>
      <c r="Z1981" s="185" t="e">
        <v>#N/A</v>
      </c>
      <c r="AA1981" s="182">
        <v>4.5864845927845455E-2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52735</v>
      </c>
      <c r="Y1982" s="184">
        <f>_xll.qlCalendarAdvance(Calendar,X1982,NDays&amp;"D")</f>
        <v>52735</v>
      </c>
      <c r="Z1982" s="185" t="e">
        <v>#N/A</v>
      </c>
      <c r="AA1982" s="182">
        <v>4.5864784565031735E-2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52742</v>
      </c>
      <c r="Y1983" s="184">
        <f>_xll.qlCalendarAdvance(Calendar,X1983,NDays&amp;"D")</f>
        <v>52742</v>
      </c>
      <c r="Z1983" s="185" t="e">
        <v>#N/A</v>
      </c>
      <c r="AA1983" s="182">
        <v>4.586473621873699E-2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52749</v>
      </c>
      <c r="Y1984" s="184">
        <f>_xll.qlCalendarAdvance(Calendar,X1984,NDays&amp;"D")</f>
        <v>52749</v>
      </c>
      <c r="Z1984" s="185" t="e">
        <v>#N/A</v>
      </c>
      <c r="AA1984" s="182">
        <v>4.5864700888799126E-2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52756</v>
      </c>
      <c r="Y1985" s="184">
        <f>_xll.qlCalendarAdvance(Calendar,X1985,NDays&amp;"D")</f>
        <v>52756</v>
      </c>
      <c r="Z1985" s="185" t="e">
        <v>#N/A</v>
      </c>
      <c r="AA1985" s="182">
        <v>4.586467857505605E-2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52763</v>
      </c>
      <c r="Y1986" s="184">
        <f>_xll.qlCalendarAdvance(Calendar,X1986,NDays&amp;"D")</f>
        <v>52763</v>
      </c>
      <c r="Z1986" s="185" t="e">
        <v>#N/A</v>
      </c>
      <c r="AA1986" s="182">
        <v>4.5864669277750902E-2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52770</v>
      </c>
      <c r="Y1987" s="184">
        <f>_xll.qlCalendarAdvance(Calendar,X1987,NDays&amp;"D")</f>
        <v>52770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52777</v>
      </c>
      <c r="Y1988" s="184">
        <f>_xll.qlCalendarAdvance(Calendar,X1988,NDays&amp;"D")</f>
        <v>52777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52784</v>
      </c>
      <c r="Y1989" s="184">
        <f>_xll.qlCalendarAdvance(Calendar,X1989,NDays&amp;"D")</f>
        <v>52784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52791</v>
      </c>
      <c r="Y1990" s="184">
        <f>_xll.qlCalendarAdvance(Calendar,X1990,NDays&amp;"D")</f>
        <v>52791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52798</v>
      </c>
      <c r="Y1991" s="184">
        <f>_xll.qlCalendarAdvance(Calendar,X1991,NDays&amp;"D")</f>
        <v>52798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52805</v>
      </c>
      <c r="Y1992" s="184">
        <f>_xll.qlCalendarAdvance(Calendar,X1992,NDays&amp;"D")</f>
        <v>52805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52812</v>
      </c>
      <c r="Y1993" s="184">
        <f>_xll.qlCalendarAdvance(Calendar,X1993,NDays&amp;"D")</f>
        <v>52812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52819</v>
      </c>
      <c r="Y1994" s="184">
        <f>_xll.qlCalendarAdvance(Calendar,X1994,NDays&amp;"D")</f>
        <v>52819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52826</v>
      </c>
      <c r="Y1995" s="184">
        <f>_xll.qlCalendarAdvance(Calendar,X1995,NDays&amp;"D")</f>
        <v>52826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52833</v>
      </c>
      <c r="Y1996" s="184">
        <f>_xll.qlCalendarAdvance(Calendar,X1996,NDays&amp;"D")</f>
        <v>52833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52840</v>
      </c>
      <c r="Y1997" s="184">
        <f>_xll.qlCalendarAdvance(Calendar,X1997,NDays&amp;"D")</f>
        <v>52840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52847</v>
      </c>
      <c r="Y1998" s="184">
        <f>_xll.qlCalendarAdvance(Calendar,X1998,NDays&amp;"D")</f>
        <v>52847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52854</v>
      </c>
      <c r="Y1999" s="184">
        <f>_xll.qlCalendarAdvance(Calendar,X1999,NDays&amp;"D")</f>
        <v>52854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52861</v>
      </c>
      <c r="Y2000" s="184">
        <f>_xll.qlCalendarAdvance(Calendar,X2000,NDays&amp;"D")</f>
        <v>52861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52868</v>
      </c>
      <c r="Y2001" s="184">
        <f>_xll.qlCalendarAdvance(Calendar,X2001,NDays&amp;"D")</f>
        <v>52868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52875</v>
      </c>
      <c r="Y2002" s="184">
        <f>_xll.qlCalendarAdvance(Calendar,X2002,NDays&amp;"D")</f>
        <v>52875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52882</v>
      </c>
      <c r="Y2003" s="184">
        <f>_xll.qlCalendarAdvance(Calendar,X2003,NDays&amp;"D")</f>
        <v>52882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52889</v>
      </c>
      <c r="Y2004" s="184">
        <f>_xll.qlCalendarAdvance(Calendar,X2004,NDays&amp;"D")</f>
        <v>52889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52896</v>
      </c>
      <c r="Y2005" s="184">
        <f>_xll.qlCalendarAdvance(Calendar,X2005,NDays&amp;"D")</f>
        <v>52896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52903</v>
      </c>
      <c r="Y2006" s="184">
        <f>_xll.qlCalendarAdvance(Calendar,X2006,NDays&amp;"D")</f>
        <v>52903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52910</v>
      </c>
      <c r="Y2007" s="184">
        <f>_xll.qlCalendarAdvance(Calendar,X2007,NDays&amp;"D")</f>
        <v>52910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52917</v>
      </c>
      <c r="Y2008" s="184">
        <f>_xll.qlCalendarAdvance(Calendar,X2008,NDays&amp;"D")</f>
        <v>52917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52924</v>
      </c>
      <c r="Y2009" s="184">
        <f>_xll.qlCalendarAdvance(Calendar,X2009,NDays&amp;"D")</f>
        <v>52924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52931</v>
      </c>
      <c r="Y2010" s="184">
        <f>_xll.qlCalendarAdvance(Calendar,X2010,NDays&amp;"D")</f>
        <v>52931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52938</v>
      </c>
      <c r="Y2011" s="184">
        <f>_xll.qlCalendarAdvance(Calendar,X2011,NDays&amp;"D")</f>
        <v>52938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52945</v>
      </c>
      <c r="Y2012" s="184">
        <f>_xll.qlCalendarAdvance(Calendar,X2012,NDays&amp;"D")</f>
        <v>52945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52952</v>
      </c>
      <c r="Y2013" s="184">
        <f>_xll.qlCalendarAdvance(Calendar,X2013,NDays&amp;"D")</f>
        <v>52952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52959</v>
      </c>
      <c r="Y2014" s="184">
        <f>_xll.qlCalendarAdvance(Calendar,X2014,NDays&amp;"D")</f>
        <v>52959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52966</v>
      </c>
      <c r="Y2015" s="184">
        <f>_xll.qlCalendarAdvance(Calendar,X2015,NDays&amp;"D")</f>
        <v>52966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52973</v>
      </c>
      <c r="Y2016" s="184">
        <f>_xll.qlCalendarAdvance(Calendar,X2016,NDays&amp;"D")</f>
        <v>52973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52980</v>
      </c>
      <c r="Y2017" s="184">
        <f>_xll.qlCalendarAdvance(Calendar,X2017,NDays&amp;"D")</f>
        <v>52980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52987</v>
      </c>
      <c r="Y2018" s="184">
        <f>_xll.qlCalendarAdvance(Calendar,X2018,NDays&amp;"D")</f>
        <v>52987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52994</v>
      </c>
      <c r="Y2019" s="184">
        <f>_xll.qlCalendarAdvance(Calendar,X2019,NDays&amp;"D")</f>
        <v>52994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53001</v>
      </c>
      <c r="Y2020" s="184">
        <f>_xll.qlCalendarAdvance(Calendar,X2020,NDays&amp;"D")</f>
        <v>53001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53008</v>
      </c>
      <c r="Y2021" s="184">
        <f>_xll.qlCalendarAdvance(Calendar,X2021,NDays&amp;"D")</f>
        <v>53008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53015</v>
      </c>
      <c r="Y2022" s="184">
        <f>_xll.qlCalendarAdvance(Calendar,X2022,NDays&amp;"D")</f>
        <v>53015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53022</v>
      </c>
      <c r="Y2023" s="184">
        <f>_xll.qlCalendarAdvance(Calendar,X2023,NDays&amp;"D")</f>
        <v>53022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53029</v>
      </c>
      <c r="Y2024" s="184">
        <f>_xll.qlCalendarAdvance(Calendar,X2024,NDays&amp;"D")</f>
        <v>53029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53036</v>
      </c>
      <c r="Y2025" s="184">
        <f>_xll.qlCalendarAdvance(Calendar,X2025,NDays&amp;"D")</f>
        <v>53036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53043</v>
      </c>
      <c r="Y2026" s="184">
        <f>_xll.qlCalendarAdvance(Calendar,X2026,NDays&amp;"D")</f>
        <v>53043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53050</v>
      </c>
      <c r="Y2027" s="184">
        <f>_xll.qlCalendarAdvance(Calendar,X2027,NDays&amp;"D")</f>
        <v>53050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53057</v>
      </c>
      <c r="Y2028" s="184">
        <f>_xll.qlCalendarAdvance(Calendar,X2028,NDays&amp;"D")</f>
        <v>53057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53064</v>
      </c>
      <c r="Y2029" s="184">
        <f>_xll.qlCalendarAdvance(Calendar,X2029,NDays&amp;"D")</f>
        <v>53064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53071</v>
      </c>
      <c r="Y2030" s="184">
        <f>_xll.qlCalendarAdvance(Calendar,X2030,NDays&amp;"D")</f>
        <v>53071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53078</v>
      </c>
      <c r="Y2031" s="184">
        <f>_xll.qlCalendarAdvance(Calendar,X2031,NDays&amp;"D")</f>
        <v>53078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53085</v>
      </c>
      <c r="Y2032" s="184">
        <f>_xll.qlCalendarAdvance(Calendar,X2032,NDays&amp;"D")</f>
        <v>53085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53092</v>
      </c>
      <c r="Y2033" s="184">
        <f>_xll.qlCalendarAdvance(Calendar,X2033,NDays&amp;"D")</f>
        <v>53092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53099</v>
      </c>
      <c r="Y2034" s="184">
        <f>_xll.qlCalendarAdvance(Calendar,X2034,NDays&amp;"D")</f>
        <v>53099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53106</v>
      </c>
      <c r="Y2035" s="184">
        <f>_xll.qlCalendarAdvance(Calendar,X2035,NDays&amp;"D")</f>
        <v>53106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53113</v>
      </c>
      <c r="Y2036" s="184">
        <f>_xll.qlCalendarAdvance(Calendar,X2036,NDays&amp;"D")</f>
        <v>53113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53120</v>
      </c>
      <c r="Y2037" s="184">
        <f>_xll.qlCalendarAdvance(Calendar,X2037,NDays&amp;"D")</f>
        <v>53120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53127</v>
      </c>
      <c r="Y2038" s="184">
        <f>_xll.qlCalendarAdvance(Calendar,X2038,NDays&amp;"D")</f>
        <v>53127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53134</v>
      </c>
      <c r="Y2039" s="184">
        <f>_xll.qlCalendarAdvance(Calendar,X2039,NDays&amp;"D")</f>
        <v>53134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53141</v>
      </c>
      <c r="Y2040" s="184">
        <f>_xll.qlCalendarAdvance(Calendar,X2040,NDays&amp;"D")</f>
        <v>53141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53148</v>
      </c>
      <c r="Y2041" s="184">
        <f>_xll.qlCalendarAdvance(Calendar,X2041,NDays&amp;"D")</f>
        <v>53148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53155</v>
      </c>
      <c r="Y2042" s="184">
        <f>_xll.qlCalendarAdvance(Calendar,X2042,NDays&amp;"D")</f>
        <v>53155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53162</v>
      </c>
      <c r="Y2043" s="184">
        <f>_xll.qlCalendarAdvance(Calendar,X2043,NDays&amp;"D")</f>
        <v>53162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53169</v>
      </c>
      <c r="Y2044" s="184">
        <f>_xll.qlCalendarAdvance(Calendar,X2044,NDays&amp;"D")</f>
        <v>53169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53176</v>
      </c>
      <c r="Y2045" s="184">
        <f>_xll.qlCalendarAdvance(Calendar,X2045,NDays&amp;"D")</f>
        <v>53176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53183</v>
      </c>
      <c r="Y2046" s="184">
        <f>_xll.qlCalendarAdvance(Calendar,X2046,NDays&amp;"D")</f>
        <v>53183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53190</v>
      </c>
      <c r="Y2047" s="184">
        <f>_xll.qlCalendarAdvance(Calendar,X2047,NDays&amp;"D")</f>
        <v>53190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53197</v>
      </c>
      <c r="Y2048" s="184">
        <f>_xll.qlCalendarAdvance(Calendar,X2048,NDays&amp;"D")</f>
        <v>53197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53204</v>
      </c>
      <c r="Y2049" s="184">
        <f>_xll.qlCalendarAdvance(Calendar,X2049,NDays&amp;"D")</f>
        <v>53204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53211</v>
      </c>
      <c r="Y2050" s="184">
        <f>_xll.qlCalendarAdvance(Calendar,X2050,NDays&amp;"D")</f>
        <v>53211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53218</v>
      </c>
      <c r="Y2051" s="184">
        <f>_xll.qlCalendarAdvance(Calendar,X2051,NDays&amp;"D")</f>
        <v>53218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53225</v>
      </c>
      <c r="Y2052" s="184">
        <f>_xll.qlCalendarAdvance(Calendar,X2052,NDays&amp;"D")</f>
        <v>53225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53232</v>
      </c>
      <c r="Y2053" s="184">
        <f>_xll.qlCalendarAdvance(Calendar,X2053,NDays&amp;"D")</f>
        <v>53232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53239</v>
      </c>
      <c r="Y2054" s="184">
        <f>_xll.qlCalendarAdvance(Calendar,X2054,NDays&amp;"D")</f>
        <v>53239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53246</v>
      </c>
      <c r="Y2055" s="184">
        <f>_xll.qlCalendarAdvance(Calendar,X2055,NDays&amp;"D")</f>
        <v>53246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53253</v>
      </c>
      <c r="Y2056" s="184">
        <f>_xll.qlCalendarAdvance(Calendar,X2056,NDays&amp;"D")</f>
        <v>53253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53260</v>
      </c>
      <c r="Y2057" s="184">
        <f>_xll.qlCalendarAdvance(Calendar,X2057,NDays&amp;"D")</f>
        <v>53260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53267</v>
      </c>
      <c r="Y2058" s="184">
        <f>_xll.qlCalendarAdvance(Calendar,X2058,NDays&amp;"D")</f>
        <v>53267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53274</v>
      </c>
      <c r="Y2059" s="184">
        <f>_xll.qlCalendarAdvance(Calendar,X2059,NDays&amp;"D")</f>
        <v>53274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53281</v>
      </c>
      <c r="Y2060" s="184">
        <f>_xll.qlCalendarAdvance(Calendar,X2060,NDays&amp;"D")</f>
        <v>53281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53288</v>
      </c>
      <c r="Y2061" s="184">
        <f>_xll.qlCalendarAdvance(Calendar,X2061,NDays&amp;"D")</f>
        <v>53288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53295</v>
      </c>
      <c r="Y2062" s="184">
        <f>_xll.qlCalendarAdvance(Calendar,X2062,NDays&amp;"D")</f>
        <v>53295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53302</v>
      </c>
      <c r="Y2063" s="184">
        <f>_xll.qlCalendarAdvance(Calendar,X2063,NDays&amp;"D")</f>
        <v>53302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53309</v>
      </c>
      <c r="Y2064" s="184">
        <f>_xll.qlCalendarAdvance(Calendar,X2064,NDays&amp;"D")</f>
        <v>53309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53316</v>
      </c>
      <c r="Y2065" s="184">
        <f>_xll.qlCalendarAdvance(Calendar,X2065,NDays&amp;"D")</f>
        <v>53316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53323</v>
      </c>
      <c r="Y2066" s="184">
        <f>_xll.qlCalendarAdvance(Calendar,X2066,NDays&amp;"D")</f>
        <v>53323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53330</v>
      </c>
      <c r="Y2067" s="184">
        <f>_xll.qlCalendarAdvance(Calendar,X2067,NDays&amp;"D")</f>
        <v>53330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53337</v>
      </c>
      <c r="Y2068" s="184">
        <f>_xll.qlCalendarAdvance(Calendar,X2068,NDays&amp;"D")</f>
        <v>53337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53344</v>
      </c>
      <c r="Y2069" s="184">
        <f>_xll.qlCalendarAdvance(Calendar,X2069,NDays&amp;"D")</f>
        <v>53344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53351</v>
      </c>
      <c r="Y2070" s="184">
        <f>_xll.qlCalendarAdvance(Calendar,X2070,NDays&amp;"D")</f>
        <v>53351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53358</v>
      </c>
      <c r="Y2071" s="184">
        <f>_xll.qlCalendarAdvance(Calendar,X2071,NDays&amp;"D")</f>
        <v>53358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53365</v>
      </c>
      <c r="Y2072" s="184">
        <f>_xll.qlCalendarAdvance(Calendar,X2072,NDays&amp;"D")</f>
        <v>53365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53372</v>
      </c>
      <c r="Y2073" s="184">
        <f>_xll.qlCalendarAdvance(Calendar,X2073,NDays&amp;"D")</f>
        <v>53372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53379</v>
      </c>
      <c r="Y2074" s="184">
        <f>_xll.qlCalendarAdvance(Calendar,X2074,NDays&amp;"D")</f>
        <v>53379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53386</v>
      </c>
      <c r="Y2075" s="184">
        <f>_xll.qlCalendarAdvance(Calendar,X2075,NDays&amp;"D")</f>
        <v>53386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53393</v>
      </c>
      <c r="Y2076" s="184">
        <f>_xll.qlCalendarAdvance(Calendar,X2076,NDays&amp;"D")</f>
        <v>53393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53400</v>
      </c>
      <c r="Y2077" s="184">
        <f>_xll.qlCalendarAdvance(Calendar,X2077,NDays&amp;"D")</f>
        <v>53400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53407</v>
      </c>
      <c r="Y2078" s="184">
        <f>_xll.qlCalendarAdvance(Calendar,X2078,NDays&amp;"D")</f>
        <v>53407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53414</v>
      </c>
      <c r="Y2079" s="184">
        <f>_xll.qlCalendarAdvance(Calendar,X2079,NDays&amp;"D")</f>
        <v>53414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53421</v>
      </c>
      <c r="Y2080" s="184">
        <f>_xll.qlCalendarAdvance(Calendar,X2080,NDays&amp;"D")</f>
        <v>53421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53428</v>
      </c>
      <c r="Y2081" s="184">
        <f>_xll.qlCalendarAdvance(Calendar,X2081,NDays&amp;"D")</f>
        <v>53428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53435</v>
      </c>
      <c r="Y2082" s="184">
        <f>_xll.qlCalendarAdvance(Calendar,X2082,NDays&amp;"D")</f>
        <v>53435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53443</v>
      </c>
      <c r="Y2083" s="184">
        <f>_xll.qlCalendarAdvance(Calendar,X2083,NDays&amp;"D")</f>
        <v>53443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53450</v>
      </c>
      <c r="Y2084" s="184">
        <f>_xll.qlCalendarAdvance(Calendar,X2084,NDays&amp;"D")</f>
        <v>53450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53457</v>
      </c>
      <c r="Y2085" s="184">
        <f>_xll.qlCalendarAdvance(Calendar,X2085,NDays&amp;"D")</f>
        <v>53457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53464</v>
      </c>
      <c r="Y2086" s="184">
        <f>_xll.qlCalendarAdvance(Calendar,X2086,NDays&amp;"D")</f>
        <v>53464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53471</v>
      </c>
      <c r="Y2087" s="184">
        <f>_xll.qlCalendarAdvance(Calendar,X2087,NDays&amp;"D")</f>
        <v>53471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53478</v>
      </c>
      <c r="Y2088" s="184">
        <f>_xll.qlCalendarAdvance(Calendar,X2088,NDays&amp;"D")</f>
        <v>53478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53485</v>
      </c>
      <c r="Y2089" s="184">
        <f>_xll.qlCalendarAdvance(Calendar,X2089,NDays&amp;"D")</f>
        <v>53485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53492</v>
      </c>
      <c r="Y2090" s="184">
        <f>_xll.qlCalendarAdvance(Calendar,X2090,NDays&amp;"D")</f>
        <v>53492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53499</v>
      </c>
      <c r="Y2091" s="184">
        <f>_xll.qlCalendarAdvance(Calendar,X2091,NDays&amp;"D")</f>
        <v>53499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53506</v>
      </c>
      <c r="Y2092" s="184">
        <f>_xll.qlCalendarAdvance(Calendar,X2092,NDays&amp;"D")</f>
        <v>53506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53513</v>
      </c>
      <c r="Y2093" s="184">
        <f>_xll.qlCalendarAdvance(Calendar,X2093,NDays&amp;"D")</f>
        <v>53513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53520</v>
      </c>
      <c r="Y2094" s="184">
        <f>_xll.qlCalendarAdvance(Calendar,X2094,NDays&amp;"D")</f>
        <v>53520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53527</v>
      </c>
      <c r="Y2095" s="184">
        <f>_xll.qlCalendarAdvance(Calendar,X2095,NDays&amp;"D")</f>
        <v>53527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53534</v>
      </c>
      <c r="Y2096" s="184">
        <f>_xll.qlCalendarAdvance(Calendar,X2096,NDays&amp;"D")</f>
        <v>53534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53541</v>
      </c>
      <c r="Y2097" s="184">
        <f>_xll.qlCalendarAdvance(Calendar,X2097,NDays&amp;"D")</f>
        <v>53541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53548</v>
      </c>
      <c r="Y2098" s="184">
        <f>_xll.qlCalendarAdvance(Calendar,X2098,NDays&amp;"D")</f>
        <v>53548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53555</v>
      </c>
      <c r="Y2099" s="184">
        <f>_xll.qlCalendarAdvance(Calendar,X2099,NDays&amp;"D")</f>
        <v>53555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53562</v>
      </c>
      <c r="Y2100" s="184">
        <f>_xll.qlCalendarAdvance(Calendar,X2100,NDays&amp;"D")</f>
        <v>53562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53569</v>
      </c>
      <c r="Y2101" s="184">
        <f>_xll.qlCalendarAdvance(Calendar,X2101,NDays&amp;"D")</f>
        <v>53569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53576</v>
      </c>
      <c r="Y2102" s="184">
        <f>_xll.qlCalendarAdvance(Calendar,X2102,NDays&amp;"D")</f>
        <v>53576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53583</v>
      </c>
      <c r="Y2103" s="184">
        <f>_xll.qlCalendarAdvance(Calendar,X2103,NDays&amp;"D")</f>
        <v>53583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53590</v>
      </c>
      <c r="Y2104" s="184">
        <f>_xll.qlCalendarAdvance(Calendar,X2104,NDays&amp;"D")</f>
        <v>53590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53597</v>
      </c>
      <c r="Y2105" s="184">
        <f>_xll.qlCalendarAdvance(Calendar,X2105,NDays&amp;"D")</f>
        <v>53597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53604</v>
      </c>
      <c r="Y2106" s="184">
        <f>_xll.qlCalendarAdvance(Calendar,X2106,NDays&amp;"D")</f>
        <v>53604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53611</v>
      </c>
      <c r="Y2107" s="184">
        <f>_xll.qlCalendarAdvance(Calendar,X2107,NDays&amp;"D")</f>
        <v>53611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53618</v>
      </c>
      <c r="Y2108" s="184">
        <f>_xll.qlCalendarAdvance(Calendar,X2108,NDays&amp;"D")</f>
        <v>53618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53625</v>
      </c>
      <c r="Y2109" s="184">
        <f>_xll.qlCalendarAdvance(Calendar,X2109,NDays&amp;"D")</f>
        <v>53625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53632</v>
      </c>
      <c r="Y2110" s="184">
        <f>_xll.qlCalendarAdvance(Calendar,X2110,NDays&amp;"D")</f>
        <v>53632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53639</v>
      </c>
      <c r="Y2111" s="184">
        <f>_xll.qlCalendarAdvance(Calendar,X2111,NDays&amp;"D")</f>
        <v>53639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53646</v>
      </c>
      <c r="Y2112" s="184">
        <f>_xll.qlCalendarAdvance(Calendar,X2112,NDays&amp;"D")</f>
        <v>53646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53653</v>
      </c>
      <c r="Y2113" s="184">
        <f>_xll.qlCalendarAdvance(Calendar,X2113,NDays&amp;"D")</f>
        <v>53653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53660</v>
      </c>
      <c r="Y2114" s="184">
        <f>_xll.qlCalendarAdvance(Calendar,X2114,NDays&amp;"D")</f>
        <v>53660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53667</v>
      </c>
      <c r="Y2115" s="184">
        <f>_xll.qlCalendarAdvance(Calendar,X2115,NDays&amp;"D")</f>
        <v>53667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53674</v>
      </c>
      <c r="Y2116" s="184">
        <f>_xll.qlCalendarAdvance(Calendar,X2116,NDays&amp;"D")</f>
        <v>53674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53681</v>
      </c>
      <c r="Y2117" s="184">
        <f>_xll.qlCalendarAdvance(Calendar,X2117,NDays&amp;"D")</f>
        <v>53681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53688</v>
      </c>
      <c r="Y2118" s="184">
        <f>_xll.qlCalendarAdvance(Calendar,X2118,NDays&amp;"D")</f>
        <v>53688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53695</v>
      </c>
      <c r="Y2119" s="184">
        <f>_xll.qlCalendarAdvance(Calendar,X2119,NDays&amp;"D")</f>
        <v>53695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53702</v>
      </c>
      <c r="Y2120" s="184">
        <f>_xll.qlCalendarAdvance(Calendar,X2120,NDays&amp;"D")</f>
        <v>53702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53709</v>
      </c>
      <c r="Y2121" s="184">
        <f>_xll.qlCalendarAdvance(Calendar,X2121,NDays&amp;"D")</f>
        <v>53709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53716</v>
      </c>
      <c r="Y2122" s="184">
        <f>_xll.qlCalendarAdvance(Calendar,X2122,NDays&amp;"D")</f>
        <v>53716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53723</v>
      </c>
      <c r="Y2123" s="184">
        <f>_xll.qlCalendarAdvance(Calendar,X2123,NDays&amp;"D")</f>
        <v>53723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53730</v>
      </c>
      <c r="Y2124" s="184">
        <f>_xll.qlCalendarAdvance(Calendar,X2124,NDays&amp;"D")</f>
        <v>53730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53737</v>
      </c>
      <c r="Y2125" s="184">
        <f>_xll.qlCalendarAdvance(Calendar,X2125,NDays&amp;"D")</f>
        <v>53737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53744</v>
      </c>
      <c r="Y2126" s="184">
        <f>_xll.qlCalendarAdvance(Calendar,X2126,NDays&amp;"D")</f>
        <v>53744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53751</v>
      </c>
      <c r="Y2127" s="184">
        <f>_xll.qlCalendarAdvance(Calendar,X2127,NDays&amp;"D")</f>
        <v>53751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53758</v>
      </c>
      <c r="Y2128" s="184">
        <f>_xll.qlCalendarAdvance(Calendar,X2128,NDays&amp;"D")</f>
        <v>53758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53765</v>
      </c>
      <c r="Y2129" s="184">
        <f>_xll.qlCalendarAdvance(Calendar,X2129,NDays&amp;"D")</f>
        <v>53765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53772</v>
      </c>
      <c r="Y2130" s="184">
        <f>_xll.qlCalendarAdvance(Calendar,X2130,NDays&amp;"D")</f>
        <v>53772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53779</v>
      </c>
      <c r="Y2131" s="184">
        <f>_xll.qlCalendarAdvance(Calendar,X2131,NDays&amp;"D")</f>
        <v>53779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53786</v>
      </c>
      <c r="Y2132" s="184">
        <f>_xll.qlCalendarAdvance(Calendar,X2132,NDays&amp;"D")</f>
        <v>53786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53793</v>
      </c>
      <c r="Y2133" s="184">
        <f>_xll.qlCalendarAdvance(Calendar,X2133,NDays&amp;"D")</f>
        <v>53793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53800</v>
      </c>
      <c r="Y2134" s="184">
        <f>_xll.qlCalendarAdvance(Calendar,X2134,NDays&amp;"D")</f>
        <v>53800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53808</v>
      </c>
      <c r="Y2135" s="184">
        <f>_xll.qlCalendarAdvance(Calendar,X2135,NDays&amp;"D")</f>
        <v>53808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53815</v>
      </c>
      <c r="Y2136" s="184">
        <f>_xll.qlCalendarAdvance(Calendar,X2136,NDays&amp;"D")</f>
        <v>53815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53822</v>
      </c>
      <c r="Y2137" s="184">
        <f>_xll.qlCalendarAdvance(Calendar,X2137,NDays&amp;"D")</f>
        <v>53822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53829</v>
      </c>
      <c r="Y2138" s="184">
        <f>_xll.qlCalendarAdvance(Calendar,X2138,NDays&amp;"D")</f>
        <v>53829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53836</v>
      </c>
      <c r="Y2139" s="184">
        <f>_xll.qlCalendarAdvance(Calendar,X2139,NDays&amp;"D")</f>
        <v>53836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53843</v>
      </c>
      <c r="Y2140" s="184">
        <f>_xll.qlCalendarAdvance(Calendar,X2140,NDays&amp;"D")</f>
        <v>53843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53850</v>
      </c>
      <c r="Y2141" s="184">
        <f>_xll.qlCalendarAdvance(Calendar,X2141,NDays&amp;"D")</f>
        <v>53850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53857</v>
      </c>
      <c r="Y2142" s="184">
        <f>_xll.qlCalendarAdvance(Calendar,X2142,NDays&amp;"D")</f>
        <v>53857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53864</v>
      </c>
      <c r="Y2143" s="184">
        <f>_xll.qlCalendarAdvance(Calendar,X2143,NDays&amp;"D")</f>
        <v>53864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53871</v>
      </c>
      <c r="Y2144" s="184">
        <f>_xll.qlCalendarAdvance(Calendar,X2144,NDays&amp;"D")</f>
        <v>53871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53878</v>
      </c>
      <c r="Y2145" s="184">
        <f>_xll.qlCalendarAdvance(Calendar,X2145,NDays&amp;"D")</f>
        <v>53878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53885</v>
      </c>
      <c r="Y2146" s="184">
        <f>_xll.qlCalendarAdvance(Calendar,X2146,NDays&amp;"D")</f>
        <v>53885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53892</v>
      </c>
      <c r="Y2147" s="184">
        <f>_xll.qlCalendarAdvance(Calendar,X2147,NDays&amp;"D")</f>
        <v>53892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53899</v>
      </c>
      <c r="Y2148" s="184">
        <f>_xll.qlCalendarAdvance(Calendar,X2148,NDays&amp;"D")</f>
        <v>53899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53906</v>
      </c>
      <c r="Y2149" s="184">
        <f>_xll.qlCalendarAdvance(Calendar,X2149,NDays&amp;"D")</f>
        <v>53906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53913</v>
      </c>
      <c r="Y2150" s="184">
        <f>_xll.qlCalendarAdvance(Calendar,X2150,NDays&amp;"D")</f>
        <v>53913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53920</v>
      </c>
      <c r="Y2151" s="184">
        <f>_xll.qlCalendarAdvance(Calendar,X2151,NDays&amp;"D")</f>
        <v>53920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53927</v>
      </c>
      <c r="Y2152" s="184">
        <f>_xll.qlCalendarAdvance(Calendar,X2152,NDays&amp;"D")</f>
        <v>53927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53934</v>
      </c>
      <c r="Y2153" s="184">
        <f>_xll.qlCalendarAdvance(Calendar,X2153,NDays&amp;"D")</f>
        <v>53934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53941</v>
      </c>
      <c r="Y2154" s="184">
        <f>_xll.qlCalendarAdvance(Calendar,X2154,NDays&amp;"D")</f>
        <v>53941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53948</v>
      </c>
      <c r="Y2155" s="184">
        <f>_xll.qlCalendarAdvance(Calendar,X2155,NDays&amp;"D")</f>
        <v>53948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53955</v>
      </c>
      <c r="Y2156" s="184">
        <f>_xll.qlCalendarAdvance(Calendar,X2156,NDays&amp;"D")</f>
        <v>53955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53962</v>
      </c>
      <c r="Y2157" s="184">
        <f>_xll.qlCalendarAdvance(Calendar,X2157,NDays&amp;"D")</f>
        <v>53962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53969</v>
      </c>
      <c r="Y2158" s="184">
        <f>_xll.qlCalendarAdvance(Calendar,X2158,NDays&amp;"D")</f>
        <v>53969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53976</v>
      </c>
      <c r="Y2159" s="184">
        <f>_xll.qlCalendarAdvance(Calendar,X2159,NDays&amp;"D")</f>
        <v>53976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53983</v>
      </c>
      <c r="Y2160" s="184">
        <f>_xll.qlCalendarAdvance(Calendar,X2160,NDays&amp;"D")</f>
        <v>53983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53990</v>
      </c>
      <c r="Y2161" s="184">
        <f>_xll.qlCalendarAdvance(Calendar,X2161,NDays&amp;"D")</f>
        <v>53990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53997</v>
      </c>
      <c r="Y2162" s="184">
        <f>_xll.qlCalendarAdvance(Calendar,X2162,NDays&amp;"D")</f>
        <v>53997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54004</v>
      </c>
      <c r="Y2163" s="184">
        <f>_xll.qlCalendarAdvance(Calendar,X2163,NDays&amp;"D")</f>
        <v>54004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54011</v>
      </c>
      <c r="Y2164" s="184">
        <f>_xll.qlCalendarAdvance(Calendar,X2164,NDays&amp;"D")</f>
        <v>54011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54018</v>
      </c>
      <c r="Y2165" s="184">
        <f>_xll.qlCalendarAdvance(Calendar,X2165,NDays&amp;"D")</f>
        <v>54018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54025</v>
      </c>
      <c r="Y2166" s="184">
        <f>_xll.qlCalendarAdvance(Calendar,X2166,NDays&amp;"D")</f>
        <v>54025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54032</v>
      </c>
      <c r="Y2167" s="184">
        <f>_xll.qlCalendarAdvance(Calendar,X2167,NDays&amp;"D")</f>
        <v>54032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54039</v>
      </c>
      <c r="Y2168" s="184">
        <f>_xll.qlCalendarAdvance(Calendar,X2168,NDays&amp;"D")</f>
        <v>54039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54046</v>
      </c>
      <c r="Y2169" s="184">
        <f>_xll.qlCalendarAdvance(Calendar,X2169,NDays&amp;"D")</f>
        <v>54046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54053</v>
      </c>
      <c r="Y2170" s="184">
        <f>_xll.qlCalendarAdvance(Calendar,X2170,NDays&amp;"D")</f>
        <v>54053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54060</v>
      </c>
      <c r="Y2171" s="184">
        <f>_xll.qlCalendarAdvance(Calendar,X2171,NDays&amp;"D")</f>
        <v>54060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54067</v>
      </c>
      <c r="Y2172" s="184">
        <f>_xll.qlCalendarAdvance(Calendar,X2172,NDays&amp;"D")</f>
        <v>54067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54074</v>
      </c>
      <c r="Y2173" s="184">
        <f>_xll.qlCalendarAdvance(Calendar,X2173,NDays&amp;"D")</f>
        <v>54074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54081</v>
      </c>
      <c r="Y2174" s="184">
        <f>_xll.qlCalendarAdvance(Calendar,X2174,NDays&amp;"D")</f>
        <v>54081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54088</v>
      </c>
      <c r="Y2175" s="184">
        <f>_xll.qlCalendarAdvance(Calendar,X2175,NDays&amp;"D")</f>
        <v>54088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54095</v>
      </c>
      <c r="Y2176" s="184">
        <f>_xll.qlCalendarAdvance(Calendar,X2176,NDays&amp;"D")</f>
        <v>54095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54102</v>
      </c>
      <c r="Y2177" s="184">
        <f>_xll.qlCalendarAdvance(Calendar,X2177,NDays&amp;"D")</f>
        <v>54102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54109</v>
      </c>
      <c r="Y2178" s="184">
        <f>_xll.qlCalendarAdvance(Calendar,X2178,NDays&amp;"D")</f>
        <v>54109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54116</v>
      </c>
      <c r="Y2179" s="184">
        <f>_xll.qlCalendarAdvance(Calendar,X2179,NDays&amp;"D")</f>
        <v>54116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54123</v>
      </c>
      <c r="Y2180" s="184">
        <f>_xll.qlCalendarAdvance(Calendar,X2180,NDays&amp;"D")</f>
        <v>54123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54130</v>
      </c>
      <c r="Y2181" s="184">
        <f>_xll.qlCalendarAdvance(Calendar,X2181,NDays&amp;"D")</f>
        <v>54130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54137</v>
      </c>
      <c r="Y2182" s="184">
        <f>_xll.qlCalendarAdvance(Calendar,X2182,NDays&amp;"D")</f>
        <v>54137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54144</v>
      </c>
      <c r="Y2183" s="184">
        <f>_xll.qlCalendarAdvance(Calendar,X2183,NDays&amp;"D")</f>
        <v>54144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54155</v>
      </c>
      <c r="Y2184" s="184">
        <f>_xll.qlCalendarAdvance(Calendar,X2184,NDays&amp;"D")</f>
        <v>54155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54162</v>
      </c>
      <c r="Y2185" s="184">
        <f>_xll.qlCalendarAdvance(Calendar,X2185,NDays&amp;"D")</f>
        <v>54162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54169</v>
      </c>
      <c r="Y2186" s="184">
        <f>_xll.qlCalendarAdvance(Calendar,X2186,NDays&amp;"D")</f>
        <v>54169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54176</v>
      </c>
      <c r="Y2187" s="184">
        <f>_xll.qlCalendarAdvance(Calendar,X2187,NDays&amp;"D")</f>
        <v>54176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54183</v>
      </c>
      <c r="Y2188" s="184">
        <f>_xll.qlCalendarAdvance(Calendar,X2188,NDays&amp;"D")</f>
        <v>54183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54190</v>
      </c>
      <c r="Y2189" s="184">
        <f>_xll.qlCalendarAdvance(Calendar,X2189,NDays&amp;"D")</f>
        <v>54190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54197</v>
      </c>
      <c r="Y2190" s="184">
        <f>_xll.qlCalendarAdvance(Calendar,X2190,NDays&amp;"D")</f>
        <v>54197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54204</v>
      </c>
      <c r="Y2191" s="184">
        <f>_xll.qlCalendarAdvance(Calendar,X2191,NDays&amp;"D")</f>
        <v>54204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54211</v>
      </c>
      <c r="Y2192" s="184">
        <f>_xll.qlCalendarAdvance(Calendar,X2192,NDays&amp;"D")</f>
        <v>54211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54218</v>
      </c>
      <c r="Y2193" s="184">
        <f>_xll.qlCalendarAdvance(Calendar,X2193,NDays&amp;"D")</f>
        <v>54218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54225</v>
      </c>
      <c r="Y2194" s="184">
        <f>_xll.qlCalendarAdvance(Calendar,X2194,NDays&amp;"D")</f>
        <v>54225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54232</v>
      </c>
      <c r="Y2195" s="184">
        <f>_xll.qlCalendarAdvance(Calendar,X2195,NDays&amp;"D")</f>
        <v>54232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54239</v>
      </c>
      <c r="Y2196" s="184">
        <f>_xll.qlCalendarAdvance(Calendar,X2196,NDays&amp;"D")</f>
        <v>54239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54246</v>
      </c>
      <c r="Y2197" s="184">
        <f>_xll.qlCalendarAdvance(Calendar,X2197,NDays&amp;"D")</f>
        <v>54246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54253</v>
      </c>
      <c r="Y2198" s="184">
        <f>_xll.qlCalendarAdvance(Calendar,X2198,NDays&amp;"D")</f>
        <v>54253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54260</v>
      </c>
      <c r="Y2199" s="184">
        <f>_xll.qlCalendarAdvance(Calendar,X2199,NDays&amp;"D")</f>
        <v>54260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54267</v>
      </c>
      <c r="Y2200" s="184">
        <f>_xll.qlCalendarAdvance(Calendar,X2200,NDays&amp;"D")</f>
        <v>54267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54274</v>
      </c>
      <c r="Y2201" s="184">
        <f>_xll.qlCalendarAdvance(Calendar,X2201,NDays&amp;"D")</f>
        <v>54274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54281</v>
      </c>
      <c r="Y2202" s="184">
        <f>_xll.qlCalendarAdvance(Calendar,X2202,NDays&amp;"D")</f>
        <v>54281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54288</v>
      </c>
      <c r="Y2203" s="184">
        <f>_xll.qlCalendarAdvance(Calendar,X2203,NDays&amp;"D")</f>
        <v>54288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54295</v>
      </c>
      <c r="Y2204" s="184">
        <f>_xll.qlCalendarAdvance(Calendar,X2204,NDays&amp;"D")</f>
        <v>54295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54302</v>
      </c>
      <c r="Y2205" s="184">
        <f>_xll.qlCalendarAdvance(Calendar,X2205,NDays&amp;"D")</f>
        <v>54302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54309</v>
      </c>
      <c r="Y2206" s="184">
        <f>_xll.qlCalendarAdvance(Calendar,X2206,NDays&amp;"D")</f>
        <v>54309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54316</v>
      </c>
      <c r="Y2207" s="184">
        <f>_xll.qlCalendarAdvance(Calendar,X2207,NDays&amp;"D")</f>
        <v>54316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54323</v>
      </c>
      <c r="Y2208" s="184">
        <f>_xll.qlCalendarAdvance(Calendar,X2208,NDays&amp;"D")</f>
        <v>54323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54330</v>
      </c>
      <c r="Y2209" s="184">
        <f>_xll.qlCalendarAdvance(Calendar,X2209,NDays&amp;"D")</f>
        <v>54330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54337</v>
      </c>
      <c r="Y2210" s="184">
        <f>_xll.qlCalendarAdvance(Calendar,X2210,NDays&amp;"D")</f>
        <v>54337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54344</v>
      </c>
      <c r="Y2211" s="184">
        <f>_xll.qlCalendarAdvance(Calendar,X2211,NDays&amp;"D")</f>
        <v>54344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54351</v>
      </c>
      <c r="Y2212" s="184">
        <f>_xll.qlCalendarAdvance(Calendar,X2212,NDays&amp;"D")</f>
        <v>54351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54358</v>
      </c>
      <c r="Y2213" s="184">
        <f>_xll.qlCalendarAdvance(Calendar,X2213,NDays&amp;"D")</f>
        <v>54358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54365</v>
      </c>
      <c r="Y2214" s="184">
        <f>_xll.qlCalendarAdvance(Calendar,X2214,NDays&amp;"D")</f>
        <v>54365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54372</v>
      </c>
      <c r="Y2215" s="184">
        <f>_xll.qlCalendarAdvance(Calendar,X2215,NDays&amp;"D")</f>
        <v>54372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54379</v>
      </c>
      <c r="Y2216" s="184">
        <f>_xll.qlCalendarAdvance(Calendar,X2216,NDays&amp;"D")</f>
        <v>54379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54386</v>
      </c>
      <c r="Y2217" s="184">
        <f>_xll.qlCalendarAdvance(Calendar,X2217,NDays&amp;"D")</f>
        <v>54386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54393</v>
      </c>
      <c r="Y2218" s="184">
        <f>_xll.qlCalendarAdvance(Calendar,X2218,NDays&amp;"D")</f>
        <v>54393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54400</v>
      </c>
      <c r="Y2219" s="184">
        <f>_xll.qlCalendarAdvance(Calendar,X2219,NDays&amp;"D")</f>
        <v>54400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54407</v>
      </c>
      <c r="Y2220" s="184">
        <f>_xll.qlCalendarAdvance(Calendar,X2220,NDays&amp;"D")</f>
        <v>54407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54414</v>
      </c>
      <c r="Y2221" s="184">
        <f>_xll.qlCalendarAdvance(Calendar,X2221,NDays&amp;"D")</f>
        <v>54414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54421</v>
      </c>
      <c r="Y2222" s="184">
        <f>_xll.qlCalendarAdvance(Calendar,X2222,NDays&amp;"D")</f>
        <v>54421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54428</v>
      </c>
      <c r="Y2223" s="184">
        <f>_xll.qlCalendarAdvance(Calendar,X2223,NDays&amp;"D")</f>
        <v>54428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54435</v>
      </c>
      <c r="Y2224" s="184">
        <f>_xll.qlCalendarAdvance(Calendar,X2224,NDays&amp;"D")</f>
        <v>54435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54442</v>
      </c>
      <c r="Y2225" s="184">
        <f>_xll.qlCalendarAdvance(Calendar,X2225,NDays&amp;"D")</f>
        <v>54442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54450</v>
      </c>
      <c r="Y2226" s="184">
        <f>_xll.qlCalendarAdvance(Calendar,X2226,NDays&amp;"D")</f>
        <v>54450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54457</v>
      </c>
      <c r="Y2227" s="184">
        <f>_xll.qlCalendarAdvance(Calendar,X2227,NDays&amp;"D")</f>
        <v>54457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54464</v>
      </c>
      <c r="Y2228" s="184">
        <f>_xll.qlCalendarAdvance(Calendar,X2228,NDays&amp;"D")</f>
        <v>54464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54471</v>
      </c>
      <c r="Y2229" s="184">
        <f>_xll.qlCalendarAdvance(Calendar,X2229,NDays&amp;"D")</f>
        <v>54471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54478</v>
      </c>
      <c r="Y2230" s="184">
        <f>_xll.qlCalendarAdvance(Calendar,X2230,NDays&amp;"D")</f>
        <v>54478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54485</v>
      </c>
      <c r="Y2231" s="184">
        <f>_xll.qlCalendarAdvance(Calendar,X2231,NDays&amp;"D")</f>
        <v>54485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54492</v>
      </c>
      <c r="Y2232" s="184">
        <f>_xll.qlCalendarAdvance(Calendar,X2232,NDays&amp;"D")</f>
        <v>54492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54499</v>
      </c>
      <c r="Y2233" s="184">
        <f>_xll.qlCalendarAdvance(Calendar,X2233,NDays&amp;"D")</f>
        <v>54499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54506</v>
      </c>
      <c r="Y2234" s="184">
        <f>_xll.qlCalendarAdvance(Calendar,X2234,NDays&amp;"D")</f>
        <v>54506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54513</v>
      </c>
      <c r="Y2235" s="184">
        <f>_xll.qlCalendarAdvance(Calendar,X2235,NDays&amp;"D")</f>
        <v>54513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54520</v>
      </c>
      <c r="Y2236" s="184">
        <f>_xll.qlCalendarAdvance(Calendar,X2236,NDays&amp;"D")</f>
        <v>54520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54527</v>
      </c>
      <c r="Y2237" s="184">
        <f>_xll.qlCalendarAdvance(Calendar,X2237,NDays&amp;"D")</f>
        <v>54527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54534</v>
      </c>
      <c r="Y2238" s="184">
        <f>_xll.qlCalendarAdvance(Calendar,X2238,NDays&amp;"D")</f>
        <v>54534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54541</v>
      </c>
      <c r="Y2239" s="184">
        <f>_xll.qlCalendarAdvance(Calendar,X2239,NDays&amp;"D")</f>
        <v>54541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54548</v>
      </c>
      <c r="Y2240" s="184">
        <f>_xll.qlCalendarAdvance(Calendar,X2240,NDays&amp;"D")</f>
        <v>54548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54555</v>
      </c>
      <c r="Y2241" s="184">
        <f>_xll.qlCalendarAdvance(Calendar,X2241,NDays&amp;"D")</f>
        <v>54555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54562</v>
      </c>
      <c r="Y2242" s="184">
        <f>_xll.qlCalendarAdvance(Calendar,X2242,NDays&amp;"D")</f>
        <v>54562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54569</v>
      </c>
      <c r="Y2243" s="184">
        <f>_xll.qlCalendarAdvance(Calendar,X2243,NDays&amp;"D")</f>
        <v>54569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54576</v>
      </c>
      <c r="Y2244" s="184">
        <f>_xll.qlCalendarAdvance(Calendar,X2244,NDays&amp;"D")</f>
        <v>54576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54583</v>
      </c>
      <c r="Y2245" s="184">
        <f>_xll.qlCalendarAdvance(Calendar,X2245,NDays&amp;"D")</f>
        <v>54583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54590</v>
      </c>
      <c r="Y2246" s="184">
        <f>_xll.qlCalendarAdvance(Calendar,X2246,NDays&amp;"D")</f>
        <v>54590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54597</v>
      </c>
      <c r="Y2247" s="184">
        <f>_xll.qlCalendarAdvance(Calendar,X2247,NDays&amp;"D")</f>
        <v>54597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54604</v>
      </c>
      <c r="Y2248" s="184">
        <f>_xll.qlCalendarAdvance(Calendar,X2248,NDays&amp;"D")</f>
        <v>54604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54611</v>
      </c>
      <c r="Y2249" s="184">
        <f>_xll.qlCalendarAdvance(Calendar,X2249,NDays&amp;"D")</f>
        <v>54611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54618</v>
      </c>
      <c r="Y2250" s="184">
        <f>_xll.qlCalendarAdvance(Calendar,X2250,NDays&amp;"D")</f>
        <v>54618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54625</v>
      </c>
      <c r="Y2251" s="184">
        <f>_xll.qlCalendarAdvance(Calendar,X2251,NDays&amp;"D")</f>
        <v>54625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54632</v>
      </c>
      <c r="Y2252" s="184">
        <f>_xll.qlCalendarAdvance(Calendar,X2252,NDays&amp;"D")</f>
        <v>54632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54639</v>
      </c>
      <c r="Y2253" s="184">
        <f>_xll.qlCalendarAdvance(Calendar,X2253,NDays&amp;"D")</f>
        <v>54639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54646</v>
      </c>
      <c r="Y2254" s="184">
        <f>_xll.qlCalendarAdvance(Calendar,X2254,NDays&amp;"D")</f>
        <v>54646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54653</v>
      </c>
      <c r="Y2255" s="184">
        <f>_xll.qlCalendarAdvance(Calendar,X2255,NDays&amp;"D")</f>
        <v>54653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54660</v>
      </c>
      <c r="Y2256" s="184">
        <f>_xll.qlCalendarAdvance(Calendar,X2256,NDays&amp;"D")</f>
        <v>54660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54667</v>
      </c>
      <c r="Y2257" s="184">
        <f>_xll.qlCalendarAdvance(Calendar,X2257,NDays&amp;"D")</f>
        <v>54667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54674</v>
      </c>
      <c r="Y2258" s="184">
        <f>_xll.qlCalendarAdvance(Calendar,X2258,NDays&amp;"D")</f>
        <v>54674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54681</v>
      </c>
      <c r="Y2259" s="184">
        <f>_xll.qlCalendarAdvance(Calendar,X2259,NDays&amp;"D")</f>
        <v>54681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54688</v>
      </c>
      <c r="Y2260" s="184">
        <f>_xll.qlCalendarAdvance(Calendar,X2260,NDays&amp;"D")</f>
        <v>54688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54695</v>
      </c>
      <c r="Y2261" s="184">
        <f>_xll.qlCalendarAdvance(Calendar,X2261,NDays&amp;"D")</f>
        <v>54695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54702</v>
      </c>
      <c r="Y2262" s="184">
        <f>_xll.qlCalendarAdvance(Calendar,X2262,NDays&amp;"D")</f>
        <v>54702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54709</v>
      </c>
      <c r="Y2263" s="184">
        <f>_xll.qlCalendarAdvance(Calendar,X2263,NDays&amp;"D")</f>
        <v>54709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54716</v>
      </c>
      <c r="Y2264" s="184">
        <f>_xll.qlCalendarAdvance(Calendar,X2264,NDays&amp;"D")</f>
        <v>54716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54723</v>
      </c>
      <c r="Y2265" s="184">
        <f>_xll.qlCalendarAdvance(Calendar,X2265,NDays&amp;"D")</f>
        <v>54723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54730</v>
      </c>
      <c r="Y2266" s="184">
        <f>_xll.qlCalendarAdvance(Calendar,X2266,NDays&amp;"D")</f>
        <v>54730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54737</v>
      </c>
      <c r="Y2267" s="184">
        <f>_xll.qlCalendarAdvance(Calendar,X2267,NDays&amp;"D")</f>
        <v>54737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54744</v>
      </c>
      <c r="Y2268" s="184">
        <f>_xll.qlCalendarAdvance(Calendar,X2268,NDays&amp;"D")</f>
        <v>54744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54751</v>
      </c>
      <c r="Y2269" s="184">
        <f>_xll.qlCalendarAdvance(Calendar,X2269,NDays&amp;"D")</f>
        <v>54751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54758</v>
      </c>
      <c r="Y2270" s="184">
        <f>_xll.qlCalendarAdvance(Calendar,X2270,NDays&amp;"D")</f>
        <v>54758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54765</v>
      </c>
      <c r="Y2271" s="184">
        <f>_xll.qlCalendarAdvance(Calendar,X2271,NDays&amp;"D")</f>
        <v>54765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54772</v>
      </c>
      <c r="Y2272" s="184">
        <f>_xll.qlCalendarAdvance(Calendar,X2272,NDays&amp;"D")</f>
        <v>54772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54779</v>
      </c>
      <c r="Y2273" s="184">
        <f>_xll.qlCalendarAdvance(Calendar,X2273,NDays&amp;"D")</f>
        <v>54779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54786</v>
      </c>
      <c r="Y2274" s="184">
        <f>_xll.qlCalendarAdvance(Calendar,X2274,NDays&amp;"D")</f>
        <v>54786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54793</v>
      </c>
      <c r="Y2275" s="184">
        <f>_xll.qlCalendarAdvance(Calendar,X2275,NDays&amp;"D")</f>
        <v>54793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54800</v>
      </c>
      <c r="Y2276" s="184">
        <f>_xll.qlCalendarAdvance(Calendar,X2276,NDays&amp;"D")</f>
        <v>54800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54807</v>
      </c>
      <c r="Y2277" s="184">
        <f>_xll.qlCalendarAdvance(Calendar,X2277,NDays&amp;"D")</f>
        <v>54807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54815</v>
      </c>
      <c r="Y2278" s="184">
        <f>_xll.qlCalendarAdvance(Calendar,X2278,NDays&amp;"D")</f>
        <v>54815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54822</v>
      </c>
      <c r="Y2279" s="184">
        <f>_xll.qlCalendarAdvance(Calendar,X2279,NDays&amp;"D")</f>
        <v>54822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54829</v>
      </c>
      <c r="Y2280" s="184">
        <f>_xll.qlCalendarAdvance(Calendar,X2280,NDays&amp;"D")</f>
        <v>54829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54836</v>
      </c>
      <c r="Y2281" s="184">
        <f>_xll.qlCalendarAdvance(Calendar,X2281,NDays&amp;"D")</f>
        <v>54836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54843</v>
      </c>
      <c r="Y2282" s="184">
        <f>_xll.qlCalendarAdvance(Calendar,X2282,NDays&amp;"D")</f>
        <v>54843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54850</v>
      </c>
      <c r="Y2283" s="184">
        <f>_xll.qlCalendarAdvance(Calendar,X2283,NDays&amp;"D")</f>
        <v>54850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54857</v>
      </c>
      <c r="Y2284" s="184">
        <f>_xll.qlCalendarAdvance(Calendar,X2284,NDays&amp;"D")</f>
        <v>54857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54864</v>
      </c>
      <c r="Y2285" s="184">
        <f>_xll.qlCalendarAdvance(Calendar,X2285,NDays&amp;"D")</f>
        <v>54864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54871</v>
      </c>
      <c r="Y2286" s="184">
        <f>_xll.qlCalendarAdvance(Calendar,X2286,NDays&amp;"D")</f>
        <v>54871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54878</v>
      </c>
      <c r="Y2287" s="184">
        <f>_xll.qlCalendarAdvance(Calendar,X2287,NDays&amp;"D")</f>
        <v>54878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54885</v>
      </c>
      <c r="Y2288" s="184">
        <f>_xll.qlCalendarAdvance(Calendar,X2288,NDays&amp;"D")</f>
        <v>54885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54892</v>
      </c>
      <c r="Y2289" s="184">
        <f>_xll.qlCalendarAdvance(Calendar,X2289,NDays&amp;"D")</f>
        <v>54892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54899</v>
      </c>
      <c r="Y2290" s="184">
        <f>_xll.qlCalendarAdvance(Calendar,X2290,NDays&amp;"D")</f>
        <v>54899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54906</v>
      </c>
      <c r="Y2291" s="184">
        <f>_xll.qlCalendarAdvance(Calendar,X2291,NDays&amp;"D")</f>
        <v>54906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54913</v>
      </c>
      <c r="Y2292" s="184">
        <f>_xll.qlCalendarAdvance(Calendar,X2292,NDays&amp;"D")</f>
        <v>54913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54920</v>
      </c>
      <c r="Y2293" s="184">
        <f>_xll.qlCalendarAdvance(Calendar,X2293,NDays&amp;"D")</f>
        <v>54920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54927</v>
      </c>
      <c r="Y2294" s="184">
        <f>_xll.qlCalendarAdvance(Calendar,X2294,NDays&amp;"D")</f>
        <v>54927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54934</v>
      </c>
      <c r="Y2295" s="184">
        <f>_xll.qlCalendarAdvance(Calendar,X2295,NDays&amp;"D")</f>
        <v>54934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54941</v>
      </c>
      <c r="Y2296" s="184">
        <f>_xll.qlCalendarAdvance(Calendar,X2296,NDays&amp;"D")</f>
        <v>54941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54948</v>
      </c>
      <c r="Y2297" s="184">
        <f>_xll.qlCalendarAdvance(Calendar,X2297,NDays&amp;"D")</f>
        <v>54948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54955</v>
      </c>
      <c r="Y2298" s="184">
        <f>_xll.qlCalendarAdvance(Calendar,X2298,NDays&amp;"D")</f>
        <v>54955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54962</v>
      </c>
      <c r="Y2299" s="184">
        <f>_xll.qlCalendarAdvance(Calendar,X2299,NDays&amp;"D")</f>
        <v>54962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54969</v>
      </c>
      <c r="Y2300" s="184">
        <f>_xll.qlCalendarAdvance(Calendar,X2300,NDays&amp;"D")</f>
        <v>54969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54976</v>
      </c>
      <c r="Y2301" s="184">
        <f>_xll.qlCalendarAdvance(Calendar,X2301,NDays&amp;"D")</f>
        <v>54976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54983</v>
      </c>
      <c r="Y2302" s="184">
        <f>_xll.qlCalendarAdvance(Calendar,X2302,NDays&amp;"D")</f>
        <v>54983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54990</v>
      </c>
      <c r="Y2303" s="184">
        <f>_xll.qlCalendarAdvance(Calendar,X2303,NDays&amp;"D")</f>
        <v>54990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54997</v>
      </c>
      <c r="Y2304" s="184">
        <f>_xll.qlCalendarAdvance(Calendar,X2304,NDays&amp;"D")</f>
        <v>54997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55004</v>
      </c>
      <c r="Y2305" s="184">
        <f>_xll.qlCalendarAdvance(Calendar,X2305,NDays&amp;"D")</f>
        <v>55004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55011</v>
      </c>
      <c r="Y2306" s="184">
        <f>_xll.qlCalendarAdvance(Calendar,X2306,NDays&amp;"D")</f>
        <v>55011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55018</v>
      </c>
      <c r="Y2307" s="184">
        <f>_xll.qlCalendarAdvance(Calendar,X2307,NDays&amp;"D")</f>
        <v>55018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55025</v>
      </c>
      <c r="Y2308" s="184">
        <f>_xll.qlCalendarAdvance(Calendar,X2308,NDays&amp;"D")</f>
        <v>55025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55032</v>
      </c>
      <c r="Y2309" s="184">
        <f>_xll.qlCalendarAdvance(Calendar,X2309,NDays&amp;"D")</f>
        <v>55032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55039</v>
      </c>
      <c r="Y2310" s="184">
        <f>_xll.qlCalendarAdvance(Calendar,X2310,NDays&amp;"D")</f>
        <v>55039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55046</v>
      </c>
      <c r="Y2311" s="184">
        <f>_xll.qlCalendarAdvance(Calendar,X2311,NDays&amp;"D")</f>
        <v>55046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55053</v>
      </c>
      <c r="Y2312" s="184">
        <f>_xll.qlCalendarAdvance(Calendar,X2312,NDays&amp;"D")</f>
        <v>55053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55060</v>
      </c>
      <c r="Y2313" s="184">
        <f>_xll.qlCalendarAdvance(Calendar,X2313,NDays&amp;"D")</f>
        <v>55060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55067</v>
      </c>
      <c r="Y2314" s="184">
        <f>_xll.qlCalendarAdvance(Calendar,X2314,NDays&amp;"D")</f>
        <v>55067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55074</v>
      </c>
      <c r="Y2315" s="184">
        <f>_xll.qlCalendarAdvance(Calendar,X2315,NDays&amp;"D")</f>
        <v>55074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55081</v>
      </c>
      <c r="Y2316" s="184">
        <f>_xll.qlCalendarAdvance(Calendar,X2316,NDays&amp;"D")</f>
        <v>55081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55088</v>
      </c>
      <c r="Y2317" s="184">
        <f>_xll.qlCalendarAdvance(Calendar,X2317,NDays&amp;"D")</f>
        <v>55088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55095</v>
      </c>
      <c r="Y2318" s="184">
        <f>_xll.qlCalendarAdvance(Calendar,X2318,NDays&amp;"D")</f>
        <v>55095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55102</v>
      </c>
      <c r="Y2319" s="184">
        <f>_xll.qlCalendarAdvance(Calendar,X2319,NDays&amp;"D")</f>
        <v>55102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55109</v>
      </c>
      <c r="Y2320" s="184">
        <f>_xll.qlCalendarAdvance(Calendar,X2320,NDays&amp;"D")</f>
        <v>55109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55116</v>
      </c>
      <c r="Y2321" s="184">
        <f>_xll.qlCalendarAdvance(Calendar,X2321,NDays&amp;"D")</f>
        <v>55116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55123</v>
      </c>
      <c r="Y2322" s="184">
        <f>_xll.qlCalendarAdvance(Calendar,X2322,NDays&amp;"D")</f>
        <v>55123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55130</v>
      </c>
      <c r="Y2323" s="184">
        <f>_xll.qlCalendarAdvance(Calendar,X2323,NDays&amp;"D")</f>
        <v>55130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55137</v>
      </c>
      <c r="Y2324" s="184">
        <f>_xll.qlCalendarAdvance(Calendar,X2324,NDays&amp;"D")</f>
        <v>55137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55144</v>
      </c>
      <c r="Y2325" s="184">
        <f>_xll.qlCalendarAdvance(Calendar,X2325,NDays&amp;"D")</f>
        <v>55144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55151</v>
      </c>
      <c r="Y2326" s="184">
        <f>_xll.qlCalendarAdvance(Calendar,X2326,NDays&amp;"D")</f>
        <v>55151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55158</v>
      </c>
      <c r="Y2327" s="184">
        <f>_xll.qlCalendarAdvance(Calendar,X2327,NDays&amp;"D")</f>
        <v>55158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55165</v>
      </c>
      <c r="Y2328" s="184">
        <f>_xll.qlCalendarAdvance(Calendar,X2328,NDays&amp;"D")</f>
        <v>55165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55172</v>
      </c>
      <c r="Y2329" s="184">
        <f>_xll.qlCalendarAdvance(Calendar,X2329,NDays&amp;"D")</f>
        <v>55172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55180</v>
      </c>
      <c r="Y2330" s="184">
        <f>_xll.qlCalendarAdvance(Calendar,X2330,NDays&amp;"D")</f>
        <v>55180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55187</v>
      </c>
      <c r="Y2331" s="184">
        <f>_xll.qlCalendarAdvance(Calendar,X2331,NDays&amp;"D")</f>
        <v>55187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55194</v>
      </c>
      <c r="Y2332" s="184">
        <f>_xll.qlCalendarAdvance(Calendar,X2332,NDays&amp;"D")</f>
        <v>55194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55201</v>
      </c>
      <c r="Y2333" s="184">
        <f>_xll.qlCalendarAdvance(Calendar,X2333,NDays&amp;"D")</f>
        <v>55201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55208</v>
      </c>
      <c r="Y2334" s="184">
        <f>_xll.qlCalendarAdvance(Calendar,X2334,NDays&amp;"D")</f>
        <v>55208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55215</v>
      </c>
      <c r="Y2335" s="184">
        <f>_xll.qlCalendarAdvance(Calendar,X2335,NDays&amp;"D")</f>
        <v>55215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55222</v>
      </c>
      <c r="Y2336" s="184">
        <f>_xll.qlCalendarAdvance(Calendar,X2336,NDays&amp;"D")</f>
        <v>55222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55229</v>
      </c>
      <c r="Y2337" s="184">
        <f>_xll.qlCalendarAdvance(Calendar,X2337,NDays&amp;"D")</f>
        <v>55229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55236</v>
      </c>
      <c r="Y2338" s="184">
        <f>_xll.qlCalendarAdvance(Calendar,X2338,NDays&amp;"D")</f>
        <v>55236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55247</v>
      </c>
      <c r="Y2339" s="184">
        <f>_xll.qlCalendarAdvance(Calendar,X2339,NDays&amp;"D")</f>
        <v>55247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55254</v>
      </c>
      <c r="Y2340" s="184">
        <f>_xll.qlCalendarAdvance(Calendar,X2340,NDays&amp;"D")</f>
        <v>55254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55261</v>
      </c>
      <c r="Y2341" s="184">
        <f>_xll.qlCalendarAdvance(Calendar,X2341,NDays&amp;"D")</f>
        <v>55261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55269</v>
      </c>
      <c r="Y2342" s="184">
        <f>_xll.qlCalendarAdvance(Calendar,X2342,NDays&amp;"D")</f>
        <v>55269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55276</v>
      </c>
      <c r="Y2343" s="184">
        <f>_xll.qlCalendarAdvance(Calendar,X2343,NDays&amp;"D")</f>
        <v>55276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55283</v>
      </c>
      <c r="Y2344" s="184">
        <f>_xll.qlCalendarAdvance(Calendar,X2344,NDays&amp;"D")</f>
        <v>55283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55290</v>
      </c>
      <c r="Y2345" s="184">
        <f>_xll.qlCalendarAdvance(Calendar,X2345,NDays&amp;"D")</f>
        <v>55290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55297</v>
      </c>
      <c r="Y2346" s="184">
        <f>_xll.qlCalendarAdvance(Calendar,X2346,NDays&amp;"D")</f>
        <v>55297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55304</v>
      </c>
      <c r="Y2347" s="184">
        <f>_xll.qlCalendarAdvance(Calendar,X2347,NDays&amp;"D")</f>
        <v>55304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55311</v>
      </c>
      <c r="Y2348" s="184">
        <f>_xll.qlCalendarAdvance(Calendar,X2348,NDays&amp;"D")</f>
        <v>55311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55318</v>
      </c>
      <c r="Y2349" s="184">
        <f>_xll.qlCalendarAdvance(Calendar,X2349,NDays&amp;"D")</f>
        <v>55318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55325</v>
      </c>
      <c r="Y2350" s="184">
        <f>_xll.qlCalendarAdvance(Calendar,X2350,NDays&amp;"D")</f>
        <v>55325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55332</v>
      </c>
      <c r="Y2351" s="184">
        <f>_xll.qlCalendarAdvance(Calendar,X2351,NDays&amp;"D")</f>
        <v>55332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55339</v>
      </c>
      <c r="Y2352" s="184">
        <f>_xll.qlCalendarAdvance(Calendar,X2352,NDays&amp;"D")</f>
        <v>55339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55346</v>
      </c>
      <c r="Y2353" s="184">
        <f>_xll.qlCalendarAdvance(Calendar,X2353,NDays&amp;"D")</f>
        <v>55346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55353</v>
      </c>
      <c r="Y2354" s="184">
        <f>_xll.qlCalendarAdvance(Calendar,X2354,NDays&amp;"D")</f>
        <v>55353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55360</v>
      </c>
      <c r="Y2355" s="184">
        <f>_xll.qlCalendarAdvance(Calendar,X2355,NDays&amp;"D")</f>
        <v>55360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55367</v>
      </c>
      <c r="Y2356" s="184">
        <f>_xll.qlCalendarAdvance(Calendar,X2356,NDays&amp;"D")</f>
        <v>55367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55374</v>
      </c>
      <c r="Y2357" s="184">
        <f>_xll.qlCalendarAdvance(Calendar,X2357,NDays&amp;"D")</f>
        <v>55374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55381</v>
      </c>
      <c r="Y2358" s="184">
        <f>_xll.qlCalendarAdvance(Calendar,X2358,NDays&amp;"D")</f>
        <v>55381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55388</v>
      </c>
      <c r="Y2359" s="184">
        <f>_xll.qlCalendarAdvance(Calendar,X2359,NDays&amp;"D")</f>
        <v>55388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55395</v>
      </c>
      <c r="Y2360" s="184">
        <f>_xll.qlCalendarAdvance(Calendar,X2360,NDays&amp;"D")</f>
        <v>55395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55402</v>
      </c>
      <c r="Y2361" s="184">
        <f>_xll.qlCalendarAdvance(Calendar,X2361,NDays&amp;"D")</f>
        <v>55402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55409</v>
      </c>
      <c r="Y2362" s="184">
        <f>_xll.qlCalendarAdvance(Calendar,X2362,NDays&amp;"D")</f>
        <v>55409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55416</v>
      </c>
      <c r="Y2363" s="184">
        <f>_xll.qlCalendarAdvance(Calendar,X2363,NDays&amp;"D")</f>
        <v>55416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55423</v>
      </c>
      <c r="Y2364" s="184">
        <f>_xll.qlCalendarAdvance(Calendar,X2364,NDays&amp;"D")</f>
        <v>55423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55430</v>
      </c>
      <c r="Y2365" s="184">
        <f>_xll.qlCalendarAdvance(Calendar,X2365,NDays&amp;"D")</f>
        <v>55430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55437</v>
      </c>
      <c r="Y2366" s="184">
        <f>_xll.qlCalendarAdvance(Calendar,X2366,NDays&amp;"D")</f>
        <v>55437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55444</v>
      </c>
      <c r="Y2367" s="184">
        <f>_xll.qlCalendarAdvance(Calendar,X2367,NDays&amp;"D")</f>
        <v>55444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55451</v>
      </c>
      <c r="Y2368" s="184">
        <f>_xll.qlCalendarAdvance(Calendar,X2368,NDays&amp;"D")</f>
        <v>55451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55458</v>
      </c>
      <c r="Y2369" s="184">
        <f>_xll.qlCalendarAdvance(Calendar,X2369,NDays&amp;"D")</f>
        <v>55458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55465</v>
      </c>
      <c r="Y2370" s="184">
        <f>_xll.qlCalendarAdvance(Calendar,X2370,NDays&amp;"D")</f>
        <v>55465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55472</v>
      </c>
      <c r="Y2371" s="184">
        <f>_xll.qlCalendarAdvance(Calendar,X2371,NDays&amp;"D")</f>
        <v>55472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55479</v>
      </c>
      <c r="Y2372" s="184">
        <f>_xll.qlCalendarAdvance(Calendar,X2372,NDays&amp;"D")</f>
        <v>55479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55486</v>
      </c>
      <c r="Y2373" s="184">
        <f>_xll.qlCalendarAdvance(Calendar,X2373,NDays&amp;"D")</f>
        <v>55486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55493</v>
      </c>
      <c r="Y2374" s="184">
        <f>_xll.qlCalendarAdvance(Calendar,X2374,NDays&amp;"D")</f>
        <v>55493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55500</v>
      </c>
      <c r="Y2375" s="184">
        <f>_xll.qlCalendarAdvance(Calendar,X2375,NDays&amp;"D")</f>
        <v>55500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55507</v>
      </c>
      <c r="Y2376" s="184">
        <f>_xll.qlCalendarAdvance(Calendar,X2376,NDays&amp;"D")</f>
        <v>55507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55514</v>
      </c>
      <c r="Y2377" s="184">
        <f>_xll.qlCalendarAdvance(Calendar,X2377,NDays&amp;"D")</f>
        <v>55514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55521</v>
      </c>
      <c r="Y2378" s="184">
        <f>_xll.qlCalendarAdvance(Calendar,X2378,NDays&amp;"D")</f>
        <v>55521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55528</v>
      </c>
      <c r="Y2379" s="184">
        <f>_xll.qlCalendarAdvance(Calendar,X2379,NDays&amp;"D")</f>
        <v>55528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55535</v>
      </c>
      <c r="Y2380" s="184">
        <f>_xll.qlCalendarAdvance(Calendar,X2380,NDays&amp;"D")</f>
        <v>55535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55542</v>
      </c>
      <c r="Y2381" s="184">
        <f>_xll.qlCalendarAdvance(Calendar,X2381,NDays&amp;"D")</f>
        <v>55542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55549</v>
      </c>
      <c r="Y2382" s="184">
        <f>_xll.qlCalendarAdvance(Calendar,X2382,NDays&amp;"D")</f>
        <v>55549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55556</v>
      </c>
      <c r="Y2383" s="184">
        <f>_xll.qlCalendarAdvance(Calendar,X2383,NDays&amp;"D")</f>
        <v>55556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55563</v>
      </c>
      <c r="Y2384" s="184">
        <f>_xll.qlCalendarAdvance(Calendar,X2384,NDays&amp;"D")</f>
        <v>55563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55570</v>
      </c>
      <c r="Y2385" s="184">
        <f>_xll.qlCalendarAdvance(Calendar,X2385,NDays&amp;"D")</f>
        <v>55570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55577</v>
      </c>
      <c r="Y2386" s="184">
        <f>_xll.qlCalendarAdvance(Calendar,X2386,NDays&amp;"D")</f>
        <v>55577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55584</v>
      </c>
      <c r="Y2387" s="184">
        <f>_xll.qlCalendarAdvance(Calendar,X2387,NDays&amp;"D")</f>
        <v>55584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55591</v>
      </c>
      <c r="Y2388" s="184">
        <f>_xll.qlCalendarAdvance(Calendar,X2388,NDays&amp;"D")</f>
        <v>55591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55598</v>
      </c>
      <c r="Y2389" s="184">
        <f>_xll.qlCalendarAdvance(Calendar,X2389,NDays&amp;"D")</f>
        <v>55598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55605</v>
      </c>
      <c r="Y2390" s="184">
        <f>_xll.qlCalendarAdvance(Calendar,X2390,NDays&amp;"D")</f>
        <v>55605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55612</v>
      </c>
      <c r="Y2391" s="184">
        <f>_xll.qlCalendarAdvance(Calendar,X2391,NDays&amp;"D")</f>
        <v>55612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55619</v>
      </c>
      <c r="Y2392" s="184">
        <f>_xll.qlCalendarAdvance(Calendar,X2392,NDays&amp;"D")</f>
        <v>55619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55626</v>
      </c>
      <c r="Y2393" s="184">
        <f>_xll.qlCalendarAdvance(Calendar,X2393,NDays&amp;"D")</f>
        <v>55626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55633</v>
      </c>
      <c r="Y2394" s="184">
        <f>_xll.qlCalendarAdvance(Calendar,X2394,NDays&amp;"D")</f>
        <v>55633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55640</v>
      </c>
      <c r="Y2395" s="184">
        <f>_xll.qlCalendarAdvance(Calendar,X2395,NDays&amp;"D")</f>
        <v>55640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55647</v>
      </c>
      <c r="Y2396" s="184">
        <f>_xll.qlCalendarAdvance(Calendar,X2396,NDays&amp;"D")</f>
        <v>55647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55654</v>
      </c>
      <c r="Y2397" s="184">
        <f>_xll.qlCalendarAdvance(Calendar,X2397,NDays&amp;"D")</f>
        <v>55654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55661</v>
      </c>
      <c r="Y2398" s="184">
        <f>_xll.qlCalendarAdvance(Calendar,X2398,NDays&amp;"D")</f>
        <v>55661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55668</v>
      </c>
      <c r="Y2399" s="184">
        <f>_xll.qlCalendarAdvance(Calendar,X2399,NDays&amp;"D")</f>
        <v>55668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55675</v>
      </c>
      <c r="Y2400" s="184">
        <f>_xll.qlCalendarAdvance(Calendar,X2400,NDays&amp;"D")</f>
        <v>55675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55682</v>
      </c>
      <c r="Y2401" s="184">
        <f>_xll.qlCalendarAdvance(Calendar,X2401,NDays&amp;"D")</f>
        <v>55682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55689</v>
      </c>
      <c r="Y2402" s="184">
        <f>_xll.qlCalendarAdvance(Calendar,X2402,NDays&amp;"D")</f>
        <v>55689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55696</v>
      </c>
      <c r="Y2403" s="184">
        <f>_xll.qlCalendarAdvance(Calendar,X2403,NDays&amp;"D")</f>
        <v>55696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55703</v>
      </c>
      <c r="Y2404" s="184">
        <f>_xll.qlCalendarAdvance(Calendar,X2404,NDays&amp;"D")</f>
        <v>55703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55710</v>
      </c>
      <c r="Y2405" s="184">
        <f>_xll.qlCalendarAdvance(Calendar,X2405,NDays&amp;"D")</f>
        <v>55710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55717</v>
      </c>
      <c r="Y2406" s="184">
        <f>_xll.qlCalendarAdvance(Calendar,X2406,NDays&amp;"D")</f>
        <v>55717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55724</v>
      </c>
      <c r="Y2407" s="184">
        <f>_xll.qlCalendarAdvance(Calendar,X2407,NDays&amp;"D")</f>
        <v>55724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55731</v>
      </c>
      <c r="Y2408" s="184">
        <f>_xll.qlCalendarAdvance(Calendar,X2408,NDays&amp;"D")</f>
        <v>55731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55738</v>
      </c>
      <c r="Y2409" s="184">
        <f>_xll.qlCalendarAdvance(Calendar,X2409,NDays&amp;"D")</f>
        <v>55738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55745</v>
      </c>
      <c r="Y2410" s="184">
        <f>_xll.qlCalendarAdvance(Calendar,X2410,NDays&amp;"D")</f>
        <v>55745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55752</v>
      </c>
      <c r="Y2411" s="184">
        <f>_xll.qlCalendarAdvance(Calendar,X2411,NDays&amp;"D")</f>
        <v>55752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55759</v>
      </c>
      <c r="Y2412" s="184">
        <f>_xll.qlCalendarAdvance(Calendar,X2412,NDays&amp;"D")</f>
        <v>55759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55766</v>
      </c>
      <c r="Y2413" s="184">
        <f>_xll.qlCalendarAdvance(Calendar,X2413,NDays&amp;"D")</f>
        <v>55766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55773</v>
      </c>
      <c r="Y2414" s="184">
        <f>_xll.qlCalendarAdvance(Calendar,X2414,NDays&amp;"D")</f>
        <v>55773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55780</v>
      </c>
      <c r="Y2415" s="184">
        <f>_xll.qlCalendarAdvance(Calendar,X2415,NDays&amp;"D")</f>
        <v>55780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55787</v>
      </c>
      <c r="Y2416" s="184">
        <f>_xll.qlCalendarAdvance(Calendar,X2416,NDays&amp;"D")</f>
        <v>55787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55794</v>
      </c>
      <c r="Y2417" s="184">
        <f>_xll.qlCalendarAdvance(Calendar,X2417,NDays&amp;"D")</f>
        <v>55794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55801</v>
      </c>
      <c r="Y2418" s="184">
        <f>_xll.qlCalendarAdvance(Calendar,X2418,NDays&amp;"D")</f>
        <v>55801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55808</v>
      </c>
      <c r="Y2419" s="184">
        <f>_xll.qlCalendarAdvance(Calendar,X2419,NDays&amp;"D")</f>
        <v>55808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55815</v>
      </c>
      <c r="Y2420" s="184">
        <f>_xll.qlCalendarAdvance(Calendar,X2420,NDays&amp;"D")</f>
        <v>55815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55822</v>
      </c>
      <c r="Y2421" s="184">
        <f>_xll.qlCalendarAdvance(Calendar,X2421,NDays&amp;"D")</f>
        <v>55822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55829</v>
      </c>
      <c r="Y2422" s="184">
        <f>_xll.qlCalendarAdvance(Calendar,X2422,NDays&amp;"D")</f>
        <v>55829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55836</v>
      </c>
      <c r="Y2423" s="184">
        <f>_xll.qlCalendarAdvance(Calendar,X2423,NDays&amp;"D")</f>
        <v>55836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55843</v>
      </c>
      <c r="Y2424" s="184">
        <f>_xll.qlCalendarAdvance(Calendar,X2424,NDays&amp;"D")</f>
        <v>55843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55850</v>
      </c>
      <c r="Y2425" s="184">
        <f>_xll.qlCalendarAdvance(Calendar,X2425,NDays&amp;"D")</f>
        <v>55850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55857</v>
      </c>
      <c r="Y2426" s="184">
        <f>_xll.qlCalendarAdvance(Calendar,X2426,NDays&amp;"D")</f>
        <v>55857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55864</v>
      </c>
      <c r="Y2427" s="184">
        <f>_xll.qlCalendarAdvance(Calendar,X2427,NDays&amp;"D")</f>
        <v>55864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55871</v>
      </c>
      <c r="Y2428" s="184">
        <f>_xll.qlCalendarAdvance(Calendar,X2428,NDays&amp;"D")</f>
        <v>55871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55880</v>
      </c>
      <c r="Y2429" s="184">
        <f>_xll.qlCalendarAdvance(Calendar,X2429,NDays&amp;"D")</f>
        <v>55880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55887</v>
      </c>
      <c r="Y2430" s="184">
        <f>_xll.qlCalendarAdvance(Calendar,X2430,NDays&amp;"D")</f>
        <v>55887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55894</v>
      </c>
      <c r="Y2431" s="184">
        <f>_xll.qlCalendarAdvance(Calendar,X2431,NDays&amp;"D")</f>
        <v>55894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55901</v>
      </c>
      <c r="Y2432" s="184">
        <f>_xll.qlCalendarAdvance(Calendar,X2432,NDays&amp;"D")</f>
        <v>55901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55908</v>
      </c>
      <c r="Y2433" s="184">
        <f>_xll.qlCalendarAdvance(Calendar,X2433,NDays&amp;"D")</f>
        <v>55908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55915</v>
      </c>
      <c r="Y2434" s="184">
        <f>_xll.qlCalendarAdvance(Calendar,X2434,NDays&amp;"D")</f>
        <v>55915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55922</v>
      </c>
      <c r="Y2435" s="184">
        <f>_xll.qlCalendarAdvance(Calendar,X2435,NDays&amp;"D")</f>
        <v>55922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55929</v>
      </c>
      <c r="Y2436" s="184">
        <f>_xll.qlCalendarAdvance(Calendar,X2436,NDays&amp;"D")</f>
        <v>55929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55936</v>
      </c>
      <c r="Y2437" s="184">
        <f>_xll.qlCalendarAdvance(Calendar,X2437,NDays&amp;"D")</f>
        <v>55936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55943</v>
      </c>
      <c r="Y2438" s="184">
        <f>_xll.qlCalendarAdvance(Calendar,X2438,NDays&amp;"D")</f>
        <v>55943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55950</v>
      </c>
      <c r="Y2439" s="184">
        <f>_xll.qlCalendarAdvance(Calendar,X2439,NDays&amp;"D")</f>
        <v>55950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55957</v>
      </c>
      <c r="Y2440" s="184">
        <f>_xll.qlCalendarAdvance(Calendar,X2440,NDays&amp;"D")</f>
        <v>55957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55964</v>
      </c>
      <c r="Y2441" s="184">
        <f>_xll.qlCalendarAdvance(Calendar,X2441,NDays&amp;"D")</f>
        <v>55964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55971</v>
      </c>
      <c r="Y2442" s="184">
        <f>_xll.qlCalendarAdvance(Calendar,X2442,NDays&amp;"D")</f>
        <v>55971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55982</v>
      </c>
      <c r="Y2443" s="184">
        <f>_xll.qlCalendarAdvance(Calendar,X2443,NDays&amp;"D")</f>
        <v>55982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55989</v>
      </c>
      <c r="Y2444" s="184">
        <f>_xll.qlCalendarAdvance(Calendar,X2444,NDays&amp;"D")</f>
        <v>55989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55996</v>
      </c>
      <c r="Y2445" s="184">
        <f>_xll.qlCalendarAdvance(Calendar,X2445,NDays&amp;"D")</f>
        <v>55996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56003</v>
      </c>
      <c r="Y2446" s="184">
        <f>_xll.qlCalendarAdvance(Calendar,X2446,NDays&amp;"D")</f>
        <v>56003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56010</v>
      </c>
      <c r="Y2447" s="184">
        <f>_xll.qlCalendarAdvance(Calendar,X2447,NDays&amp;"D")</f>
        <v>56010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56017</v>
      </c>
      <c r="Y2448" s="184">
        <f>_xll.qlCalendarAdvance(Calendar,X2448,NDays&amp;"D")</f>
        <v>56017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56024</v>
      </c>
      <c r="Y2449" s="184">
        <f>_xll.qlCalendarAdvance(Calendar,X2449,NDays&amp;"D")</f>
        <v>56024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56031</v>
      </c>
      <c r="Y2450" s="184">
        <f>_xll.qlCalendarAdvance(Calendar,X2450,NDays&amp;"D")</f>
        <v>56031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56038</v>
      </c>
      <c r="Y2451" s="184">
        <f>_xll.qlCalendarAdvance(Calendar,X2451,NDays&amp;"D")</f>
        <v>56038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56045</v>
      </c>
      <c r="Y2452" s="184">
        <f>_xll.qlCalendarAdvance(Calendar,X2452,NDays&amp;"D")</f>
        <v>56045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56052</v>
      </c>
      <c r="Y2453" s="184">
        <f>_xll.qlCalendarAdvance(Calendar,X2453,NDays&amp;"D")</f>
        <v>56052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56059</v>
      </c>
      <c r="Y2454" s="184">
        <f>_xll.qlCalendarAdvance(Calendar,X2454,NDays&amp;"D")</f>
        <v>56059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56066</v>
      </c>
      <c r="Y2455" s="184">
        <f>_xll.qlCalendarAdvance(Calendar,X2455,NDays&amp;"D")</f>
        <v>56066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56073</v>
      </c>
      <c r="Y2456" s="184">
        <f>_xll.qlCalendarAdvance(Calendar,X2456,NDays&amp;"D")</f>
        <v>56073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56080</v>
      </c>
      <c r="Y2457" s="184">
        <f>_xll.qlCalendarAdvance(Calendar,X2457,NDays&amp;"D")</f>
        <v>56080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56087</v>
      </c>
      <c r="Y2458" s="184">
        <f>_xll.qlCalendarAdvance(Calendar,X2458,NDays&amp;"D")</f>
        <v>56087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56094</v>
      </c>
      <c r="Y2459" s="184">
        <f>_xll.qlCalendarAdvance(Calendar,X2459,NDays&amp;"D")</f>
        <v>56094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56101</v>
      </c>
      <c r="Y2460" s="184">
        <f>_xll.qlCalendarAdvance(Calendar,X2460,NDays&amp;"D")</f>
        <v>56101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56108</v>
      </c>
      <c r="Y2461" s="184">
        <f>_xll.qlCalendarAdvance(Calendar,X2461,NDays&amp;"D")</f>
        <v>56108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56115</v>
      </c>
      <c r="Y2462" s="184">
        <f>_xll.qlCalendarAdvance(Calendar,X2462,NDays&amp;"D")</f>
        <v>56115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56122</v>
      </c>
      <c r="Y2463" s="184">
        <f>_xll.qlCalendarAdvance(Calendar,X2463,NDays&amp;"D")</f>
        <v>56122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56129</v>
      </c>
      <c r="Y2464" s="184">
        <f>_xll.qlCalendarAdvance(Calendar,X2464,NDays&amp;"D")</f>
        <v>56129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56136</v>
      </c>
      <c r="Y2465" s="184">
        <f>_xll.qlCalendarAdvance(Calendar,X2465,NDays&amp;"D")</f>
        <v>56136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56143</v>
      </c>
      <c r="Y2466" s="184">
        <f>_xll.qlCalendarAdvance(Calendar,X2466,NDays&amp;"D")</f>
        <v>56143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56150</v>
      </c>
      <c r="Y2467" s="184">
        <f>_xll.qlCalendarAdvance(Calendar,X2467,NDays&amp;"D")</f>
        <v>56150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56157</v>
      </c>
      <c r="Y2468" s="184">
        <f>_xll.qlCalendarAdvance(Calendar,X2468,NDays&amp;"D")</f>
        <v>56157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56164</v>
      </c>
      <c r="Y2469" s="184">
        <f>_xll.qlCalendarAdvance(Calendar,X2469,NDays&amp;"D")</f>
        <v>56164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56171</v>
      </c>
      <c r="Y2470" s="184">
        <f>_xll.qlCalendarAdvance(Calendar,X2470,NDays&amp;"D")</f>
        <v>56171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56178</v>
      </c>
      <c r="Y2471" s="184">
        <f>_xll.qlCalendarAdvance(Calendar,X2471,NDays&amp;"D")</f>
        <v>56178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56185</v>
      </c>
      <c r="Y2472" s="184">
        <f>_xll.qlCalendarAdvance(Calendar,X2472,NDays&amp;"D")</f>
        <v>56185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56192</v>
      </c>
      <c r="Y2473" s="184">
        <f>_xll.qlCalendarAdvance(Calendar,X2473,NDays&amp;"D")</f>
        <v>56192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56199</v>
      </c>
      <c r="Y2474" s="184">
        <f>_xll.qlCalendarAdvance(Calendar,X2474,NDays&amp;"D")</f>
        <v>56199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56206</v>
      </c>
      <c r="Y2475" s="184">
        <f>_xll.qlCalendarAdvance(Calendar,X2475,NDays&amp;"D")</f>
        <v>56206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56213</v>
      </c>
      <c r="Y2476" s="184">
        <f>_xll.qlCalendarAdvance(Calendar,X2476,NDays&amp;"D")</f>
        <v>56213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56220</v>
      </c>
      <c r="Y2477" s="184">
        <f>_xll.qlCalendarAdvance(Calendar,X2477,NDays&amp;"D")</f>
        <v>56220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56227</v>
      </c>
      <c r="Y2478" s="184">
        <f>_xll.qlCalendarAdvance(Calendar,X2478,NDays&amp;"D")</f>
        <v>56227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56234</v>
      </c>
      <c r="Y2479" s="184">
        <f>_xll.qlCalendarAdvance(Calendar,X2479,NDays&amp;"D")</f>
        <v>56234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56241</v>
      </c>
      <c r="Y2480" s="184">
        <f>_xll.qlCalendarAdvance(Calendar,X2480,NDays&amp;"D")</f>
        <v>56241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56248</v>
      </c>
      <c r="Y2481" s="184">
        <f>_xll.qlCalendarAdvance(Calendar,X2481,NDays&amp;"D")</f>
        <v>56248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56255</v>
      </c>
      <c r="Y2482" s="184">
        <f>_xll.qlCalendarAdvance(Calendar,X2482,NDays&amp;"D")</f>
        <v>56255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56262</v>
      </c>
      <c r="Y2483" s="184">
        <f>_xll.qlCalendarAdvance(Calendar,X2483,NDays&amp;"D")</f>
        <v>56262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56269</v>
      </c>
      <c r="Y2484" s="184">
        <f>_xll.qlCalendarAdvance(Calendar,X2484,NDays&amp;"D")</f>
        <v>56269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56276</v>
      </c>
      <c r="Y2485" s="184">
        <f>_xll.qlCalendarAdvance(Calendar,X2485,NDays&amp;"D")</f>
        <v>56276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56283</v>
      </c>
      <c r="Y2486" s="184">
        <f>_xll.qlCalendarAdvance(Calendar,X2486,NDays&amp;"D")</f>
        <v>56283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56290</v>
      </c>
      <c r="Y2487" s="184">
        <f>_xll.qlCalendarAdvance(Calendar,X2487,NDays&amp;"D")</f>
        <v>56290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56297</v>
      </c>
      <c r="Y2488" s="184">
        <f>_xll.qlCalendarAdvance(Calendar,X2488,NDays&amp;"D")</f>
        <v>56297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56304</v>
      </c>
      <c r="Y2489" s="184">
        <f>_xll.qlCalendarAdvance(Calendar,X2489,NDays&amp;"D")</f>
        <v>56304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56311</v>
      </c>
      <c r="Y2490" s="184">
        <f>_xll.qlCalendarAdvance(Calendar,X2490,NDays&amp;"D")</f>
        <v>56311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56318</v>
      </c>
      <c r="Y2491" s="184">
        <f>_xll.qlCalendarAdvance(Calendar,X2491,NDays&amp;"D")</f>
        <v>56318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56325</v>
      </c>
      <c r="Y2492" s="184">
        <f>_xll.qlCalendarAdvance(Calendar,X2492,NDays&amp;"D")</f>
        <v>56325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56332</v>
      </c>
      <c r="Y2493" s="184">
        <f>_xll.qlCalendarAdvance(Calendar,X2493,NDays&amp;"D")</f>
        <v>56332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56339</v>
      </c>
      <c r="Y2494" s="184">
        <f>_xll.qlCalendarAdvance(Calendar,X2494,NDays&amp;"D")</f>
        <v>56339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56346</v>
      </c>
      <c r="Y2495" s="184">
        <f>_xll.qlCalendarAdvance(Calendar,X2495,NDays&amp;"D")</f>
        <v>56346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56353</v>
      </c>
      <c r="Y2496" s="184">
        <f>_xll.qlCalendarAdvance(Calendar,X2496,NDays&amp;"D")</f>
        <v>56353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56360</v>
      </c>
      <c r="Y2497" s="184">
        <f>_xll.qlCalendarAdvance(Calendar,X2497,NDays&amp;"D")</f>
        <v>56360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56367</v>
      </c>
      <c r="Y2498" s="184">
        <f>_xll.qlCalendarAdvance(Calendar,X2498,NDays&amp;"D")</f>
        <v>56367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56374</v>
      </c>
      <c r="Y2499" s="184">
        <f>_xll.qlCalendarAdvance(Calendar,X2499,NDays&amp;"D")</f>
        <v>56374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56381</v>
      </c>
      <c r="Y2500" s="184">
        <f>_xll.qlCalendarAdvance(Calendar,X2500,NDays&amp;"D")</f>
        <v>56381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56388</v>
      </c>
      <c r="Y2501" s="184">
        <f>_xll.qlCalendarAdvance(Calendar,X2501,NDays&amp;"D")</f>
        <v>56388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56395</v>
      </c>
      <c r="Y2502" s="184">
        <f>_xll.qlCalendarAdvance(Calendar,X2502,NDays&amp;"D")</f>
        <v>56395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56402</v>
      </c>
      <c r="Y2503" s="184">
        <f>_xll.qlCalendarAdvance(Calendar,X2503,NDays&amp;"D")</f>
        <v>56402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56409</v>
      </c>
      <c r="Y2504" s="184">
        <f>_xll.qlCalendarAdvance(Calendar,X2504,NDays&amp;"D")</f>
        <v>56409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56416</v>
      </c>
      <c r="Y2505" s="184">
        <f>_xll.qlCalendarAdvance(Calendar,X2505,NDays&amp;"D")</f>
        <v>56416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56423</v>
      </c>
      <c r="Y2506" s="184">
        <f>_xll.qlCalendarAdvance(Calendar,X2506,NDays&amp;"D")</f>
        <v>56423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56430</v>
      </c>
      <c r="Y2507" s="184">
        <f>_xll.qlCalendarAdvance(Calendar,X2507,NDays&amp;"D")</f>
        <v>56430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56437</v>
      </c>
      <c r="Y2508" s="184">
        <f>_xll.qlCalendarAdvance(Calendar,X2508,NDays&amp;"D")</f>
        <v>56437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56444</v>
      </c>
      <c r="Y2509" s="184">
        <f>_xll.qlCalendarAdvance(Calendar,X2509,NDays&amp;"D")</f>
        <v>56444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56451</v>
      </c>
      <c r="Y2510" s="184">
        <f>_xll.qlCalendarAdvance(Calendar,X2510,NDays&amp;"D")</f>
        <v>56451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56458</v>
      </c>
      <c r="Y2511" s="184">
        <f>_xll.qlCalendarAdvance(Calendar,X2511,NDays&amp;"D")</f>
        <v>56458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56465</v>
      </c>
      <c r="Y2512" s="184">
        <f>_xll.qlCalendarAdvance(Calendar,X2512,NDays&amp;"D")</f>
        <v>56465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56472</v>
      </c>
      <c r="Y2513" s="184">
        <f>_xll.qlCalendarAdvance(Calendar,X2513,NDays&amp;"D")</f>
        <v>56472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56479</v>
      </c>
      <c r="Y2514" s="184">
        <f>_xll.qlCalendarAdvance(Calendar,X2514,NDays&amp;"D")</f>
        <v>56479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56486</v>
      </c>
      <c r="Y2515" s="184">
        <f>_xll.qlCalendarAdvance(Calendar,X2515,NDays&amp;"D")</f>
        <v>56486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56493</v>
      </c>
      <c r="Y2516" s="184">
        <f>_xll.qlCalendarAdvance(Calendar,X2516,NDays&amp;"D")</f>
        <v>56493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56500</v>
      </c>
      <c r="Y2517" s="184">
        <f>_xll.qlCalendarAdvance(Calendar,X2517,NDays&amp;"D")</f>
        <v>56500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56507</v>
      </c>
      <c r="Y2518" s="184">
        <f>_xll.qlCalendarAdvance(Calendar,X2518,NDays&amp;"D")</f>
        <v>56507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56514</v>
      </c>
      <c r="Y2519" s="184">
        <f>_xll.qlCalendarAdvance(Calendar,X2519,NDays&amp;"D")</f>
        <v>56514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56521</v>
      </c>
      <c r="Y2520" s="184">
        <f>_xll.qlCalendarAdvance(Calendar,X2520,NDays&amp;"D")</f>
        <v>56521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56528</v>
      </c>
      <c r="Y2521" s="184">
        <f>_xll.qlCalendarAdvance(Calendar,X2521,NDays&amp;"D")</f>
        <v>56528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56535</v>
      </c>
      <c r="Y2522" s="184">
        <f>_xll.qlCalendarAdvance(Calendar,X2522,NDays&amp;"D")</f>
        <v>56535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56542</v>
      </c>
      <c r="Y2523" s="184">
        <f>_xll.qlCalendarAdvance(Calendar,X2523,NDays&amp;"D")</f>
        <v>56542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56549</v>
      </c>
      <c r="Y2524" s="184">
        <f>_xll.qlCalendarAdvance(Calendar,X2524,NDays&amp;"D")</f>
        <v>56549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56556</v>
      </c>
      <c r="Y2525" s="184">
        <f>_xll.qlCalendarAdvance(Calendar,X2525,NDays&amp;"D")</f>
        <v>56556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56563</v>
      </c>
      <c r="Y2526" s="184">
        <f>_xll.qlCalendarAdvance(Calendar,X2526,NDays&amp;"D")</f>
        <v>56563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56570</v>
      </c>
      <c r="Y2527" s="184">
        <f>_xll.qlCalendarAdvance(Calendar,X2527,NDays&amp;"D")</f>
        <v>56570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56577</v>
      </c>
      <c r="Y2528" s="184">
        <f>_xll.qlCalendarAdvance(Calendar,X2528,NDays&amp;"D")</f>
        <v>56577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56584</v>
      </c>
      <c r="Y2529" s="184">
        <f>_xll.qlCalendarAdvance(Calendar,X2529,NDays&amp;"D")</f>
        <v>56584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56591</v>
      </c>
      <c r="Y2530" s="184">
        <f>_xll.qlCalendarAdvance(Calendar,X2530,NDays&amp;"D")</f>
        <v>56591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56598</v>
      </c>
      <c r="Y2531" s="184">
        <f>_xll.qlCalendarAdvance(Calendar,X2531,NDays&amp;"D")</f>
        <v>56598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56605</v>
      </c>
      <c r="Y2532" s="184">
        <f>_xll.qlCalendarAdvance(Calendar,X2532,NDays&amp;"D")</f>
        <v>56605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56612</v>
      </c>
      <c r="Y2533" s="184">
        <f>_xll.qlCalendarAdvance(Calendar,X2533,NDays&amp;"D")</f>
        <v>56612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56619</v>
      </c>
      <c r="Y2534" s="184">
        <f>_xll.qlCalendarAdvance(Calendar,X2534,NDays&amp;"D")</f>
        <v>56619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56626</v>
      </c>
      <c r="Y2535" s="184">
        <f>_xll.qlCalendarAdvance(Calendar,X2535,NDays&amp;"D")</f>
        <v>56626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56633</v>
      </c>
      <c r="Y2536" s="184">
        <f>_xll.qlCalendarAdvance(Calendar,X2536,NDays&amp;"D")</f>
        <v>56633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56641</v>
      </c>
      <c r="Y2537" s="184">
        <f>_xll.qlCalendarAdvance(Calendar,X2537,NDays&amp;"D")</f>
        <v>56641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56648</v>
      </c>
      <c r="Y2538" s="184">
        <f>_xll.qlCalendarAdvance(Calendar,X2538,NDays&amp;"D")</f>
        <v>56648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56655</v>
      </c>
      <c r="Y2539" s="184">
        <f>_xll.qlCalendarAdvance(Calendar,X2539,NDays&amp;"D")</f>
        <v>56655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56662</v>
      </c>
      <c r="Y2540" s="184">
        <f>_xll.qlCalendarAdvance(Calendar,X2540,NDays&amp;"D")</f>
        <v>56662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56669</v>
      </c>
      <c r="Y2541" s="184">
        <f>_xll.qlCalendarAdvance(Calendar,X2541,NDays&amp;"D")</f>
        <v>56669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56676</v>
      </c>
      <c r="Y2542" s="184">
        <f>_xll.qlCalendarAdvance(Calendar,X2542,NDays&amp;"D")</f>
        <v>56676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56683</v>
      </c>
      <c r="Y2543" s="184">
        <f>_xll.qlCalendarAdvance(Calendar,X2543,NDays&amp;"D")</f>
        <v>56683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56690</v>
      </c>
      <c r="Y2544" s="184">
        <f>_xll.qlCalendarAdvance(Calendar,X2544,NDays&amp;"D")</f>
        <v>56690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56697</v>
      </c>
      <c r="Y2545" s="184">
        <f>_xll.qlCalendarAdvance(Calendar,X2545,NDays&amp;"D")</f>
        <v>56697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56704</v>
      </c>
      <c r="Y2546" s="184">
        <f>_xll.qlCalendarAdvance(Calendar,X2546,NDays&amp;"D")</f>
        <v>56704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56711</v>
      </c>
      <c r="Y2547" s="184">
        <f>_xll.qlCalendarAdvance(Calendar,X2547,NDays&amp;"D")</f>
        <v>56711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56718</v>
      </c>
      <c r="Y2548" s="184">
        <f>_xll.qlCalendarAdvance(Calendar,X2548,NDays&amp;"D")</f>
        <v>56718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56725</v>
      </c>
      <c r="Y2549" s="184">
        <f>_xll.qlCalendarAdvance(Calendar,X2549,NDays&amp;"D")</f>
        <v>56725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56732</v>
      </c>
      <c r="Y2550" s="184">
        <f>_xll.qlCalendarAdvance(Calendar,X2550,NDays&amp;"D")</f>
        <v>56732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56739</v>
      </c>
      <c r="Y2551" s="184">
        <f>_xll.qlCalendarAdvance(Calendar,X2551,NDays&amp;"D")</f>
        <v>56739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56746</v>
      </c>
      <c r="Y2552" s="184">
        <f>_xll.qlCalendarAdvance(Calendar,X2552,NDays&amp;"D")</f>
        <v>56746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56753</v>
      </c>
      <c r="Y2553" s="184">
        <f>_xll.qlCalendarAdvance(Calendar,X2553,NDays&amp;"D")</f>
        <v>56753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56760</v>
      </c>
      <c r="Y2554" s="184">
        <f>_xll.qlCalendarAdvance(Calendar,X2554,NDays&amp;"D")</f>
        <v>56760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56767</v>
      </c>
      <c r="Y2555" s="184">
        <f>_xll.qlCalendarAdvance(Calendar,X2555,NDays&amp;"D")</f>
        <v>56767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56774</v>
      </c>
      <c r="Y2556" s="184">
        <f>_xll.qlCalendarAdvance(Calendar,X2556,NDays&amp;"D")</f>
        <v>56774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56781</v>
      </c>
      <c r="Y2557" s="184">
        <f>_xll.qlCalendarAdvance(Calendar,X2557,NDays&amp;"D")</f>
        <v>56781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56788</v>
      </c>
      <c r="Y2558" s="184">
        <f>_xll.qlCalendarAdvance(Calendar,X2558,NDays&amp;"D")</f>
        <v>56788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56795</v>
      </c>
      <c r="Y2559" s="184">
        <f>_xll.qlCalendarAdvance(Calendar,X2559,NDays&amp;"D")</f>
        <v>56795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56802</v>
      </c>
      <c r="Y2560" s="184">
        <f>_xll.qlCalendarAdvance(Calendar,X2560,NDays&amp;"D")</f>
        <v>56802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56809</v>
      </c>
      <c r="Y2561" s="184">
        <f>_xll.qlCalendarAdvance(Calendar,X2561,NDays&amp;"D")</f>
        <v>56809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56816</v>
      </c>
      <c r="Y2562" s="184">
        <f>_xll.qlCalendarAdvance(Calendar,X2562,NDays&amp;"D")</f>
        <v>56816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56823</v>
      </c>
      <c r="Y2563" s="184">
        <f>_xll.qlCalendarAdvance(Calendar,X2563,NDays&amp;"D")</f>
        <v>56823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56830</v>
      </c>
      <c r="Y2564" s="184">
        <f>_xll.qlCalendarAdvance(Calendar,X2564,NDays&amp;"D")</f>
        <v>56830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56837</v>
      </c>
      <c r="Y2565" s="184">
        <f>_xll.qlCalendarAdvance(Calendar,X2565,NDays&amp;"D")</f>
        <v>56837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56844</v>
      </c>
      <c r="Y2566" s="184">
        <f>_xll.qlCalendarAdvance(Calendar,X2566,NDays&amp;"D")</f>
        <v>56844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56851</v>
      </c>
      <c r="Y2567" s="184">
        <f>_xll.qlCalendarAdvance(Calendar,X2567,NDays&amp;"D")</f>
        <v>56851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56858</v>
      </c>
      <c r="Y2568" s="184">
        <f>_xll.qlCalendarAdvance(Calendar,X2568,NDays&amp;"D")</f>
        <v>56858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56865</v>
      </c>
      <c r="Y2569" s="184">
        <f>_xll.qlCalendarAdvance(Calendar,X2569,NDays&amp;"D")</f>
        <v>56865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56872</v>
      </c>
      <c r="Y2570" s="184">
        <f>_xll.qlCalendarAdvance(Calendar,X2570,NDays&amp;"D")</f>
        <v>56872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56879</v>
      </c>
      <c r="Y2571" s="184">
        <f>_xll.qlCalendarAdvance(Calendar,X2571,NDays&amp;"D")</f>
        <v>56879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56886</v>
      </c>
      <c r="Y2572" s="184">
        <f>_xll.qlCalendarAdvance(Calendar,X2572,NDays&amp;"D")</f>
        <v>56886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56893</v>
      </c>
      <c r="Y2573" s="184">
        <f>_xll.qlCalendarAdvance(Calendar,X2573,NDays&amp;"D")</f>
        <v>56893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56900</v>
      </c>
      <c r="Y2574" s="184">
        <f>_xll.qlCalendarAdvance(Calendar,X2574,NDays&amp;"D")</f>
        <v>56900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56907</v>
      </c>
      <c r="Y2575" s="184">
        <f>_xll.qlCalendarAdvance(Calendar,X2575,NDays&amp;"D")</f>
        <v>56907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56914</v>
      </c>
      <c r="Y2576" s="184">
        <f>_xll.qlCalendarAdvance(Calendar,X2576,NDays&amp;"D")</f>
        <v>56914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56921</v>
      </c>
      <c r="Y2577" s="184">
        <f>_xll.qlCalendarAdvance(Calendar,X2577,NDays&amp;"D")</f>
        <v>56921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56928</v>
      </c>
      <c r="Y2578" s="184">
        <f>_xll.qlCalendarAdvance(Calendar,X2578,NDays&amp;"D")</f>
        <v>56928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56935</v>
      </c>
      <c r="Y2579" s="184">
        <f>_xll.qlCalendarAdvance(Calendar,X2579,NDays&amp;"D")</f>
        <v>56935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56942</v>
      </c>
      <c r="Y2580" s="184">
        <f>_xll.qlCalendarAdvance(Calendar,X2580,NDays&amp;"D")</f>
        <v>56942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56949</v>
      </c>
      <c r="Y2581" s="184">
        <f>_xll.qlCalendarAdvance(Calendar,X2581,NDays&amp;"D")</f>
        <v>56949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56956</v>
      </c>
      <c r="Y2582" s="184">
        <f>_xll.qlCalendarAdvance(Calendar,X2582,NDays&amp;"D")</f>
        <v>56956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56963</v>
      </c>
      <c r="Y2583" s="184">
        <f>_xll.qlCalendarAdvance(Calendar,X2583,NDays&amp;"D")</f>
        <v>56963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56970</v>
      </c>
      <c r="Y2584" s="184">
        <f>_xll.qlCalendarAdvance(Calendar,X2584,NDays&amp;"D")</f>
        <v>56970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56977</v>
      </c>
      <c r="Y2585" s="184">
        <f>_xll.qlCalendarAdvance(Calendar,X2585,NDays&amp;"D")</f>
        <v>56977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56984</v>
      </c>
      <c r="Y2586" s="184">
        <f>_xll.qlCalendarAdvance(Calendar,X2586,NDays&amp;"D")</f>
        <v>56984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56991</v>
      </c>
      <c r="Y2587" s="184">
        <f>_xll.qlCalendarAdvance(Calendar,X2587,NDays&amp;"D")</f>
        <v>56991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56998</v>
      </c>
      <c r="Y2588" s="184">
        <f>_xll.qlCalendarAdvance(Calendar,X2588,NDays&amp;"D")</f>
        <v>56998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57006</v>
      </c>
      <c r="Y2589" s="184">
        <f>_xll.qlCalendarAdvance(Calendar,X2589,NDays&amp;"D")</f>
        <v>57006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57013</v>
      </c>
      <c r="Y2590" s="184">
        <f>_xll.qlCalendarAdvance(Calendar,X2590,NDays&amp;"D")</f>
        <v>57013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57020</v>
      </c>
      <c r="Y2591" s="184">
        <f>_xll.qlCalendarAdvance(Calendar,X2591,NDays&amp;"D")</f>
        <v>57020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57027</v>
      </c>
      <c r="Y2592" s="184">
        <f>_xll.qlCalendarAdvance(Calendar,X2592,NDays&amp;"D")</f>
        <v>57027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57034</v>
      </c>
      <c r="Y2593" s="184">
        <f>_xll.qlCalendarAdvance(Calendar,X2593,NDays&amp;"D")</f>
        <v>57034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57041</v>
      </c>
      <c r="Y2594" s="184">
        <f>_xll.qlCalendarAdvance(Calendar,X2594,NDays&amp;"D")</f>
        <v>57041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57048</v>
      </c>
      <c r="Y2595" s="184">
        <f>_xll.qlCalendarAdvance(Calendar,X2595,NDays&amp;"D")</f>
        <v>57048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57055</v>
      </c>
      <c r="Y2596" s="184">
        <f>_xll.qlCalendarAdvance(Calendar,X2596,NDays&amp;"D")</f>
        <v>57055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57062</v>
      </c>
      <c r="Y2597" s="184">
        <f>_xll.qlCalendarAdvance(Calendar,X2597,NDays&amp;"D")</f>
        <v>57062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57069</v>
      </c>
      <c r="Y2598" s="184">
        <f>_xll.qlCalendarAdvance(Calendar,X2598,NDays&amp;"D")</f>
        <v>57069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57076</v>
      </c>
      <c r="Y2599" s="184">
        <f>_xll.qlCalendarAdvance(Calendar,X2599,NDays&amp;"D")</f>
        <v>57076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57083</v>
      </c>
      <c r="Y2600" s="184">
        <f>_xll.qlCalendarAdvance(Calendar,X2600,NDays&amp;"D")</f>
        <v>57083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57090</v>
      </c>
      <c r="Y2601" s="184">
        <f>_xll.qlCalendarAdvance(Calendar,X2601,NDays&amp;"D")</f>
        <v>57090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57097</v>
      </c>
      <c r="Y2602" s="184">
        <f>_xll.qlCalendarAdvance(Calendar,X2602,NDays&amp;"D")</f>
        <v>57097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57104</v>
      </c>
      <c r="Y2603" s="184">
        <f>_xll.qlCalendarAdvance(Calendar,X2603,NDays&amp;"D")</f>
        <v>57104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57111</v>
      </c>
      <c r="Y2604" s="184">
        <f>_xll.qlCalendarAdvance(Calendar,X2604,NDays&amp;"D")</f>
        <v>57111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57118</v>
      </c>
      <c r="Y2605" s="184">
        <f>_xll.qlCalendarAdvance(Calendar,X2605,NDays&amp;"D")</f>
        <v>57118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57125</v>
      </c>
      <c r="Y2606" s="184">
        <f>_xll.qlCalendarAdvance(Calendar,X2606,NDays&amp;"D")</f>
        <v>57125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57132</v>
      </c>
      <c r="Y2607" s="184">
        <f>_xll.qlCalendarAdvance(Calendar,X2607,NDays&amp;"D")</f>
        <v>57132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57139</v>
      </c>
      <c r="Y2608" s="184">
        <f>_xll.qlCalendarAdvance(Calendar,X2608,NDays&amp;"D")</f>
        <v>57139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57146</v>
      </c>
      <c r="Y2609" s="184">
        <f>_xll.qlCalendarAdvance(Calendar,X2609,NDays&amp;"D")</f>
        <v>57146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57153</v>
      </c>
      <c r="Y2610" s="184">
        <f>_xll.qlCalendarAdvance(Calendar,X2610,NDays&amp;"D")</f>
        <v>57153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57160</v>
      </c>
      <c r="Y2611" s="184">
        <f>_xll.qlCalendarAdvance(Calendar,X2611,NDays&amp;"D")</f>
        <v>57160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57167</v>
      </c>
      <c r="Y2612" s="184">
        <f>_xll.qlCalendarAdvance(Calendar,X2612,NDays&amp;"D")</f>
        <v>57167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57174</v>
      </c>
      <c r="Y2613" s="184">
        <f>_xll.qlCalendarAdvance(Calendar,X2613,NDays&amp;"D")</f>
        <v>57174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57181</v>
      </c>
      <c r="Y2614" s="184">
        <f>_xll.qlCalendarAdvance(Calendar,X2614,NDays&amp;"D")</f>
        <v>57181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57188</v>
      </c>
      <c r="Y2615" s="184">
        <f>_xll.qlCalendarAdvance(Calendar,X2615,NDays&amp;"D")</f>
        <v>57188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57195</v>
      </c>
      <c r="Y2616" s="184">
        <f>_xll.qlCalendarAdvance(Calendar,X2616,NDays&amp;"D")</f>
        <v>57195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57202</v>
      </c>
      <c r="Y2617" s="184">
        <f>_xll.qlCalendarAdvance(Calendar,X2617,NDays&amp;"D")</f>
        <v>57202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57209</v>
      </c>
      <c r="Y2618" s="184">
        <f>_xll.qlCalendarAdvance(Calendar,X2618,NDays&amp;"D")</f>
        <v>57209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57216</v>
      </c>
      <c r="Y2619" s="184">
        <f>_xll.qlCalendarAdvance(Calendar,X2619,NDays&amp;"D")</f>
        <v>57216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57223</v>
      </c>
      <c r="Y2620" s="184">
        <f>_xll.qlCalendarAdvance(Calendar,X2620,NDays&amp;"D")</f>
        <v>57223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57230</v>
      </c>
      <c r="Y2621" s="184">
        <f>_xll.qlCalendarAdvance(Calendar,X2621,NDays&amp;"D")</f>
        <v>57230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57237</v>
      </c>
      <c r="Y2622" s="184">
        <f>_xll.qlCalendarAdvance(Calendar,X2622,NDays&amp;"D")</f>
        <v>57237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57244</v>
      </c>
      <c r="Y2623" s="184">
        <f>_xll.qlCalendarAdvance(Calendar,X2623,NDays&amp;"D")</f>
        <v>57244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57251</v>
      </c>
      <c r="Y2624" s="184">
        <f>_xll.qlCalendarAdvance(Calendar,X2624,NDays&amp;"D")</f>
        <v>57251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57258</v>
      </c>
      <c r="Y2625" s="184">
        <f>_xll.qlCalendarAdvance(Calendar,X2625,NDays&amp;"D")</f>
        <v>57258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57265</v>
      </c>
      <c r="Y2626" s="184">
        <f>_xll.qlCalendarAdvance(Calendar,X2626,NDays&amp;"D")</f>
        <v>57265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57272</v>
      </c>
      <c r="Y2627" s="184">
        <f>_xll.qlCalendarAdvance(Calendar,X2627,NDays&amp;"D")</f>
        <v>57272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57279</v>
      </c>
      <c r="Y2628" s="184">
        <f>_xll.qlCalendarAdvance(Calendar,X2628,NDays&amp;"D")</f>
        <v>57279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57286</v>
      </c>
      <c r="Y2629" s="184">
        <f>_xll.qlCalendarAdvance(Calendar,X2629,NDays&amp;"D")</f>
        <v>57286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57293</v>
      </c>
      <c r="Y2630" s="184">
        <f>_xll.qlCalendarAdvance(Calendar,X2630,NDays&amp;"D")</f>
        <v>57293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57300</v>
      </c>
      <c r="Y2631" s="184">
        <f>_xll.qlCalendarAdvance(Calendar,X2631,NDays&amp;"D")</f>
        <v>57300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57307</v>
      </c>
      <c r="Y2632" s="184">
        <f>_xll.qlCalendarAdvance(Calendar,X2632,NDays&amp;"D")</f>
        <v>57307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57314</v>
      </c>
      <c r="Y2633" s="184">
        <f>_xll.qlCalendarAdvance(Calendar,X2633,NDays&amp;"D")</f>
        <v>57314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57321</v>
      </c>
      <c r="Y2634" s="184">
        <f>_xll.qlCalendarAdvance(Calendar,X2634,NDays&amp;"D")</f>
        <v>57321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57328</v>
      </c>
      <c r="Y2635" s="184">
        <f>_xll.qlCalendarAdvance(Calendar,X2635,NDays&amp;"D")</f>
        <v>57328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57335</v>
      </c>
      <c r="Y2636" s="184">
        <f>_xll.qlCalendarAdvance(Calendar,X2636,NDays&amp;"D")</f>
        <v>57335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57342</v>
      </c>
      <c r="Y2637" s="184">
        <f>_xll.qlCalendarAdvance(Calendar,X2637,NDays&amp;"D")</f>
        <v>57342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57349</v>
      </c>
      <c r="Y2638" s="184">
        <f>_xll.qlCalendarAdvance(Calendar,X2638,NDays&amp;"D")</f>
        <v>57349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57356</v>
      </c>
      <c r="Y2639" s="184">
        <f>_xll.qlCalendarAdvance(Calendar,X2639,NDays&amp;"D")</f>
        <v>57356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57363</v>
      </c>
      <c r="Y2640" s="184">
        <f>_xll.qlCalendarAdvance(Calendar,X2640,NDays&amp;"D")</f>
        <v>57363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57370</v>
      </c>
      <c r="Y2641" s="184">
        <f>_xll.qlCalendarAdvance(Calendar,X2641,NDays&amp;"D")</f>
        <v>57370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57377</v>
      </c>
      <c r="Y2642" s="184">
        <f>_xll.qlCalendarAdvance(Calendar,X2642,NDays&amp;"D")</f>
        <v>57377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57384</v>
      </c>
      <c r="Y2643" s="184">
        <f>_xll.qlCalendarAdvance(Calendar,X2643,NDays&amp;"D")</f>
        <v>57384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57391</v>
      </c>
      <c r="Y2644" s="184">
        <f>_xll.qlCalendarAdvance(Calendar,X2644,NDays&amp;"D")</f>
        <v>57391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57398</v>
      </c>
      <c r="Y2645" s="184">
        <f>_xll.qlCalendarAdvance(Calendar,X2645,NDays&amp;"D")</f>
        <v>57398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57405</v>
      </c>
      <c r="Y2646" s="184">
        <f>_xll.qlCalendarAdvance(Calendar,X2646,NDays&amp;"D")</f>
        <v>57405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57412</v>
      </c>
      <c r="Y2647" s="184">
        <f>_xll.qlCalendarAdvance(Calendar,X2647,NDays&amp;"D")</f>
        <v>57412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57419</v>
      </c>
      <c r="Y2648" s="184">
        <f>_xll.qlCalendarAdvance(Calendar,X2648,NDays&amp;"D")</f>
        <v>57419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57426</v>
      </c>
      <c r="Y2649" s="184">
        <f>_xll.qlCalendarAdvance(Calendar,X2649,NDays&amp;"D")</f>
        <v>57426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57433</v>
      </c>
      <c r="Y2650" s="184">
        <f>_xll.qlCalendarAdvance(Calendar,X2650,NDays&amp;"D")</f>
        <v>57433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57440</v>
      </c>
      <c r="Y2651" s="184">
        <f>_xll.qlCalendarAdvance(Calendar,X2651,NDays&amp;"D")</f>
        <v>57440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57447</v>
      </c>
      <c r="Y2652" s="184">
        <f>_xll.qlCalendarAdvance(Calendar,X2652,NDays&amp;"D")</f>
        <v>57447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57454</v>
      </c>
      <c r="Y2653" s="184">
        <f>_xll.qlCalendarAdvance(Calendar,X2653,NDays&amp;"D")</f>
        <v>57454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57461</v>
      </c>
      <c r="Y2654" s="184">
        <f>_xll.qlCalendarAdvance(Calendar,X2654,NDays&amp;"D")</f>
        <v>57461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57468</v>
      </c>
      <c r="Y2655" s="184">
        <f>_xll.qlCalendarAdvance(Calendar,X2655,NDays&amp;"D")</f>
        <v>57468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57475</v>
      </c>
      <c r="Y2656" s="184">
        <f>_xll.qlCalendarAdvance(Calendar,X2656,NDays&amp;"D")</f>
        <v>57475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57482</v>
      </c>
      <c r="Y2657" s="184">
        <f>_xll.qlCalendarAdvance(Calendar,X2657,NDays&amp;"D")</f>
        <v>57482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57489</v>
      </c>
      <c r="Y2658" s="184">
        <f>_xll.qlCalendarAdvance(Calendar,X2658,NDays&amp;"D")</f>
        <v>57489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57496</v>
      </c>
      <c r="Y2659" s="184">
        <f>_xll.qlCalendarAdvance(Calendar,X2659,NDays&amp;"D")</f>
        <v>57496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57503</v>
      </c>
      <c r="Y2660" s="184">
        <f>_xll.qlCalendarAdvance(Calendar,X2660,NDays&amp;"D")</f>
        <v>57503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57510</v>
      </c>
      <c r="Y2661" s="184">
        <f>_xll.qlCalendarAdvance(Calendar,X2661,NDays&amp;"D")</f>
        <v>57510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57517</v>
      </c>
      <c r="Y2662" s="184">
        <f>_xll.qlCalendarAdvance(Calendar,X2662,NDays&amp;"D")</f>
        <v>57517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57524</v>
      </c>
      <c r="Y2663" s="184">
        <f>_xll.qlCalendarAdvance(Calendar,X2663,NDays&amp;"D")</f>
        <v>57524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57531</v>
      </c>
      <c r="Y2664" s="184">
        <f>_xll.qlCalendarAdvance(Calendar,X2664,NDays&amp;"D")</f>
        <v>57531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57538</v>
      </c>
      <c r="Y2665" s="184">
        <f>_xll.qlCalendarAdvance(Calendar,X2665,NDays&amp;"D")</f>
        <v>57538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57545</v>
      </c>
      <c r="Y2666" s="184">
        <f>_xll.qlCalendarAdvance(Calendar,X2666,NDays&amp;"D")</f>
        <v>57545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57552</v>
      </c>
      <c r="Y2667" s="184">
        <f>_xll.qlCalendarAdvance(Calendar,X2667,NDays&amp;"D")</f>
        <v>57552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57559</v>
      </c>
      <c r="Y2668" s="184">
        <f>_xll.qlCalendarAdvance(Calendar,X2668,NDays&amp;"D")</f>
        <v>57559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57566</v>
      </c>
      <c r="Y2669" s="184">
        <f>_xll.qlCalendarAdvance(Calendar,X2669,NDays&amp;"D")</f>
        <v>57566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57573</v>
      </c>
      <c r="Y2670" s="184">
        <f>_xll.qlCalendarAdvance(Calendar,X2670,NDays&amp;"D")</f>
        <v>57573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57580</v>
      </c>
      <c r="Y2671" s="184">
        <f>_xll.qlCalendarAdvance(Calendar,X2671,NDays&amp;"D")</f>
        <v>57580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57587</v>
      </c>
      <c r="Y2672" s="184">
        <f>_xll.qlCalendarAdvance(Calendar,X2672,NDays&amp;"D")</f>
        <v>57587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57594</v>
      </c>
      <c r="Y2673" s="184">
        <f>_xll.qlCalendarAdvance(Calendar,X2673,NDays&amp;"D")</f>
        <v>57594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57601</v>
      </c>
      <c r="Y2674" s="184">
        <f>_xll.qlCalendarAdvance(Calendar,X2674,NDays&amp;"D")</f>
        <v>57601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57608</v>
      </c>
      <c r="Y2675" s="184">
        <f>_xll.qlCalendarAdvance(Calendar,X2675,NDays&amp;"D")</f>
        <v>57608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57615</v>
      </c>
      <c r="Y2676" s="184">
        <f>_xll.qlCalendarAdvance(Calendar,X2676,NDays&amp;"D")</f>
        <v>57615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57622</v>
      </c>
      <c r="Y2677" s="184">
        <f>_xll.qlCalendarAdvance(Calendar,X2677,NDays&amp;"D")</f>
        <v>57622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57629</v>
      </c>
      <c r="Y2678" s="184">
        <f>_xll.qlCalendarAdvance(Calendar,X2678,NDays&amp;"D")</f>
        <v>57629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57636</v>
      </c>
      <c r="Y2679" s="184">
        <f>_xll.qlCalendarAdvance(Calendar,X2679,NDays&amp;"D")</f>
        <v>57636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57643</v>
      </c>
      <c r="Y2680" s="184">
        <f>_xll.qlCalendarAdvance(Calendar,X2680,NDays&amp;"D")</f>
        <v>57643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57650</v>
      </c>
      <c r="Y2681" s="184">
        <f>_xll.qlCalendarAdvance(Calendar,X2681,NDays&amp;"D")</f>
        <v>57650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57657</v>
      </c>
      <c r="Y2682" s="184">
        <f>_xll.qlCalendarAdvance(Calendar,X2682,NDays&amp;"D")</f>
        <v>57657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57664</v>
      </c>
      <c r="Y2683" s="184">
        <f>_xll.qlCalendarAdvance(Calendar,X2683,NDays&amp;"D")</f>
        <v>57664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57671</v>
      </c>
      <c r="Y2684" s="184">
        <f>_xll.qlCalendarAdvance(Calendar,X2684,NDays&amp;"D")</f>
        <v>57671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57678</v>
      </c>
      <c r="Y2685" s="184">
        <f>_xll.qlCalendarAdvance(Calendar,X2685,NDays&amp;"D")</f>
        <v>57678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57685</v>
      </c>
      <c r="Y2686" s="184">
        <f>_xll.qlCalendarAdvance(Calendar,X2686,NDays&amp;"D")</f>
        <v>57685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57692</v>
      </c>
      <c r="Y2687" s="184">
        <f>_xll.qlCalendarAdvance(Calendar,X2687,NDays&amp;"D")</f>
        <v>57692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57699</v>
      </c>
      <c r="Y2688" s="184">
        <f>_xll.qlCalendarAdvance(Calendar,X2688,NDays&amp;"D")</f>
        <v>57699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57706</v>
      </c>
      <c r="Y2689" s="184">
        <f>_xll.qlCalendarAdvance(Calendar,X2689,NDays&amp;"D")</f>
        <v>57706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57713</v>
      </c>
      <c r="Y2690" s="184">
        <f>_xll.qlCalendarAdvance(Calendar,X2690,NDays&amp;"D")</f>
        <v>57713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57720</v>
      </c>
      <c r="Y2691" s="184">
        <f>_xll.qlCalendarAdvance(Calendar,X2691,NDays&amp;"D")</f>
        <v>57720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57727</v>
      </c>
      <c r="Y2692" s="184">
        <f>_xll.qlCalendarAdvance(Calendar,X2692,NDays&amp;"D")</f>
        <v>57727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57734</v>
      </c>
      <c r="Y2693" s="184">
        <f>_xll.qlCalendarAdvance(Calendar,X2693,NDays&amp;"D")</f>
        <v>57734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57741</v>
      </c>
      <c r="Y2694" s="184">
        <f>_xll.qlCalendarAdvance(Calendar,X2694,NDays&amp;"D")</f>
        <v>57741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57748</v>
      </c>
      <c r="Y2695" s="184">
        <f>_xll.qlCalendarAdvance(Calendar,X2695,NDays&amp;"D")</f>
        <v>57748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57755</v>
      </c>
      <c r="Y2696" s="184">
        <f>_xll.qlCalendarAdvance(Calendar,X2696,NDays&amp;"D")</f>
        <v>57755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57762</v>
      </c>
      <c r="Y2697" s="184">
        <f>_xll.qlCalendarAdvance(Calendar,X2697,NDays&amp;"D")</f>
        <v>57762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57769</v>
      </c>
      <c r="Y2698" s="184">
        <f>_xll.qlCalendarAdvance(Calendar,X2698,NDays&amp;"D")</f>
        <v>57769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57776</v>
      </c>
      <c r="Y2699" s="184">
        <f>_xll.qlCalendarAdvance(Calendar,X2699,NDays&amp;"D")</f>
        <v>57776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57783</v>
      </c>
      <c r="Y2700" s="184">
        <f>_xll.qlCalendarAdvance(Calendar,X2700,NDays&amp;"D")</f>
        <v>57783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57790</v>
      </c>
      <c r="Y2701" s="184">
        <f>_xll.qlCalendarAdvance(Calendar,X2701,NDays&amp;"D")</f>
        <v>57790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57797</v>
      </c>
      <c r="Y2702" s="184">
        <f>_xll.qlCalendarAdvance(Calendar,X2702,NDays&amp;"D")</f>
        <v>57797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57804</v>
      </c>
      <c r="Y2703" s="184">
        <f>_xll.qlCalendarAdvance(Calendar,X2703,NDays&amp;"D")</f>
        <v>57804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57811</v>
      </c>
      <c r="Y2704" s="184">
        <f>_xll.qlCalendarAdvance(Calendar,X2704,NDays&amp;"D")</f>
        <v>57811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57818</v>
      </c>
      <c r="Y2705" s="184">
        <f>_xll.qlCalendarAdvance(Calendar,X2705,NDays&amp;"D")</f>
        <v>57818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57826</v>
      </c>
      <c r="Y2706" s="184">
        <f>_xll.qlCalendarAdvance(Calendar,X2706,NDays&amp;"D")</f>
        <v>57826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57833</v>
      </c>
      <c r="Y2707" s="184">
        <f>_xll.qlCalendarAdvance(Calendar,X2707,NDays&amp;"D")</f>
        <v>57833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57840</v>
      </c>
      <c r="Y2708" s="184">
        <f>_xll.qlCalendarAdvance(Calendar,X2708,NDays&amp;"D")</f>
        <v>57840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57847</v>
      </c>
      <c r="Y2709" s="184">
        <f>_xll.qlCalendarAdvance(Calendar,X2709,NDays&amp;"D")</f>
        <v>57847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57854</v>
      </c>
      <c r="Y2710" s="184">
        <f>_xll.qlCalendarAdvance(Calendar,X2710,NDays&amp;"D")</f>
        <v>57854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57861</v>
      </c>
      <c r="Y2711" s="184">
        <f>_xll.qlCalendarAdvance(Calendar,X2711,NDays&amp;"D")</f>
        <v>57861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57868</v>
      </c>
      <c r="Y2712" s="184">
        <f>_xll.qlCalendarAdvance(Calendar,X2712,NDays&amp;"D")</f>
        <v>57868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57875</v>
      </c>
      <c r="Y2713" s="184">
        <f>_xll.qlCalendarAdvance(Calendar,X2713,NDays&amp;"D")</f>
        <v>57875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57882</v>
      </c>
      <c r="Y2714" s="184">
        <f>_xll.qlCalendarAdvance(Calendar,X2714,NDays&amp;"D")</f>
        <v>57882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57889</v>
      </c>
      <c r="Y2715" s="184">
        <f>_xll.qlCalendarAdvance(Calendar,X2715,NDays&amp;"D")</f>
        <v>57889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57896</v>
      </c>
      <c r="Y2716" s="184">
        <f>_xll.qlCalendarAdvance(Calendar,X2716,NDays&amp;"D")</f>
        <v>57896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57903</v>
      </c>
      <c r="Y2717" s="184">
        <f>_xll.qlCalendarAdvance(Calendar,X2717,NDays&amp;"D")</f>
        <v>57903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57910</v>
      </c>
      <c r="Y2718" s="184">
        <f>_xll.qlCalendarAdvance(Calendar,X2718,NDays&amp;"D")</f>
        <v>57910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57917</v>
      </c>
      <c r="Y2719" s="184">
        <f>_xll.qlCalendarAdvance(Calendar,X2719,NDays&amp;"D")</f>
        <v>57917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57924</v>
      </c>
      <c r="Y2720" s="184">
        <f>_xll.qlCalendarAdvance(Calendar,X2720,NDays&amp;"D")</f>
        <v>57924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57931</v>
      </c>
      <c r="Y2721" s="184">
        <f>_xll.qlCalendarAdvance(Calendar,X2721,NDays&amp;"D")</f>
        <v>57931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57938</v>
      </c>
      <c r="Y2722" s="184">
        <f>_xll.qlCalendarAdvance(Calendar,X2722,NDays&amp;"D")</f>
        <v>57938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57945</v>
      </c>
      <c r="Y2723" s="184">
        <f>_xll.qlCalendarAdvance(Calendar,X2723,NDays&amp;"D")</f>
        <v>57945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57952</v>
      </c>
      <c r="Y2724" s="184">
        <f>_xll.qlCalendarAdvance(Calendar,X2724,NDays&amp;"D")</f>
        <v>57952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57959</v>
      </c>
      <c r="Y2725" s="184">
        <f>_xll.qlCalendarAdvance(Calendar,X2725,NDays&amp;"D")</f>
        <v>57959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57966</v>
      </c>
      <c r="Y2726" s="184">
        <f>_xll.qlCalendarAdvance(Calendar,X2726,NDays&amp;"D")</f>
        <v>57966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57973</v>
      </c>
      <c r="Y2727" s="184">
        <f>_xll.qlCalendarAdvance(Calendar,X2727,NDays&amp;"D")</f>
        <v>57973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57980</v>
      </c>
      <c r="Y2728" s="184">
        <f>_xll.qlCalendarAdvance(Calendar,X2728,NDays&amp;"D")</f>
        <v>57980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57987</v>
      </c>
      <c r="Y2729" s="184">
        <f>_xll.qlCalendarAdvance(Calendar,X2729,NDays&amp;"D")</f>
        <v>57987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57994</v>
      </c>
      <c r="Y2730" s="184">
        <f>_xll.qlCalendarAdvance(Calendar,X2730,NDays&amp;"D")</f>
        <v>57994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58001</v>
      </c>
      <c r="Y2731" s="184">
        <f>_xll.qlCalendarAdvance(Calendar,X2731,NDays&amp;"D")</f>
        <v>58001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58008</v>
      </c>
      <c r="Y2732" s="184">
        <f>_xll.qlCalendarAdvance(Calendar,X2732,NDays&amp;"D")</f>
        <v>58008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58015</v>
      </c>
      <c r="Y2733" s="184">
        <f>_xll.qlCalendarAdvance(Calendar,X2733,NDays&amp;"D")</f>
        <v>58015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58022</v>
      </c>
      <c r="Y2734" s="184">
        <f>_xll.qlCalendarAdvance(Calendar,X2734,NDays&amp;"D")</f>
        <v>58022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58029</v>
      </c>
      <c r="Y2735" s="184">
        <f>_xll.qlCalendarAdvance(Calendar,X2735,NDays&amp;"D")</f>
        <v>58029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58036</v>
      </c>
      <c r="Y2736" s="184">
        <f>_xll.qlCalendarAdvance(Calendar,X2736,NDays&amp;"D")</f>
        <v>58036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58043</v>
      </c>
      <c r="Y2737" s="184">
        <f>_xll.qlCalendarAdvance(Calendar,X2737,NDays&amp;"D")</f>
        <v>58043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58050</v>
      </c>
      <c r="Y2738" s="184">
        <f>_xll.qlCalendarAdvance(Calendar,X2738,NDays&amp;"D")</f>
        <v>58050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58057</v>
      </c>
      <c r="Y2739" s="184">
        <f>_xll.qlCalendarAdvance(Calendar,X2739,NDays&amp;"D")</f>
        <v>58057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58064</v>
      </c>
      <c r="Y2740" s="184">
        <f>_xll.qlCalendarAdvance(Calendar,X2740,NDays&amp;"D")</f>
        <v>58064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58071</v>
      </c>
      <c r="Y2741" s="184">
        <f>_xll.qlCalendarAdvance(Calendar,X2741,NDays&amp;"D")</f>
        <v>58071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58078</v>
      </c>
      <c r="Y2742" s="184">
        <f>_xll.qlCalendarAdvance(Calendar,X2742,NDays&amp;"D")</f>
        <v>58078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58085</v>
      </c>
      <c r="Y2743" s="184">
        <f>_xll.qlCalendarAdvance(Calendar,X2743,NDays&amp;"D")</f>
        <v>58085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58092</v>
      </c>
      <c r="Y2744" s="184">
        <f>_xll.qlCalendarAdvance(Calendar,X2744,NDays&amp;"D")</f>
        <v>58092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58099</v>
      </c>
      <c r="Y2745" s="184">
        <f>_xll.qlCalendarAdvance(Calendar,X2745,NDays&amp;"D")</f>
        <v>58099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58106</v>
      </c>
      <c r="Y2746" s="184">
        <f>_xll.qlCalendarAdvance(Calendar,X2746,NDays&amp;"D")</f>
        <v>58106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58113</v>
      </c>
      <c r="Y2747" s="184">
        <f>_xll.qlCalendarAdvance(Calendar,X2747,NDays&amp;"D")</f>
        <v>58113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58120</v>
      </c>
      <c r="Y2748" s="184">
        <f>_xll.qlCalendarAdvance(Calendar,X2748,NDays&amp;"D")</f>
        <v>58120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58127</v>
      </c>
      <c r="Y2749" s="184">
        <f>_xll.qlCalendarAdvance(Calendar,X2749,NDays&amp;"D")</f>
        <v>58127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58134</v>
      </c>
      <c r="Y2750" s="184">
        <f>_xll.qlCalendarAdvance(Calendar,X2750,NDays&amp;"D")</f>
        <v>58134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58141</v>
      </c>
      <c r="Y2751" s="184">
        <f>_xll.qlCalendarAdvance(Calendar,X2751,NDays&amp;"D")</f>
        <v>58141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58148</v>
      </c>
      <c r="Y2752" s="184">
        <f>_xll.qlCalendarAdvance(Calendar,X2752,NDays&amp;"D")</f>
        <v>58148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58155</v>
      </c>
      <c r="Y2753" s="184">
        <f>_xll.qlCalendarAdvance(Calendar,X2753,NDays&amp;"D")</f>
        <v>58155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58166</v>
      </c>
      <c r="Y2754" s="184">
        <f>_xll.qlCalendarAdvance(Calendar,X2754,NDays&amp;"D")</f>
        <v>58166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58173</v>
      </c>
      <c r="Y2755" s="184">
        <f>_xll.qlCalendarAdvance(Calendar,X2755,NDays&amp;"D")</f>
        <v>58173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58180</v>
      </c>
      <c r="Y2756" s="184">
        <f>_xll.qlCalendarAdvance(Calendar,X2756,NDays&amp;"D")</f>
        <v>58180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58187</v>
      </c>
      <c r="Y2757" s="184">
        <f>_xll.qlCalendarAdvance(Calendar,X2757,NDays&amp;"D")</f>
        <v>58187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58194</v>
      </c>
      <c r="Y2758" s="184">
        <f>_xll.qlCalendarAdvance(Calendar,X2758,NDays&amp;"D")</f>
        <v>58194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58201</v>
      </c>
      <c r="Y2759" s="184">
        <f>_xll.qlCalendarAdvance(Calendar,X2759,NDays&amp;"D")</f>
        <v>58201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58208</v>
      </c>
      <c r="Y2760" s="184">
        <f>_xll.qlCalendarAdvance(Calendar,X2760,NDays&amp;"D")</f>
        <v>58208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58215</v>
      </c>
      <c r="Y2761" s="184">
        <f>_xll.qlCalendarAdvance(Calendar,X2761,NDays&amp;"D")</f>
        <v>58215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58222</v>
      </c>
      <c r="Y2762" s="184">
        <f>_xll.qlCalendarAdvance(Calendar,X2762,NDays&amp;"D")</f>
        <v>58222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58229</v>
      </c>
      <c r="Y2763" s="184">
        <f>_xll.qlCalendarAdvance(Calendar,X2763,NDays&amp;"D")</f>
        <v>58229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58236</v>
      </c>
      <c r="Y2764" s="184">
        <f>_xll.qlCalendarAdvance(Calendar,X2764,NDays&amp;"D")</f>
        <v>58236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58243</v>
      </c>
      <c r="Y2765" s="184">
        <f>_xll.qlCalendarAdvance(Calendar,X2765,NDays&amp;"D")</f>
        <v>58243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58250</v>
      </c>
      <c r="Y2766" s="184">
        <f>_xll.qlCalendarAdvance(Calendar,X2766,NDays&amp;"D")</f>
        <v>58250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58257</v>
      </c>
      <c r="Y2767" s="184">
        <f>_xll.qlCalendarAdvance(Calendar,X2767,NDays&amp;"D")</f>
        <v>58257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58264</v>
      </c>
      <c r="Y2768" s="184">
        <f>_xll.qlCalendarAdvance(Calendar,X2768,NDays&amp;"D")</f>
        <v>58264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58271</v>
      </c>
      <c r="Y2769" s="184">
        <f>_xll.qlCalendarAdvance(Calendar,X2769,NDays&amp;"D")</f>
        <v>58271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58278</v>
      </c>
      <c r="Y2770" s="184">
        <f>_xll.qlCalendarAdvance(Calendar,X2770,NDays&amp;"D")</f>
        <v>58278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58285</v>
      </c>
      <c r="Y2771" s="184">
        <f>_xll.qlCalendarAdvance(Calendar,X2771,NDays&amp;"D")</f>
        <v>58285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58292</v>
      </c>
      <c r="Y2772" s="184">
        <f>_xll.qlCalendarAdvance(Calendar,X2772,NDays&amp;"D")</f>
        <v>58292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58299</v>
      </c>
      <c r="Y2773" s="184">
        <f>_xll.qlCalendarAdvance(Calendar,X2773,NDays&amp;"D")</f>
        <v>58299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58306</v>
      </c>
      <c r="Y2774" s="184">
        <f>_xll.qlCalendarAdvance(Calendar,X2774,NDays&amp;"D")</f>
        <v>58306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58313</v>
      </c>
      <c r="Y2775" s="184">
        <f>_xll.qlCalendarAdvance(Calendar,X2775,NDays&amp;"D")</f>
        <v>58313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58320</v>
      </c>
      <c r="Y2776" s="184">
        <f>_xll.qlCalendarAdvance(Calendar,X2776,NDays&amp;"D")</f>
        <v>58320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58327</v>
      </c>
      <c r="Y2777" s="184">
        <f>_xll.qlCalendarAdvance(Calendar,X2777,NDays&amp;"D")</f>
        <v>58327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58334</v>
      </c>
      <c r="Y2778" s="184">
        <f>_xll.qlCalendarAdvance(Calendar,X2778,NDays&amp;"D")</f>
        <v>58334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58341</v>
      </c>
      <c r="Y2779" s="184">
        <f>_xll.qlCalendarAdvance(Calendar,X2779,NDays&amp;"D")</f>
        <v>58341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58348</v>
      </c>
      <c r="Y2780" s="184">
        <f>_xll.qlCalendarAdvance(Calendar,X2780,NDays&amp;"D")</f>
        <v>58348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58355</v>
      </c>
      <c r="Y2781" s="184">
        <f>_xll.qlCalendarAdvance(Calendar,X2781,NDays&amp;"D")</f>
        <v>58355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58362</v>
      </c>
      <c r="Y2782" s="184">
        <f>_xll.qlCalendarAdvance(Calendar,X2782,NDays&amp;"D")</f>
        <v>58362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58369</v>
      </c>
      <c r="Y2783" s="184">
        <f>_xll.qlCalendarAdvance(Calendar,X2783,NDays&amp;"D")</f>
        <v>58369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58376</v>
      </c>
      <c r="Y2784" s="184">
        <f>_xll.qlCalendarAdvance(Calendar,X2784,NDays&amp;"D")</f>
        <v>58376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58383</v>
      </c>
      <c r="Y2785" s="184">
        <f>_xll.qlCalendarAdvance(Calendar,X2785,NDays&amp;"D")</f>
        <v>58383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58390</v>
      </c>
      <c r="Y2786" s="184">
        <f>_xll.qlCalendarAdvance(Calendar,X2786,NDays&amp;"D")</f>
        <v>58390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58397</v>
      </c>
      <c r="Y2787" s="184">
        <f>_xll.qlCalendarAdvance(Calendar,X2787,NDays&amp;"D")</f>
        <v>58397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58404</v>
      </c>
      <c r="Y2788" s="184">
        <f>_xll.qlCalendarAdvance(Calendar,X2788,NDays&amp;"D")</f>
        <v>58404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58411</v>
      </c>
      <c r="Y2789" s="184">
        <f>_xll.qlCalendarAdvance(Calendar,X2789,NDays&amp;"D")</f>
        <v>58411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58418</v>
      </c>
      <c r="Y2790" s="184">
        <f>_xll.qlCalendarAdvance(Calendar,X2790,NDays&amp;"D")</f>
        <v>58418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58425</v>
      </c>
      <c r="Y2791" s="184">
        <f>_xll.qlCalendarAdvance(Calendar,X2791,NDays&amp;"D")</f>
        <v>58425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58432</v>
      </c>
      <c r="Y2792" s="184">
        <f>_xll.qlCalendarAdvance(Calendar,X2792,NDays&amp;"D")</f>
        <v>58432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58439</v>
      </c>
      <c r="Y2793" s="184">
        <f>_xll.qlCalendarAdvance(Calendar,X2793,NDays&amp;"D")</f>
        <v>58439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58446</v>
      </c>
      <c r="Y2794" s="184">
        <f>_xll.qlCalendarAdvance(Calendar,X2794,NDays&amp;"D")</f>
        <v>58446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58453</v>
      </c>
      <c r="Y2795" s="184">
        <f>_xll.qlCalendarAdvance(Calendar,X2795,NDays&amp;"D")</f>
        <v>58453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58460</v>
      </c>
      <c r="Y2796" s="184">
        <f>_xll.qlCalendarAdvance(Calendar,X2796,NDays&amp;"D")</f>
        <v>58460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58467</v>
      </c>
      <c r="Y2797" s="184">
        <f>_xll.qlCalendarAdvance(Calendar,X2797,NDays&amp;"D")</f>
        <v>58467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58474</v>
      </c>
      <c r="Y2798" s="184">
        <f>_xll.qlCalendarAdvance(Calendar,X2798,NDays&amp;"D")</f>
        <v>58474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58481</v>
      </c>
      <c r="Y2799" s="184">
        <f>_xll.qlCalendarAdvance(Calendar,X2799,NDays&amp;"D")</f>
        <v>58481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58488</v>
      </c>
      <c r="Y2800" s="184">
        <f>_xll.qlCalendarAdvance(Calendar,X2800,NDays&amp;"D")</f>
        <v>58488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58495</v>
      </c>
      <c r="Y2801" s="184">
        <f>_xll.qlCalendarAdvance(Calendar,X2801,NDays&amp;"D")</f>
        <v>58495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58502</v>
      </c>
      <c r="Y2802" s="184">
        <f>_xll.qlCalendarAdvance(Calendar,X2802,NDays&amp;"D")</f>
        <v>58502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58509</v>
      </c>
      <c r="Y2803" s="184">
        <f>_xll.qlCalendarAdvance(Calendar,X2803,NDays&amp;"D")</f>
        <v>58509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58516</v>
      </c>
      <c r="Y2804" s="184">
        <f>_xll.qlCalendarAdvance(Calendar,X2804,NDays&amp;"D")</f>
        <v>58516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58523</v>
      </c>
      <c r="Y2805" s="184">
        <f>_xll.qlCalendarAdvance(Calendar,X2805,NDays&amp;"D")</f>
        <v>58523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58530</v>
      </c>
      <c r="Y2806" s="184">
        <f>_xll.qlCalendarAdvance(Calendar,X2806,NDays&amp;"D")</f>
        <v>58530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58537</v>
      </c>
      <c r="Y2807" s="184">
        <f>_xll.qlCalendarAdvance(Calendar,X2807,NDays&amp;"D")</f>
        <v>58537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58544</v>
      </c>
      <c r="Y2808" s="184">
        <f>_xll.qlCalendarAdvance(Calendar,X2808,NDays&amp;"D")</f>
        <v>58544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58551</v>
      </c>
      <c r="Y2809" s="184">
        <f>_xll.qlCalendarAdvance(Calendar,X2809,NDays&amp;"D")</f>
        <v>58551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58558</v>
      </c>
      <c r="Y2810" s="184">
        <f>_xll.qlCalendarAdvance(Calendar,X2810,NDays&amp;"D")</f>
        <v>58558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58565</v>
      </c>
      <c r="Y2811" s="184">
        <f>_xll.qlCalendarAdvance(Calendar,X2811,NDays&amp;"D")</f>
        <v>58565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58572</v>
      </c>
      <c r="Y2812" s="184">
        <f>_xll.qlCalendarAdvance(Calendar,X2812,NDays&amp;"D")</f>
        <v>58572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58579</v>
      </c>
      <c r="Y2813" s="184">
        <f>_xll.qlCalendarAdvance(Calendar,X2813,NDays&amp;"D")</f>
        <v>58579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58586</v>
      </c>
      <c r="Y2814" s="184">
        <f>_xll.qlCalendarAdvance(Calendar,X2814,NDays&amp;"D")</f>
        <v>58586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58593</v>
      </c>
      <c r="Y2815" s="184">
        <f>_xll.qlCalendarAdvance(Calendar,X2815,NDays&amp;"D")</f>
        <v>58593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58600</v>
      </c>
      <c r="Y2816" s="184">
        <f>_xll.qlCalendarAdvance(Calendar,X2816,NDays&amp;"D")</f>
        <v>58600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58607</v>
      </c>
      <c r="Y2817" s="184">
        <f>_xll.qlCalendarAdvance(Calendar,X2817,NDays&amp;"D")</f>
        <v>58607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58614</v>
      </c>
      <c r="Y2818" s="184">
        <f>_xll.qlCalendarAdvance(Calendar,X2818,NDays&amp;"D")</f>
        <v>58614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58621</v>
      </c>
      <c r="Y2819" s="184">
        <f>_xll.qlCalendarAdvance(Calendar,X2819,NDays&amp;"D")</f>
        <v>58621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58628</v>
      </c>
      <c r="Y2820" s="184">
        <f>_xll.qlCalendarAdvance(Calendar,X2820,NDays&amp;"D")</f>
        <v>58628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58635</v>
      </c>
      <c r="Y2821" s="184">
        <f>_xll.qlCalendarAdvance(Calendar,X2821,NDays&amp;"D")</f>
        <v>58635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58642</v>
      </c>
      <c r="Y2822" s="184">
        <f>_xll.qlCalendarAdvance(Calendar,X2822,NDays&amp;"D")</f>
        <v>58642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58649</v>
      </c>
      <c r="Y2823" s="184">
        <f>_xll.qlCalendarAdvance(Calendar,X2823,NDays&amp;"D")</f>
        <v>58649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58656</v>
      </c>
      <c r="Y2824" s="184">
        <f>_xll.qlCalendarAdvance(Calendar,X2824,NDays&amp;"D")</f>
        <v>58656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58663</v>
      </c>
      <c r="Y2825" s="184">
        <f>_xll.qlCalendarAdvance(Calendar,X2825,NDays&amp;"D")</f>
        <v>58663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58670</v>
      </c>
      <c r="Y2826" s="184">
        <f>_xll.qlCalendarAdvance(Calendar,X2826,NDays&amp;"D")</f>
        <v>58670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58677</v>
      </c>
      <c r="Y2827" s="184">
        <f>_xll.qlCalendarAdvance(Calendar,X2827,NDays&amp;"D")</f>
        <v>58677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58684</v>
      </c>
      <c r="Y2828" s="184">
        <f>_xll.qlCalendarAdvance(Calendar,X2828,NDays&amp;"D")</f>
        <v>58684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58691</v>
      </c>
      <c r="Y2829" s="184">
        <f>_xll.qlCalendarAdvance(Calendar,X2829,NDays&amp;"D")</f>
        <v>58691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58698</v>
      </c>
      <c r="Y2830" s="184">
        <f>_xll.qlCalendarAdvance(Calendar,X2830,NDays&amp;"D")</f>
        <v>58698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58705</v>
      </c>
      <c r="Y2831" s="184">
        <f>_xll.qlCalendarAdvance(Calendar,X2831,NDays&amp;"D")</f>
        <v>58705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58712</v>
      </c>
      <c r="Y2832" s="184">
        <f>_xll.qlCalendarAdvance(Calendar,X2832,NDays&amp;"D")</f>
        <v>58712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58719</v>
      </c>
      <c r="Y2833" s="184">
        <f>_xll.qlCalendarAdvance(Calendar,X2833,NDays&amp;"D")</f>
        <v>58719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58726</v>
      </c>
      <c r="Y2834" s="184">
        <f>_xll.qlCalendarAdvance(Calendar,X2834,NDays&amp;"D")</f>
        <v>58726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58733</v>
      </c>
      <c r="Y2835" s="184">
        <f>_xll.qlCalendarAdvance(Calendar,X2835,NDays&amp;"D")</f>
        <v>58733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58740</v>
      </c>
      <c r="Y2836" s="184">
        <f>_xll.qlCalendarAdvance(Calendar,X2836,NDays&amp;"D")</f>
        <v>58740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58747</v>
      </c>
      <c r="Y2837" s="184">
        <f>_xll.qlCalendarAdvance(Calendar,X2837,NDays&amp;"D")</f>
        <v>58747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58754</v>
      </c>
      <c r="Y2838" s="184">
        <f>_xll.qlCalendarAdvance(Calendar,X2838,NDays&amp;"D")</f>
        <v>58754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58761</v>
      </c>
      <c r="Y2839" s="184">
        <f>_xll.qlCalendarAdvance(Calendar,X2839,NDays&amp;"D")</f>
        <v>58761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58768</v>
      </c>
      <c r="Y2840" s="184">
        <f>_xll.qlCalendarAdvance(Calendar,X2840,NDays&amp;"D")</f>
        <v>58768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58775</v>
      </c>
      <c r="Y2841" s="184">
        <f>_xll.qlCalendarAdvance(Calendar,X2841,NDays&amp;"D")</f>
        <v>58775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58782</v>
      </c>
      <c r="Y2842" s="184">
        <f>_xll.qlCalendarAdvance(Calendar,X2842,NDays&amp;"D")</f>
        <v>58782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58789</v>
      </c>
      <c r="Y2843" s="184">
        <f>_xll.qlCalendarAdvance(Calendar,X2843,NDays&amp;"D")</f>
        <v>58789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58796</v>
      </c>
      <c r="Y2844" s="184">
        <f>_xll.qlCalendarAdvance(Calendar,X2844,NDays&amp;"D")</f>
        <v>58796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58804</v>
      </c>
      <c r="Y2845" s="184">
        <f>_xll.qlCalendarAdvance(Calendar,X2845,NDays&amp;"D")</f>
        <v>58804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58811</v>
      </c>
      <c r="Y2846" s="184">
        <f>_xll.qlCalendarAdvance(Calendar,X2846,NDays&amp;"D")</f>
        <v>58811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58818</v>
      </c>
      <c r="Y2847" s="184">
        <f>_xll.qlCalendarAdvance(Calendar,X2847,NDays&amp;"D")</f>
        <v>58818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58825</v>
      </c>
      <c r="Y2848" s="184">
        <f>_xll.qlCalendarAdvance(Calendar,X2848,NDays&amp;"D")</f>
        <v>58825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58833</v>
      </c>
      <c r="Y2849" s="184">
        <f>_xll.qlCalendarAdvance(Calendar,X2849,NDays&amp;"D")</f>
        <v>58833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58840</v>
      </c>
      <c r="Y2850" s="184">
        <f>_xll.qlCalendarAdvance(Calendar,X2850,NDays&amp;"D")</f>
        <v>58840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58847</v>
      </c>
      <c r="Y2851" s="184">
        <f>_xll.qlCalendarAdvance(Calendar,X2851,NDays&amp;"D")</f>
        <v>58847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58854</v>
      </c>
      <c r="Y2852" s="184">
        <f>_xll.qlCalendarAdvance(Calendar,X2852,NDays&amp;"D")</f>
        <v>58854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58861</v>
      </c>
      <c r="Y2853" s="184">
        <f>_xll.qlCalendarAdvance(Calendar,X2853,NDays&amp;"D")</f>
        <v>58861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58868</v>
      </c>
      <c r="Y2854" s="184">
        <f>_xll.qlCalendarAdvance(Calendar,X2854,NDays&amp;"D")</f>
        <v>58868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58875</v>
      </c>
      <c r="Y2855" s="184">
        <f>_xll.qlCalendarAdvance(Calendar,X2855,NDays&amp;"D")</f>
        <v>58875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58882</v>
      </c>
      <c r="Y2856" s="184">
        <f>_xll.qlCalendarAdvance(Calendar,X2856,NDays&amp;"D")</f>
        <v>58882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58889</v>
      </c>
      <c r="Y2857" s="184">
        <f>_xll.qlCalendarAdvance(Calendar,X2857,NDays&amp;"D")</f>
        <v>58889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58896</v>
      </c>
      <c r="Y2858" s="184">
        <f>_xll.qlCalendarAdvance(Calendar,X2858,NDays&amp;"D")</f>
        <v>58896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58903</v>
      </c>
      <c r="Y2859" s="184">
        <f>_xll.qlCalendarAdvance(Calendar,X2859,NDays&amp;"D")</f>
        <v>58903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58910</v>
      </c>
      <c r="Y2860" s="184">
        <f>_xll.qlCalendarAdvance(Calendar,X2860,NDays&amp;"D")</f>
        <v>58910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58917</v>
      </c>
      <c r="Y2861" s="184">
        <f>_xll.qlCalendarAdvance(Calendar,X2861,NDays&amp;"D")</f>
        <v>58917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58924</v>
      </c>
      <c r="Y2862" s="184">
        <f>_xll.qlCalendarAdvance(Calendar,X2862,NDays&amp;"D")</f>
        <v>58924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58931</v>
      </c>
      <c r="Y2863" s="184">
        <f>_xll.qlCalendarAdvance(Calendar,X2863,NDays&amp;"D")</f>
        <v>58931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58938</v>
      </c>
      <c r="Y2864" s="184">
        <f>_xll.qlCalendarAdvance(Calendar,X2864,NDays&amp;"D")</f>
        <v>58938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58945</v>
      </c>
      <c r="Y2865" s="184">
        <f>_xll.qlCalendarAdvance(Calendar,X2865,NDays&amp;"D")</f>
        <v>58945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58952</v>
      </c>
      <c r="Y2866" s="184">
        <f>_xll.qlCalendarAdvance(Calendar,X2866,NDays&amp;"D")</f>
        <v>58952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58959</v>
      </c>
      <c r="Y2867" s="184">
        <f>_xll.qlCalendarAdvance(Calendar,X2867,NDays&amp;"D")</f>
        <v>58959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58966</v>
      </c>
      <c r="Y2868" s="184">
        <f>_xll.qlCalendarAdvance(Calendar,X2868,NDays&amp;"D")</f>
        <v>58966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58973</v>
      </c>
      <c r="Y2869" s="184">
        <f>_xll.qlCalendarAdvance(Calendar,X2869,NDays&amp;"D")</f>
        <v>58973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58980</v>
      </c>
      <c r="Y2870" s="184">
        <f>_xll.qlCalendarAdvance(Calendar,X2870,NDays&amp;"D")</f>
        <v>58980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58987</v>
      </c>
      <c r="Y2871" s="184">
        <f>_xll.qlCalendarAdvance(Calendar,X2871,NDays&amp;"D")</f>
        <v>58987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58994</v>
      </c>
      <c r="Y2872" s="184">
        <f>_xll.qlCalendarAdvance(Calendar,X2872,NDays&amp;"D")</f>
        <v>58994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59001</v>
      </c>
      <c r="Y2873" s="184">
        <f>_xll.qlCalendarAdvance(Calendar,X2873,NDays&amp;"D")</f>
        <v>59001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59008</v>
      </c>
      <c r="Y2874" s="184">
        <f>_xll.qlCalendarAdvance(Calendar,X2874,NDays&amp;"D")</f>
        <v>59008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59015</v>
      </c>
      <c r="Y2875" s="184">
        <f>_xll.qlCalendarAdvance(Calendar,X2875,NDays&amp;"D")</f>
        <v>59015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59022</v>
      </c>
      <c r="Y2876" s="184">
        <f>_xll.qlCalendarAdvance(Calendar,X2876,NDays&amp;"D")</f>
        <v>59022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59029</v>
      </c>
      <c r="Y2877" s="184">
        <f>_xll.qlCalendarAdvance(Calendar,X2877,NDays&amp;"D")</f>
        <v>59029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59036</v>
      </c>
      <c r="Y2878" s="184">
        <f>_xll.qlCalendarAdvance(Calendar,X2878,NDays&amp;"D")</f>
        <v>59036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59043</v>
      </c>
      <c r="Y2879" s="184">
        <f>_xll.qlCalendarAdvance(Calendar,X2879,NDays&amp;"D")</f>
        <v>59043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59050</v>
      </c>
      <c r="Y2880" s="184">
        <f>_xll.qlCalendarAdvance(Calendar,X2880,NDays&amp;"D")</f>
        <v>59050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59057</v>
      </c>
      <c r="Y2881" s="184">
        <f>_xll.qlCalendarAdvance(Calendar,X2881,NDays&amp;"D")</f>
        <v>59057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59064</v>
      </c>
      <c r="Y2882" s="184">
        <f>_xll.qlCalendarAdvance(Calendar,X2882,NDays&amp;"D")</f>
        <v>59064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59071</v>
      </c>
      <c r="Y2883" s="184">
        <f>_xll.qlCalendarAdvance(Calendar,X2883,NDays&amp;"D")</f>
        <v>59071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59078</v>
      </c>
      <c r="Y2884" s="184">
        <f>_xll.qlCalendarAdvance(Calendar,X2884,NDays&amp;"D")</f>
        <v>59078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59085</v>
      </c>
      <c r="Y2885" s="184">
        <f>_xll.qlCalendarAdvance(Calendar,X2885,NDays&amp;"D")</f>
        <v>59085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59092</v>
      </c>
      <c r="Y2886" s="184">
        <f>_xll.qlCalendarAdvance(Calendar,X2886,NDays&amp;"D")</f>
        <v>59092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59099</v>
      </c>
      <c r="Y2887" s="184">
        <f>_xll.qlCalendarAdvance(Calendar,X2887,NDays&amp;"D")</f>
        <v>59099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59106</v>
      </c>
      <c r="Y2888" s="184">
        <f>_xll.qlCalendarAdvance(Calendar,X2888,NDays&amp;"D")</f>
        <v>59106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59113</v>
      </c>
      <c r="Y2889" s="184">
        <f>_xll.qlCalendarAdvance(Calendar,X2889,NDays&amp;"D")</f>
        <v>59113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59120</v>
      </c>
      <c r="Y2890" s="184">
        <f>_xll.qlCalendarAdvance(Calendar,X2890,NDays&amp;"D")</f>
        <v>59120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59127</v>
      </c>
      <c r="Y2891" s="184">
        <f>_xll.qlCalendarAdvance(Calendar,X2891,NDays&amp;"D")</f>
        <v>59127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59134</v>
      </c>
      <c r="Y2892" s="184">
        <f>_xll.qlCalendarAdvance(Calendar,X2892,NDays&amp;"D")</f>
        <v>59134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59141</v>
      </c>
      <c r="Y2893" s="184">
        <f>_xll.qlCalendarAdvance(Calendar,X2893,NDays&amp;"D")</f>
        <v>59141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59148</v>
      </c>
      <c r="Y2894" s="184">
        <f>_xll.qlCalendarAdvance(Calendar,X2894,NDays&amp;"D")</f>
        <v>59148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59155</v>
      </c>
      <c r="Y2895" s="184">
        <f>_xll.qlCalendarAdvance(Calendar,X2895,NDays&amp;"D")</f>
        <v>59155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59162</v>
      </c>
      <c r="Y2896" s="184">
        <f>_xll.qlCalendarAdvance(Calendar,X2896,NDays&amp;"D")</f>
        <v>59162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59169</v>
      </c>
      <c r="Y2897" s="184">
        <f>_xll.qlCalendarAdvance(Calendar,X2897,NDays&amp;"D")</f>
        <v>59169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59176</v>
      </c>
      <c r="Y2898" s="184">
        <f>_xll.qlCalendarAdvance(Calendar,X2898,NDays&amp;"D")</f>
        <v>59176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59183</v>
      </c>
      <c r="Y2899" s="184">
        <f>_xll.qlCalendarAdvance(Calendar,X2899,NDays&amp;"D")</f>
        <v>59183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59190</v>
      </c>
      <c r="Y2900" s="184">
        <f>_xll.qlCalendarAdvance(Calendar,X2900,NDays&amp;"D")</f>
        <v>59190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59198</v>
      </c>
      <c r="Y2901" s="184">
        <f>_xll.qlCalendarAdvance(Calendar,X2901,NDays&amp;"D")</f>
        <v>59198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59205</v>
      </c>
      <c r="Y2902" s="184">
        <f>_xll.qlCalendarAdvance(Calendar,X2902,NDays&amp;"D")</f>
        <v>59205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59212</v>
      </c>
      <c r="Y2903" s="184">
        <f>_xll.qlCalendarAdvance(Calendar,X2903,NDays&amp;"D")</f>
        <v>59212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59219</v>
      </c>
      <c r="Y2904" s="184">
        <f>_xll.qlCalendarAdvance(Calendar,X2904,NDays&amp;"D")</f>
        <v>59219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59226</v>
      </c>
      <c r="Y2905" s="184">
        <f>_xll.qlCalendarAdvance(Calendar,X2905,NDays&amp;"D")</f>
        <v>59226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59233</v>
      </c>
      <c r="Y2906" s="184">
        <f>_xll.qlCalendarAdvance(Calendar,X2906,NDays&amp;"D")</f>
        <v>59233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59240</v>
      </c>
      <c r="Y2907" s="184">
        <f>_xll.qlCalendarAdvance(Calendar,X2907,NDays&amp;"D")</f>
        <v>59240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59247</v>
      </c>
      <c r="Y2908" s="184">
        <f>_xll.qlCalendarAdvance(Calendar,X2908,NDays&amp;"D")</f>
        <v>59247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59258</v>
      </c>
      <c r="Y2909" s="184">
        <f>_xll.qlCalendarAdvance(Calendar,X2909,NDays&amp;"D")</f>
        <v>59258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59265</v>
      </c>
      <c r="Y2910" s="184">
        <f>_xll.qlCalendarAdvance(Calendar,X2910,NDays&amp;"D")</f>
        <v>59265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59272</v>
      </c>
      <c r="Y2911" s="184">
        <f>_xll.qlCalendarAdvance(Calendar,X2911,NDays&amp;"D")</f>
        <v>59272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59279</v>
      </c>
      <c r="Y2912" s="184">
        <f>_xll.qlCalendarAdvance(Calendar,X2912,NDays&amp;"D")</f>
        <v>59279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59287</v>
      </c>
      <c r="Y2913" s="184">
        <f>_xll.qlCalendarAdvance(Calendar,X2913,NDays&amp;"D")</f>
        <v>59287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59294</v>
      </c>
      <c r="Y2914" s="184">
        <f>_xll.qlCalendarAdvance(Calendar,X2914,NDays&amp;"D")</f>
        <v>59294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59301</v>
      </c>
      <c r="Y2915" s="184">
        <f>_xll.qlCalendarAdvance(Calendar,X2915,NDays&amp;"D")</f>
        <v>59301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59308</v>
      </c>
      <c r="Y2916" s="184">
        <f>_xll.qlCalendarAdvance(Calendar,X2916,NDays&amp;"D")</f>
        <v>59308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59315</v>
      </c>
      <c r="Y2917" s="184">
        <f>_xll.qlCalendarAdvance(Calendar,X2917,NDays&amp;"D")</f>
        <v>59315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59322</v>
      </c>
      <c r="Y2918" s="184">
        <f>_xll.qlCalendarAdvance(Calendar,X2918,NDays&amp;"D")</f>
        <v>59322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59329</v>
      </c>
      <c r="Y2919" s="184">
        <f>_xll.qlCalendarAdvance(Calendar,X2919,NDays&amp;"D")</f>
        <v>59329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59336</v>
      </c>
      <c r="Y2920" s="184">
        <f>_xll.qlCalendarAdvance(Calendar,X2920,NDays&amp;"D")</f>
        <v>59336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59343</v>
      </c>
      <c r="Y2921" s="184">
        <f>_xll.qlCalendarAdvance(Calendar,X2921,NDays&amp;"D")</f>
        <v>59343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59350</v>
      </c>
      <c r="Y2922" s="184">
        <f>_xll.qlCalendarAdvance(Calendar,X2922,NDays&amp;"D")</f>
        <v>59350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59357</v>
      </c>
      <c r="Y2923" s="184">
        <f>_xll.qlCalendarAdvance(Calendar,X2923,NDays&amp;"D")</f>
        <v>59357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59364</v>
      </c>
      <c r="Y2924" s="184">
        <f>_xll.qlCalendarAdvance(Calendar,X2924,NDays&amp;"D")</f>
        <v>59364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59371</v>
      </c>
      <c r="Y2925" s="184">
        <f>_xll.qlCalendarAdvance(Calendar,X2925,NDays&amp;"D")</f>
        <v>59371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59378</v>
      </c>
      <c r="Y2926" s="184">
        <f>_xll.qlCalendarAdvance(Calendar,X2926,NDays&amp;"D")</f>
        <v>59378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59385</v>
      </c>
      <c r="Y2927" s="184">
        <f>_xll.qlCalendarAdvance(Calendar,X2927,NDays&amp;"D")</f>
        <v>59385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59392</v>
      </c>
      <c r="Y2928" s="184">
        <f>_xll.qlCalendarAdvance(Calendar,X2928,NDays&amp;"D")</f>
        <v>59392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59399</v>
      </c>
      <c r="Y2929" s="184">
        <f>_xll.qlCalendarAdvance(Calendar,X2929,NDays&amp;"D")</f>
        <v>59399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59406</v>
      </c>
      <c r="Y2930" s="184">
        <f>_xll.qlCalendarAdvance(Calendar,X2930,NDays&amp;"D")</f>
        <v>59406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59413</v>
      </c>
      <c r="Y2931" s="184">
        <f>_xll.qlCalendarAdvance(Calendar,X2931,NDays&amp;"D")</f>
        <v>59413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59420</v>
      </c>
      <c r="Y2932" s="184">
        <f>_xll.qlCalendarAdvance(Calendar,X2932,NDays&amp;"D")</f>
        <v>59420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59427</v>
      </c>
      <c r="Y2933" s="184">
        <f>_xll.qlCalendarAdvance(Calendar,X2933,NDays&amp;"D")</f>
        <v>59427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59434</v>
      </c>
      <c r="Y2934" s="184">
        <f>_xll.qlCalendarAdvance(Calendar,X2934,NDays&amp;"D")</f>
        <v>59434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59441</v>
      </c>
      <c r="Y2935" s="184">
        <f>_xll.qlCalendarAdvance(Calendar,X2935,NDays&amp;"D")</f>
        <v>59441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59448</v>
      </c>
      <c r="Y2936" s="184">
        <f>_xll.qlCalendarAdvance(Calendar,X2936,NDays&amp;"D")</f>
        <v>59448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59455</v>
      </c>
      <c r="Y2937" s="184">
        <f>_xll.qlCalendarAdvance(Calendar,X2937,NDays&amp;"D")</f>
        <v>59455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59462</v>
      </c>
      <c r="Y2938" s="184">
        <f>_xll.qlCalendarAdvance(Calendar,X2938,NDays&amp;"D")</f>
        <v>59462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59469</v>
      </c>
      <c r="Y2939" s="184">
        <f>_xll.qlCalendarAdvance(Calendar,X2939,NDays&amp;"D")</f>
        <v>59469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59476</v>
      </c>
      <c r="Y2940" s="184">
        <f>_xll.qlCalendarAdvance(Calendar,X2940,NDays&amp;"D")</f>
        <v>59476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59483</v>
      </c>
      <c r="Y2941" s="184">
        <f>_xll.qlCalendarAdvance(Calendar,X2941,NDays&amp;"D")</f>
        <v>59483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59490</v>
      </c>
      <c r="Y2942" s="184">
        <f>_xll.qlCalendarAdvance(Calendar,X2942,NDays&amp;"D")</f>
        <v>59490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59497</v>
      </c>
      <c r="Y2943" s="184">
        <f>_xll.qlCalendarAdvance(Calendar,X2943,NDays&amp;"D")</f>
        <v>59497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59504</v>
      </c>
      <c r="Y2944" s="184">
        <f>_xll.qlCalendarAdvance(Calendar,X2944,NDays&amp;"D")</f>
        <v>59504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59511</v>
      </c>
      <c r="Y2945" s="184">
        <f>_xll.qlCalendarAdvance(Calendar,X2945,NDays&amp;"D")</f>
        <v>59511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59518</v>
      </c>
      <c r="Y2946" s="184">
        <f>_xll.qlCalendarAdvance(Calendar,X2946,NDays&amp;"D")</f>
        <v>59518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59525</v>
      </c>
      <c r="Y2947" s="184">
        <f>_xll.qlCalendarAdvance(Calendar,X2947,NDays&amp;"D")</f>
        <v>59525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59532</v>
      </c>
      <c r="Y2948" s="184">
        <f>_xll.qlCalendarAdvance(Calendar,X2948,NDays&amp;"D")</f>
        <v>59532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59539</v>
      </c>
      <c r="Y2949" s="184">
        <f>_xll.qlCalendarAdvance(Calendar,X2949,NDays&amp;"D")</f>
        <v>59539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59546</v>
      </c>
      <c r="Y2950" s="184">
        <f>_xll.qlCalendarAdvance(Calendar,X2950,NDays&amp;"D")</f>
        <v>59546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59553</v>
      </c>
      <c r="Y2951" s="184">
        <f>_xll.qlCalendarAdvance(Calendar,X2951,NDays&amp;"D")</f>
        <v>59553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59560</v>
      </c>
      <c r="Y2952" s="184">
        <f>_xll.qlCalendarAdvance(Calendar,X2952,NDays&amp;"D")</f>
        <v>59560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59567</v>
      </c>
      <c r="Y2953" s="184">
        <f>_xll.qlCalendarAdvance(Calendar,X2953,NDays&amp;"D")</f>
        <v>59567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59574</v>
      </c>
      <c r="Y2954" s="184">
        <f>_xll.qlCalendarAdvance(Calendar,X2954,NDays&amp;"D")</f>
        <v>59574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59581</v>
      </c>
      <c r="Y2955" s="184">
        <f>_xll.qlCalendarAdvance(Calendar,X2955,NDays&amp;"D")</f>
        <v>59581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59588</v>
      </c>
      <c r="Y2956" s="184">
        <f>_xll.qlCalendarAdvance(Calendar,X2956,NDays&amp;"D")</f>
        <v>59588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59595</v>
      </c>
      <c r="Y2957" s="184">
        <f>_xll.qlCalendarAdvance(Calendar,X2957,NDays&amp;"D")</f>
        <v>59595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59602</v>
      </c>
      <c r="Y2958" s="184">
        <f>_xll.qlCalendarAdvance(Calendar,X2958,NDays&amp;"D")</f>
        <v>59602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59609</v>
      </c>
      <c r="Y2959" s="184">
        <f>_xll.qlCalendarAdvance(Calendar,X2959,NDays&amp;"D")</f>
        <v>59609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59616</v>
      </c>
      <c r="Y2960" s="184">
        <f>_xll.qlCalendarAdvance(Calendar,X2960,NDays&amp;"D")</f>
        <v>59616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59623</v>
      </c>
      <c r="Y2961" s="184">
        <f>_xll.qlCalendarAdvance(Calendar,X2961,NDays&amp;"D")</f>
        <v>59623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59630</v>
      </c>
      <c r="Y2962" s="184">
        <f>_xll.qlCalendarAdvance(Calendar,X2962,NDays&amp;"D")</f>
        <v>59630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59637</v>
      </c>
      <c r="Y2963" s="184">
        <f>_xll.qlCalendarAdvance(Calendar,X2963,NDays&amp;"D")</f>
        <v>59637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59644</v>
      </c>
      <c r="Y2964" s="184">
        <f>_xll.qlCalendarAdvance(Calendar,X2964,NDays&amp;"D")</f>
        <v>59644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59652</v>
      </c>
      <c r="Y2965" s="184">
        <f>_xll.qlCalendarAdvance(Calendar,X2965,NDays&amp;"D")</f>
        <v>59652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59659</v>
      </c>
      <c r="Y2966" s="184">
        <f>_xll.qlCalendarAdvance(Calendar,X2966,NDays&amp;"D")</f>
        <v>59659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59666</v>
      </c>
      <c r="Y2967" s="184">
        <f>_xll.qlCalendarAdvance(Calendar,X2967,NDays&amp;"D")</f>
        <v>59666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59673</v>
      </c>
      <c r="Y2968" s="184">
        <f>_xll.qlCalendarAdvance(Calendar,X2968,NDays&amp;"D")</f>
        <v>59673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59680</v>
      </c>
      <c r="Y2969" s="184">
        <f>_xll.qlCalendarAdvance(Calendar,X2969,NDays&amp;"D")</f>
        <v>59680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59687</v>
      </c>
      <c r="Y2970" s="184">
        <f>_xll.qlCalendarAdvance(Calendar,X2970,NDays&amp;"D")</f>
        <v>59687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59694</v>
      </c>
      <c r="Y2971" s="184">
        <f>_xll.qlCalendarAdvance(Calendar,X2971,NDays&amp;"D")</f>
        <v>59694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59701</v>
      </c>
      <c r="Y2972" s="184">
        <f>_xll.qlCalendarAdvance(Calendar,X2972,NDays&amp;"D")</f>
        <v>59701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59708</v>
      </c>
      <c r="Y2973" s="184">
        <f>_xll.qlCalendarAdvance(Calendar,X2973,NDays&amp;"D")</f>
        <v>59708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59715</v>
      </c>
      <c r="Y2974" s="184">
        <f>_xll.qlCalendarAdvance(Calendar,X2974,NDays&amp;"D")</f>
        <v>59715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59722</v>
      </c>
      <c r="Y2975" s="184">
        <f>_xll.qlCalendarAdvance(Calendar,X2975,NDays&amp;"D")</f>
        <v>59722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59729</v>
      </c>
      <c r="Y2976" s="184">
        <f>_xll.qlCalendarAdvance(Calendar,X2976,NDays&amp;"D")</f>
        <v>59729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59736</v>
      </c>
      <c r="Y2977" s="184">
        <f>_xll.qlCalendarAdvance(Calendar,X2977,NDays&amp;"D")</f>
        <v>59736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59743</v>
      </c>
      <c r="Y2978" s="184">
        <f>_xll.qlCalendarAdvance(Calendar,X2978,NDays&amp;"D")</f>
        <v>59743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59750</v>
      </c>
      <c r="Y2979" s="184">
        <f>_xll.qlCalendarAdvance(Calendar,X2979,NDays&amp;"D")</f>
        <v>59750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59757</v>
      </c>
      <c r="Y2980" s="184">
        <f>_xll.qlCalendarAdvance(Calendar,X2980,NDays&amp;"D")</f>
        <v>59757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59764</v>
      </c>
      <c r="Y2981" s="184">
        <f>_xll.qlCalendarAdvance(Calendar,X2981,NDays&amp;"D")</f>
        <v>59764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59771</v>
      </c>
      <c r="Y2982" s="184">
        <f>_xll.qlCalendarAdvance(Calendar,X2982,NDays&amp;"D")</f>
        <v>59771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59778</v>
      </c>
      <c r="Y2983" s="184">
        <f>_xll.qlCalendarAdvance(Calendar,X2983,NDays&amp;"D")</f>
        <v>59778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59785</v>
      </c>
      <c r="Y2984" s="184">
        <f>_xll.qlCalendarAdvance(Calendar,X2984,NDays&amp;"D")</f>
        <v>59785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59792</v>
      </c>
      <c r="Y2985" s="184">
        <f>_xll.qlCalendarAdvance(Calendar,X2985,NDays&amp;"D")</f>
        <v>59792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59799</v>
      </c>
      <c r="Y2986" s="184">
        <f>_xll.qlCalendarAdvance(Calendar,X2986,NDays&amp;"D")</f>
        <v>59799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59806</v>
      </c>
      <c r="Y2987" s="184">
        <f>_xll.qlCalendarAdvance(Calendar,X2987,NDays&amp;"D")</f>
        <v>59806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59813</v>
      </c>
      <c r="Y2988" s="184">
        <f>_xll.qlCalendarAdvance(Calendar,X2988,NDays&amp;"D")</f>
        <v>59813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59820</v>
      </c>
      <c r="Y2989" s="184">
        <f>_xll.qlCalendarAdvance(Calendar,X2989,NDays&amp;"D")</f>
        <v>59820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59827</v>
      </c>
      <c r="Y2990" s="184">
        <f>_xll.qlCalendarAdvance(Calendar,X2990,NDays&amp;"D")</f>
        <v>59827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59834</v>
      </c>
      <c r="Y2991" s="184">
        <f>_xll.qlCalendarAdvance(Calendar,X2991,NDays&amp;"D")</f>
        <v>59834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59841</v>
      </c>
      <c r="Y2992" s="184">
        <f>_xll.qlCalendarAdvance(Calendar,X2992,NDays&amp;"D")</f>
        <v>59841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59848</v>
      </c>
      <c r="Y2993" s="184">
        <f>_xll.qlCalendarAdvance(Calendar,X2993,NDays&amp;"D")</f>
        <v>59848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59855</v>
      </c>
      <c r="Y2994" s="184">
        <f>_xll.qlCalendarAdvance(Calendar,X2994,NDays&amp;"D")</f>
        <v>59855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59862</v>
      </c>
      <c r="Y2995" s="184">
        <f>_xll.qlCalendarAdvance(Calendar,X2995,NDays&amp;"D")</f>
        <v>59862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59869</v>
      </c>
      <c r="Y2996" s="184">
        <f>_xll.qlCalendarAdvance(Calendar,X2996,NDays&amp;"D")</f>
        <v>59869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59876</v>
      </c>
      <c r="Y2997" s="184">
        <f>_xll.qlCalendarAdvance(Calendar,X2997,NDays&amp;"D")</f>
        <v>59876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59883</v>
      </c>
      <c r="Y2998" s="184">
        <f>_xll.qlCalendarAdvance(Calendar,X2998,NDays&amp;"D")</f>
        <v>59883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59890</v>
      </c>
      <c r="Y2999" s="184">
        <f>_xll.qlCalendarAdvance(Calendar,X2999,NDays&amp;"D")</f>
        <v>59890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59897</v>
      </c>
      <c r="Y3000" s="184">
        <f>_xll.qlCalendarAdvance(Calendar,X3000,NDays&amp;"D")</f>
        <v>59897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59904</v>
      </c>
      <c r="Y3001" s="184">
        <f>_xll.qlCalendarAdvance(Calendar,X3001,NDays&amp;"D")</f>
        <v>59904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59911</v>
      </c>
      <c r="Y3002" s="184">
        <f>_xll.qlCalendarAdvance(Calendar,X3002,NDays&amp;"D")</f>
        <v>59911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59918</v>
      </c>
      <c r="Y3003" s="184">
        <f>_xll.qlCalendarAdvance(Calendar,X3003,NDays&amp;"D")</f>
        <v>59918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59925</v>
      </c>
      <c r="Y3004" s="184">
        <f>_xll.qlCalendarAdvance(Calendar,X3004,NDays&amp;"D")</f>
        <v>59925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59932</v>
      </c>
      <c r="Y3005" s="184">
        <f>_xll.qlCalendarAdvance(Calendar,X3005,NDays&amp;"D")</f>
        <v>59932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59939</v>
      </c>
      <c r="Y3006" s="184">
        <f>_xll.qlCalendarAdvance(Calendar,X3006,NDays&amp;"D")</f>
        <v>59939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59946</v>
      </c>
      <c r="Y3007" s="184">
        <f>_xll.qlCalendarAdvance(Calendar,X3007,NDays&amp;"D")</f>
        <v>59946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59953</v>
      </c>
      <c r="Y3008" s="184">
        <f>_xll.qlCalendarAdvance(Calendar,X3008,NDays&amp;"D")</f>
        <v>59953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59960</v>
      </c>
      <c r="Y3009" s="184">
        <f>_xll.qlCalendarAdvance(Calendar,X3009,NDays&amp;"D")</f>
        <v>59960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59967</v>
      </c>
      <c r="Y3010" s="184">
        <f>_xll.qlCalendarAdvance(Calendar,X3010,NDays&amp;"D")</f>
        <v>59967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59974</v>
      </c>
      <c r="Y3011" s="184">
        <f>_xll.qlCalendarAdvance(Calendar,X3011,NDays&amp;"D")</f>
        <v>59974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59981</v>
      </c>
      <c r="Y3012" s="184">
        <f>_xll.qlCalendarAdvance(Calendar,X3012,NDays&amp;"D")</f>
        <v>59981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59988</v>
      </c>
      <c r="Y3013" s="184">
        <f>_xll.qlCalendarAdvance(Calendar,X3013,NDays&amp;"D")</f>
        <v>59988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59995</v>
      </c>
      <c r="Y3014" s="184">
        <f>_xll.qlCalendarAdvance(Calendar,X3014,NDays&amp;"D")</f>
        <v>59995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60002</v>
      </c>
      <c r="Y3015" s="184">
        <f>_xll.qlCalendarAdvance(Calendar,X3015,NDays&amp;"D")</f>
        <v>60002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60009</v>
      </c>
      <c r="Y3016" s="184">
        <f>_xll.qlCalendarAdvance(Calendar,X3016,NDays&amp;"D")</f>
        <v>60009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60016</v>
      </c>
      <c r="Y3017" s="184">
        <f>_xll.qlCalendarAdvance(Calendar,X3017,NDays&amp;"D")</f>
        <v>60016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60023</v>
      </c>
      <c r="Y3018" s="184">
        <f>_xll.qlCalendarAdvance(Calendar,X3018,NDays&amp;"D")</f>
        <v>60023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60030</v>
      </c>
      <c r="Y3019" s="184">
        <f>_xll.qlCalendarAdvance(Calendar,X3019,NDays&amp;"D")</f>
        <v>60030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60037</v>
      </c>
      <c r="Y3020" s="184">
        <f>_xll.qlCalendarAdvance(Calendar,X3020,NDays&amp;"D")</f>
        <v>60037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60044</v>
      </c>
      <c r="Y3021" s="184">
        <f>_xll.qlCalendarAdvance(Calendar,X3021,NDays&amp;"D")</f>
        <v>60044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60051</v>
      </c>
      <c r="Y3022" s="184">
        <f>_xll.qlCalendarAdvance(Calendar,X3022,NDays&amp;"D")</f>
        <v>60051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60058</v>
      </c>
      <c r="Y3023" s="184">
        <f>_xll.qlCalendarAdvance(Calendar,X3023,NDays&amp;"D")</f>
        <v>60058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60065</v>
      </c>
      <c r="Y3024" s="184">
        <f>_xll.qlCalendarAdvance(Calendar,X3024,NDays&amp;"D")</f>
        <v>60065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60072</v>
      </c>
      <c r="Y3025" s="184">
        <f>_xll.qlCalendarAdvance(Calendar,X3025,NDays&amp;"D")</f>
        <v>60072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60079</v>
      </c>
      <c r="Y3026" s="184">
        <f>_xll.qlCalendarAdvance(Calendar,X3026,NDays&amp;"D")</f>
        <v>60079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60086</v>
      </c>
      <c r="Y3027" s="184">
        <f>_xll.qlCalendarAdvance(Calendar,X3027,NDays&amp;"D")</f>
        <v>60086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60093</v>
      </c>
      <c r="Y3028" s="184">
        <f>_xll.qlCalendarAdvance(Calendar,X3028,NDays&amp;"D")</f>
        <v>60093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60100</v>
      </c>
      <c r="Y3029" s="184">
        <f>_xll.qlCalendarAdvance(Calendar,X3029,NDays&amp;"D")</f>
        <v>60100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60107</v>
      </c>
      <c r="Y3030" s="184">
        <f>_xll.qlCalendarAdvance(Calendar,X3030,NDays&amp;"D")</f>
        <v>60107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60114</v>
      </c>
      <c r="Y3031" s="184">
        <f>_xll.qlCalendarAdvance(Calendar,X3031,NDays&amp;"D")</f>
        <v>60114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60121</v>
      </c>
      <c r="Y3032" s="184">
        <f>_xll.qlCalendarAdvance(Calendar,X3032,NDays&amp;"D")</f>
        <v>60121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60128</v>
      </c>
      <c r="Y3033" s="184">
        <f>_xll.qlCalendarAdvance(Calendar,X3033,NDays&amp;"D")</f>
        <v>60128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60135</v>
      </c>
      <c r="Y3034" s="184">
        <f>_xll.qlCalendarAdvance(Calendar,X3034,NDays&amp;"D")</f>
        <v>60135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60142</v>
      </c>
      <c r="Y3035" s="184">
        <f>_xll.qlCalendarAdvance(Calendar,X3035,NDays&amp;"D")</f>
        <v>60142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60149</v>
      </c>
      <c r="Y3036" s="184">
        <f>_xll.qlCalendarAdvance(Calendar,X3036,NDays&amp;"D")</f>
        <v>60149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60156</v>
      </c>
      <c r="Y3037" s="184">
        <f>_xll.qlCalendarAdvance(Calendar,X3037,NDays&amp;"D")</f>
        <v>60156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60163</v>
      </c>
      <c r="Y3038" s="184">
        <f>_xll.qlCalendarAdvance(Calendar,X3038,NDays&amp;"D")</f>
        <v>60163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60170</v>
      </c>
      <c r="Y3039" s="184">
        <f>_xll.qlCalendarAdvance(Calendar,X3039,NDays&amp;"D")</f>
        <v>60170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60177</v>
      </c>
      <c r="Y3040" s="184">
        <f>_xll.qlCalendarAdvance(Calendar,X3040,NDays&amp;"D")</f>
        <v>60177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60184</v>
      </c>
      <c r="Y3041" s="184">
        <f>_xll.qlCalendarAdvance(Calendar,X3041,NDays&amp;"D")</f>
        <v>60184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60191</v>
      </c>
      <c r="Y3042" s="184">
        <f>_xll.qlCalendarAdvance(Calendar,X3042,NDays&amp;"D")</f>
        <v>60191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60198</v>
      </c>
      <c r="Y3043" s="184">
        <f>_xll.qlCalendarAdvance(Calendar,X3043,NDays&amp;"D")</f>
        <v>60198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60205</v>
      </c>
      <c r="Y3044" s="184">
        <f>_xll.qlCalendarAdvance(Calendar,X3044,NDays&amp;"D")</f>
        <v>60205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60212</v>
      </c>
      <c r="Y3045" s="184">
        <f>_xll.qlCalendarAdvance(Calendar,X3045,NDays&amp;"D")</f>
        <v>60212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60219</v>
      </c>
      <c r="Y3046" s="184">
        <f>_xll.qlCalendarAdvance(Calendar,X3046,NDays&amp;"D")</f>
        <v>60219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60226</v>
      </c>
      <c r="Y3047" s="184">
        <f>_xll.qlCalendarAdvance(Calendar,X3047,NDays&amp;"D")</f>
        <v>60226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60233</v>
      </c>
      <c r="Y3048" s="184">
        <f>_xll.qlCalendarAdvance(Calendar,X3048,NDays&amp;"D")</f>
        <v>60233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60240</v>
      </c>
      <c r="Y3049" s="184">
        <f>_xll.qlCalendarAdvance(Calendar,X3049,NDays&amp;"D")</f>
        <v>60240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60247</v>
      </c>
      <c r="Y3050" s="184">
        <f>_xll.qlCalendarAdvance(Calendar,X3050,NDays&amp;"D")</f>
        <v>60247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60254</v>
      </c>
      <c r="Y3051" s="184">
        <f>_xll.qlCalendarAdvance(Calendar,X3051,NDays&amp;"D")</f>
        <v>60254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60265</v>
      </c>
      <c r="Y3052" s="184">
        <f>_xll.qlCalendarAdvance(Calendar,X3052,NDays&amp;"D")</f>
        <v>60265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60272</v>
      </c>
      <c r="Y3053" s="184">
        <f>_xll.qlCalendarAdvance(Calendar,X3053,NDays&amp;"D")</f>
        <v>60272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60279</v>
      </c>
      <c r="Y3054" s="184">
        <f>_xll.qlCalendarAdvance(Calendar,X3054,NDays&amp;"D")</f>
        <v>60279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60286</v>
      </c>
      <c r="Y3055" s="184">
        <f>_xll.qlCalendarAdvance(Calendar,X3055,NDays&amp;"D")</f>
        <v>60286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60294</v>
      </c>
      <c r="Y3056" s="184">
        <f>_xll.qlCalendarAdvance(Calendar,X3056,NDays&amp;"D")</f>
        <v>60294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60301</v>
      </c>
      <c r="Y3057" s="184">
        <f>_xll.qlCalendarAdvance(Calendar,X3057,NDays&amp;"D")</f>
        <v>60301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60308</v>
      </c>
      <c r="Y3058" s="184">
        <f>_xll.qlCalendarAdvance(Calendar,X3058,NDays&amp;"D")</f>
        <v>60308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60315</v>
      </c>
      <c r="Y3059" s="184">
        <f>_xll.qlCalendarAdvance(Calendar,X3059,NDays&amp;"D")</f>
        <v>60315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60322</v>
      </c>
      <c r="Y3060" s="184">
        <f>_xll.qlCalendarAdvance(Calendar,X3060,NDays&amp;"D")</f>
        <v>60322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60329</v>
      </c>
      <c r="Y3061" s="184">
        <f>_xll.qlCalendarAdvance(Calendar,X3061,NDays&amp;"D")</f>
        <v>60329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60336</v>
      </c>
      <c r="Y3062" s="184">
        <f>_xll.qlCalendarAdvance(Calendar,X3062,NDays&amp;"D")</f>
        <v>60336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60343</v>
      </c>
      <c r="Y3063" s="184">
        <f>_xll.qlCalendarAdvance(Calendar,X3063,NDays&amp;"D")</f>
        <v>60343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60350</v>
      </c>
      <c r="Y3064" s="184">
        <f>_xll.qlCalendarAdvance(Calendar,X3064,NDays&amp;"D")</f>
        <v>60350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60357</v>
      </c>
      <c r="Y3065" s="184">
        <f>_xll.qlCalendarAdvance(Calendar,X3065,NDays&amp;"D")</f>
        <v>60357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60364</v>
      </c>
      <c r="Y3066" s="184">
        <f>_xll.qlCalendarAdvance(Calendar,X3066,NDays&amp;"D")</f>
        <v>60364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60371</v>
      </c>
      <c r="Y3067" s="184">
        <f>_xll.qlCalendarAdvance(Calendar,X3067,NDays&amp;"D")</f>
        <v>60371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60378</v>
      </c>
      <c r="Y3068" s="184">
        <f>_xll.qlCalendarAdvance(Calendar,X3068,NDays&amp;"D")</f>
        <v>60378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60385</v>
      </c>
      <c r="Y3069" s="184">
        <f>_xll.qlCalendarAdvance(Calendar,X3069,NDays&amp;"D")</f>
        <v>60385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60392</v>
      </c>
      <c r="Y3070" s="184">
        <f>_xll.qlCalendarAdvance(Calendar,X3070,NDays&amp;"D")</f>
        <v>60392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60399</v>
      </c>
      <c r="Y3071" s="184">
        <f>_xll.qlCalendarAdvance(Calendar,X3071,NDays&amp;"D")</f>
        <v>60399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60406</v>
      </c>
      <c r="Y3072" s="184">
        <f>_xll.qlCalendarAdvance(Calendar,X3072,NDays&amp;"D")</f>
        <v>60406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60413</v>
      </c>
      <c r="Y3073" s="184">
        <f>_xll.qlCalendarAdvance(Calendar,X3073,NDays&amp;"D")</f>
        <v>60413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60420</v>
      </c>
      <c r="Y3074" s="184">
        <f>_xll.qlCalendarAdvance(Calendar,X3074,NDays&amp;"D")</f>
        <v>60420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60427</v>
      </c>
      <c r="Y3075" s="184">
        <f>_xll.qlCalendarAdvance(Calendar,X3075,NDays&amp;"D")</f>
        <v>60427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60434</v>
      </c>
      <c r="Y3076" s="184">
        <f>_xll.qlCalendarAdvance(Calendar,X3076,NDays&amp;"D")</f>
        <v>60434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60441</v>
      </c>
      <c r="Y3077" s="184">
        <f>_xll.qlCalendarAdvance(Calendar,X3077,NDays&amp;"D")</f>
        <v>60441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60448</v>
      </c>
      <c r="Y3078" s="184">
        <f>_xll.qlCalendarAdvance(Calendar,X3078,NDays&amp;"D")</f>
        <v>60448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60455</v>
      </c>
      <c r="Y3079" s="184">
        <f>_xll.qlCalendarAdvance(Calendar,X3079,NDays&amp;"D")</f>
        <v>60455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60462</v>
      </c>
      <c r="Y3080" s="184">
        <f>_xll.qlCalendarAdvance(Calendar,X3080,NDays&amp;"D")</f>
        <v>60462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60469</v>
      </c>
      <c r="Y3081" s="184">
        <f>_xll.qlCalendarAdvance(Calendar,X3081,NDays&amp;"D")</f>
        <v>60469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60476</v>
      </c>
      <c r="Y3082" s="184">
        <f>_xll.qlCalendarAdvance(Calendar,X3082,NDays&amp;"D")</f>
        <v>60476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60483</v>
      </c>
      <c r="Y3083" s="184">
        <f>_xll.qlCalendarAdvance(Calendar,X3083,NDays&amp;"D")</f>
        <v>60483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60490</v>
      </c>
      <c r="Y3084" s="184">
        <f>_xll.qlCalendarAdvance(Calendar,X3084,NDays&amp;"D")</f>
        <v>60490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60497</v>
      </c>
      <c r="Y3085" s="184">
        <f>_xll.qlCalendarAdvance(Calendar,X3085,NDays&amp;"D")</f>
        <v>60497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60504</v>
      </c>
      <c r="Y3086" s="184">
        <f>_xll.qlCalendarAdvance(Calendar,X3086,NDays&amp;"D")</f>
        <v>60504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60511</v>
      </c>
      <c r="Y3087" s="184">
        <f>_xll.qlCalendarAdvance(Calendar,X3087,NDays&amp;"D")</f>
        <v>60511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60518</v>
      </c>
      <c r="Y3088" s="184">
        <f>_xll.qlCalendarAdvance(Calendar,X3088,NDays&amp;"D")</f>
        <v>60518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60525</v>
      </c>
      <c r="Y3089" s="184">
        <f>_xll.qlCalendarAdvance(Calendar,X3089,NDays&amp;"D")</f>
        <v>60525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60532</v>
      </c>
      <c r="Y3090" s="184">
        <f>_xll.qlCalendarAdvance(Calendar,X3090,NDays&amp;"D")</f>
        <v>60532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60539</v>
      </c>
      <c r="Y3091" s="184">
        <f>_xll.qlCalendarAdvance(Calendar,X3091,NDays&amp;"D")</f>
        <v>60539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60546</v>
      </c>
      <c r="Y3092" s="184">
        <f>_xll.qlCalendarAdvance(Calendar,X3092,NDays&amp;"D")</f>
        <v>60546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60553</v>
      </c>
      <c r="Y3093" s="184">
        <f>_xll.qlCalendarAdvance(Calendar,X3093,NDays&amp;"D")</f>
        <v>60553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60560</v>
      </c>
      <c r="Y3094" s="184">
        <f>_xll.qlCalendarAdvance(Calendar,X3094,NDays&amp;"D")</f>
        <v>60560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60567</v>
      </c>
      <c r="Y3095" s="184">
        <f>_xll.qlCalendarAdvance(Calendar,X3095,NDays&amp;"D")</f>
        <v>60567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60574</v>
      </c>
      <c r="Y3096" s="184">
        <f>_xll.qlCalendarAdvance(Calendar,X3096,NDays&amp;"D")</f>
        <v>60574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60581</v>
      </c>
      <c r="Y3097" s="184">
        <f>_xll.qlCalendarAdvance(Calendar,X3097,NDays&amp;"D")</f>
        <v>60581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60588</v>
      </c>
      <c r="Y3098" s="184">
        <f>_xll.qlCalendarAdvance(Calendar,X3098,NDays&amp;"D")</f>
        <v>60588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60595</v>
      </c>
      <c r="Y3099" s="184">
        <f>_xll.qlCalendarAdvance(Calendar,X3099,NDays&amp;"D")</f>
        <v>60595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60602</v>
      </c>
      <c r="Y3100" s="184">
        <f>_xll.qlCalendarAdvance(Calendar,X3100,NDays&amp;"D")</f>
        <v>60602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60609</v>
      </c>
      <c r="Y3101" s="184">
        <f>_xll.qlCalendarAdvance(Calendar,X3101,NDays&amp;"D")</f>
        <v>60609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60616</v>
      </c>
      <c r="Y3102" s="184">
        <f>_xll.qlCalendarAdvance(Calendar,X3102,NDays&amp;"D")</f>
        <v>60616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60623</v>
      </c>
      <c r="Y3103" s="184">
        <f>_xll.qlCalendarAdvance(Calendar,X3103,NDays&amp;"D")</f>
        <v>60623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60630</v>
      </c>
      <c r="Y3104" s="184">
        <f>_xll.qlCalendarAdvance(Calendar,X3104,NDays&amp;"D")</f>
        <v>60630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60637</v>
      </c>
      <c r="Y3105" s="184">
        <f>_xll.qlCalendarAdvance(Calendar,X3105,NDays&amp;"D")</f>
        <v>60637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60644</v>
      </c>
      <c r="Y3106" s="184">
        <f>_xll.qlCalendarAdvance(Calendar,X3106,NDays&amp;"D")</f>
        <v>60644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60651</v>
      </c>
      <c r="Y3107" s="184">
        <f>_xll.qlCalendarAdvance(Calendar,X3107,NDays&amp;"D")</f>
        <v>60651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60659</v>
      </c>
      <c r="Y3108" s="184">
        <f>_xll.qlCalendarAdvance(Calendar,X3108,NDays&amp;"D")</f>
        <v>60659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60666</v>
      </c>
      <c r="Y3109" s="184">
        <f>_xll.qlCalendarAdvance(Calendar,X3109,NDays&amp;"D")</f>
        <v>60666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60673</v>
      </c>
      <c r="Y3110" s="184">
        <f>_xll.qlCalendarAdvance(Calendar,X3110,NDays&amp;"D")</f>
        <v>60673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60680</v>
      </c>
      <c r="Y3111" s="184">
        <f>_xll.qlCalendarAdvance(Calendar,X3111,NDays&amp;"D")</f>
        <v>60680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60687</v>
      </c>
      <c r="Y3112" s="184">
        <f>_xll.qlCalendarAdvance(Calendar,X3112,NDays&amp;"D")</f>
        <v>60687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60694</v>
      </c>
      <c r="Y3113" s="184">
        <f>_xll.qlCalendarAdvance(Calendar,X3113,NDays&amp;"D")</f>
        <v>60694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60701</v>
      </c>
      <c r="Y3114" s="184">
        <f>_xll.qlCalendarAdvance(Calendar,X3114,NDays&amp;"D")</f>
        <v>60701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60708</v>
      </c>
      <c r="Y3115" s="184">
        <f>_xll.qlCalendarAdvance(Calendar,X3115,NDays&amp;"D")</f>
        <v>60708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60715</v>
      </c>
      <c r="Y3116" s="184">
        <f>_xll.qlCalendarAdvance(Calendar,X3116,NDays&amp;"D")</f>
        <v>60715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60722</v>
      </c>
      <c r="Y3117" s="184">
        <f>_xll.qlCalendarAdvance(Calendar,X3117,NDays&amp;"D")</f>
        <v>60722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60729</v>
      </c>
      <c r="Y3118" s="184">
        <f>_xll.qlCalendarAdvance(Calendar,X3118,NDays&amp;"D")</f>
        <v>60729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60736</v>
      </c>
      <c r="Y3119" s="184">
        <f>_xll.qlCalendarAdvance(Calendar,X3119,NDays&amp;"D")</f>
        <v>60736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60743</v>
      </c>
      <c r="Y3120" s="184">
        <f>_xll.qlCalendarAdvance(Calendar,X3120,NDays&amp;"D")</f>
        <v>60743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60750</v>
      </c>
      <c r="Y3121" s="184">
        <f>_xll.qlCalendarAdvance(Calendar,X3121,NDays&amp;"D")</f>
        <v>60750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60757</v>
      </c>
      <c r="Y3122" s="184">
        <f>_xll.qlCalendarAdvance(Calendar,X3122,NDays&amp;"D")</f>
        <v>60757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60764</v>
      </c>
      <c r="Y3123" s="184">
        <f>_xll.qlCalendarAdvance(Calendar,X3123,NDays&amp;"D")</f>
        <v>60764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60771</v>
      </c>
      <c r="Y3124" s="184">
        <f>_xll.qlCalendarAdvance(Calendar,X3124,NDays&amp;"D")</f>
        <v>60771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60778</v>
      </c>
      <c r="Y3125" s="184">
        <f>_xll.qlCalendarAdvance(Calendar,X3125,NDays&amp;"D")</f>
        <v>60778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60785</v>
      </c>
      <c r="Y3126" s="184">
        <f>_xll.qlCalendarAdvance(Calendar,X3126,NDays&amp;"D")</f>
        <v>60785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60792</v>
      </c>
      <c r="Y3127" s="184">
        <f>_xll.qlCalendarAdvance(Calendar,X3127,NDays&amp;"D")</f>
        <v>60792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60799</v>
      </c>
      <c r="Y3128" s="184">
        <f>_xll.qlCalendarAdvance(Calendar,X3128,NDays&amp;"D")</f>
        <v>60799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60806</v>
      </c>
      <c r="Y3129" s="184">
        <f>_xll.qlCalendarAdvance(Calendar,X3129,NDays&amp;"D")</f>
        <v>60806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60813</v>
      </c>
      <c r="Y3130" s="184">
        <f>_xll.qlCalendarAdvance(Calendar,X3130,NDays&amp;"D")</f>
        <v>60813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60820</v>
      </c>
      <c r="Y3131" s="184">
        <f>_xll.qlCalendarAdvance(Calendar,X3131,NDays&amp;"D")</f>
        <v>60820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60827</v>
      </c>
      <c r="Y3132" s="184">
        <f>_xll.qlCalendarAdvance(Calendar,X3132,NDays&amp;"D")</f>
        <v>60827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60834</v>
      </c>
      <c r="Y3133" s="184">
        <f>_xll.qlCalendarAdvance(Calendar,X3133,NDays&amp;"D")</f>
        <v>60834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60841</v>
      </c>
      <c r="Y3134" s="184">
        <f>_xll.qlCalendarAdvance(Calendar,X3134,NDays&amp;"D")</f>
        <v>60841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60848</v>
      </c>
      <c r="Y3135" s="184">
        <f>_xll.qlCalendarAdvance(Calendar,X3135,NDays&amp;"D")</f>
        <v>60848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60855</v>
      </c>
      <c r="Y3136" s="184">
        <f>_xll.qlCalendarAdvance(Calendar,X3136,NDays&amp;"D")</f>
        <v>60855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60862</v>
      </c>
      <c r="Y3137" s="184">
        <f>_xll.qlCalendarAdvance(Calendar,X3137,NDays&amp;"D")</f>
        <v>60862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60869</v>
      </c>
      <c r="Y3138" s="184">
        <f>_xll.qlCalendarAdvance(Calendar,X3138,NDays&amp;"D")</f>
        <v>60869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60876</v>
      </c>
      <c r="Y3139" s="184">
        <f>_xll.qlCalendarAdvance(Calendar,X3139,NDays&amp;"D")</f>
        <v>60876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60883</v>
      </c>
      <c r="Y3140" s="184">
        <f>_xll.qlCalendarAdvance(Calendar,X3140,NDays&amp;"D")</f>
        <v>60883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60890</v>
      </c>
      <c r="Y3141" s="184">
        <f>_xll.qlCalendarAdvance(Calendar,X3141,NDays&amp;"D")</f>
        <v>60890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60897</v>
      </c>
      <c r="Y3142" s="184">
        <f>_xll.qlCalendarAdvance(Calendar,X3142,NDays&amp;"D")</f>
        <v>60897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60904</v>
      </c>
      <c r="Y3143" s="184">
        <f>_xll.qlCalendarAdvance(Calendar,X3143,NDays&amp;"D")</f>
        <v>60904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60911</v>
      </c>
      <c r="Y3144" s="184">
        <f>_xll.qlCalendarAdvance(Calendar,X3144,NDays&amp;"D")</f>
        <v>60911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60918</v>
      </c>
      <c r="Y3145" s="184">
        <f>_xll.qlCalendarAdvance(Calendar,X3145,NDays&amp;"D")</f>
        <v>60918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60925</v>
      </c>
      <c r="Y3146" s="184">
        <f>_xll.qlCalendarAdvance(Calendar,X3146,NDays&amp;"D")</f>
        <v>60925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60932</v>
      </c>
      <c r="Y3147" s="184">
        <f>_xll.qlCalendarAdvance(Calendar,X3147,NDays&amp;"D")</f>
        <v>60932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60939</v>
      </c>
      <c r="Y3148" s="184">
        <f>_xll.qlCalendarAdvance(Calendar,X3148,NDays&amp;"D")</f>
        <v>60939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60946</v>
      </c>
      <c r="Y3149" s="184">
        <f>_xll.qlCalendarAdvance(Calendar,X3149,NDays&amp;"D")</f>
        <v>60946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60953</v>
      </c>
      <c r="Y3150" s="184">
        <f>_xll.qlCalendarAdvance(Calendar,X3150,NDays&amp;"D")</f>
        <v>60953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60960</v>
      </c>
      <c r="Y3151" s="184">
        <f>_xll.qlCalendarAdvance(Calendar,X3151,NDays&amp;"D")</f>
        <v>60960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60967</v>
      </c>
      <c r="Y3152" s="184">
        <f>_xll.qlCalendarAdvance(Calendar,X3152,NDays&amp;"D")</f>
        <v>60967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60974</v>
      </c>
      <c r="Y3153" s="184">
        <f>_xll.qlCalendarAdvance(Calendar,X3153,NDays&amp;"D")</f>
        <v>60974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60981</v>
      </c>
      <c r="Y3154" s="184">
        <f>_xll.qlCalendarAdvance(Calendar,X3154,NDays&amp;"D")</f>
        <v>60981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60988</v>
      </c>
      <c r="Y3155" s="184">
        <f>_xll.qlCalendarAdvance(Calendar,X3155,NDays&amp;"D")</f>
        <v>60988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60995</v>
      </c>
      <c r="Y3156" s="184">
        <f>_xll.qlCalendarAdvance(Calendar,X3156,NDays&amp;"D")</f>
        <v>60995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61002</v>
      </c>
      <c r="Y3157" s="184">
        <f>_xll.qlCalendarAdvance(Calendar,X3157,NDays&amp;"D")</f>
        <v>61002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61009</v>
      </c>
      <c r="Y3158" s="184">
        <f>_xll.qlCalendarAdvance(Calendar,X3158,NDays&amp;"D")</f>
        <v>61009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61016</v>
      </c>
      <c r="Y3159" s="184">
        <f>_xll.qlCalendarAdvance(Calendar,X3159,NDays&amp;"D")</f>
        <v>61016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61024</v>
      </c>
      <c r="Y3160" s="184">
        <f>_xll.qlCalendarAdvance(Calendar,X3160,NDays&amp;"D")</f>
        <v>61024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61031</v>
      </c>
      <c r="Y3161" s="184">
        <f>_xll.qlCalendarAdvance(Calendar,X3161,NDays&amp;"D")</f>
        <v>61031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61038</v>
      </c>
      <c r="Y3162" s="184">
        <f>_xll.qlCalendarAdvance(Calendar,X3162,NDays&amp;"D")</f>
        <v>61038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61045</v>
      </c>
      <c r="Y3163" s="184">
        <f>_xll.qlCalendarAdvance(Calendar,X3163,NDays&amp;"D")</f>
        <v>61045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61052</v>
      </c>
      <c r="Y3164" s="184">
        <f>_xll.qlCalendarAdvance(Calendar,X3164,NDays&amp;"D")</f>
        <v>61052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61059</v>
      </c>
      <c r="Y3165" s="184">
        <f>_xll.qlCalendarAdvance(Calendar,X3165,NDays&amp;"D")</f>
        <v>61059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61066</v>
      </c>
      <c r="Y3166" s="184">
        <f>_xll.qlCalendarAdvance(Calendar,X3166,NDays&amp;"D")</f>
        <v>61066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61073</v>
      </c>
      <c r="Y3167" s="184">
        <f>_xll.qlCalendarAdvance(Calendar,X3167,NDays&amp;"D")</f>
        <v>61073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61080</v>
      </c>
      <c r="Y3168" s="184">
        <f>_xll.qlCalendarAdvance(Calendar,X3168,NDays&amp;"D")</f>
        <v>61080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61087</v>
      </c>
      <c r="Y3169" s="184">
        <f>_xll.qlCalendarAdvance(Calendar,X3169,NDays&amp;"D")</f>
        <v>61087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61094</v>
      </c>
      <c r="Y3170" s="184">
        <f>_xll.qlCalendarAdvance(Calendar,X3170,NDays&amp;"D")</f>
        <v>61094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61101</v>
      </c>
      <c r="Y3171" s="184">
        <f>_xll.qlCalendarAdvance(Calendar,X3171,NDays&amp;"D")</f>
        <v>61101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61108</v>
      </c>
      <c r="Y3172" s="184">
        <f>_xll.qlCalendarAdvance(Calendar,X3172,NDays&amp;"D")</f>
        <v>61108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61115</v>
      </c>
      <c r="Y3173" s="184">
        <f>_xll.qlCalendarAdvance(Calendar,X3173,NDays&amp;"D")</f>
        <v>61115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61122</v>
      </c>
      <c r="Y3174" s="184">
        <f>_xll.qlCalendarAdvance(Calendar,X3174,NDays&amp;"D")</f>
        <v>61122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61129</v>
      </c>
      <c r="Y3175" s="184">
        <f>_xll.qlCalendarAdvance(Calendar,X3175,NDays&amp;"D")</f>
        <v>61129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61136</v>
      </c>
      <c r="Y3176" s="184">
        <f>_xll.qlCalendarAdvance(Calendar,X3176,NDays&amp;"D")</f>
        <v>61136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61143</v>
      </c>
      <c r="Y3177" s="184">
        <f>_xll.qlCalendarAdvance(Calendar,X3177,NDays&amp;"D")</f>
        <v>61143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61150</v>
      </c>
      <c r="Y3178" s="184">
        <f>_xll.qlCalendarAdvance(Calendar,X3178,NDays&amp;"D")</f>
        <v>61150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61157</v>
      </c>
      <c r="Y3179" s="184">
        <f>_xll.qlCalendarAdvance(Calendar,X3179,NDays&amp;"D")</f>
        <v>61157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61164</v>
      </c>
      <c r="Y3180" s="184">
        <f>_xll.qlCalendarAdvance(Calendar,X3180,NDays&amp;"D")</f>
        <v>61164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61171</v>
      </c>
      <c r="Y3181" s="184">
        <f>_xll.qlCalendarAdvance(Calendar,X3181,NDays&amp;"D")</f>
        <v>61171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61178</v>
      </c>
      <c r="Y3182" s="184">
        <f>_xll.qlCalendarAdvance(Calendar,X3182,NDays&amp;"D")</f>
        <v>61178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61185</v>
      </c>
      <c r="Y3183" s="184">
        <f>_xll.qlCalendarAdvance(Calendar,X3183,NDays&amp;"D")</f>
        <v>61185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61192</v>
      </c>
      <c r="Y3184" s="184">
        <f>_xll.qlCalendarAdvance(Calendar,X3184,NDays&amp;"D")</f>
        <v>61192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61199</v>
      </c>
      <c r="Y3185" s="184">
        <f>_xll.qlCalendarAdvance(Calendar,X3185,NDays&amp;"D")</f>
        <v>61199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61206</v>
      </c>
      <c r="Y3186" s="184">
        <f>_xll.qlCalendarAdvance(Calendar,X3186,NDays&amp;"D")</f>
        <v>61206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61213</v>
      </c>
      <c r="Y3187" s="184">
        <f>_xll.qlCalendarAdvance(Calendar,X3187,NDays&amp;"D")</f>
        <v>61213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61220</v>
      </c>
      <c r="Y3188" s="184">
        <f>_xll.qlCalendarAdvance(Calendar,X3188,NDays&amp;"D")</f>
        <v>61220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61227</v>
      </c>
      <c r="Y3189" s="184">
        <f>_xll.qlCalendarAdvance(Calendar,X3189,NDays&amp;"D")</f>
        <v>61227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61234</v>
      </c>
      <c r="Y3190" s="184">
        <f>_xll.qlCalendarAdvance(Calendar,X3190,NDays&amp;"D")</f>
        <v>61234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61241</v>
      </c>
      <c r="Y3191" s="184">
        <f>_xll.qlCalendarAdvance(Calendar,X3191,NDays&amp;"D")</f>
        <v>61241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61248</v>
      </c>
      <c r="Y3192" s="184">
        <f>_xll.qlCalendarAdvance(Calendar,X3192,NDays&amp;"D")</f>
        <v>61248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61255</v>
      </c>
      <c r="Y3193" s="184">
        <f>_xll.qlCalendarAdvance(Calendar,X3193,NDays&amp;"D")</f>
        <v>61255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61262</v>
      </c>
      <c r="Y3194" s="184">
        <f>_xll.qlCalendarAdvance(Calendar,X3194,NDays&amp;"D")</f>
        <v>61262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61269</v>
      </c>
      <c r="Y3195" s="184">
        <f>_xll.qlCalendarAdvance(Calendar,X3195,NDays&amp;"D")</f>
        <v>61269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61276</v>
      </c>
      <c r="Y3196" s="184">
        <f>_xll.qlCalendarAdvance(Calendar,X3196,NDays&amp;"D")</f>
        <v>61276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61283</v>
      </c>
      <c r="Y3197" s="184">
        <f>_xll.qlCalendarAdvance(Calendar,X3197,NDays&amp;"D")</f>
        <v>61283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61290</v>
      </c>
      <c r="Y3198" s="184">
        <f>_xll.qlCalendarAdvance(Calendar,X3198,NDays&amp;"D")</f>
        <v>61290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61297</v>
      </c>
      <c r="Y3199" s="184">
        <f>_xll.qlCalendarAdvance(Calendar,X3199,NDays&amp;"D")</f>
        <v>61297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61304</v>
      </c>
      <c r="Y3200" s="184">
        <f>_xll.qlCalendarAdvance(Calendar,X3200,NDays&amp;"D")</f>
        <v>61304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61311</v>
      </c>
      <c r="Y3201" s="184">
        <f>_xll.qlCalendarAdvance(Calendar,X3201,NDays&amp;"D")</f>
        <v>61311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61318</v>
      </c>
      <c r="Y3202" s="184">
        <f>_xll.qlCalendarAdvance(Calendar,X3202,NDays&amp;"D")</f>
        <v>61318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61325</v>
      </c>
      <c r="Y3203" s="184">
        <f>_xll.qlCalendarAdvance(Calendar,X3203,NDays&amp;"D")</f>
        <v>61325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61332</v>
      </c>
      <c r="Y3204" s="184">
        <f>_xll.qlCalendarAdvance(Calendar,X3204,NDays&amp;"D")</f>
        <v>61332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61339</v>
      </c>
      <c r="Y3205" s="184">
        <f>_xll.qlCalendarAdvance(Calendar,X3205,NDays&amp;"D")</f>
        <v>61339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61346</v>
      </c>
      <c r="Y3206" s="184">
        <f>_xll.qlCalendarAdvance(Calendar,X3206,NDays&amp;"D")</f>
        <v>61346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61353</v>
      </c>
      <c r="Y3207" s="184">
        <f>_xll.qlCalendarAdvance(Calendar,X3207,NDays&amp;"D")</f>
        <v>61353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61360</v>
      </c>
      <c r="Y3208" s="184">
        <f>_xll.qlCalendarAdvance(Calendar,X3208,NDays&amp;"D")</f>
        <v>61360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61367</v>
      </c>
      <c r="Y3209" s="184">
        <f>_xll.qlCalendarAdvance(Calendar,X3209,NDays&amp;"D")</f>
        <v>61367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61374</v>
      </c>
      <c r="Y3210" s="184">
        <f>_xll.qlCalendarAdvance(Calendar,X3210,NDays&amp;"D")</f>
        <v>61374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61381</v>
      </c>
      <c r="Y3211" s="184">
        <f>_xll.qlCalendarAdvance(Calendar,X3211,NDays&amp;"D")</f>
        <v>61381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61389</v>
      </c>
      <c r="Y3212" s="184">
        <f>_xll.qlCalendarAdvance(Calendar,X3212,NDays&amp;"D")</f>
        <v>61389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61396</v>
      </c>
      <c r="Y3213" s="184">
        <f>_xll.qlCalendarAdvance(Calendar,X3213,NDays&amp;"D")</f>
        <v>61396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61403</v>
      </c>
      <c r="Y3214" s="184">
        <f>_xll.qlCalendarAdvance(Calendar,X3214,NDays&amp;"D")</f>
        <v>61403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61410</v>
      </c>
      <c r="Y3215" s="184">
        <f>_xll.qlCalendarAdvance(Calendar,X3215,NDays&amp;"D")</f>
        <v>61410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61417</v>
      </c>
      <c r="Y3216" s="184">
        <f>_xll.qlCalendarAdvance(Calendar,X3216,NDays&amp;"D")</f>
        <v>61417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61424</v>
      </c>
      <c r="Y3217" s="184">
        <f>_xll.qlCalendarAdvance(Calendar,X3217,NDays&amp;"D")</f>
        <v>61424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61431</v>
      </c>
      <c r="Y3218" s="184">
        <f>_xll.qlCalendarAdvance(Calendar,X3218,NDays&amp;"D")</f>
        <v>61431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61438</v>
      </c>
      <c r="Y3219" s="184">
        <f>_xll.qlCalendarAdvance(Calendar,X3219,NDays&amp;"D")</f>
        <v>61438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61445</v>
      </c>
      <c r="Y3220" s="184">
        <f>_xll.qlCalendarAdvance(Calendar,X3220,NDays&amp;"D")</f>
        <v>61445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61452</v>
      </c>
      <c r="Y3221" s="184">
        <f>_xll.qlCalendarAdvance(Calendar,X3221,NDays&amp;"D")</f>
        <v>61452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61459</v>
      </c>
      <c r="Y3222" s="184">
        <f>_xll.qlCalendarAdvance(Calendar,X3222,NDays&amp;"D")</f>
        <v>61459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61466</v>
      </c>
      <c r="Y3223" s="184">
        <f>_xll.qlCalendarAdvance(Calendar,X3223,NDays&amp;"D")</f>
        <v>61466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61477</v>
      </c>
      <c r="Y3224" s="184">
        <f>_xll.qlCalendarAdvance(Calendar,X3224,NDays&amp;"D")</f>
        <v>61477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61484</v>
      </c>
      <c r="Y3225" s="184">
        <f>_xll.qlCalendarAdvance(Calendar,X3225,NDays&amp;"D")</f>
        <v>61484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61491</v>
      </c>
      <c r="Y3226" s="184">
        <f>_xll.qlCalendarAdvance(Calendar,X3226,NDays&amp;"D")</f>
        <v>61491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61498</v>
      </c>
      <c r="Y3227" s="184">
        <f>_xll.qlCalendarAdvance(Calendar,X3227,NDays&amp;"D")</f>
        <v>61498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61505</v>
      </c>
      <c r="Y3228" s="184">
        <f>_xll.qlCalendarAdvance(Calendar,X3228,NDays&amp;"D")</f>
        <v>61505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61512</v>
      </c>
      <c r="Y3229" s="184">
        <f>_xll.qlCalendarAdvance(Calendar,X3229,NDays&amp;"D")</f>
        <v>61512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61519</v>
      </c>
      <c r="Y3230" s="184">
        <f>_xll.qlCalendarAdvance(Calendar,X3230,NDays&amp;"D")</f>
        <v>61519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61526</v>
      </c>
      <c r="Y3231" s="184">
        <f>_xll.qlCalendarAdvance(Calendar,X3231,NDays&amp;"D")</f>
        <v>61526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61533</v>
      </c>
      <c r="Y3232" s="184">
        <f>_xll.qlCalendarAdvance(Calendar,X3232,NDays&amp;"D")</f>
        <v>61533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61540</v>
      </c>
      <c r="Y3233" s="184">
        <f>_xll.qlCalendarAdvance(Calendar,X3233,NDays&amp;"D")</f>
        <v>61540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61547</v>
      </c>
      <c r="Y3234" s="184">
        <f>_xll.qlCalendarAdvance(Calendar,X3234,NDays&amp;"D")</f>
        <v>61547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61554</v>
      </c>
      <c r="Y3235" s="184">
        <f>_xll.qlCalendarAdvance(Calendar,X3235,NDays&amp;"D")</f>
        <v>61554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61561</v>
      </c>
      <c r="Y3236" s="184">
        <f>_xll.qlCalendarAdvance(Calendar,X3236,NDays&amp;"D")</f>
        <v>61561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61568</v>
      </c>
      <c r="Y3237" s="184">
        <f>_xll.qlCalendarAdvance(Calendar,X3237,NDays&amp;"D")</f>
        <v>61568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61575</v>
      </c>
      <c r="Y3238" s="184">
        <f>_xll.qlCalendarAdvance(Calendar,X3238,NDays&amp;"D")</f>
        <v>61575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61582</v>
      </c>
      <c r="Y3239" s="184">
        <f>_xll.qlCalendarAdvance(Calendar,X3239,NDays&amp;"D")</f>
        <v>61582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61589</v>
      </c>
      <c r="Y3240" s="184">
        <f>_xll.qlCalendarAdvance(Calendar,X3240,NDays&amp;"D")</f>
        <v>61589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61596</v>
      </c>
      <c r="Y3241" s="184">
        <f>_xll.qlCalendarAdvance(Calendar,X3241,NDays&amp;"D")</f>
        <v>61596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61603</v>
      </c>
      <c r="Y3242" s="184">
        <f>_xll.qlCalendarAdvance(Calendar,X3242,NDays&amp;"D")</f>
        <v>61603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61610</v>
      </c>
      <c r="Y3243" s="184">
        <f>_xll.qlCalendarAdvance(Calendar,X3243,NDays&amp;"D")</f>
        <v>61610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61617</v>
      </c>
      <c r="Y3244" s="184">
        <f>_xll.qlCalendarAdvance(Calendar,X3244,NDays&amp;"D")</f>
        <v>61617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61624</v>
      </c>
      <c r="Y3245" s="184">
        <f>_xll.qlCalendarAdvance(Calendar,X3245,NDays&amp;"D")</f>
        <v>61624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61631</v>
      </c>
      <c r="Y3246" s="184">
        <f>_xll.qlCalendarAdvance(Calendar,X3246,NDays&amp;"D")</f>
        <v>61631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61638</v>
      </c>
      <c r="Y3247" s="184">
        <f>_xll.qlCalendarAdvance(Calendar,X3247,NDays&amp;"D")</f>
        <v>61638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61645</v>
      </c>
      <c r="Y3248" s="184">
        <f>_xll.qlCalendarAdvance(Calendar,X3248,NDays&amp;"D")</f>
        <v>61645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61652</v>
      </c>
      <c r="Y3249" s="184">
        <f>_xll.qlCalendarAdvance(Calendar,X3249,NDays&amp;"D")</f>
        <v>61652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61659</v>
      </c>
      <c r="Y3250" s="184">
        <f>_xll.qlCalendarAdvance(Calendar,X3250,NDays&amp;"D")</f>
        <v>61659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61666</v>
      </c>
      <c r="Y3251" s="184">
        <f>_xll.qlCalendarAdvance(Calendar,X3251,NDays&amp;"D")</f>
        <v>61666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61673</v>
      </c>
      <c r="Y3252" s="184">
        <f>_xll.qlCalendarAdvance(Calendar,X3252,NDays&amp;"D")</f>
        <v>61673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61680</v>
      </c>
      <c r="Y3253" s="184">
        <f>_xll.qlCalendarAdvance(Calendar,X3253,NDays&amp;"D")</f>
        <v>61680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61687</v>
      </c>
      <c r="Y3254" s="184">
        <f>_xll.qlCalendarAdvance(Calendar,X3254,NDays&amp;"D")</f>
        <v>61687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61694</v>
      </c>
      <c r="Y3255" s="184">
        <f>_xll.qlCalendarAdvance(Calendar,X3255,NDays&amp;"D")</f>
        <v>61694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61701</v>
      </c>
      <c r="Y3256" s="184">
        <f>_xll.qlCalendarAdvance(Calendar,X3256,NDays&amp;"D")</f>
        <v>61701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61708</v>
      </c>
      <c r="Y3257" s="184">
        <f>_xll.qlCalendarAdvance(Calendar,X3257,NDays&amp;"D")</f>
        <v>61708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61715</v>
      </c>
      <c r="Y3258" s="184">
        <f>_xll.qlCalendarAdvance(Calendar,X3258,NDays&amp;"D")</f>
        <v>61715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61724</v>
      </c>
      <c r="Y3259" s="184">
        <f>_xll.qlCalendarAdvance(Calendar,X3259,NDays&amp;"D")</f>
        <v>61724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61731</v>
      </c>
      <c r="Y3260" s="184">
        <f>_xll.qlCalendarAdvance(Calendar,X3260,NDays&amp;"D")</f>
        <v>61731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61738</v>
      </c>
      <c r="Y3261" s="184">
        <f>_xll.qlCalendarAdvance(Calendar,X3261,NDays&amp;"D")</f>
        <v>61738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61745</v>
      </c>
      <c r="Y3262" s="184">
        <f>_xll.qlCalendarAdvance(Calendar,X3262,NDays&amp;"D")</f>
        <v>61745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61752</v>
      </c>
      <c r="Y3263" s="184">
        <f>_xll.qlCalendarAdvance(Calendar,X3263,NDays&amp;"D")</f>
        <v>61752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61759</v>
      </c>
      <c r="Y3264" s="184">
        <f>_xll.qlCalendarAdvance(Calendar,X3264,NDays&amp;"D")</f>
        <v>61759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61766</v>
      </c>
      <c r="Y3265" s="184">
        <f>_xll.qlCalendarAdvance(Calendar,X3265,NDays&amp;"D")</f>
        <v>61766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61773</v>
      </c>
      <c r="Y3266" s="184">
        <f>_xll.qlCalendarAdvance(Calendar,X3266,NDays&amp;"D")</f>
        <v>61773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61780</v>
      </c>
      <c r="Y3267" s="184">
        <f>_xll.qlCalendarAdvance(Calendar,X3267,NDays&amp;"D")</f>
        <v>61780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61787</v>
      </c>
      <c r="Y3268" s="184">
        <f>_xll.qlCalendarAdvance(Calendar,X3268,NDays&amp;"D")</f>
        <v>61787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61794</v>
      </c>
      <c r="Y3269" s="184">
        <f>_xll.qlCalendarAdvance(Calendar,X3269,NDays&amp;"D")</f>
        <v>61794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61801</v>
      </c>
      <c r="Y3270" s="184">
        <f>_xll.qlCalendarAdvance(Calendar,X3270,NDays&amp;"D")</f>
        <v>61801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61808</v>
      </c>
      <c r="Y3271" s="184">
        <f>_xll.qlCalendarAdvance(Calendar,X3271,NDays&amp;"D")</f>
        <v>61808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61815</v>
      </c>
      <c r="Y3272" s="184">
        <f>_xll.qlCalendarAdvance(Calendar,X3272,NDays&amp;"D")</f>
        <v>61815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61822</v>
      </c>
      <c r="Y3273" s="184">
        <f>_xll.qlCalendarAdvance(Calendar,X3273,NDays&amp;"D")</f>
        <v>61822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61829</v>
      </c>
      <c r="Y3274" s="184">
        <f>_xll.qlCalendarAdvance(Calendar,X3274,NDays&amp;"D")</f>
        <v>61829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61836</v>
      </c>
      <c r="Y3275" s="184">
        <f>_xll.qlCalendarAdvance(Calendar,X3275,NDays&amp;"D")</f>
        <v>61836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61844</v>
      </c>
      <c r="Y3276" s="184">
        <f>_xll.qlCalendarAdvance(Calendar,X3276,NDays&amp;"D")</f>
        <v>61844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61851</v>
      </c>
      <c r="Y3277" s="184">
        <f>_xll.qlCalendarAdvance(Calendar,X3277,NDays&amp;"D")</f>
        <v>61851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61858</v>
      </c>
      <c r="Y3278" s="184">
        <f>_xll.qlCalendarAdvance(Calendar,X3278,NDays&amp;"D")</f>
        <v>61858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61865</v>
      </c>
      <c r="Y3279" s="184">
        <f>_xll.qlCalendarAdvance(Calendar,X3279,NDays&amp;"D")</f>
        <v>61865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61872</v>
      </c>
      <c r="Y3280" s="184">
        <f>_xll.qlCalendarAdvance(Calendar,X3280,NDays&amp;"D")</f>
        <v>61872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61879</v>
      </c>
      <c r="Y3281" s="184">
        <f>_xll.qlCalendarAdvance(Calendar,X3281,NDays&amp;"D")</f>
        <v>61879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61886</v>
      </c>
      <c r="Y3282" s="184">
        <f>_xll.qlCalendarAdvance(Calendar,X3282,NDays&amp;"D")</f>
        <v>61886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61893</v>
      </c>
      <c r="Y3283" s="184">
        <f>_xll.qlCalendarAdvance(Calendar,X3283,NDays&amp;"D")</f>
        <v>61893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61900</v>
      </c>
      <c r="Y3284" s="184">
        <f>_xll.qlCalendarAdvance(Calendar,X3284,NDays&amp;"D")</f>
        <v>61900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61907</v>
      </c>
      <c r="Y3285" s="184">
        <f>_xll.qlCalendarAdvance(Calendar,X3285,NDays&amp;"D")</f>
        <v>61907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61914</v>
      </c>
      <c r="Y3286" s="184">
        <f>_xll.qlCalendarAdvance(Calendar,X3286,NDays&amp;"D")</f>
        <v>61914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61921</v>
      </c>
      <c r="Y3287" s="184">
        <f>_xll.qlCalendarAdvance(Calendar,X3287,NDays&amp;"D")</f>
        <v>61921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61928</v>
      </c>
      <c r="Y3288" s="184">
        <f>_xll.qlCalendarAdvance(Calendar,X3288,NDays&amp;"D")</f>
        <v>61928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61935</v>
      </c>
      <c r="Y3289" s="184">
        <f>_xll.qlCalendarAdvance(Calendar,X3289,NDays&amp;"D")</f>
        <v>61935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61942</v>
      </c>
      <c r="Y3290" s="184">
        <f>_xll.qlCalendarAdvance(Calendar,X3290,NDays&amp;"D")</f>
        <v>61942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61949</v>
      </c>
      <c r="Y3291" s="184">
        <f>_xll.qlCalendarAdvance(Calendar,X3291,NDays&amp;"D")</f>
        <v>61949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61956</v>
      </c>
      <c r="Y3292" s="184">
        <f>_xll.qlCalendarAdvance(Calendar,X3292,NDays&amp;"D")</f>
        <v>61956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61963</v>
      </c>
      <c r="Y3293" s="184">
        <f>_xll.qlCalendarAdvance(Calendar,X3293,NDays&amp;"D")</f>
        <v>61963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61970</v>
      </c>
      <c r="Y3294" s="184">
        <f>_xll.qlCalendarAdvance(Calendar,X3294,NDays&amp;"D")</f>
        <v>61970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61977</v>
      </c>
      <c r="Y3295" s="184">
        <f>_xll.qlCalendarAdvance(Calendar,X3295,NDays&amp;"D")</f>
        <v>61977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61984</v>
      </c>
      <c r="Y3296" s="184">
        <f>_xll.qlCalendarAdvance(Calendar,X3296,NDays&amp;"D")</f>
        <v>61984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61991</v>
      </c>
      <c r="Y3297" s="184">
        <f>_xll.qlCalendarAdvance(Calendar,X3297,NDays&amp;"D")</f>
        <v>61991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61998</v>
      </c>
      <c r="Y3298" s="184">
        <f>_xll.qlCalendarAdvance(Calendar,X3298,NDays&amp;"D")</f>
        <v>61998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62005</v>
      </c>
      <c r="Y3299" s="184">
        <f>_xll.qlCalendarAdvance(Calendar,X3299,NDays&amp;"D")</f>
        <v>62005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62012</v>
      </c>
      <c r="Y3300" s="184">
        <f>_xll.qlCalendarAdvance(Calendar,X3300,NDays&amp;"D")</f>
        <v>62012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62019</v>
      </c>
      <c r="Y3301" s="184">
        <f>_xll.qlCalendarAdvance(Calendar,X3301,NDays&amp;"D")</f>
        <v>62019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62026</v>
      </c>
      <c r="Y3302" s="184">
        <f>_xll.qlCalendarAdvance(Calendar,X3302,NDays&amp;"D")</f>
        <v>62026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62033</v>
      </c>
      <c r="Y3303" s="184">
        <f>_xll.qlCalendarAdvance(Calendar,X3303,NDays&amp;"D")</f>
        <v>62033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62040</v>
      </c>
      <c r="Y3304" s="184">
        <f>_xll.qlCalendarAdvance(Calendar,X3304,NDays&amp;"D")</f>
        <v>62040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62047</v>
      </c>
      <c r="Y3305" s="184">
        <f>_xll.qlCalendarAdvance(Calendar,X3305,NDays&amp;"D")</f>
        <v>62047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62054</v>
      </c>
      <c r="Y3306" s="184">
        <f>_xll.qlCalendarAdvance(Calendar,X3306,NDays&amp;"D")</f>
        <v>62054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62061</v>
      </c>
      <c r="Y3307" s="184">
        <f>_xll.qlCalendarAdvance(Calendar,X3307,NDays&amp;"D")</f>
        <v>62061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62068</v>
      </c>
      <c r="Y3308" s="184">
        <f>_xll.qlCalendarAdvance(Calendar,X3308,NDays&amp;"D")</f>
        <v>62068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62075</v>
      </c>
      <c r="Y3309" s="184">
        <f>_xll.qlCalendarAdvance(Calendar,X3309,NDays&amp;"D")</f>
        <v>62075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62082</v>
      </c>
      <c r="Y3310" s="184">
        <f>_xll.qlCalendarAdvance(Calendar,X3310,NDays&amp;"D")</f>
        <v>62082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62089</v>
      </c>
      <c r="Y3311" s="184">
        <f>_xll.qlCalendarAdvance(Calendar,X3311,NDays&amp;"D")</f>
        <v>62089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62096</v>
      </c>
      <c r="Y3312" s="184">
        <f>_xll.qlCalendarAdvance(Calendar,X3312,NDays&amp;"D")</f>
        <v>62096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62103</v>
      </c>
      <c r="Y3313" s="184">
        <f>_xll.qlCalendarAdvance(Calendar,X3313,NDays&amp;"D")</f>
        <v>62103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62110</v>
      </c>
      <c r="Y3314" s="184">
        <f>_xll.qlCalendarAdvance(Calendar,X3314,NDays&amp;"D")</f>
        <v>62110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62117</v>
      </c>
      <c r="Y3315" s="184">
        <f>_xll.qlCalendarAdvance(Calendar,X3315,NDays&amp;"D")</f>
        <v>62117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62124</v>
      </c>
      <c r="Y3316" s="184">
        <f>_xll.qlCalendarAdvance(Calendar,X3316,NDays&amp;"D")</f>
        <v>62124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62131</v>
      </c>
      <c r="Y3317" s="184">
        <f>_xll.qlCalendarAdvance(Calendar,X3317,NDays&amp;"D")</f>
        <v>62131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62138</v>
      </c>
      <c r="Y3318" s="184">
        <f>_xll.qlCalendarAdvance(Calendar,X3318,NDays&amp;"D")</f>
        <v>62138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62145</v>
      </c>
      <c r="Y3319" s="184">
        <f>_xll.qlCalendarAdvance(Calendar,X3319,NDays&amp;"D")</f>
        <v>62145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62152</v>
      </c>
      <c r="Y3320" s="184">
        <f>_xll.qlCalendarAdvance(Calendar,X3320,NDays&amp;"D")</f>
        <v>62152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62159</v>
      </c>
      <c r="Y3321" s="184">
        <f>_xll.qlCalendarAdvance(Calendar,X3321,NDays&amp;"D")</f>
        <v>62159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62166</v>
      </c>
      <c r="Y3322" s="184">
        <f>_xll.qlCalendarAdvance(Calendar,X3322,NDays&amp;"D")</f>
        <v>62166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62173</v>
      </c>
      <c r="Y3323" s="184">
        <f>_xll.qlCalendarAdvance(Calendar,X3323,NDays&amp;"D")</f>
        <v>62173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62184</v>
      </c>
      <c r="Y3324" s="184">
        <f>_xll.qlCalendarAdvance(Calendar,X3324,NDays&amp;"D")</f>
        <v>62184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62191</v>
      </c>
      <c r="Y3325" s="184">
        <f>_xll.qlCalendarAdvance(Calendar,X3325,NDays&amp;"D")</f>
        <v>62191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62198</v>
      </c>
      <c r="Y3326" s="184">
        <f>_xll.qlCalendarAdvance(Calendar,X3326,NDays&amp;"D")</f>
        <v>62198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62205</v>
      </c>
      <c r="Y3327" s="184">
        <f>_xll.qlCalendarAdvance(Calendar,X3327,NDays&amp;"D")</f>
        <v>62205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62212</v>
      </c>
      <c r="Y3328" s="184">
        <f>_xll.qlCalendarAdvance(Calendar,X3328,NDays&amp;"D")</f>
        <v>62212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62219</v>
      </c>
      <c r="Y3329" s="184">
        <f>_xll.qlCalendarAdvance(Calendar,X3329,NDays&amp;"D")</f>
        <v>62219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62226</v>
      </c>
      <c r="Y3330" s="184">
        <f>_xll.qlCalendarAdvance(Calendar,X3330,NDays&amp;"D")</f>
        <v>62226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62233</v>
      </c>
      <c r="Y3331" s="184">
        <f>_xll.qlCalendarAdvance(Calendar,X3331,NDays&amp;"D")</f>
        <v>62233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62240</v>
      </c>
      <c r="Y3332" s="184">
        <f>_xll.qlCalendarAdvance(Calendar,X3332,NDays&amp;"D")</f>
        <v>62240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62247</v>
      </c>
      <c r="Y3333" s="184">
        <f>_xll.qlCalendarAdvance(Calendar,X3333,NDays&amp;"D")</f>
        <v>62247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62254</v>
      </c>
      <c r="Y3334" s="184">
        <f>_xll.qlCalendarAdvance(Calendar,X3334,NDays&amp;"D")</f>
        <v>62254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62261</v>
      </c>
      <c r="Y3335" s="184">
        <f>_xll.qlCalendarAdvance(Calendar,X3335,NDays&amp;"D")</f>
        <v>62261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62268</v>
      </c>
      <c r="Y3336" s="184">
        <f>_xll.qlCalendarAdvance(Calendar,X3336,NDays&amp;"D")</f>
        <v>62268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62275</v>
      </c>
      <c r="Y3337" s="184">
        <f>_xll.qlCalendarAdvance(Calendar,X3337,NDays&amp;"D")</f>
        <v>62275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62282</v>
      </c>
      <c r="Y3338" s="184">
        <f>_xll.qlCalendarAdvance(Calendar,X3338,NDays&amp;"D")</f>
        <v>62282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62289</v>
      </c>
      <c r="Y3339" s="184">
        <f>_xll.qlCalendarAdvance(Calendar,X3339,NDays&amp;"D")</f>
        <v>62289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62296</v>
      </c>
      <c r="Y3340" s="184">
        <f>_xll.qlCalendarAdvance(Calendar,X3340,NDays&amp;"D")</f>
        <v>62296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62303</v>
      </c>
      <c r="Y3341" s="184">
        <f>_xll.qlCalendarAdvance(Calendar,X3341,NDays&amp;"D")</f>
        <v>62303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62310</v>
      </c>
      <c r="Y3342" s="184">
        <f>_xll.qlCalendarAdvance(Calendar,X3342,NDays&amp;"D")</f>
        <v>62310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62317</v>
      </c>
      <c r="Y3343" s="184">
        <f>_xll.qlCalendarAdvance(Calendar,X3343,NDays&amp;"D")</f>
        <v>62317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62324</v>
      </c>
      <c r="Y3344" s="184">
        <f>_xll.qlCalendarAdvance(Calendar,X3344,NDays&amp;"D")</f>
        <v>62324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62331</v>
      </c>
      <c r="Y3345" s="184">
        <f>_xll.qlCalendarAdvance(Calendar,X3345,NDays&amp;"D")</f>
        <v>62331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62338</v>
      </c>
      <c r="Y3346" s="184">
        <f>_xll.qlCalendarAdvance(Calendar,X3346,NDays&amp;"D")</f>
        <v>62338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62345</v>
      </c>
      <c r="Y3347" s="184">
        <f>_xll.qlCalendarAdvance(Calendar,X3347,NDays&amp;"D")</f>
        <v>62345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62352</v>
      </c>
      <c r="Y3348" s="184">
        <f>_xll.qlCalendarAdvance(Calendar,X3348,NDays&amp;"D")</f>
        <v>62352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62359</v>
      </c>
      <c r="Y3349" s="184">
        <f>_xll.qlCalendarAdvance(Calendar,X3349,NDays&amp;"D")</f>
        <v>62359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62366</v>
      </c>
      <c r="Y3350" s="184">
        <f>_xll.qlCalendarAdvance(Calendar,X3350,NDays&amp;"D")</f>
        <v>62366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62373</v>
      </c>
      <c r="Y3351" s="184">
        <f>_xll.qlCalendarAdvance(Calendar,X3351,NDays&amp;"D")</f>
        <v>62373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62380</v>
      </c>
      <c r="Y3352" s="184">
        <f>_xll.qlCalendarAdvance(Calendar,X3352,NDays&amp;"D")</f>
        <v>62380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62387</v>
      </c>
      <c r="Y3353" s="184">
        <f>_xll.qlCalendarAdvance(Calendar,X3353,NDays&amp;"D")</f>
        <v>62387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62394</v>
      </c>
      <c r="Y3354" s="184">
        <f>_xll.qlCalendarAdvance(Calendar,X3354,NDays&amp;"D")</f>
        <v>62394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62401</v>
      </c>
      <c r="Y3355" s="184">
        <f>_xll.qlCalendarAdvance(Calendar,X3355,NDays&amp;"D")</f>
        <v>62401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62408</v>
      </c>
      <c r="Y3356" s="184">
        <f>_xll.qlCalendarAdvance(Calendar,X3356,NDays&amp;"D")</f>
        <v>62408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62415</v>
      </c>
      <c r="Y3357" s="184">
        <f>_xll.qlCalendarAdvance(Calendar,X3357,NDays&amp;"D")</f>
        <v>62415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62422</v>
      </c>
      <c r="Y3358" s="184">
        <f>_xll.qlCalendarAdvance(Calendar,X3358,NDays&amp;"D")</f>
        <v>62422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62429</v>
      </c>
      <c r="Y3359" s="184">
        <f>_xll.qlCalendarAdvance(Calendar,X3359,NDays&amp;"D")</f>
        <v>62429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62436</v>
      </c>
      <c r="Y3360" s="184">
        <f>_xll.qlCalendarAdvance(Calendar,X3360,NDays&amp;"D")</f>
        <v>62436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62443</v>
      </c>
      <c r="Y3361" s="184">
        <f>_xll.qlCalendarAdvance(Calendar,X3361,NDays&amp;"D")</f>
        <v>62443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62450</v>
      </c>
      <c r="Y3362" s="184">
        <f>_xll.qlCalendarAdvance(Calendar,X3362,NDays&amp;"D")</f>
        <v>62450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62457</v>
      </c>
      <c r="Y3363" s="184">
        <f>_xll.qlCalendarAdvance(Calendar,X3363,NDays&amp;"D")</f>
        <v>62457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62464</v>
      </c>
      <c r="Y3364" s="184">
        <f>_xll.qlCalendarAdvance(Calendar,X3364,NDays&amp;"D")</f>
        <v>62464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62471</v>
      </c>
      <c r="Y3365" s="184">
        <f>_xll.qlCalendarAdvance(Calendar,X3365,NDays&amp;"D")</f>
        <v>62471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62478</v>
      </c>
      <c r="Y3366" s="184">
        <f>_xll.qlCalendarAdvance(Calendar,X3366,NDays&amp;"D")</f>
        <v>62478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62485</v>
      </c>
      <c r="Y3367" s="184">
        <f>_xll.qlCalendarAdvance(Calendar,X3367,NDays&amp;"D")</f>
        <v>62485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62492</v>
      </c>
      <c r="Y3368" s="184">
        <f>_xll.qlCalendarAdvance(Calendar,X3368,NDays&amp;"D")</f>
        <v>62492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62499</v>
      </c>
      <c r="Y3369" s="184">
        <f>_xll.qlCalendarAdvance(Calendar,X3369,NDays&amp;"D")</f>
        <v>62499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62506</v>
      </c>
      <c r="Y3370" s="184">
        <f>_xll.qlCalendarAdvance(Calendar,X3370,NDays&amp;"D")</f>
        <v>62506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62513</v>
      </c>
      <c r="Y3371" s="184">
        <f>_xll.qlCalendarAdvance(Calendar,X3371,NDays&amp;"D")</f>
        <v>62513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62520</v>
      </c>
      <c r="Y3372" s="184">
        <f>_xll.qlCalendarAdvance(Calendar,X3372,NDays&amp;"D")</f>
        <v>62520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62527</v>
      </c>
      <c r="Y3373" s="184">
        <f>_xll.qlCalendarAdvance(Calendar,X3373,NDays&amp;"D")</f>
        <v>62527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62534</v>
      </c>
      <c r="Y3374" s="184">
        <f>_xll.qlCalendarAdvance(Calendar,X3374,NDays&amp;"D")</f>
        <v>62534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62541</v>
      </c>
      <c r="Y3375" s="184">
        <f>_xll.qlCalendarAdvance(Calendar,X3375,NDays&amp;"D")</f>
        <v>62541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62548</v>
      </c>
      <c r="Y3376" s="184">
        <f>_xll.qlCalendarAdvance(Calendar,X3376,NDays&amp;"D")</f>
        <v>62548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62555</v>
      </c>
      <c r="Y3377" s="184">
        <f>_xll.qlCalendarAdvance(Calendar,X3377,NDays&amp;"D")</f>
        <v>62555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62562</v>
      </c>
      <c r="Y3378" s="184">
        <f>_xll.qlCalendarAdvance(Calendar,X3378,NDays&amp;"D")</f>
        <v>62562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62569</v>
      </c>
      <c r="Y3379" s="184">
        <f>_xll.qlCalendarAdvance(Calendar,X3379,NDays&amp;"D")</f>
        <v>62569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62576</v>
      </c>
      <c r="Y3380" s="184">
        <f>_xll.qlCalendarAdvance(Calendar,X3380,NDays&amp;"D")</f>
        <v>62576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62583</v>
      </c>
      <c r="Y3381" s="184">
        <f>_xll.qlCalendarAdvance(Calendar,X3381,NDays&amp;"D")</f>
        <v>62583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62590</v>
      </c>
      <c r="Y3382" s="184">
        <f>_xll.qlCalendarAdvance(Calendar,X3382,NDays&amp;"D")</f>
        <v>62590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62597</v>
      </c>
      <c r="Y3383" s="184">
        <f>_xll.qlCalendarAdvance(Calendar,X3383,NDays&amp;"D")</f>
        <v>62597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62604</v>
      </c>
      <c r="Y3384" s="184">
        <f>_xll.qlCalendarAdvance(Calendar,X3384,NDays&amp;"D")</f>
        <v>62604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62611</v>
      </c>
      <c r="Y3385" s="184">
        <f>_xll.qlCalendarAdvance(Calendar,X3385,NDays&amp;"D")</f>
        <v>62611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62618</v>
      </c>
      <c r="Y3386" s="184">
        <f>_xll.qlCalendarAdvance(Calendar,X3386,NDays&amp;"D")</f>
        <v>62618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62625</v>
      </c>
      <c r="Y3387" s="184">
        <f>_xll.qlCalendarAdvance(Calendar,X3387,NDays&amp;"D")</f>
        <v>62625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62632</v>
      </c>
      <c r="Y3388" s="184">
        <f>_xll.qlCalendarAdvance(Calendar,X3388,NDays&amp;"D")</f>
        <v>62632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62639</v>
      </c>
      <c r="Y3389" s="184">
        <f>_xll.qlCalendarAdvance(Calendar,X3389,NDays&amp;"D")</f>
        <v>62639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62646</v>
      </c>
      <c r="Y3390" s="184">
        <f>_xll.qlCalendarAdvance(Calendar,X3390,NDays&amp;"D")</f>
        <v>62646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62653</v>
      </c>
      <c r="Y3391" s="184">
        <f>_xll.qlCalendarAdvance(Calendar,X3391,NDays&amp;"D")</f>
        <v>62653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62660</v>
      </c>
      <c r="Y3392" s="184">
        <f>_xll.qlCalendarAdvance(Calendar,X3392,NDays&amp;"D")</f>
        <v>62660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62667</v>
      </c>
      <c r="Y3393" s="184">
        <f>_xll.qlCalendarAdvance(Calendar,X3393,NDays&amp;"D")</f>
        <v>62667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62674</v>
      </c>
      <c r="Y3394" s="184">
        <f>_xll.qlCalendarAdvance(Calendar,X3394,NDays&amp;"D")</f>
        <v>62674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62681</v>
      </c>
      <c r="Y3395" s="184">
        <f>_xll.qlCalendarAdvance(Calendar,X3395,NDays&amp;"D")</f>
        <v>62681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62688</v>
      </c>
      <c r="Y3396" s="184">
        <f>_xll.qlCalendarAdvance(Calendar,X3396,NDays&amp;"D")</f>
        <v>62688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62695</v>
      </c>
      <c r="Y3397" s="184">
        <f>_xll.qlCalendarAdvance(Calendar,X3397,NDays&amp;"D")</f>
        <v>62695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62702</v>
      </c>
      <c r="Y3398" s="184">
        <f>_xll.qlCalendarAdvance(Calendar,X3398,NDays&amp;"D")</f>
        <v>62702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62709</v>
      </c>
      <c r="Y3399" s="184">
        <f>_xll.qlCalendarAdvance(Calendar,X3399,NDays&amp;"D")</f>
        <v>62709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62716</v>
      </c>
      <c r="Y3400" s="184">
        <f>_xll.qlCalendarAdvance(Calendar,X3400,NDays&amp;"D")</f>
        <v>62716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62723</v>
      </c>
      <c r="Y3401" s="184">
        <f>_xll.qlCalendarAdvance(Calendar,X3401,NDays&amp;"D")</f>
        <v>62723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62730</v>
      </c>
      <c r="Y3402" s="184">
        <f>_xll.qlCalendarAdvance(Calendar,X3402,NDays&amp;"D")</f>
        <v>62730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62737</v>
      </c>
      <c r="Y3403" s="184">
        <f>_xll.qlCalendarAdvance(Calendar,X3403,NDays&amp;"D")</f>
        <v>62737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62744</v>
      </c>
      <c r="Y3404" s="184">
        <f>_xll.qlCalendarAdvance(Calendar,X3404,NDays&amp;"D")</f>
        <v>62744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62751</v>
      </c>
      <c r="Y3405" s="184">
        <f>_xll.qlCalendarAdvance(Calendar,X3405,NDays&amp;"D")</f>
        <v>62751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62758</v>
      </c>
      <c r="Y3406" s="184">
        <f>_xll.qlCalendarAdvance(Calendar,X3406,NDays&amp;"D")</f>
        <v>62758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62765</v>
      </c>
      <c r="Y3407" s="184">
        <f>_xll.qlCalendarAdvance(Calendar,X3407,NDays&amp;"D")</f>
        <v>62765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62772</v>
      </c>
      <c r="Y3408" s="184">
        <f>_xll.qlCalendarAdvance(Calendar,X3408,NDays&amp;"D")</f>
        <v>62772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62779</v>
      </c>
      <c r="Y3409" s="184">
        <f>_xll.qlCalendarAdvance(Calendar,X3409,NDays&amp;"D")</f>
        <v>62779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62786</v>
      </c>
      <c r="Y3410" s="184">
        <f>_xll.qlCalendarAdvance(Calendar,X3410,NDays&amp;"D")</f>
        <v>62786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62793</v>
      </c>
      <c r="Y3411" s="184">
        <f>_xll.qlCalendarAdvance(Calendar,X3411,NDays&amp;"D")</f>
        <v>62793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62800</v>
      </c>
      <c r="Y3412" s="184">
        <f>_xll.qlCalendarAdvance(Calendar,X3412,NDays&amp;"D")</f>
        <v>62800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62807</v>
      </c>
      <c r="Y3413" s="184">
        <f>_xll.qlCalendarAdvance(Calendar,X3413,NDays&amp;"D")</f>
        <v>62807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62814</v>
      </c>
      <c r="Y3414" s="184">
        <f>_xll.qlCalendarAdvance(Calendar,X3414,NDays&amp;"D")</f>
        <v>62814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62821</v>
      </c>
      <c r="Y3415" s="184">
        <f>_xll.qlCalendarAdvance(Calendar,X3415,NDays&amp;"D")</f>
        <v>62821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62828</v>
      </c>
      <c r="Y3416" s="184">
        <f>_xll.qlCalendarAdvance(Calendar,X3416,NDays&amp;"D")</f>
        <v>62828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62835</v>
      </c>
      <c r="Y3417" s="184">
        <f>_xll.qlCalendarAdvance(Calendar,X3417,NDays&amp;"D")</f>
        <v>62835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62842</v>
      </c>
      <c r="Y3418" s="184">
        <f>_xll.qlCalendarAdvance(Calendar,X3418,NDays&amp;"D")</f>
        <v>62842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62850</v>
      </c>
      <c r="Y3419" s="184">
        <f>_xll.qlCalendarAdvance(Calendar,X3419,NDays&amp;"D")</f>
        <v>62850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62857</v>
      </c>
      <c r="Y3420" s="184">
        <f>_xll.qlCalendarAdvance(Calendar,X3420,NDays&amp;"D")</f>
        <v>62857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62864</v>
      </c>
      <c r="Y3421" s="184">
        <f>_xll.qlCalendarAdvance(Calendar,X3421,NDays&amp;"D")</f>
        <v>62864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62871</v>
      </c>
      <c r="Y3422" s="184">
        <f>_xll.qlCalendarAdvance(Calendar,X3422,NDays&amp;"D")</f>
        <v>62871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62878</v>
      </c>
      <c r="Y3423" s="184">
        <f>_xll.qlCalendarAdvance(Calendar,X3423,NDays&amp;"D")</f>
        <v>62878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62885</v>
      </c>
      <c r="Y3424" s="184">
        <f>_xll.qlCalendarAdvance(Calendar,X3424,NDays&amp;"D")</f>
        <v>62885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62892</v>
      </c>
      <c r="Y3425" s="184">
        <f>_xll.qlCalendarAdvance(Calendar,X3425,NDays&amp;"D")</f>
        <v>62892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62899</v>
      </c>
      <c r="Y3426" s="184">
        <f>_xll.qlCalendarAdvance(Calendar,X3426,NDays&amp;"D")</f>
        <v>62899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62906</v>
      </c>
      <c r="Y3427" s="184">
        <f>_xll.qlCalendarAdvance(Calendar,X3427,NDays&amp;"D")</f>
        <v>62906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62913</v>
      </c>
      <c r="Y3428" s="184">
        <f>_xll.qlCalendarAdvance(Calendar,X3428,NDays&amp;"D")</f>
        <v>62913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62920</v>
      </c>
      <c r="Y3429" s="184">
        <f>_xll.qlCalendarAdvance(Calendar,X3429,NDays&amp;"D")</f>
        <v>62920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62927</v>
      </c>
      <c r="Y3430" s="184">
        <f>_xll.qlCalendarAdvance(Calendar,X3430,NDays&amp;"D")</f>
        <v>62927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62934</v>
      </c>
      <c r="Y3431" s="184">
        <f>_xll.qlCalendarAdvance(Calendar,X3431,NDays&amp;"D")</f>
        <v>62934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62941</v>
      </c>
      <c r="Y3432" s="184">
        <f>_xll.qlCalendarAdvance(Calendar,X3432,NDays&amp;"D")</f>
        <v>62941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62948</v>
      </c>
      <c r="Y3433" s="184">
        <f>_xll.qlCalendarAdvance(Calendar,X3433,NDays&amp;"D")</f>
        <v>62948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62955</v>
      </c>
      <c r="Y3434" s="184">
        <f>_xll.qlCalendarAdvance(Calendar,X3434,NDays&amp;"D")</f>
        <v>62955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62962</v>
      </c>
      <c r="Y3435" s="184">
        <f>_xll.qlCalendarAdvance(Calendar,X3435,NDays&amp;"D")</f>
        <v>62962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62969</v>
      </c>
      <c r="Y3436" s="184">
        <f>_xll.qlCalendarAdvance(Calendar,X3436,NDays&amp;"D")</f>
        <v>62969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62976</v>
      </c>
      <c r="Y3437" s="184">
        <f>_xll.qlCalendarAdvance(Calendar,X3437,NDays&amp;"D")</f>
        <v>62976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62983</v>
      </c>
      <c r="Y3438" s="184">
        <f>_xll.qlCalendarAdvance(Calendar,X3438,NDays&amp;"D")</f>
        <v>62983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62990</v>
      </c>
      <c r="Y3439" s="184">
        <f>_xll.qlCalendarAdvance(Calendar,X3439,NDays&amp;"D")</f>
        <v>62990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62997</v>
      </c>
      <c r="Y3440" s="184">
        <f>_xll.qlCalendarAdvance(Calendar,X3440,NDays&amp;"D")</f>
        <v>62997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63004</v>
      </c>
      <c r="Y3441" s="184">
        <f>_xll.qlCalendarAdvance(Calendar,X3441,NDays&amp;"D")</f>
        <v>63004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63011</v>
      </c>
      <c r="Y3442" s="184">
        <f>_xll.qlCalendarAdvance(Calendar,X3442,NDays&amp;"D")</f>
        <v>63011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63018</v>
      </c>
      <c r="Y3443" s="184">
        <f>_xll.qlCalendarAdvance(Calendar,X3443,NDays&amp;"D")</f>
        <v>63018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63025</v>
      </c>
      <c r="Y3444" s="184">
        <f>_xll.qlCalendarAdvance(Calendar,X3444,NDays&amp;"D")</f>
        <v>63025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63032</v>
      </c>
      <c r="Y3445" s="184">
        <f>_xll.qlCalendarAdvance(Calendar,X3445,NDays&amp;"D")</f>
        <v>63032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63039</v>
      </c>
      <c r="Y3446" s="184">
        <f>_xll.qlCalendarAdvance(Calendar,X3446,NDays&amp;"D")</f>
        <v>63039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63046</v>
      </c>
      <c r="Y3447" s="184">
        <f>_xll.qlCalendarAdvance(Calendar,X3447,NDays&amp;"D")</f>
        <v>63046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63053</v>
      </c>
      <c r="Y3448" s="184">
        <f>_xll.qlCalendarAdvance(Calendar,X3448,NDays&amp;"D")</f>
        <v>63053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63060</v>
      </c>
      <c r="Y3449" s="184">
        <f>_xll.qlCalendarAdvance(Calendar,X3449,NDays&amp;"D")</f>
        <v>63060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63067</v>
      </c>
      <c r="Y3450" s="184">
        <f>_xll.qlCalendarAdvance(Calendar,X3450,NDays&amp;"D")</f>
        <v>63067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63074</v>
      </c>
      <c r="Y3451" s="184">
        <f>_xll.qlCalendarAdvance(Calendar,X3451,NDays&amp;"D")</f>
        <v>63074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63081</v>
      </c>
      <c r="Y3452" s="184">
        <f>_xll.qlCalendarAdvance(Calendar,X3452,NDays&amp;"D")</f>
        <v>63081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63088</v>
      </c>
      <c r="Y3453" s="184">
        <f>_xll.qlCalendarAdvance(Calendar,X3453,NDays&amp;"D")</f>
        <v>63088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63095</v>
      </c>
      <c r="Y3454" s="184">
        <f>_xll.qlCalendarAdvance(Calendar,X3454,NDays&amp;"D")</f>
        <v>63095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63102</v>
      </c>
      <c r="Y3455" s="184">
        <f>_xll.qlCalendarAdvance(Calendar,X3455,NDays&amp;"D")</f>
        <v>63102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63109</v>
      </c>
      <c r="Y3456" s="184">
        <f>_xll.qlCalendarAdvance(Calendar,X3456,NDays&amp;"D")</f>
        <v>63109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63116</v>
      </c>
      <c r="Y3457" s="184">
        <f>_xll.qlCalendarAdvance(Calendar,X3457,NDays&amp;"D")</f>
        <v>63116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63123</v>
      </c>
      <c r="Y3458" s="184">
        <f>_xll.qlCalendarAdvance(Calendar,X3458,NDays&amp;"D")</f>
        <v>63123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63130</v>
      </c>
      <c r="Y3459" s="184">
        <f>_xll.qlCalendarAdvance(Calendar,X3459,NDays&amp;"D")</f>
        <v>63130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63137</v>
      </c>
      <c r="Y3460" s="184">
        <f>_xll.qlCalendarAdvance(Calendar,X3460,NDays&amp;"D")</f>
        <v>63137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63144</v>
      </c>
      <c r="Y3461" s="184">
        <f>_xll.qlCalendarAdvance(Calendar,X3461,NDays&amp;"D")</f>
        <v>63144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63151</v>
      </c>
      <c r="Y3462" s="184">
        <f>_xll.qlCalendarAdvance(Calendar,X3462,NDays&amp;"D")</f>
        <v>63151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63158</v>
      </c>
      <c r="Y3463" s="184">
        <f>_xll.qlCalendarAdvance(Calendar,X3463,NDays&amp;"D")</f>
        <v>63158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63165</v>
      </c>
      <c r="Y3464" s="184">
        <f>_xll.qlCalendarAdvance(Calendar,X3464,NDays&amp;"D")</f>
        <v>63165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63172</v>
      </c>
      <c r="Y3465" s="184">
        <f>_xll.qlCalendarAdvance(Calendar,X3465,NDays&amp;"D")</f>
        <v>63172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63179</v>
      </c>
      <c r="Y3466" s="184">
        <f>_xll.qlCalendarAdvance(Calendar,X3466,NDays&amp;"D")</f>
        <v>63179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63186</v>
      </c>
      <c r="Y3467" s="184">
        <f>_xll.qlCalendarAdvance(Calendar,X3467,NDays&amp;"D")</f>
        <v>63186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63193</v>
      </c>
      <c r="Y3468" s="184">
        <f>_xll.qlCalendarAdvance(Calendar,X3468,NDays&amp;"D")</f>
        <v>63193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63200</v>
      </c>
      <c r="Y3469" s="184">
        <f>_xll.qlCalendarAdvance(Calendar,X3469,NDays&amp;"D")</f>
        <v>63200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63207</v>
      </c>
      <c r="Y3470" s="184">
        <f>_xll.qlCalendarAdvance(Calendar,X3470,NDays&amp;"D")</f>
        <v>63207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63214</v>
      </c>
      <c r="Y3471" s="184">
        <f>_xll.qlCalendarAdvance(Calendar,X3471,NDays&amp;"D")</f>
        <v>63214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63221</v>
      </c>
      <c r="Y3472" s="184">
        <f>_xll.qlCalendarAdvance(Calendar,X3472,NDays&amp;"D")</f>
        <v>63221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63228</v>
      </c>
      <c r="Y3473" s="184">
        <f>_xll.qlCalendarAdvance(Calendar,X3473,NDays&amp;"D")</f>
        <v>63228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63235</v>
      </c>
      <c r="Y3474" s="184">
        <f>_xll.qlCalendarAdvance(Calendar,X3474,NDays&amp;"D")</f>
        <v>63235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63242</v>
      </c>
      <c r="Y3475" s="184">
        <f>_xll.qlCalendarAdvance(Calendar,X3475,NDays&amp;"D")</f>
        <v>63242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63249</v>
      </c>
      <c r="Y3476" s="184">
        <f>_xll.qlCalendarAdvance(Calendar,X3476,NDays&amp;"D")</f>
        <v>63249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63256</v>
      </c>
      <c r="Y3477" s="184">
        <f>_xll.qlCalendarAdvance(Calendar,X3477,NDays&amp;"D")</f>
        <v>63256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63263</v>
      </c>
      <c r="Y3478" s="184">
        <f>_xll.qlCalendarAdvance(Calendar,X3478,NDays&amp;"D")</f>
        <v>63263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63270</v>
      </c>
      <c r="Y3479" s="184">
        <f>_xll.qlCalendarAdvance(Calendar,X3479,NDays&amp;"D")</f>
        <v>63270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63277</v>
      </c>
      <c r="Y3480" s="184">
        <f>_xll.qlCalendarAdvance(Calendar,X3480,NDays&amp;"D")</f>
        <v>63277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63284</v>
      </c>
      <c r="Y3481" s="184">
        <f>_xll.qlCalendarAdvance(Calendar,X3481,NDays&amp;"D")</f>
        <v>63284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63291</v>
      </c>
      <c r="Y3482" s="184">
        <f>_xll.qlCalendarAdvance(Calendar,X3482,NDays&amp;"D")</f>
        <v>63291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63298</v>
      </c>
      <c r="Y3483" s="184">
        <f>_xll.qlCalendarAdvance(Calendar,X3483,NDays&amp;"D")</f>
        <v>63298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63305</v>
      </c>
      <c r="Y3484" s="184">
        <f>_xll.qlCalendarAdvance(Calendar,X3484,NDays&amp;"D")</f>
        <v>63305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63312</v>
      </c>
      <c r="Y3485" s="184">
        <f>_xll.qlCalendarAdvance(Calendar,X3485,NDays&amp;"D")</f>
        <v>63312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63319</v>
      </c>
      <c r="Y3486" s="184">
        <f>_xll.qlCalendarAdvance(Calendar,X3486,NDays&amp;"D")</f>
        <v>63319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63326</v>
      </c>
      <c r="Y3487" s="184">
        <f>_xll.qlCalendarAdvance(Calendar,X3487,NDays&amp;"D")</f>
        <v>63326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63333</v>
      </c>
      <c r="Y3488" s="184">
        <f>_xll.qlCalendarAdvance(Calendar,X3488,NDays&amp;"D")</f>
        <v>63333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63340</v>
      </c>
      <c r="Y3489" s="184">
        <f>_xll.qlCalendarAdvance(Calendar,X3489,NDays&amp;"D")</f>
        <v>63340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63347</v>
      </c>
      <c r="Y3490" s="184">
        <f>_xll.qlCalendarAdvance(Calendar,X3490,NDays&amp;"D")</f>
        <v>63347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63354</v>
      </c>
      <c r="Y3491" s="184">
        <f>_xll.qlCalendarAdvance(Calendar,X3491,NDays&amp;"D")</f>
        <v>63354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63361</v>
      </c>
      <c r="Y3492" s="184">
        <f>_xll.qlCalendarAdvance(Calendar,X3492,NDays&amp;"D")</f>
        <v>63361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63368</v>
      </c>
      <c r="Y3493" s="184">
        <f>_xll.qlCalendarAdvance(Calendar,X3493,NDays&amp;"D")</f>
        <v>63368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63375</v>
      </c>
      <c r="Y3494" s="184">
        <f>_xll.qlCalendarAdvance(Calendar,X3494,NDays&amp;"D")</f>
        <v>63375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63382</v>
      </c>
      <c r="Y3495" s="184">
        <f>_xll.qlCalendarAdvance(Calendar,X3495,NDays&amp;"D")</f>
        <v>63382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63389</v>
      </c>
      <c r="Y3496" s="184">
        <f>_xll.qlCalendarAdvance(Calendar,X3496,NDays&amp;"D")</f>
        <v>63389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63396</v>
      </c>
      <c r="Y3497" s="184">
        <f>_xll.qlCalendarAdvance(Calendar,X3497,NDays&amp;"D")</f>
        <v>63396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63403</v>
      </c>
      <c r="Y3498" s="184">
        <f>_xll.qlCalendarAdvance(Calendar,X3498,NDays&amp;"D")</f>
        <v>63403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63410</v>
      </c>
      <c r="Y3499" s="184">
        <f>_xll.qlCalendarAdvance(Calendar,X3499,NDays&amp;"D")</f>
        <v>63410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63417</v>
      </c>
      <c r="Y3500" s="184">
        <f>_xll.qlCalendarAdvance(Calendar,X3500,NDays&amp;"D")</f>
        <v>63417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63424</v>
      </c>
      <c r="Y3501" s="184">
        <f>_xll.qlCalendarAdvance(Calendar,X3501,NDays&amp;"D")</f>
        <v>63424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63431</v>
      </c>
      <c r="Y3502" s="184">
        <f>_xll.qlCalendarAdvance(Calendar,X3502,NDays&amp;"D")</f>
        <v>63431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63438</v>
      </c>
      <c r="Y3503" s="184">
        <f>_xll.qlCalendarAdvance(Calendar,X3503,NDays&amp;"D")</f>
        <v>63438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63445</v>
      </c>
      <c r="Y3504" s="184">
        <f>_xll.qlCalendarAdvance(Calendar,X3504,NDays&amp;"D")</f>
        <v>63445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63452</v>
      </c>
      <c r="Y3505" s="184">
        <f>_xll.qlCalendarAdvance(Calendar,X3505,NDays&amp;"D")</f>
        <v>63452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63459</v>
      </c>
      <c r="Y3506" s="184">
        <f>_xll.qlCalendarAdvance(Calendar,X3506,NDays&amp;"D")</f>
        <v>63459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63466</v>
      </c>
      <c r="Y3507" s="184">
        <f>_xll.qlCalendarAdvance(Calendar,X3507,NDays&amp;"D")</f>
        <v>63466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63473</v>
      </c>
      <c r="Y3508" s="184">
        <f>_xll.qlCalendarAdvance(Calendar,X3508,NDays&amp;"D")</f>
        <v>63473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63480</v>
      </c>
      <c r="Y3509" s="184">
        <f>_xll.qlCalendarAdvance(Calendar,X3509,NDays&amp;"D")</f>
        <v>63480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63487</v>
      </c>
      <c r="Y3510" s="184">
        <f>_xll.qlCalendarAdvance(Calendar,X3510,NDays&amp;"D")</f>
        <v>63487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63494</v>
      </c>
      <c r="Y3511" s="184">
        <f>_xll.qlCalendarAdvance(Calendar,X3511,NDays&amp;"D")</f>
        <v>63494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63501</v>
      </c>
      <c r="Y3512" s="184">
        <f>_xll.qlCalendarAdvance(Calendar,X3512,NDays&amp;"D")</f>
        <v>63501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63508</v>
      </c>
      <c r="Y3513" s="184">
        <f>_xll.qlCalendarAdvance(Calendar,X3513,NDays&amp;"D")</f>
        <v>63508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63515</v>
      </c>
      <c r="Y3514" s="184">
        <f>_xll.qlCalendarAdvance(Calendar,X3514,NDays&amp;"D")</f>
        <v>63515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63522</v>
      </c>
      <c r="Y3515" s="184">
        <f>_xll.qlCalendarAdvance(Calendar,X3515,NDays&amp;"D")</f>
        <v>63522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63529</v>
      </c>
      <c r="Y3516" s="184">
        <f>_xll.qlCalendarAdvance(Calendar,X3516,NDays&amp;"D")</f>
        <v>63529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63536</v>
      </c>
      <c r="Y3517" s="184">
        <f>_xll.qlCalendarAdvance(Calendar,X3517,NDays&amp;"D")</f>
        <v>63536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63543</v>
      </c>
      <c r="Y3518" s="184">
        <f>_xll.qlCalendarAdvance(Calendar,X3518,NDays&amp;"D")</f>
        <v>63543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63550</v>
      </c>
      <c r="Y3519" s="184">
        <f>_xll.qlCalendarAdvance(Calendar,X3519,NDays&amp;"D")</f>
        <v>63550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63557</v>
      </c>
      <c r="Y3520" s="184">
        <f>_xll.qlCalendarAdvance(Calendar,X3520,NDays&amp;"D")</f>
        <v>63557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63564</v>
      </c>
      <c r="Y3521" s="184">
        <f>_xll.qlCalendarAdvance(Calendar,X3521,NDays&amp;"D")</f>
        <v>63564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63571</v>
      </c>
      <c r="Y3522" s="184">
        <f>_xll.qlCalendarAdvance(Calendar,X3522,NDays&amp;"D")</f>
        <v>63571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63578</v>
      </c>
      <c r="Y3523" s="184">
        <f>_xll.qlCalendarAdvance(Calendar,X3523,NDays&amp;"D")</f>
        <v>63578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63585</v>
      </c>
      <c r="Y3524" s="184">
        <f>_xll.qlCalendarAdvance(Calendar,X3524,NDays&amp;"D")</f>
        <v>63585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63592</v>
      </c>
      <c r="Y3525" s="184">
        <f>_xll.qlCalendarAdvance(Calendar,X3525,NDays&amp;"D")</f>
        <v>63592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63599</v>
      </c>
      <c r="Y3526" s="184">
        <f>_xll.qlCalendarAdvance(Calendar,X3526,NDays&amp;"D")</f>
        <v>63599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63606</v>
      </c>
      <c r="Y3527" s="184">
        <f>_xll.qlCalendarAdvance(Calendar,X3527,NDays&amp;"D")</f>
        <v>63606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63613</v>
      </c>
      <c r="Y3528" s="184">
        <f>_xll.qlCalendarAdvance(Calendar,X3528,NDays&amp;"D")</f>
        <v>63613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63620</v>
      </c>
      <c r="Y3529" s="184">
        <f>_xll.qlCalendarAdvance(Calendar,X3529,NDays&amp;"D")</f>
        <v>63620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63627</v>
      </c>
      <c r="Y3530" s="184">
        <f>_xll.qlCalendarAdvance(Calendar,X3530,NDays&amp;"D")</f>
        <v>63627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63634</v>
      </c>
      <c r="Y3531" s="184">
        <f>_xll.qlCalendarAdvance(Calendar,X3531,NDays&amp;"D")</f>
        <v>63634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63641</v>
      </c>
      <c r="Y3532" s="184">
        <f>_xll.qlCalendarAdvance(Calendar,X3532,NDays&amp;"D")</f>
        <v>63641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63648</v>
      </c>
      <c r="Y3533" s="184">
        <f>_xll.qlCalendarAdvance(Calendar,X3533,NDays&amp;"D")</f>
        <v>63648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63655</v>
      </c>
      <c r="Y3534" s="184">
        <f>_xll.qlCalendarAdvance(Calendar,X3534,NDays&amp;"D")</f>
        <v>63655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63662</v>
      </c>
      <c r="Y3535" s="184">
        <f>_xll.qlCalendarAdvance(Calendar,X3535,NDays&amp;"D")</f>
        <v>63662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63670</v>
      </c>
      <c r="Y3536" s="184">
        <f>_xll.qlCalendarAdvance(Calendar,X3536,NDays&amp;"D")</f>
        <v>63670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63677</v>
      </c>
      <c r="Y3537" s="184">
        <f>_xll.qlCalendarAdvance(Calendar,X3537,NDays&amp;"D")</f>
        <v>63677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63684</v>
      </c>
      <c r="Y3538" s="184">
        <f>_xll.qlCalendarAdvance(Calendar,X3538,NDays&amp;"D")</f>
        <v>63684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63691</v>
      </c>
      <c r="Y3539" s="184">
        <f>_xll.qlCalendarAdvance(Calendar,X3539,NDays&amp;"D")</f>
        <v>63691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63698</v>
      </c>
      <c r="Y3540" s="184">
        <f>_xll.qlCalendarAdvance(Calendar,X3540,NDays&amp;"D")</f>
        <v>63698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63705</v>
      </c>
      <c r="Y3541" s="184">
        <f>_xll.qlCalendarAdvance(Calendar,X3541,NDays&amp;"D")</f>
        <v>63705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63712</v>
      </c>
      <c r="Y3542" s="184">
        <f>_xll.qlCalendarAdvance(Calendar,X3542,NDays&amp;"D")</f>
        <v>63712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63719</v>
      </c>
      <c r="Y3543" s="184">
        <f>_xll.qlCalendarAdvance(Calendar,X3543,NDays&amp;"D")</f>
        <v>63719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63726</v>
      </c>
      <c r="Y3544" s="184">
        <f>_xll.qlCalendarAdvance(Calendar,X3544,NDays&amp;"D")</f>
        <v>63726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63733</v>
      </c>
      <c r="Y3545" s="184">
        <f>_xll.qlCalendarAdvance(Calendar,X3545,NDays&amp;"D")</f>
        <v>63733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63740</v>
      </c>
      <c r="Y3546" s="184">
        <f>_xll.qlCalendarAdvance(Calendar,X3546,NDays&amp;"D")</f>
        <v>63740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63747</v>
      </c>
      <c r="Y3547" s="184">
        <f>_xll.qlCalendarAdvance(Calendar,X3547,NDays&amp;"D")</f>
        <v>63747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63754</v>
      </c>
      <c r="Y3548" s="184">
        <f>_xll.qlCalendarAdvance(Calendar,X3548,NDays&amp;"D")</f>
        <v>63754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63761</v>
      </c>
      <c r="Y3549" s="184">
        <f>_xll.qlCalendarAdvance(Calendar,X3549,NDays&amp;"D")</f>
        <v>63761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63768</v>
      </c>
      <c r="Y3550" s="184">
        <f>_xll.qlCalendarAdvance(Calendar,X3550,NDays&amp;"D")</f>
        <v>63768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63775</v>
      </c>
      <c r="Y3551" s="184">
        <f>_xll.qlCalendarAdvance(Calendar,X3551,NDays&amp;"D")</f>
        <v>63775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63782</v>
      </c>
      <c r="Y3552" s="200">
        <f>_xll.qlCalendarAdvance(Calendar,X3552,NDays&amp;"D")</f>
        <v>63782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2014-01-14T16:38:43Z</dcterms:created>
  <dcterms:modified xsi:type="dcterms:W3CDTF">2014-06-17T16:21:40Z</dcterms:modified>
</cp:coreProperties>
</file>
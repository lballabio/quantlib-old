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60" windowWidth="27870" windowHeight="8340" tabRatio="777"/>
  </bookViews>
  <sheets>
    <sheet name="General Settings" sheetId="40" r:id="rId1"/>
    <sheet name="BasisSwap1M3M" sheetId="5" r:id="rId2"/>
    <sheet name="BasisSwap3M6M" sheetId="6" r:id="rId3"/>
    <sheet name="OIS" sheetId="16" r:id="rId4"/>
    <sheet name="Deposits" sheetId="9" r:id="rId5"/>
    <sheet name="FRA" sheetId="10" r:id="rId6"/>
    <sheet name="Futures3M" sheetId="12" r:id="rId7"/>
    <sheet name="FuturesHWConvAdj" sheetId="14" r:id="rId8"/>
    <sheet name="Swaps1M" sheetId="17" r:id="rId9"/>
    <sheet name="Swap3M" sheetId="19" r:id="rId10"/>
    <sheet name="Hibor" sheetId="36" r:id="rId11"/>
  </sheets>
  <functionGroups builtInGroupCount="17"/>
  <definedNames>
    <definedName name="Contributor" localSheetId="1">BasisSwap1M3M!$S$2</definedName>
    <definedName name="Contributor" localSheetId="2">BasisSwap3M6M!$S$2</definedName>
    <definedName name="Contributor" localSheetId="5">FRA!$M$2</definedName>
    <definedName name="Contributor" localSheetId="7">FuturesHWConvAdj!$H$2</definedName>
    <definedName name="Contributor" localSheetId="3">OIS!$L$2</definedName>
    <definedName name="Contributor" localSheetId="9">Swap3M!$L$2</definedName>
    <definedName name="Contributor" localSheetId="8">Swaps1M!$L$2</definedName>
    <definedName name="Contributors">'General Settings'!$C$9:$C$16</definedName>
    <definedName name="ContributorTable">'General Settings'!$C$9:$D$16</definedName>
    <definedName name="Conventions" localSheetId="1">BasisSwap1M3M!$AG$5:$AI$9</definedName>
    <definedName name="Conventions" localSheetId="2">BasisSwap3M6M!$AG$5:$AI$9</definedName>
    <definedName name="Conventions" localSheetId="9">Swap3M!$Y$5:$AA$10</definedName>
    <definedName name="Currency">'General Settings'!$J$14</definedName>
    <definedName name="FamilyName" localSheetId="10">Hibor!$L$3</definedName>
    <definedName name="FileName" localSheetId="10">Hibor!$K$5</definedName>
    <definedName name="FileOverwrite">'General Settings'!$J$9</definedName>
    <definedName name="FuturesCodes" localSheetId="6">Futures3M!$M$4:$M$39</definedName>
    <definedName name="FuturesDates" localSheetId="6">Futures3M!$N$4:$N$39</definedName>
    <definedName name="GENERAL_SETTINGS">'General Settings'!$B$2</definedName>
    <definedName name="Instruments" localSheetId="1">BasisSwap1M3M!$R$5:$R$42</definedName>
    <definedName name="Instruments" localSheetId="2">BasisSwap3M6M!$R$5:$R$42</definedName>
    <definedName name="Instruments" localSheetId="5">FRA!$L$7:$L$38</definedName>
    <definedName name="Instruments" localSheetId="9">Swap3M!$K$5:$K$32</definedName>
    <definedName name="Instruments" localSheetId="8">Swaps1M!$K$5:$K$15</definedName>
    <definedName name="InterpolationType">'General Settings'!$D$6</definedName>
    <definedName name="LastUpdate">'General Settings'!$E$19</definedName>
    <definedName name="LiveDataFeed">'General Settings'!$E$22</definedName>
    <definedName name="ObjectOverwrite">'General Settings'!$J$6</definedName>
    <definedName name="Permanent">'General Settings'!$J$5</definedName>
    <definedName name="PriceTickValue">'General Settings'!$J$17</definedName>
    <definedName name="Quote" localSheetId="1">BasisSwap1M3M!$AC$5:$AC$42</definedName>
    <definedName name="Quote" localSheetId="2">BasisSwap3M6M!$AC$5:$AC$42</definedName>
    <definedName name="Quote" localSheetId="4">Deposits!$N$4:$N$21</definedName>
    <definedName name="Quote" localSheetId="5">FRA!$V$7:$V$38</definedName>
    <definedName name="Quote" localSheetId="6">Futures3M!$Y$4:$Y$39</definedName>
    <definedName name="Quote" localSheetId="7">FuturesHWConvAdj!$P$5:$P$6</definedName>
    <definedName name="Quote" localSheetId="3">OIS!$U$5:$U$23</definedName>
    <definedName name="Quote" localSheetId="9">Swap3M!$U$5:$U$32</definedName>
    <definedName name="Quote" localSheetId="8">Swaps1M!$U$5:$U$15</definedName>
    <definedName name="QuoteLive" localSheetId="1">BasisSwap1M3M!$X$5:$X$42</definedName>
    <definedName name="QuoteLive" localSheetId="2">BasisSwap3M6M!$X$5:$X$42</definedName>
    <definedName name="QuoteLive" localSheetId="4">Deposits!$J$4:$J$21</definedName>
    <definedName name="QuoteLive" localSheetId="5">FRA!$R$7:$R$38</definedName>
    <definedName name="QuoteLive" localSheetId="6">Futures3M!$U$4:$U$39</definedName>
    <definedName name="QuoteLive" localSheetId="7">FuturesHWConvAdj!$L$5:$L$6</definedName>
    <definedName name="QuoteLive" localSheetId="3">OIS!$Q$5:$Q$23</definedName>
    <definedName name="QuoteLive" localSheetId="9">Swap3M!$Q$5:$Q$32</definedName>
    <definedName name="QuoteLive" localSheetId="8">Swaps1M!$Q$5:$Q$15</definedName>
    <definedName name="QuoteStatic" localSheetId="1">BasisSwap1M3M!$Z$5:$Z$42</definedName>
    <definedName name="QuoteStatic" localSheetId="2">BasisSwap3M6M!$Z$5:$Z$42</definedName>
    <definedName name="QuoteStatic" localSheetId="4">Deposits!$L$4:$L$21</definedName>
    <definedName name="QuoteStatic" localSheetId="5">FRA!$T$7:$T$38</definedName>
    <definedName name="QuoteStatic" localSheetId="6">Futures3M!$W$4:$W$39</definedName>
    <definedName name="QuoteStatic" localSheetId="7">FuturesHWConvAdj!$N$5:$N$6</definedName>
    <definedName name="QuoteStatic" localSheetId="3">OIS!$S$5:$S$23</definedName>
    <definedName name="QuoteStatic" localSheetId="9">Swap3M!$S$5:$S$32</definedName>
    <definedName name="QuoteStatic" localSheetId="8">Swaps1M!$S$5:$S$15</definedName>
    <definedName name="QuoteSuffix">'General Settings'!$J$15</definedName>
    <definedName name="RateTickValue">'General Settings'!$J$16</definedName>
    <definedName name="ReutersRtMode">'General Settings'!$D$4</definedName>
    <definedName name="SerializationPath">'General Settings'!$J$8</definedName>
    <definedName name="Serialize">'General Settings'!$J$7</definedName>
    <definedName name="Swap3M4Y">Swap3M!$U$12</definedName>
    <definedName name="Trigger">'General Settings'!$J$4</definedName>
    <definedName name="TriggerCounter">'General Settings'!$D$5</definedName>
  </definedNames>
  <calcPr calcId="145621"/>
</workbook>
</file>

<file path=xl/calcChain.xml><?xml version="1.0" encoding="utf-8"?>
<calcChain xmlns="http://schemas.openxmlformats.org/spreadsheetml/2006/main">
  <c r="L18" i="36" l="1"/>
  <c r="L19" i="36"/>
  <c r="M19" i="36"/>
  <c r="N19" i="36"/>
  <c r="L20" i="36"/>
  <c r="M20" i="36"/>
  <c r="N20" i="36"/>
  <c r="L21" i="36"/>
  <c r="M21" i="36"/>
  <c r="N21" i="36"/>
  <c r="L22" i="36"/>
  <c r="M22" i="36"/>
  <c r="N22" i="36"/>
  <c r="L23" i="36"/>
  <c r="M23" i="36"/>
  <c r="N23" i="36"/>
  <c r="L24" i="36"/>
  <c r="M24" i="36"/>
  <c r="N24" i="36"/>
  <c r="L25" i="36"/>
  <c r="M25" i="36"/>
  <c r="N25" i="36"/>
  <c r="L26" i="36"/>
  <c r="M26" i="36"/>
  <c r="N26" i="36"/>
  <c r="K32" i="19" l="1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E32" i="19"/>
  <c r="E31" i="19"/>
  <c r="E30" i="19"/>
  <c r="E29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K15" i="17"/>
  <c r="K14" i="17"/>
  <c r="K13" i="17"/>
  <c r="K12" i="17"/>
  <c r="K11" i="17"/>
  <c r="K10" i="17"/>
  <c r="K9" i="17"/>
  <c r="K8" i="17"/>
  <c r="K7" i="17"/>
  <c r="K6" i="17"/>
  <c r="K5" i="17"/>
  <c r="H5" i="14"/>
  <c r="Z17" i="10"/>
  <c r="Z16" i="10"/>
  <c r="Z15" i="10"/>
  <c r="Z14" i="10"/>
  <c r="K23" i="16"/>
  <c r="K22" i="16"/>
  <c r="K21" i="16"/>
  <c r="K20" i="16"/>
  <c r="K19" i="16"/>
  <c r="K18" i="16"/>
  <c r="K17" i="16"/>
  <c r="K16" i="16"/>
  <c r="K15" i="16"/>
  <c r="K14" i="16"/>
  <c r="K13" i="16"/>
  <c r="K12" i="16"/>
  <c r="K11" i="16"/>
  <c r="K10" i="16"/>
  <c r="K9" i="16"/>
  <c r="K8" i="16"/>
  <c r="K7" i="16"/>
  <c r="K5" i="16"/>
  <c r="K6" i="16"/>
  <c r="V23" i="16"/>
  <c r="V15" i="16"/>
  <c r="V7" i="16"/>
  <c r="V22" i="16"/>
  <c r="V6" i="16"/>
  <c r="V12" i="16"/>
  <c r="V19" i="16"/>
  <c r="V11" i="16"/>
  <c r="V14" i="16"/>
  <c r="V20" i="16"/>
  <c r="V18" i="16"/>
  <c r="V10" i="16"/>
  <c r="V8" i="16"/>
  <c r="V21" i="16"/>
  <c r="V17" i="16"/>
  <c r="V9" i="16"/>
  <c r="V16" i="16"/>
  <c r="V13" i="16"/>
  <c r="V5" i="16"/>
  <c r="D9" i="10" l="1"/>
  <c r="J9" i="36"/>
  <c r="J7" i="36"/>
  <c r="J8" i="36"/>
  <c r="D12" i="36"/>
  <c r="J12" i="36"/>
  <c r="K12" i="36"/>
  <c r="V12" i="36"/>
  <c r="E9" i="10"/>
  <c r="L12" i="36"/>
  <c r="M12" i="36"/>
  <c r="N12" i="36"/>
  <c r="J8" i="40" l="1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R8" i="10"/>
  <c r="R7" i="10"/>
  <c r="D4" i="12" a="1"/>
  <c r="N4" i="12" a="1"/>
  <c r="M18" i="36"/>
  <c r="D19" i="12" l="1"/>
  <c r="D35" i="12"/>
  <c r="D4" i="12"/>
  <c r="D20" i="12"/>
  <c r="D36" i="12"/>
  <c r="D12" i="12"/>
  <c r="D29" i="12"/>
  <c r="D14" i="12"/>
  <c r="D31" i="12"/>
  <c r="D33" i="12"/>
  <c r="D34" i="12"/>
  <c r="D5" i="12"/>
  <c r="D21" i="12"/>
  <c r="D37" i="12"/>
  <c r="D6" i="12"/>
  <c r="D22" i="12"/>
  <c r="D38" i="12"/>
  <c r="D7" i="12"/>
  <c r="D39" i="12"/>
  <c r="D8" i="12"/>
  <c r="D24" i="12"/>
  <c r="D9" i="12"/>
  <c r="D25" i="12"/>
  <c r="D10" i="12"/>
  <c r="D26" i="12"/>
  <c r="D11" i="12"/>
  <c r="D27" i="12"/>
  <c r="D28" i="12"/>
  <c r="D13" i="12"/>
  <c r="D30" i="12"/>
  <c r="D15" i="12"/>
  <c r="D17" i="12"/>
  <c r="D23" i="12"/>
  <c r="D16" i="12"/>
  <c r="D32" i="12"/>
  <c r="D18" i="12"/>
  <c r="N12" i="12"/>
  <c r="N28" i="12"/>
  <c r="N13" i="12"/>
  <c r="N29" i="12"/>
  <c r="N14" i="12"/>
  <c r="N30" i="12"/>
  <c r="N15" i="12"/>
  <c r="N31" i="12"/>
  <c r="N16" i="12"/>
  <c r="N32" i="12"/>
  <c r="N17" i="12"/>
  <c r="N33" i="12"/>
  <c r="N18" i="12"/>
  <c r="N34" i="12"/>
  <c r="N19" i="12"/>
  <c r="N35" i="12"/>
  <c r="N4" i="12"/>
  <c r="N20" i="12"/>
  <c r="N36" i="12"/>
  <c r="N5" i="12"/>
  <c r="N21" i="12"/>
  <c r="N37" i="12"/>
  <c r="N6" i="12"/>
  <c r="N22" i="12"/>
  <c r="N38" i="12"/>
  <c r="N7" i="12"/>
  <c r="N23" i="12"/>
  <c r="N39" i="12"/>
  <c r="N8" i="12"/>
  <c r="N24" i="12"/>
  <c r="N9" i="12"/>
  <c r="N25" i="12"/>
  <c r="N10" i="12"/>
  <c r="N26" i="12"/>
  <c r="N11" i="12"/>
  <c r="N27" i="12"/>
  <c r="M4" i="12" a="1"/>
  <c r="N18" i="36"/>
  <c r="M37" i="12" l="1"/>
  <c r="O37" i="12" s="1"/>
  <c r="M14" i="12"/>
  <c r="O14" i="12" s="1"/>
  <c r="M6" i="12"/>
  <c r="O6" i="12" s="1"/>
  <c r="M30" i="12"/>
  <c r="O30" i="12" s="1"/>
  <c r="M22" i="12"/>
  <c r="O22" i="12" s="1"/>
  <c r="M15" i="12"/>
  <c r="O15" i="12" s="1"/>
  <c r="M38" i="12"/>
  <c r="O38" i="12" s="1"/>
  <c r="M31" i="12"/>
  <c r="O31" i="12" s="1"/>
  <c r="M7" i="12"/>
  <c r="O7" i="12" s="1"/>
  <c r="M16" i="12"/>
  <c r="O16" i="12" s="1"/>
  <c r="M23" i="12"/>
  <c r="O23" i="12" s="1"/>
  <c r="M32" i="12"/>
  <c r="O32" i="12" s="1"/>
  <c r="M39" i="12"/>
  <c r="O39" i="12" s="1"/>
  <c r="M17" i="12"/>
  <c r="O17" i="12" s="1"/>
  <c r="M8" i="12"/>
  <c r="O8" i="12" s="1"/>
  <c r="M33" i="12"/>
  <c r="O33" i="12" s="1"/>
  <c r="M24" i="12"/>
  <c r="O24" i="12" s="1"/>
  <c r="M18" i="12"/>
  <c r="O18" i="12" s="1"/>
  <c r="M25" i="12"/>
  <c r="O25" i="12" s="1"/>
  <c r="M34" i="12"/>
  <c r="O34" i="12" s="1"/>
  <c r="M10" i="12"/>
  <c r="O10" i="12" s="1"/>
  <c r="M19" i="12"/>
  <c r="O19" i="12" s="1"/>
  <c r="M4" i="12"/>
  <c r="O4" i="12" s="1"/>
  <c r="M11" i="12"/>
  <c r="O11" i="12" s="1"/>
  <c r="M35" i="12"/>
  <c r="O35" i="12" s="1"/>
  <c r="M20" i="12"/>
  <c r="O20" i="12" s="1"/>
  <c r="M12" i="12"/>
  <c r="O12" i="12" s="1"/>
  <c r="M9" i="12"/>
  <c r="O9" i="12" s="1"/>
  <c r="M36" i="12"/>
  <c r="O36" i="12" s="1"/>
  <c r="M28" i="12"/>
  <c r="O28" i="12" s="1"/>
  <c r="M26" i="12"/>
  <c r="O26" i="12" s="1"/>
  <c r="M5" i="12"/>
  <c r="O5" i="12" s="1"/>
  <c r="M13" i="12"/>
  <c r="O13" i="12" s="1"/>
  <c r="M27" i="12"/>
  <c r="O27" i="12" s="1"/>
  <c r="M21" i="12"/>
  <c r="O21" i="12" s="1"/>
  <c r="M29" i="12"/>
  <c r="O29" i="12" s="1"/>
  <c r="N4" i="9" l="1" a="1"/>
  <c r="N4" i="9" s="1"/>
  <c r="N17" i="9" l="1"/>
  <c r="N16" i="9"/>
  <c r="N15" i="9"/>
  <c r="N14" i="9"/>
  <c r="N13" i="9"/>
  <c r="N12" i="9"/>
  <c r="N11" i="9"/>
  <c r="N10" i="9"/>
  <c r="N19" i="9"/>
  <c r="N18" i="9"/>
  <c r="N9" i="9"/>
  <c r="N8" i="9"/>
  <c r="N21" i="9"/>
  <c r="N5" i="9"/>
  <c r="N7" i="9"/>
  <c r="N6" i="9"/>
  <c r="N20" i="9"/>
  <c r="V6" i="36"/>
  <c r="V7" i="36"/>
  <c r="W7" i="36" s="1"/>
  <c r="AA7" i="36" s="1"/>
  <c r="V8" i="36"/>
  <c r="W8" i="36" s="1"/>
  <c r="AA8" i="36" s="1"/>
  <c r="V9" i="36"/>
  <c r="V10" i="36"/>
  <c r="V11" i="36"/>
  <c r="V13" i="36"/>
  <c r="V14" i="36"/>
  <c r="F9" i="17"/>
  <c r="F10" i="16"/>
  <c r="F5" i="16"/>
  <c r="F12" i="16"/>
  <c r="F6" i="16"/>
  <c r="F8" i="16"/>
  <c r="F11" i="17"/>
  <c r="F8" i="17"/>
  <c r="F15" i="16"/>
  <c r="F15" i="17"/>
  <c r="F9" i="16"/>
  <c r="F7" i="17"/>
  <c r="F16" i="16"/>
  <c r="F11" i="16"/>
  <c r="F14" i="16"/>
  <c r="F7" i="16"/>
  <c r="F12" i="17"/>
  <c r="F13" i="16"/>
  <c r="F19" i="16"/>
  <c r="F17" i="16"/>
  <c r="F18" i="16"/>
  <c r="F6" i="17"/>
  <c r="F5" i="17"/>
  <c r="F14" i="17"/>
  <c r="F13" i="17"/>
  <c r="F10" i="17"/>
  <c r="Y12" i="36" l="1"/>
  <c r="S12" i="36"/>
  <c r="Y10" i="36"/>
  <c r="S6" i="36"/>
  <c r="Y14" i="36"/>
  <c r="Y13" i="36"/>
  <c r="S14" i="36"/>
  <c r="S10" i="36"/>
  <c r="S13" i="36"/>
  <c r="Y8" i="36"/>
  <c r="Y9" i="36"/>
  <c r="S8" i="36"/>
  <c r="Y7" i="36"/>
  <c r="S9" i="36"/>
  <c r="Y11" i="36"/>
  <c r="S11" i="36"/>
  <c r="S7" i="36"/>
  <c r="Y6" i="36"/>
  <c r="Z12" i="36"/>
  <c r="Z13" i="36"/>
  <c r="Z14" i="36"/>
  <c r="Z9" i="36"/>
  <c r="AC8" i="36"/>
  <c r="Z6" i="36"/>
  <c r="Z10" i="36"/>
  <c r="AC7" i="36"/>
  <c r="Z11" i="36"/>
  <c r="Z8" i="36"/>
  <c r="Z7" i="36"/>
  <c r="AB7" i="36" l="1"/>
  <c r="AB8" i="36"/>
  <c r="W13" i="36"/>
  <c r="W14" i="36"/>
  <c r="W6" i="36"/>
  <c r="W12" i="36"/>
  <c r="W9" i="36"/>
  <c r="W11" i="36"/>
  <c r="W10" i="36"/>
  <c r="D9" i="40" l="1"/>
  <c r="B1" i="40"/>
  <c r="AA10" i="36"/>
  <c r="AA11" i="36"/>
  <c r="AA9" i="36"/>
  <c r="AA6" i="36"/>
  <c r="AA14" i="36"/>
  <c r="AA13" i="36"/>
  <c r="AC9" i="36"/>
  <c r="AA12" i="36"/>
  <c r="AC14" i="36"/>
  <c r="AC13" i="36"/>
  <c r="AC10" i="36"/>
  <c r="AC11" i="36"/>
  <c r="AC6" i="36"/>
  <c r="AC12" i="36"/>
  <c r="AB13" i="36" l="1"/>
  <c r="AD13" i="36" s="1"/>
  <c r="AB9" i="36"/>
  <c r="AD9" i="36" s="1"/>
  <c r="AB11" i="36"/>
  <c r="AD11" i="36" s="1"/>
  <c r="AB12" i="36"/>
  <c r="AD12" i="36" s="1"/>
  <c r="AB6" i="36"/>
  <c r="AD6" i="36" s="1"/>
  <c r="AB10" i="36"/>
  <c r="AD10" i="36" s="1"/>
  <c r="AB14" i="36"/>
  <c r="AD14" i="36" s="1"/>
  <c r="L5" i="16"/>
  <c r="Q5" i="16"/>
  <c r="L6" i="16"/>
  <c r="Q6" i="16"/>
  <c r="L7" i="16"/>
  <c r="Q7" i="16"/>
  <c r="L8" i="16"/>
  <c r="Q8" i="16"/>
  <c r="L9" i="16"/>
  <c r="Q9" i="16"/>
  <c r="L10" i="16"/>
  <c r="Q10" i="16"/>
  <c r="L11" i="16"/>
  <c r="Q11" i="16"/>
  <c r="L12" i="16"/>
  <c r="Q12" i="16"/>
  <c r="L13" i="16"/>
  <c r="Q13" i="16"/>
  <c r="L14" i="16"/>
  <c r="Q14" i="16"/>
  <c r="L15" i="16"/>
  <c r="Q15" i="16"/>
  <c r="L16" i="16"/>
  <c r="Q16" i="16"/>
  <c r="L17" i="16"/>
  <c r="Q17" i="16"/>
  <c r="L18" i="16"/>
  <c r="Q18" i="16"/>
  <c r="L19" i="16"/>
  <c r="Q19" i="16"/>
  <c r="L20" i="16"/>
  <c r="Q20" i="16"/>
  <c r="L21" i="16"/>
  <c r="Q21" i="16"/>
  <c r="L22" i="16"/>
  <c r="Q22" i="16"/>
  <c r="L23" i="16"/>
  <c r="Q23" i="16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13" i="6"/>
  <c r="V35" i="6"/>
  <c r="V29" i="6"/>
  <c r="V17" i="6"/>
  <c r="V33" i="6"/>
  <c r="V24" i="6"/>
  <c r="V36" i="6"/>
  <c r="V28" i="6"/>
  <c r="V25" i="6"/>
  <c r="V6" i="6"/>
  <c r="V15" i="6"/>
  <c r="V31" i="6"/>
  <c r="V30" i="6"/>
  <c r="V11" i="6"/>
  <c r="V8" i="6"/>
  <c r="V34" i="6"/>
  <c r="V5" i="6"/>
  <c r="V32" i="6"/>
  <c r="V12" i="6"/>
  <c r="V23" i="6"/>
  <c r="V22" i="6"/>
  <c r="V20" i="6"/>
  <c r="V21" i="6"/>
  <c r="V14" i="6"/>
  <c r="V42" i="6"/>
  <c r="V37" i="6"/>
  <c r="V10" i="6"/>
  <c r="V16" i="6"/>
  <c r="V38" i="6"/>
  <c r="V18" i="6"/>
  <c r="V27" i="6"/>
  <c r="V9" i="6"/>
  <c r="V19" i="6"/>
  <c r="V41" i="6"/>
  <c r="V7" i="6"/>
  <c r="V39" i="6"/>
  <c r="V40" i="6"/>
  <c r="V26" i="6"/>
  <c r="AB4" i="36" l="1"/>
  <c r="U5" i="16" a="1"/>
  <c r="P28" i="6"/>
  <c r="P5" i="6"/>
  <c r="R5" i="6" s="1"/>
  <c r="AB5" i="6" s="1"/>
  <c r="P15" i="6"/>
  <c r="P26" i="6"/>
  <c r="P13" i="6"/>
  <c r="P21" i="6"/>
  <c r="P7" i="6"/>
  <c r="Q21" i="6"/>
  <c r="P6" i="6"/>
  <c r="P12" i="6"/>
  <c r="P39" i="6"/>
  <c r="P25" i="6"/>
  <c r="Q17" i="6"/>
  <c r="P11" i="6"/>
  <c r="Q39" i="6"/>
  <c r="Q25" i="6"/>
  <c r="P30" i="6"/>
  <c r="P38" i="6"/>
  <c r="P16" i="6"/>
  <c r="Q34" i="6"/>
  <c r="Q13" i="6"/>
  <c r="P34" i="6"/>
  <c r="P19" i="6"/>
  <c r="P17" i="6"/>
  <c r="Q38" i="6"/>
  <c r="P24" i="6"/>
  <c r="P37" i="6"/>
  <c r="Q29" i="6"/>
  <c r="P22" i="6"/>
  <c r="P29" i="6"/>
  <c r="Q15" i="6"/>
  <c r="Q7" i="6"/>
  <c r="P33" i="6"/>
  <c r="P20" i="6"/>
  <c r="Q11" i="6"/>
  <c r="Q6" i="6"/>
  <c r="Q19" i="6"/>
  <c r="Q27" i="6"/>
  <c r="Q14" i="6"/>
  <c r="Q42" i="6"/>
  <c r="Q41" i="6"/>
  <c r="P41" i="6"/>
  <c r="Q35" i="6"/>
  <c r="Q18" i="6"/>
  <c r="P14" i="6"/>
  <c r="Q9" i="6"/>
  <c r="P42" i="6"/>
  <c r="Q31" i="6"/>
  <c r="Q23" i="6"/>
  <c r="Q10" i="6"/>
  <c r="P31" i="6"/>
  <c r="P27" i="6"/>
  <c r="P23" i="6"/>
  <c r="P10" i="6"/>
  <c r="P35" i="6"/>
  <c r="Q30" i="6"/>
  <c r="Q26" i="6"/>
  <c r="Q22" i="6"/>
  <c r="P18" i="6"/>
  <c r="P9" i="6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Q6" i="17"/>
  <c r="Q24" i="19"/>
  <c r="V33" i="5"/>
  <c r="V27" i="5"/>
  <c r="Q8" i="19"/>
  <c r="Q18" i="19"/>
  <c r="V10" i="5"/>
  <c r="Q23" i="19"/>
  <c r="Q10" i="19"/>
  <c r="V31" i="5"/>
  <c r="Q13" i="17"/>
  <c r="V28" i="5"/>
  <c r="Q14" i="19"/>
  <c r="Q17" i="19"/>
  <c r="V39" i="5"/>
  <c r="V20" i="5"/>
  <c r="V38" i="5"/>
  <c r="Q9" i="17"/>
  <c r="Q19" i="19"/>
  <c r="Q7" i="19"/>
  <c r="Q26" i="19"/>
  <c r="V13" i="5"/>
  <c r="V12" i="5"/>
  <c r="Q15" i="17"/>
  <c r="Q22" i="19"/>
  <c r="Q7" i="17"/>
  <c r="V32" i="5"/>
  <c r="V19" i="5"/>
  <c r="Q8" i="17"/>
  <c r="V34" i="5"/>
  <c r="V11" i="5"/>
  <c r="Q5" i="19"/>
  <c r="V37" i="5"/>
  <c r="Q11" i="17"/>
  <c r="V14" i="5"/>
  <c r="V21" i="5"/>
  <c r="Q10" i="17"/>
  <c r="Q14" i="17"/>
  <c r="V22" i="5"/>
  <c r="Q15" i="19"/>
  <c r="V15" i="5"/>
  <c r="Q25" i="19"/>
  <c r="Q9" i="19"/>
  <c r="V41" i="5"/>
  <c r="V5" i="5"/>
  <c r="V30" i="5"/>
  <c r="Q30" i="19"/>
  <c r="V18" i="5"/>
  <c r="V16" i="5"/>
  <c r="Q27" i="19"/>
  <c r="V42" i="5"/>
  <c r="V40" i="5"/>
  <c r="V17" i="5"/>
  <c r="Q6" i="19"/>
  <c r="V9" i="5"/>
  <c r="Q11" i="19"/>
  <c r="V6" i="5"/>
  <c r="Q29" i="19"/>
  <c r="Q20" i="19"/>
  <c r="V35" i="5"/>
  <c r="Q21" i="19"/>
  <c r="V8" i="5"/>
  <c r="V29" i="5"/>
  <c r="Q31" i="19"/>
  <c r="Q16" i="19"/>
  <c r="V26" i="5"/>
  <c r="Q32" i="19"/>
  <c r="V24" i="5"/>
  <c r="Q28" i="19"/>
  <c r="V25" i="5"/>
  <c r="Q13" i="19"/>
  <c r="Q5" i="17"/>
  <c r="V36" i="5"/>
  <c r="V23" i="5"/>
  <c r="Q12" i="19"/>
  <c r="V7" i="5"/>
  <c r="Q12" i="17"/>
  <c r="H4" i="14"/>
  <c r="U5" i="19" l="1" a="1"/>
  <c r="U32" i="19" s="1"/>
  <c r="U10" i="16"/>
  <c r="U9" i="16"/>
  <c r="U11" i="16"/>
  <c r="U22" i="16"/>
  <c r="U21" i="16"/>
  <c r="U20" i="16"/>
  <c r="U19" i="16"/>
  <c r="U17" i="16"/>
  <c r="U16" i="16"/>
  <c r="U15" i="16"/>
  <c r="U8" i="16"/>
  <c r="U6" i="16"/>
  <c r="U5" i="16"/>
  <c r="U18" i="16"/>
  <c r="U13" i="16"/>
  <c r="U12" i="16"/>
  <c r="U7" i="16"/>
  <c r="U14" i="16"/>
  <c r="U23" i="16"/>
  <c r="U5" i="17" a="1"/>
  <c r="U12" i="17" s="1"/>
  <c r="R14" i="6"/>
  <c r="AB14" i="6" s="1"/>
  <c r="R28" i="6"/>
  <c r="AB28" i="6" s="1"/>
  <c r="R6" i="6"/>
  <c r="AB6" i="6" s="1"/>
  <c r="Q21" i="5"/>
  <c r="Q14" i="5"/>
  <c r="R12" i="6"/>
  <c r="AB12" i="6" s="1"/>
  <c r="Q11" i="5"/>
  <c r="Q6" i="5"/>
  <c r="R38" i="6"/>
  <c r="AB38" i="6" s="1"/>
  <c r="R24" i="6"/>
  <c r="AB24" i="6" s="1"/>
  <c r="R26" i="6"/>
  <c r="AB26" i="6" s="1"/>
  <c r="Q18" i="5"/>
  <c r="Q17" i="5"/>
  <c r="R27" i="6"/>
  <c r="AB27" i="6" s="1"/>
  <c r="Q41" i="5"/>
  <c r="Q10" i="5"/>
  <c r="Q38" i="5"/>
  <c r="Q9" i="5"/>
  <c r="Q37" i="5"/>
  <c r="Q35" i="5"/>
  <c r="Q33" i="5"/>
  <c r="Q30" i="5"/>
  <c r="R37" i="6"/>
  <c r="AB37" i="6" s="1"/>
  <c r="R7" i="6"/>
  <c r="AB7" i="6" s="1"/>
  <c r="Q36" i="5"/>
  <c r="Q26" i="5"/>
  <c r="R11" i="6"/>
  <c r="AB11" i="6" s="1"/>
  <c r="R34" i="6"/>
  <c r="AB34" i="6" s="1"/>
  <c r="Q27" i="5"/>
  <c r="Q25" i="5"/>
  <c r="Q22" i="5"/>
  <c r="R23" i="6"/>
  <c r="AB23" i="6" s="1"/>
  <c r="R13" i="6"/>
  <c r="AB13" i="6" s="1"/>
  <c r="P41" i="5"/>
  <c r="P29" i="5"/>
  <c r="P17" i="5"/>
  <c r="Q40" i="5"/>
  <c r="Q28" i="5"/>
  <c r="Q16" i="5"/>
  <c r="Q5" i="5"/>
  <c r="R5" i="5" s="1"/>
  <c r="P42" i="5"/>
  <c r="P32" i="5"/>
  <c r="P8" i="5"/>
  <c r="R19" i="6"/>
  <c r="AB19" i="6" s="1"/>
  <c r="P18" i="5"/>
  <c r="P30" i="5"/>
  <c r="P6" i="5"/>
  <c r="P40" i="5"/>
  <c r="P16" i="5"/>
  <c r="P37" i="5"/>
  <c r="P25" i="5"/>
  <c r="P24" i="5"/>
  <c r="R31" i="6"/>
  <c r="AB31" i="6" s="1"/>
  <c r="R21" i="6"/>
  <c r="AB21" i="6" s="1"/>
  <c r="R22" i="6"/>
  <c r="AB22" i="6" s="1"/>
  <c r="R41" i="6"/>
  <c r="AB41" i="6" s="1"/>
  <c r="R15" i="6"/>
  <c r="AB15" i="6" s="1"/>
  <c r="P26" i="5"/>
  <c r="P14" i="5"/>
  <c r="P13" i="5"/>
  <c r="P10" i="5"/>
  <c r="P33" i="5"/>
  <c r="Q20" i="5"/>
  <c r="P9" i="5"/>
  <c r="R29" i="6"/>
  <c r="AB29" i="6" s="1"/>
  <c r="P38" i="5"/>
  <c r="P22" i="5"/>
  <c r="Q42" i="5"/>
  <c r="Q32" i="5"/>
  <c r="Q19" i="5"/>
  <c r="Q8" i="5"/>
  <c r="R42" i="6"/>
  <c r="AB42" i="6" s="1"/>
  <c r="R25" i="6"/>
  <c r="AB25" i="6" s="1"/>
  <c r="R39" i="6"/>
  <c r="AB39" i="6" s="1"/>
  <c r="R20" i="6"/>
  <c r="AB20" i="6" s="1"/>
  <c r="R30" i="6"/>
  <c r="AB30" i="6" s="1"/>
  <c r="R17" i="6"/>
  <c r="AB17" i="6" s="1"/>
  <c r="R16" i="6"/>
  <c r="AB16" i="6" s="1"/>
  <c r="Q34" i="5"/>
  <c r="P34" i="5"/>
  <c r="Q24" i="5"/>
  <c r="Q13" i="5"/>
  <c r="R9" i="6"/>
  <c r="AB9" i="6" s="1"/>
  <c r="R18" i="6"/>
  <c r="AB18" i="6" s="1"/>
  <c r="L5" i="17" a="1"/>
  <c r="L10" i="17" s="1"/>
  <c r="R10" i="6"/>
  <c r="AB10" i="6" s="1"/>
  <c r="R35" i="6"/>
  <c r="AB35" i="6" s="1"/>
  <c r="Q29" i="5"/>
  <c r="P21" i="5"/>
  <c r="Q12" i="5"/>
  <c r="R33" i="6"/>
  <c r="AB33" i="6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AC27" i="19"/>
  <c r="AC10" i="19"/>
  <c r="AC20" i="19"/>
  <c r="AC17" i="19"/>
  <c r="AC11" i="19"/>
  <c r="AC25" i="19"/>
  <c r="AC26" i="19"/>
  <c r="AC19" i="19"/>
  <c r="AC18" i="19"/>
  <c r="AC9" i="19"/>
  <c r="AC32" i="19"/>
  <c r="AC16" i="19"/>
  <c r="AC23" i="19"/>
  <c r="AC7" i="19"/>
  <c r="AC30" i="19"/>
  <c r="AC14" i="19"/>
  <c r="AC21" i="19"/>
  <c r="AC28" i="19"/>
  <c r="AC12" i="19"/>
  <c r="AC5" i="19"/>
  <c r="AC24" i="19"/>
  <c r="AC8" i="19"/>
  <c r="AC31" i="19"/>
  <c r="AC15" i="19"/>
  <c r="AC22" i="19"/>
  <c r="AC6" i="19"/>
  <c r="AC29" i="19"/>
  <c r="AC13" i="19"/>
  <c r="Y6" i="17"/>
  <c r="Y15" i="17"/>
  <c r="Y8" i="17"/>
  <c r="Y13" i="17"/>
  <c r="Y10" i="17"/>
  <c r="Y12" i="17"/>
  <c r="Y14" i="17"/>
  <c r="Y5" i="17"/>
  <c r="Y7" i="17"/>
  <c r="Y11" i="17"/>
  <c r="Y9" i="17"/>
  <c r="U9" i="12"/>
  <c r="U36" i="12"/>
  <c r="U31" i="12"/>
  <c r="U32" i="12"/>
  <c r="U15" i="12"/>
  <c r="U19" i="12"/>
  <c r="U12" i="12"/>
  <c r="U23" i="12"/>
  <c r="U35" i="12"/>
  <c r="U22" i="12"/>
  <c r="U17" i="12"/>
  <c r="U30" i="12"/>
  <c r="U7" i="12"/>
  <c r="U16" i="12"/>
  <c r="U13" i="12"/>
  <c r="U20" i="12"/>
  <c r="U14" i="12"/>
  <c r="U34" i="12"/>
  <c r="U28" i="12"/>
  <c r="U27" i="12"/>
  <c r="U26" i="12"/>
  <c r="U29" i="12"/>
  <c r="U33" i="12"/>
  <c r="U25" i="12"/>
  <c r="U37" i="12"/>
  <c r="U8" i="12"/>
  <c r="U18" i="12"/>
  <c r="U4" i="12"/>
  <c r="U11" i="12"/>
  <c r="U24" i="12"/>
  <c r="U5" i="12"/>
  <c r="U6" i="12"/>
  <c r="U10" i="12"/>
  <c r="U21" i="12"/>
  <c r="U5" i="19" l="1"/>
  <c r="U20" i="19"/>
  <c r="U11" i="19"/>
  <c r="U18" i="19"/>
  <c r="U26" i="19"/>
  <c r="U31" i="19"/>
  <c r="U25" i="19"/>
  <c r="U30" i="19"/>
  <c r="U9" i="19"/>
  <c r="U13" i="19"/>
  <c r="U24" i="19"/>
  <c r="U12" i="19"/>
  <c r="U8" i="19"/>
  <c r="U27" i="19"/>
  <c r="U23" i="19"/>
  <c r="U10" i="19"/>
  <c r="U7" i="19"/>
  <c r="U6" i="19"/>
  <c r="U22" i="19"/>
  <c r="U19" i="19"/>
  <c r="U21" i="19"/>
  <c r="U17" i="19"/>
  <c r="U16" i="19"/>
  <c r="U15" i="19"/>
  <c r="U14" i="19"/>
  <c r="U29" i="19"/>
  <c r="U28" i="19"/>
  <c r="R29" i="5"/>
  <c r="AB29" i="5" s="1"/>
  <c r="U8" i="17"/>
  <c r="U14" i="17"/>
  <c r="U10" i="17"/>
  <c r="U6" i="17"/>
  <c r="U13" i="17"/>
  <c r="U9" i="17"/>
  <c r="U7" i="17"/>
  <c r="U15" i="17"/>
  <c r="U5" i="17"/>
  <c r="U11" i="17"/>
  <c r="AB5" i="5"/>
  <c r="R21" i="5"/>
  <c r="AB21" i="5" s="1"/>
  <c r="R38" i="5"/>
  <c r="AB38" i="5" s="1"/>
  <c r="R41" i="5"/>
  <c r="AB41" i="5" s="1"/>
  <c r="R18" i="5"/>
  <c r="AB18" i="5" s="1"/>
  <c r="R22" i="5"/>
  <c r="AB22" i="5" s="1"/>
  <c r="R6" i="5"/>
  <c r="AB6" i="5" s="1"/>
  <c r="R30" i="5"/>
  <c r="AB30" i="5" s="1"/>
  <c r="R17" i="5"/>
  <c r="AB17" i="5" s="1"/>
  <c r="R11" i="5"/>
  <c r="AB11" i="5" s="1"/>
  <c r="R14" i="5"/>
  <c r="AB14" i="5" s="1"/>
  <c r="R26" i="5"/>
  <c r="AB26" i="5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20" i="5"/>
  <c r="AB20" i="5" s="1"/>
  <c r="R36" i="5"/>
  <c r="AB36" i="5" s="1"/>
  <c r="R33" i="5"/>
  <c r="AB33" i="5" s="1"/>
  <c r="R8" i="5"/>
  <c r="AB8" i="5" s="1"/>
  <c r="R34" i="5"/>
  <c r="AB34" i="5" s="1"/>
  <c r="R27" i="5"/>
  <c r="AB27" i="5" s="1"/>
  <c r="R16" i="5"/>
  <c r="AB16" i="5" s="1"/>
  <c r="L12" i="17"/>
  <c r="R35" i="5"/>
  <c r="AB35" i="5" s="1"/>
  <c r="R40" i="5"/>
  <c r="AB40" i="5" s="1"/>
  <c r="L5" i="17"/>
  <c r="L14" i="17"/>
  <c r="R32" i="5"/>
  <c r="AB32" i="5" s="1"/>
  <c r="R39" i="5"/>
  <c r="AB39" i="5" s="1"/>
  <c r="R9" i="5"/>
  <c r="AB9" i="5" s="1"/>
  <c r="L7" i="17"/>
  <c r="L9" i="17"/>
  <c r="R28" i="5"/>
  <c r="AB28" i="5" s="1"/>
  <c r="L13" i="17"/>
  <c r="L6" i="17"/>
  <c r="R19" i="5"/>
  <c r="AB19" i="5" s="1"/>
  <c r="R12" i="5"/>
  <c r="AB12" i="5" s="1"/>
  <c r="L15" i="17"/>
  <c r="L8" i="17"/>
  <c r="L11" i="17"/>
  <c r="S5" i="6" a="1"/>
  <c r="R15" i="5"/>
  <c r="AB15" i="5" s="1"/>
  <c r="R23" i="5"/>
  <c r="AB23" i="5" s="1"/>
  <c r="R31" i="5"/>
  <c r="AB31" i="5" s="1"/>
  <c r="AC18" i="12"/>
  <c r="AC28" i="12"/>
  <c r="AC16" i="12"/>
  <c r="AC36" i="12"/>
  <c r="AC26" i="12"/>
  <c r="AC14" i="12"/>
  <c r="AC24" i="12"/>
  <c r="AC12" i="12"/>
  <c r="AC34" i="12"/>
  <c r="AC10" i="12"/>
  <c r="AC22" i="12"/>
  <c r="AC32" i="12"/>
  <c r="AC8" i="12"/>
  <c r="AC20" i="12"/>
  <c r="AC6" i="12"/>
  <c r="AC30" i="12"/>
  <c r="AC4" i="12"/>
  <c r="AC35" i="12"/>
  <c r="AC33" i="12"/>
  <c r="AC31" i="12"/>
  <c r="AC29" i="12"/>
  <c r="AC27" i="12"/>
  <c r="AC25" i="12"/>
  <c r="AC23" i="12"/>
  <c r="AC21" i="12"/>
  <c r="AC19" i="12"/>
  <c r="AC17" i="12"/>
  <c r="AC15" i="12"/>
  <c r="AC13" i="12"/>
  <c r="AC11" i="12"/>
  <c r="AC9" i="12"/>
  <c r="AC7" i="12"/>
  <c r="AC5" i="12"/>
  <c r="AC37" i="12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K20" i="10"/>
  <c r="L20" i="10" s="1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 s="1"/>
  <c r="K37" i="10"/>
  <c r="L37" i="10" s="1"/>
  <c r="K38" i="10"/>
  <c r="L38" i="10" s="1"/>
  <c r="R37" i="10"/>
  <c r="R14" i="10"/>
  <c r="R30" i="10"/>
  <c r="U39" i="12"/>
  <c r="R17" i="10"/>
  <c r="R9" i="10"/>
  <c r="R35" i="10"/>
  <c r="R12" i="10"/>
  <c r="R34" i="10"/>
  <c r="R25" i="10"/>
  <c r="R31" i="10"/>
  <c r="R36" i="10"/>
  <c r="R19" i="10"/>
  <c r="U38" i="12"/>
  <c r="R26" i="10"/>
  <c r="R10" i="10"/>
  <c r="R28" i="10"/>
  <c r="R29" i="10"/>
  <c r="R38" i="10"/>
  <c r="R21" i="10"/>
  <c r="R32" i="10"/>
  <c r="R24" i="10"/>
  <c r="R16" i="10"/>
  <c r="R33" i="10"/>
  <c r="R15" i="10"/>
  <c r="R23" i="10"/>
  <c r="R20" i="10"/>
  <c r="R27" i="10"/>
  <c r="R13" i="10"/>
  <c r="R22" i="10"/>
  <c r="R18" i="10"/>
  <c r="R11" i="10"/>
  <c r="L5" i="19" l="1" a="1"/>
  <c r="Y4" i="12" a="1"/>
  <c r="V7" i="10" a="1"/>
  <c r="V16" i="10" s="1"/>
  <c r="M7" i="10" a="1"/>
  <c r="M11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L5" i="14"/>
  <c r="AC38" i="12"/>
  <c r="AC39" i="12"/>
  <c r="Z13" i="10"/>
  <c r="Z32" i="10"/>
  <c r="Z20" i="10"/>
  <c r="Z8" i="10"/>
  <c r="Z10" i="10"/>
  <c r="Z36" i="10"/>
  <c r="Z21" i="10"/>
  <c r="Z7" i="10"/>
  <c r="Z34" i="10"/>
  <c r="Z26" i="10"/>
  <c r="Z12" i="10"/>
  <c r="Z27" i="10"/>
  <c r="Z9" i="10"/>
  <c r="Z18" i="10"/>
  <c r="Z38" i="10"/>
  <c r="Z24" i="10"/>
  <c r="Z35" i="10"/>
  <c r="Z23" i="10"/>
  <c r="Z30" i="10"/>
  <c r="Z28" i="10"/>
  <c r="Z22" i="10"/>
  <c r="Z37" i="10"/>
  <c r="Z33" i="10"/>
  <c r="Z31" i="10"/>
  <c r="Z29" i="10"/>
  <c r="Z25" i="10"/>
  <c r="Z19" i="10"/>
  <c r="Z11" i="10"/>
  <c r="V33" i="10" l="1"/>
  <c r="V10" i="10"/>
  <c r="V8" i="10"/>
  <c r="V11" i="10"/>
  <c r="V25" i="10"/>
  <c r="V15" i="10"/>
  <c r="V26" i="10"/>
  <c r="V29" i="10"/>
  <c r="V24" i="10"/>
  <c r="V13" i="10"/>
  <c r="L5" i="19"/>
  <c r="L16" i="19"/>
  <c r="L8" i="19"/>
  <c r="L20" i="19"/>
  <c r="L19" i="19"/>
  <c r="L25" i="19"/>
  <c r="L31" i="19"/>
  <c r="L23" i="19"/>
  <c r="L13" i="19"/>
  <c r="L12" i="19"/>
  <c r="L27" i="19"/>
  <c r="L26" i="19"/>
  <c r="L10" i="19"/>
  <c r="L17" i="19"/>
  <c r="L24" i="19"/>
  <c r="L15" i="19"/>
  <c r="L7" i="19"/>
  <c r="L30" i="19"/>
  <c r="L22" i="19"/>
  <c r="L14" i="19"/>
  <c r="L6" i="19"/>
  <c r="L29" i="19"/>
  <c r="L21" i="19"/>
  <c r="L28" i="19"/>
  <c r="L11" i="19"/>
  <c r="L9" i="19"/>
  <c r="L32" i="19"/>
  <c r="L18" i="19"/>
  <c r="Y4" i="12"/>
  <c r="Y19" i="12"/>
  <c r="Y10" i="12"/>
  <c r="Y34" i="12"/>
  <c r="Y25" i="12"/>
  <c r="Y18" i="12"/>
  <c r="Y8" i="12"/>
  <c r="Y33" i="12"/>
  <c r="Y23" i="12"/>
  <c r="Y17" i="12"/>
  <c r="Y38" i="12"/>
  <c r="Y32" i="12"/>
  <c r="Y6" i="12"/>
  <c r="Y16" i="12"/>
  <c r="Y21" i="12"/>
  <c r="Y27" i="12"/>
  <c r="Y31" i="12"/>
  <c r="Y5" i="12"/>
  <c r="Y26" i="12"/>
  <c r="Y15" i="12"/>
  <c r="Y36" i="12"/>
  <c r="Y9" i="12"/>
  <c r="Y30" i="12"/>
  <c r="Y20" i="12"/>
  <c r="Y24" i="12"/>
  <c r="Y14" i="12"/>
  <c r="Y39" i="12"/>
  <c r="Y29" i="12"/>
  <c r="Y7" i="12"/>
  <c r="Y13" i="12"/>
  <c r="Y22" i="12"/>
  <c r="Y37" i="12"/>
  <c r="Y35" i="12"/>
  <c r="Y28" i="12"/>
  <c r="Y12" i="12"/>
  <c r="Y11" i="12"/>
  <c r="V14" i="10"/>
  <c r="V37" i="10"/>
  <c r="V36" i="10"/>
  <c r="V12" i="10"/>
  <c r="V7" i="10"/>
  <c r="V35" i="10"/>
  <c r="V22" i="10"/>
  <c r="V27" i="10"/>
  <c r="V18" i="10"/>
  <c r="V9" i="10"/>
  <c r="V34" i="10"/>
  <c r="V23" i="10"/>
  <c r="V32" i="10"/>
  <c r="V38" i="10"/>
  <c r="V31" i="10"/>
  <c r="V28" i="10"/>
  <c r="V19" i="10"/>
  <c r="V17" i="10"/>
  <c r="V30" i="10"/>
  <c r="V20" i="10"/>
  <c r="V21" i="10"/>
  <c r="P5" i="14" a="1"/>
  <c r="P6" i="14" s="1"/>
  <c r="M12" i="10"/>
  <c r="M18" i="10"/>
  <c r="M35" i="10"/>
  <c r="M29" i="10"/>
  <c r="M25" i="10"/>
  <c r="M13" i="10"/>
  <c r="M37" i="10"/>
  <c r="M38" i="10"/>
  <c r="M31" i="10"/>
  <c r="M32" i="10"/>
  <c r="M14" i="10"/>
  <c r="M22" i="10"/>
  <c r="M33" i="10"/>
  <c r="M20" i="10"/>
  <c r="M15" i="10"/>
  <c r="M21" i="10"/>
  <c r="M36" i="10"/>
  <c r="M27" i="10"/>
  <c r="M8" i="10"/>
  <c r="M9" i="10"/>
  <c r="M34" i="10"/>
  <c r="M10" i="10"/>
  <c r="M17" i="10"/>
  <c r="M16" i="10"/>
  <c r="M30" i="10"/>
  <c r="M23" i="10"/>
  <c r="M28" i="10"/>
  <c r="M19" i="10"/>
  <c r="M26" i="10"/>
  <c r="M7" i="10"/>
  <c r="M24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W9" i="10"/>
  <c r="P5" i="14" l="1"/>
  <c r="K5" i="36" l="1"/>
  <c r="D6" i="36"/>
  <c r="J6" i="36"/>
  <c r="K6" i="36"/>
  <c r="D7" i="36"/>
  <c r="K7" i="36"/>
  <c r="D8" i="36"/>
  <c r="K8" i="36"/>
  <c r="K9" i="36"/>
  <c r="D10" i="36"/>
  <c r="J10" i="36"/>
  <c r="K10" i="36"/>
  <c r="D11" i="36"/>
  <c r="J11" i="36"/>
  <c r="K11" i="36"/>
  <c r="L9" i="36"/>
  <c r="L11" i="36"/>
  <c r="L6" i="36"/>
  <c r="L10" i="36"/>
  <c r="D13" i="36" l="1"/>
  <c r="J13" i="36"/>
  <c r="K13" i="36"/>
  <c r="D14" i="36"/>
  <c r="J14" i="36"/>
  <c r="K14" i="36"/>
  <c r="N10" i="36"/>
  <c r="N9" i="36"/>
  <c r="M10" i="36"/>
  <c r="N11" i="36"/>
  <c r="M11" i="36"/>
  <c r="M9" i="36"/>
  <c r="N6" i="36"/>
  <c r="M6" i="36"/>
  <c r="L13" i="36"/>
  <c r="L14" i="36"/>
  <c r="E4" i="19" l="1"/>
  <c r="F5" i="19"/>
  <c r="V5" i="19" s="1"/>
  <c r="G5" i="19"/>
  <c r="F6" i="19"/>
  <c r="V6" i="19" s="1"/>
  <c r="G6" i="19"/>
  <c r="F7" i="19"/>
  <c r="V7" i="19" s="1"/>
  <c r="F9" i="19"/>
  <c r="G7" i="19"/>
  <c r="F8" i="19"/>
  <c r="V8" i="19" s="1"/>
  <c r="V9" i="19"/>
  <c r="G8" i="19"/>
  <c r="G9" i="19"/>
  <c r="F10" i="19"/>
  <c r="V10" i="19" s="1"/>
  <c r="G10" i="19"/>
  <c r="F11" i="19"/>
  <c r="V11" i="19" s="1"/>
  <c r="G11" i="19"/>
  <c r="F12" i="19"/>
  <c r="V12" i="19" s="1"/>
  <c r="G12" i="19"/>
  <c r="F13" i="19"/>
  <c r="V13" i="19" s="1"/>
  <c r="G13" i="19"/>
  <c r="F14" i="19"/>
  <c r="V14" i="19" s="1"/>
  <c r="F15" i="19"/>
  <c r="V15" i="19" s="1"/>
  <c r="G14" i="19"/>
  <c r="F17" i="19"/>
  <c r="G15" i="19"/>
  <c r="F16" i="19"/>
  <c r="V16" i="19" s="1"/>
  <c r="V17" i="19"/>
  <c r="G17" i="19"/>
  <c r="G16" i="19"/>
  <c r="F21" i="19"/>
  <c r="F18" i="19"/>
  <c r="V18" i="19" s="1"/>
  <c r="F19" i="19"/>
  <c r="V19" i="19" s="1"/>
  <c r="V21" i="19"/>
  <c r="G21" i="19"/>
  <c r="F22" i="19"/>
  <c r="G19" i="19"/>
  <c r="G18" i="19"/>
  <c r="F20" i="19"/>
  <c r="V20" i="19" s="1"/>
  <c r="V22" i="19"/>
  <c r="G22" i="19"/>
  <c r="G20" i="19"/>
  <c r="F23" i="19"/>
  <c r="V23" i="19"/>
  <c r="F28" i="19"/>
  <c r="F26" i="19"/>
  <c r="V26" i="19" s="1"/>
  <c r="F24" i="19"/>
  <c r="V24" i="19" s="1"/>
  <c r="F25" i="19"/>
  <c r="V25" i="19" s="1"/>
  <c r="V28" i="19"/>
  <c r="G24" i="19"/>
  <c r="G28" i="19"/>
  <c r="G25" i="19"/>
  <c r="F29" i="19"/>
  <c r="F27" i="19"/>
  <c r="V27" i="19" s="1"/>
  <c r="G26" i="19"/>
  <c r="G23" i="19"/>
  <c r="V29" i="19"/>
  <c r="G27" i="19"/>
  <c r="F30" i="19"/>
  <c r="G29" i="19"/>
  <c r="V30" i="19"/>
  <c r="F31" i="19"/>
  <c r="G30" i="19"/>
  <c r="V31" i="19"/>
  <c r="G31" i="19"/>
  <c r="F32" i="19"/>
  <c r="V32" i="19"/>
  <c r="G32" i="19"/>
  <c r="M14" i="36"/>
  <c r="N13" i="36"/>
  <c r="N14" i="36"/>
  <c r="M13" i="36"/>
  <c r="L5" i="36"/>
  <c r="E4" i="17" l="1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V12" i="17"/>
  <c r="V5" i="17"/>
  <c r="V7" i="17"/>
  <c r="V6" i="17"/>
  <c r="V8" i="17"/>
  <c r="V13" i="17"/>
  <c r="V9" i="17"/>
  <c r="V14" i="17"/>
  <c r="V10" i="17"/>
  <c r="V11" i="17"/>
  <c r="V15" i="17"/>
  <c r="G13" i="17"/>
  <c r="F20" i="16"/>
  <c r="G19" i="16"/>
  <c r="F22" i="16"/>
  <c r="G18" i="16"/>
  <c r="G15" i="16"/>
  <c r="F23" i="16"/>
  <c r="G10" i="16"/>
  <c r="G14" i="16"/>
  <c r="G16" i="16"/>
  <c r="G15" i="17"/>
  <c r="G5" i="17"/>
  <c r="G5" i="16"/>
  <c r="F21" i="16"/>
  <c r="G6" i="16"/>
  <c r="G13" i="16"/>
  <c r="G6" i="17"/>
  <c r="G12" i="17"/>
  <c r="G17" i="16"/>
  <c r="G7" i="16"/>
  <c r="G11" i="16"/>
  <c r="G9" i="17"/>
  <c r="G11" i="17"/>
  <c r="G12" i="16"/>
  <c r="G8" i="16"/>
  <c r="G7" i="17"/>
  <c r="G8" i="17"/>
  <c r="G9" i="16"/>
  <c r="G10" i="17"/>
  <c r="G14" i="17"/>
  <c r="N5" i="36"/>
  <c r="F4" i="17"/>
  <c r="B4" i="14" l="1"/>
  <c r="B5" i="14"/>
  <c r="G22" i="16"/>
  <c r="G20" i="16"/>
  <c r="G21" i="16"/>
  <c r="C5" i="14"/>
  <c r="G23" i="16"/>
  <c r="Q5" i="14"/>
  <c r="G4" i="17"/>
  <c r="F4" i="19"/>
  <c r="B6" i="14" l="1"/>
  <c r="E3" i="12"/>
  <c r="D4" i="10"/>
  <c r="D5" i="10"/>
  <c r="D6" i="10"/>
  <c r="D7" i="10"/>
  <c r="D8" i="10"/>
  <c r="D10" i="10"/>
  <c r="D11" i="10"/>
  <c r="D12" i="10"/>
  <c r="D13" i="10"/>
  <c r="D14" i="10"/>
  <c r="D15" i="10"/>
  <c r="D16" i="10"/>
  <c r="D17" i="10"/>
  <c r="D18" i="10"/>
  <c r="D19" i="10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C36" i="10"/>
  <c r="D36" i="10" s="1"/>
  <c r="C37" i="10"/>
  <c r="D37" i="10" s="1"/>
  <c r="D38" i="10"/>
  <c r="D39" i="10"/>
  <c r="D40" i="10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E40" i="10"/>
  <c r="D19" i="9"/>
  <c r="O19" i="9" s="1"/>
  <c r="E20" i="10"/>
  <c r="W20" i="10" s="1"/>
  <c r="D7" i="9"/>
  <c r="O7" i="9" s="1"/>
  <c r="E15" i="10"/>
  <c r="W15" i="10" s="1"/>
  <c r="E21" i="10"/>
  <c r="W21" i="10" s="1"/>
  <c r="D15" i="9"/>
  <c r="O15" i="9" s="1"/>
  <c r="D18" i="9"/>
  <c r="O18" i="9" s="1"/>
  <c r="F40" i="10"/>
  <c r="D9" i="9"/>
  <c r="O9" i="9" s="1"/>
  <c r="E19" i="10"/>
  <c r="W19" i="10" s="1"/>
  <c r="D8" i="9"/>
  <c r="O8" i="9" s="1"/>
  <c r="D5" i="9"/>
  <c r="O5" i="9" s="1"/>
  <c r="E5" i="10"/>
  <c r="D13" i="9"/>
  <c r="O13" i="9" s="1"/>
  <c r="E8" i="10"/>
  <c r="W8" i="10" s="1"/>
  <c r="E32" i="10"/>
  <c r="W32" i="10" s="1"/>
  <c r="D5" i="14"/>
  <c r="E17" i="10"/>
  <c r="W17" i="10" s="1"/>
  <c r="E33" i="10"/>
  <c r="W33" i="10" s="1"/>
  <c r="E25" i="10"/>
  <c r="W25" i="10" s="1"/>
  <c r="E24" i="10"/>
  <c r="W24" i="10" s="1"/>
  <c r="E29" i="10"/>
  <c r="W29" i="10" s="1"/>
  <c r="E30" i="10"/>
  <c r="W30" i="10" s="1"/>
  <c r="D10" i="9"/>
  <c r="O10" i="9" s="1"/>
  <c r="D17" i="9"/>
  <c r="O17" i="9" s="1"/>
  <c r="E23" i="10"/>
  <c r="W23" i="10" s="1"/>
  <c r="E27" i="10"/>
  <c r="W27" i="10" s="1"/>
  <c r="D4" i="9"/>
  <c r="O4" i="9" s="1"/>
  <c r="E37" i="10"/>
  <c r="W37" i="10" s="1"/>
  <c r="C6" i="14"/>
  <c r="E39" i="10"/>
  <c r="D21" i="9"/>
  <c r="O21" i="9" s="1"/>
  <c r="D12" i="9"/>
  <c r="O12" i="9" s="1"/>
  <c r="E10" i="10"/>
  <c r="W10" i="10" s="1"/>
  <c r="E16" i="10"/>
  <c r="W16" i="10" s="1"/>
  <c r="D16" i="9"/>
  <c r="O16" i="9" s="1"/>
  <c r="E18" i="10"/>
  <c r="W18" i="10" s="1"/>
  <c r="D11" i="9"/>
  <c r="O11" i="9" s="1"/>
  <c r="D6" i="9"/>
  <c r="O6" i="9" s="1"/>
  <c r="E36" i="10"/>
  <c r="W36" i="10" s="1"/>
  <c r="E26" i="10"/>
  <c r="W26" i="10" s="1"/>
  <c r="E13" i="10"/>
  <c r="W13" i="10" s="1"/>
  <c r="D20" i="9"/>
  <c r="O20" i="9" s="1"/>
  <c r="E31" i="10"/>
  <c r="W31" i="10" s="1"/>
  <c r="E34" i="10"/>
  <c r="W34" i="10" s="1"/>
  <c r="E38" i="10"/>
  <c r="W38" i="10" s="1"/>
  <c r="E6" i="10"/>
  <c r="E28" i="10"/>
  <c r="W28" i="10" s="1"/>
  <c r="E12" i="10"/>
  <c r="W12" i="10" s="1"/>
  <c r="E7" i="10"/>
  <c r="W7" i="10" s="1"/>
  <c r="D14" i="9"/>
  <c r="O14" i="9" s="1"/>
  <c r="E35" i="10"/>
  <c r="W35" i="10" s="1"/>
  <c r="E14" i="10"/>
  <c r="W14" i="10" s="1"/>
  <c r="E22" i="10"/>
  <c r="W22" i="10" s="1"/>
  <c r="E11" i="10"/>
  <c r="W11" i="10" s="1"/>
  <c r="Q6" i="14"/>
  <c r="C4" i="14"/>
  <c r="G4" i="19"/>
  <c r="E11" i="12" l="1"/>
  <c r="E19" i="12"/>
  <c r="E27" i="12"/>
  <c r="E35" i="12"/>
  <c r="E6" i="12"/>
  <c r="E14" i="12"/>
  <c r="E22" i="12"/>
  <c r="E30" i="12"/>
  <c r="E38" i="12"/>
  <c r="E9" i="12"/>
  <c r="E17" i="12"/>
  <c r="E25" i="12"/>
  <c r="E33" i="12"/>
  <c r="E4" i="12"/>
  <c r="E16" i="12"/>
  <c r="E29" i="12"/>
  <c r="E15" i="12"/>
  <c r="E28" i="12"/>
  <c r="E8" i="12"/>
  <c r="E21" i="12"/>
  <c r="E34" i="12"/>
  <c r="E5" i="12"/>
  <c r="E31" i="12"/>
  <c r="E36" i="12"/>
  <c r="E13" i="12"/>
  <c r="E26" i="12"/>
  <c r="E39" i="12"/>
  <c r="E18" i="12"/>
  <c r="E10" i="12"/>
  <c r="E23" i="12"/>
  <c r="E32" i="12"/>
  <c r="E24" i="12"/>
  <c r="E20" i="12"/>
  <c r="E37" i="12"/>
  <c r="E7" i="12"/>
  <c r="E12" i="12"/>
  <c r="F21" i="10"/>
  <c r="F13" i="12"/>
  <c r="Z13" i="12" s="1"/>
  <c r="F23" i="10"/>
  <c r="F9" i="12"/>
  <c r="Z9" i="12" s="1"/>
  <c r="D6" i="14"/>
  <c r="F28" i="12"/>
  <c r="Z28" i="12" s="1"/>
  <c r="F4" i="12"/>
  <c r="Z4" i="12" s="1"/>
  <c r="E9" i="9"/>
  <c r="E10" i="9"/>
  <c r="F22" i="10"/>
  <c r="F6" i="10"/>
  <c r="F25" i="10"/>
  <c r="F8" i="10"/>
  <c r="E19" i="9"/>
  <c r="E4" i="9"/>
  <c r="F18" i="10"/>
  <c r="F14" i="10"/>
  <c r="F30" i="12"/>
  <c r="Z30" i="12" s="1"/>
  <c r="E8" i="9"/>
  <c r="F30" i="10"/>
  <c r="F27" i="12"/>
  <c r="Z27" i="12" s="1"/>
  <c r="F10" i="10"/>
  <c r="F12" i="12"/>
  <c r="Z12" i="12" s="1"/>
  <c r="F39" i="10"/>
  <c r="F24" i="10"/>
  <c r="F7" i="12"/>
  <c r="Z7" i="12" s="1"/>
  <c r="F32" i="12"/>
  <c r="Z32" i="12" s="1"/>
  <c r="F29" i="12"/>
  <c r="Z29" i="12" s="1"/>
  <c r="F17" i="10"/>
  <c r="F12" i="10"/>
  <c r="E5" i="9"/>
  <c r="F39" i="12"/>
  <c r="Z39" i="12" s="1"/>
  <c r="E18" i="9"/>
  <c r="F32" i="10"/>
  <c r="F28" i="10"/>
  <c r="F35" i="12"/>
  <c r="Z35" i="12" s="1"/>
  <c r="F18" i="12"/>
  <c r="Z18" i="12" s="1"/>
  <c r="F13" i="10"/>
  <c r="F11" i="10"/>
  <c r="F5" i="12"/>
  <c r="Z5" i="12" s="1"/>
  <c r="E12" i="9"/>
  <c r="F9" i="10"/>
  <c r="F5" i="10"/>
  <c r="E17" i="9"/>
  <c r="F36" i="10"/>
  <c r="F38" i="10"/>
  <c r="F37" i="10"/>
  <c r="F15" i="10"/>
  <c r="F24" i="12"/>
  <c r="Z24" i="12" s="1"/>
  <c r="E21" i="9"/>
  <c r="F20" i="12"/>
  <c r="Z20" i="12" s="1"/>
  <c r="E7" i="9"/>
  <c r="F34" i="10"/>
  <c r="E6" i="9"/>
  <c r="F7" i="10"/>
  <c r="F22" i="12"/>
  <c r="Z22" i="12" s="1"/>
  <c r="F25" i="12"/>
  <c r="Z25" i="12" s="1"/>
  <c r="E15" i="9"/>
  <c r="F15" i="12"/>
  <c r="Z15" i="12" s="1"/>
  <c r="F6" i="12"/>
  <c r="Z6" i="12" s="1"/>
  <c r="E20" i="9"/>
  <c r="E16" i="9"/>
  <c r="F10" i="12"/>
  <c r="Z10" i="12" s="1"/>
  <c r="F33" i="10"/>
  <c r="F27" i="10"/>
  <c r="F31" i="10"/>
  <c r="E13" i="9"/>
  <c r="F35" i="10"/>
  <c r="F26" i="10"/>
  <c r="F29" i="10"/>
  <c r="F8" i="12"/>
  <c r="Z8" i="12" s="1"/>
  <c r="E11" i="9"/>
  <c r="F33" i="12"/>
  <c r="Z33" i="12" s="1"/>
  <c r="F16" i="10"/>
  <c r="F19" i="12"/>
  <c r="Z19" i="12" s="1"/>
  <c r="F23" i="12"/>
  <c r="Z23" i="12" s="1"/>
  <c r="F16" i="12"/>
  <c r="Z16" i="12" s="1"/>
  <c r="F17" i="12"/>
  <c r="Z17" i="12" s="1"/>
  <c r="F21" i="12"/>
  <c r="Z21" i="12" s="1"/>
  <c r="F26" i="12"/>
  <c r="Z26" i="12" s="1"/>
  <c r="F14" i="12"/>
  <c r="Z14" i="12" s="1"/>
  <c r="E14" i="9"/>
  <c r="F11" i="12"/>
  <c r="Z11" i="12" s="1"/>
  <c r="F37" i="12"/>
  <c r="Z37" i="12" s="1"/>
  <c r="F31" i="12"/>
  <c r="Z31" i="12" s="1"/>
  <c r="F38" i="12"/>
  <c r="Z38" i="12" s="1"/>
  <c r="F19" i="10"/>
  <c r="F20" i="10"/>
  <c r="F36" i="12"/>
  <c r="Z36" i="12" s="1"/>
  <c r="F34" i="12"/>
  <c r="Z34" i="12" s="1"/>
  <c r="Q3" i="14"/>
  <c r="F4" i="16"/>
  <c r="D3" i="9"/>
  <c r="E4" i="10"/>
  <c r="D4" i="14"/>
  <c r="C5" i="6" l="1"/>
  <c r="D5" i="6"/>
  <c r="G35" i="12"/>
  <c r="G28" i="12"/>
  <c r="G9" i="12"/>
  <c r="G5" i="12"/>
  <c r="G34" i="12"/>
  <c r="G30" i="12"/>
  <c r="G24" i="12"/>
  <c r="G23" i="12"/>
  <c r="G7" i="12"/>
  <c r="G33" i="12"/>
  <c r="G10" i="12"/>
  <c r="G11" i="12"/>
  <c r="G32" i="12"/>
  <c r="G26" i="12"/>
  <c r="G27" i="12"/>
  <c r="G22" i="12"/>
  <c r="G8" i="12"/>
  <c r="G18" i="12"/>
  <c r="G36" i="12"/>
  <c r="G12" i="12"/>
  <c r="G16" i="12"/>
  <c r="G17" i="12"/>
  <c r="G19" i="12"/>
  <c r="G31" i="12"/>
  <c r="G4" i="12"/>
  <c r="G20" i="12"/>
  <c r="G14" i="12"/>
  <c r="G25" i="12"/>
  <c r="G38" i="12"/>
  <c r="G37" i="12"/>
  <c r="G39" i="12"/>
  <c r="G13" i="12"/>
  <c r="G29" i="12"/>
  <c r="G21" i="12"/>
  <c r="G15" i="12"/>
  <c r="G6" i="12"/>
  <c r="E3" i="9"/>
  <c r="G4" i="16"/>
  <c r="F4" i="10"/>
  <c r="E5" i="6" l="1"/>
  <c r="C6" i="6"/>
  <c r="D6" i="6"/>
  <c r="F5" i="6"/>
  <c r="E6" i="6" l="1"/>
  <c r="E4" i="6"/>
  <c r="C7" i="6"/>
  <c r="D7" i="6"/>
  <c r="G5" i="6"/>
  <c r="F6" i="6"/>
  <c r="E7" i="6" l="1"/>
  <c r="C8" i="6"/>
  <c r="D8" i="6"/>
  <c r="F7" i="6"/>
  <c r="G6" i="6"/>
  <c r="E8" i="6" l="1"/>
  <c r="C9" i="6"/>
  <c r="D9" i="6"/>
  <c r="G7" i="6"/>
  <c r="F8" i="6"/>
  <c r="E9" i="6" l="1"/>
  <c r="C10" i="6"/>
  <c r="D10" i="6"/>
  <c r="G8" i="6"/>
  <c r="F9" i="6"/>
  <c r="E10" i="6" l="1"/>
  <c r="C11" i="6"/>
  <c r="D11" i="6"/>
  <c r="G9" i="6"/>
  <c r="F10" i="6"/>
  <c r="E11" i="6" l="1"/>
  <c r="C12" i="6"/>
  <c r="D12" i="6"/>
  <c r="F11" i="6"/>
  <c r="G10" i="6"/>
  <c r="E12" i="6" l="1"/>
  <c r="C13" i="6"/>
  <c r="D13" i="6"/>
  <c r="G11" i="6"/>
  <c r="F12" i="6"/>
  <c r="E13" i="6" l="1"/>
  <c r="C14" i="6"/>
  <c r="D14" i="6"/>
  <c r="F13" i="6"/>
  <c r="G12" i="6"/>
  <c r="E14" i="6" l="1"/>
  <c r="C15" i="6"/>
  <c r="D15" i="6"/>
  <c r="F14" i="6"/>
  <c r="G13" i="6"/>
  <c r="E15" i="6" l="1"/>
  <c r="C16" i="6"/>
  <c r="D16" i="6"/>
  <c r="G14" i="6"/>
  <c r="F15" i="6"/>
  <c r="E16" i="6" l="1"/>
  <c r="C17" i="6"/>
  <c r="D17" i="6"/>
  <c r="F16" i="6"/>
  <c r="G15" i="6"/>
  <c r="E17" i="6" l="1"/>
  <c r="C18" i="6"/>
  <c r="D18" i="6"/>
  <c r="F17" i="6"/>
  <c r="G16" i="6"/>
  <c r="E18" i="6" l="1"/>
  <c r="C19" i="6"/>
  <c r="D19" i="6"/>
  <c r="G17" i="6"/>
  <c r="F18" i="6"/>
  <c r="E19" i="6" l="1"/>
  <c r="C20" i="6"/>
  <c r="D20" i="6"/>
  <c r="G18" i="6"/>
  <c r="F19" i="6"/>
  <c r="E20" i="6" l="1"/>
  <c r="C21" i="6"/>
  <c r="D21" i="6"/>
  <c r="F20" i="6"/>
  <c r="G19" i="6"/>
  <c r="E21" i="6" l="1"/>
  <c r="C22" i="6"/>
  <c r="D22" i="6"/>
  <c r="F21" i="6"/>
  <c r="G20" i="6"/>
  <c r="E22" i="6" l="1"/>
  <c r="C23" i="6"/>
  <c r="D23" i="6"/>
  <c r="F22" i="6"/>
  <c r="G21" i="6"/>
  <c r="E23" i="6" l="1"/>
  <c r="C24" i="6"/>
  <c r="D24" i="6"/>
  <c r="G22" i="6"/>
  <c r="F23" i="6"/>
  <c r="E24" i="6" l="1"/>
  <c r="C25" i="6"/>
  <c r="D25" i="6"/>
  <c r="G23" i="6"/>
  <c r="F24" i="6"/>
  <c r="E25" i="6" l="1"/>
  <c r="C26" i="6"/>
  <c r="D26" i="6"/>
  <c r="F25" i="6"/>
  <c r="G24" i="6"/>
  <c r="E26" i="6" l="1"/>
  <c r="C27" i="6"/>
  <c r="D27" i="6"/>
  <c r="G25" i="6"/>
  <c r="F26" i="6"/>
  <c r="E27" i="6" l="1"/>
  <c r="C28" i="6"/>
  <c r="D28" i="6"/>
  <c r="G26" i="6"/>
  <c r="F27" i="6"/>
  <c r="E28" i="6" l="1"/>
  <c r="C29" i="6"/>
  <c r="D29" i="6"/>
  <c r="F28" i="6"/>
  <c r="G27" i="6"/>
  <c r="E29" i="6" l="1"/>
  <c r="C30" i="6"/>
  <c r="D30" i="6"/>
  <c r="F29" i="6"/>
  <c r="G28" i="6"/>
  <c r="E30" i="6" l="1"/>
  <c r="C31" i="6"/>
  <c r="D31" i="6"/>
  <c r="G29" i="6"/>
  <c r="F30" i="6"/>
  <c r="E31" i="6" l="1"/>
  <c r="C32" i="6"/>
  <c r="D32" i="6"/>
  <c r="G30" i="6"/>
  <c r="F31" i="6"/>
  <c r="E32" i="6" l="1"/>
  <c r="C33" i="6"/>
  <c r="D33" i="6"/>
  <c r="G31" i="6"/>
  <c r="F32" i="6"/>
  <c r="E33" i="6" l="1"/>
  <c r="C34" i="6"/>
  <c r="D34" i="6"/>
  <c r="F33" i="6"/>
  <c r="G32" i="6"/>
  <c r="E34" i="6" l="1"/>
  <c r="C35" i="6"/>
  <c r="D35" i="6"/>
  <c r="G33" i="6"/>
  <c r="F34" i="6"/>
  <c r="E35" i="6" l="1"/>
  <c r="C36" i="6"/>
  <c r="D36" i="6"/>
  <c r="F35" i="6"/>
  <c r="G34" i="6"/>
  <c r="E36" i="6" l="1"/>
  <c r="C37" i="6"/>
  <c r="D37" i="6"/>
  <c r="F36" i="6"/>
  <c r="G35" i="6"/>
  <c r="E37" i="6" l="1"/>
  <c r="C38" i="6"/>
  <c r="D38" i="6"/>
  <c r="G36" i="6"/>
  <c r="F37" i="6"/>
  <c r="E38" i="6" l="1"/>
  <c r="C39" i="6"/>
  <c r="D39" i="6"/>
  <c r="F38" i="6"/>
  <c r="G37" i="6"/>
  <c r="E39" i="6" l="1"/>
  <c r="C40" i="6"/>
  <c r="D40" i="6"/>
  <c r="F39" i="6"/>
  <c r="G38" i="6"/>
  <c r="E40" i="6" l="1"/>
  <c r="C41" i="6"/>
  <c r="D41" i="6"/>
  <c r="F40" i="6"/>
  <c r="G39" i="6"/>
  <c r="E41" i="6" l="1"/>
  <c r="C42" i="6"/>
  <c r="D42" i="6"/>
  <c r="F41" i="6"/>
  <c r="G40" i="6"/>
  <c r="E42" i="6" l="1"/>
  <c r="C5" i="5"/>
  <c r="D5" i="5"/>
  <c r="G41" i="6"/>
  <c r="F42" i="6"/>
  <c r="E5" i="5" l="1"/>
  <c r="C6" i="5"/>
  <c r="D6" i="5"/>
  <c r="G42" i="6"/>
  <c r="F5" i="5"/>
  <c r="E6" i="5" l="1"/>
  <c r="E4" i="5"/>
  <c r="C7" i="5"/>
  <c r="D7" i="5"/>
  <c r="F6" i="5"/>
  <c r="G5" i="5"/>
  <c r="E7" i="5" l="1"/>
  <c r="C8" i="5"/>
  <c r="D8" i="5"/>
  <c r="G6" i="5"/>
  <c r="F7" i="5"/>
  <c r="E8" i="5" l="1"/>
  <c r="C9" i="5"/>
  <c r="D9" i="5"/>
  <c r="F8" i="5"/>
  <c r="G7" i="5"/>
  <c r="E9" i="5" l="1"/>
  <c r="C10" i="5"/>
  <c r="D10" i="5"/>
  <c r="G8" i="5"/>
  <c r="F9" i="5"/>
  <c r="E10" i="5" l="1"/>
  <c r="C11" i="5"/>
  <c r="D11" i="5"/>
  <c r="F10" i="5"/>
  <c r="G9" i="5"/>
  <c r="E11" i="5" l="1"/>
  <c r="C12" i="5"/>
  <c r="D12" i="5"/>
  <c r="F11" i="5"/>
  <c r="G10" i="5"/>
  <c r="E12" i="5" l="1"/>
  <c r="C13" i="5"/>
  <c r="D13" i="5"/>
  <c r="G11" i="5"/>
  <c r="F12" i="5"/>
  <c r="E13" i="5" l="1"/>
  <c r="C14" i="5"/>
  <c r="D14" i="5"/>
  <c r="F13" i="5"/>
  <c r="G12" i="5"/>
  <c r="E14" i="5" l="1"/>
  <c r="C15" i="5"/>
  <c r="D15" i="5"/>
  <c r="F14" i="5"/>
  <c r="G13" i="5"/>
  <c r="E15" i="5" l="1"/>
  <c r="C16" i="5"/>
  <c r="D16" i="5"/>
  <c r="G14" i="5"/>
  <c r="F15" i="5"/>
  <c r="E16" i="5" l="1"/>
  <c r="C17" i="5"/>
  <c r="D17" i="5"/>
  <c r="F16" i="5"/>
  <c r="G15" i="5"/>
  <c r="E17" i="5" l="1"/>
  <c r="C18" i="5"/>
  <c r="D18" i="5"/>
  <c r="F17" i="5"/>
  <c r="G16" i="5"/>
  <c r="E18" i="5" l="1"/>
  <c r="C19" i="5"/>
  <c r="D19" i="5"/>
  <c r="F18" i="5"/>
  <c r="G17" i="5"/>
  <c r="E19" i="5" l="1"/>
  <c r="C20" i="5"/>
  <c r="D20" i="5"/>
  <c r="F19" i="5"/>
  <c r="G18" i="5"/>
  <c r="E20" i="5" l="1"/>
  <c r="C21" i="5"/>
  <c r="D21" i="5"/>
  <c r="G19" i="5"/>
  <c r="F20" i="5"/>
  <c r="E21" i="5" l="1"/>
  <c r="C22" i="5"/>
  <c r="D22" i="5"/>
  <c r="G20" i="5"/>
  <c r="F21" i="5"/>
  <c r="E22" i="5" l="1"/>
  <c r="C23" i="5"/>
  <c r="D23" i="5"/>
  <c r="G21" i="5"/>
  <c r="F22" i="5"/>
  <c r="E23" i="5" l="1"/>
  <c r="C24" i="5"/>
  <c r="D24" i="5"/>
  <c r="F23" i="5"/>
  <c r="G22" i="5"/>
  <c r="E24" i="5" l="1"/>
  <c r="C25" i="5"/>
  <c r="D25" i="5"/>
  <c r="F24" i="5"/>
  <c r="G23" i="5"/>
  <c r="E25" i="5" l="1"/>
  <c r="C26" i="5"/>
  <c r="D26" i="5"/>
  <c r="F25" i="5"/>
  <c r="G24" i="5"/>
  <c r="E26" i="5" l="1"/>
  <c r="C27" i="5"/>
  <c r="D27" i="5"/>
  <c r="F26" i="5"/>
  <c r="G25" i="5"/>
  <c r="E27" i="5" l="1"/>
  <c r="C28" i="5"/>
  <c r="D28" i="5"/>
  <c r="G26" i="5"/>
  <c r="F27" i="5"/>
  <c r="E28" i="5" l="1"/>
  <c r="C29" i="5"/>
  <c r="D29" i="5"/>
  <c r="G27" i="5"/>
  <c r="F28" i="5"/>
  <c r="E29" i="5" l="1"/>
  <c r="C30" i="5"/>
  <c r="D30" i="5"/>
  <c r="G28" i="5"/>
  <c r="F29" i="5"/>
  <c r="E30" i="5" l="1"/>
  <c r="C31" i="5"/>
  <c r="D31" i="5"/>
  <c r="F30" i="5"/>
  <c r="G29" i="5"/>
  <c r="E31" i="5" l="1"/>
  <c r="C32" i="5"/>
  <c r="D32" i="5"/>
  <c r="F31" i="5"/>
  <c r="G30" i="5"/>
  <c r="E32" i="5" l="1"/>
  <c r="C33" i="5"/>
  <c r="D33" i="5"/>
  <c r="F32" i="5"/>
  <c r="G31" i="5"/>
  <c r="E33" i="5" l="1"/>
  <c r="C34" i="5"/>
  <c r="D34" i="5"/>
  <c r="F33" i="5"/>
  <c r="G32" i="5"/>
  <c r="E34" i="5" l="1"/>
  <c r="C35" i="5"/>
  <c r="D35" i="5"/>
  <c r="G33" i="5"/>
  <c r="F34" i="5"/>
  <c r="E35" i="5" l="1"/>
  <c r="C36" i="5"/>
  <c r="D36" i="5"/>
  <c r="G34" i="5"/>
  <c r="F35" i="5"/>
  <c r="E36" i="5" l="1"/>
  <c r="C37" i="5"/>
  <c r="D37" i="5"/>
  <c r="F36" i="5"/>
  <c r="G35" i="5"/>
  <c r="E37" i="5" l="1"/>
  <c r="C38" i="5"/>
  <c r="D38" i="5"/>
  <c r="F37" i="5"/>
  <c r="G36" i="5"/>
  <c r="E38" i="5" l="1"/>
  <c r="C39" i="5"/>
  <c r="D39" i="5"/>
  <c r="F38" i="5"/>
  <c r="G37" i="5"/>
  <c r="E39" i="5" l="1"/>
  <c r="C40" i="5"/>
  <c r="D40" i="5"/>
  <c r="F39" i="5"/>
  <c r="G38" i="5"/>
  <c r="E40" i="5" l="1"/>
  <c r="C41" i="5"/>
  <c r="D41" i="5"/>
  <c r="F40" i="5"/>
  <c r="G39" i="5"/>
  <c r="E41" i="5" l="1"/>
  <c r="C42" i="5"/>
  <c r="D42" i="5"/>
  <c r="G40" i="5"/>
  <c r="F41" i="5"/>
  <c r="E42" i="5" l="1"/>
  <c r="W3" i="10"/>
  <c r="O2" i="9"/>
  <c r="S3" i="6"/>
  <c r="X5" i="6" a="1"/>
  <c r="V3" i="16"/>
  <c r="G41" i="5"/>
  <c r="V3" i="17"/>
  <c r="S3" i="5"/>
  <c r="V3" i="19"/>
  <c r="F42" i="5"/>
  <c r="F4" i="6"/>
  <c r="F4" i="5"/>
  <c r="L4" i="19"/>
  <c r="L4" i="16"/>
  <c r="I3" i="9"/>
  <c r="M4" i="10"/>
  <c r="S4" i="6"/>
  <c r="L4" i="17"/>
  <c r="S4" i="5"/>
  <c r="F3" i="12"/>
  <c r="X24" i="6" l="1"/>
  <c r="X16" i="6"/>
  <c r="X9" i="6"/>
  <c r="X7" i="6"/>
  <c r="X18" i="6"/>
  <c r="X19" i="6"/>
  <c r="X22" i="6"/>
  <c r="X29" i="6"/>
  <c r="X20" i="6"/>
  <c r="X36" i="6"/>
  <c r="X17" i="6"/>
  <c r="X15" i="6"/>
  <c r="X38" i="6"/>
  <c r="X35" i="6"/>
  <c r="X25" i="6"/>
  <c r="X40" i="6"/>
  <c r="Y41" i="6" s="1"/>
  <c r="X27" i="6"/>
  <c r="X10" i="6"/>
  <c r="X12" i="6"/>
  <c r="X33" i="6"/>
  <c r="X21" i="6"/>
  <c r="X26" i="6"/>
  <c r="X32" i="6"/>
  <c r="X28" i="6"/>
  <c r="X11" i="6"/>
  <c r="X30" i="6"/>
  <c r="X5" i="6"/>
  <c r="X39" i="6"/>
  <c r="X41" i="6"/>
  <c r="X23" i="6"/>
  <c r="X34" i="6"/>
  <c r="X14" i="6"/>
  <c r="X6" i="6"/>
  <c r="X37" i="6"/>
  <c r="X31" i="6"/>
  <c r="X8" i="6"/>
  <c r="X13" i="6"/>
  <c r="X5" i="5" a="1"/>
  <c r="G42" i="5"/>
  <c r="G3" i="12"/>
  <c r="G4" i="5"/>
  <c r="G4" i="6"/>
  <c r="X31" i="5" l="1"/>
  <c r="X41" i="5"/>
  <c r="X12" i="5"/>
  <c r="X33" i="5"/>
  <c r="X7" i="5"/>
  <c r="X35" i="5"/>
  <c r="X32" i="5"/>
  <c r="X6" i="5"/>
  <c r="X30" i="5"/>
  <c r="X38" i="5"/>
  <c r="X23" i="5"/>
  <c r="X15" i="5"/>
  <c r="X5" i="5"/>
  <c r="X19" i="5"/>
  <c r="X21" i="5"/>
  <c r="X22" i="5"/>
  <c r="X25" i="5"/>
  <c r="X34" i="5"/>
  <c r="X11" i="5"/>
  <c r="X27" i="5"/>
  <c r="X16" i="5"/>
  <c r="X29" i="5"/>
  <c r="X20" i="5"/>
  <c r="X24" i="5"/>
  <c r="X39" i="5"/>
  <c r="X28" i="5"/>
  <c r="X37" i="5"/>
  <c r="X10" i="5"/>
  <c r="X42" i="5"/>
  <c r="X13" i="5"/>
  <c r="X14" i="5"/>
  <c r="X18" i="5"/>
  <c r="X26" i="5"/>
  <c r="X9" i="5"/>
  <c r="X40" i="5"/>
  <c r="X36" i="5"/>
  <c r="X17" i="5"/>
  <c r="X8" i="5"/>
  <c r="Y40" i="6"/>
  <c r="Y42" i="6" s="1"/>
  <c r="X42" i="6" s="1"/>
  <c r="AC5" i="6" s="1" a="1"/>
  <c r="Z2" i="12"/>
  <c r="O3" i="12"/>
  <c r="S5" i="36"/>
  <c r="AC5" i="5" l="1" a="1"/>
  <c r="AC42" i="5" s="1"/>
  <c r="AC16" i="6"/>
  <c r="AC41" i="6"/>
  <c r="AC13" i="6"/>
  <c r="AC33" i="6"/>
  <c r="AC25" i="6"/>
  <c r="AC10" i="6"/>
  <c r="AC23" i="6"/>
  <c r="AC19" i="6"/>
  <c r="AC11" i="6"/>
  <c r="AC39" i="6"/>
  <c r="AC8" i="6"/>
  <c r="AC30" i="6"/>
  <c r="AC38" i="6"/>
  <c r="AC17" i="6"/>
  <c r="AC9" i="6"/>
  <c r="AC26" i="6"/>
  <c r="AC24" i="6"/>
  <c r="AC28" i="6"/>
  <c r="AC5" i="6"/>
  <c r="AC21" i="6"/>
  <c r="AC32" i="6"/>
  <c r="AC14" i="6"/>
  <c r="AC29" i="6"/>
  <c r="AC35" i="6"/>
  <c r="AC22" i="6"/>
  <c r="AC27" i="6"/>
  <c r="AC12" i="6"/>
  <c r="AC31" i="6"/>
  <c r="AC34" i="6"/>
  <c r="AC20" i="6"/>
  <c r="AC6" i="6"/>
  <c r="AC15" i="6"/>
  <c r="AC36" i="6"/>
  <c r="AC18" i="6"/>
  <c r="AC37" i="6"/>
  <c r="AC7" i="6"/>
  <c r="AC40" i="6"/>
  <c r="AC42" i="6"/>
  <c r="AD42" i="5"/>
  <c r="AC35" i="5" l="1"/>
  <c r="AC9" i="5"/>
  <c r="AC16" i="5"/>
  <c r="AC21" i="5"/>
  <c r="AC14" i="5"/>
  <c r="AC7" i="5"/>
  <c r="AC27" i="5"/>
  <c r="AC36" i="5"/>
  <c r="AC17" i="5"/>
  <c r="AC34" i="5"/>
  <c r="AC40" i="5"/>
  <c r="AC10" i="5"/>
  <c r="AC39" i="5"/>
  <c r="AC32" i="5"/>
  <c r="AC26" i="5"/>
  <c r="AC5" i="5"/>
  <c r="AC18" i="5"/>
  <c r="AC19" i="5"/>
  <c r="AC38" i="5"/>
  <c r="AC31" i="5"/>
  <c r="AC30" i="5"/>
  <c r="AC13" i="5"/>
  <c r="AC22" i="5"/>
  <c r="AC29" i="5"/>
  <c r="AC24" i="5"/>
  <c r="AC8" i="5"/>
  <c r="AC33" i="5"/>
  <c r="AC11" i="5"/>
  <c r="AC15" i="5"/>
  <c r="AC23" i="5"/>
  <c r="AC12" i="5"/>
  <c r="AC20" i="5"/>
  <c r="AC6" i="5"/>
  <c r="AC28" i="5"/>
  <c r="AC25" i="5"/>
  <c r="AC37" i="5"/>
  <c r="AC41" i="5"/>
  <c r="AK9" i="6"/>
  <c r="AK38" i="6"/>
  <c r="AK27" i="6"/>
  <c r="AK15" i="6"/>
  <c r="AK26" i="6"/>
  <c r="AK6" i="6"/>
  <c r="AK20" i="6"/>
  <c r="AK17" i="6"/>
  <c r="AK34" i="6"/>
  <c r="AK31" i="6"/>
  <c r="AK30" i="6"/>
  <c r="AK12" i="6"/>
  <c r="AK8" i="6"/>
  <c r="AK39" i="6"/>
  <c r="AK22" i="6"/>
  <c r="AK11" i="6"/>
  <c r="AK35" i="6"/>
  <c r="AK19" i="6"/>
  <c r="AK29" i="6"/>
  <c r="AK23" i="6"/>
  <c r="AK42" i="6"/>
  <c r="AK14" i="6"/>
  <c r="AK10" i="6"/>
  <c r="AK40" i="6"/>
  <c r="AK32" i="6"/>
  <c r="AK25" i="6"/>
  <c r="AK7" i="6"/>
  <c r="AK21" i="6"/>
  <c r="AK33" i="6"/>
  <c r="AK37" i="6"/>
  <c r="AK5" i="6"/>
  <c r="AK13" i="6"/>
  <c r="AK18" i="6"/>
  <c r="AK28" i="6"/>
  <c r="AK41" i="6"/>
  <c r="AK36" i="6"/>
  <c r="AK24" i="6"/>
  <c r="AK16" i="6"/>
  <c r="AD9" i="5"/>
  <c r="AD21" i="5"/>
  <c r="AD10" i="5"/>
  <c r="AD31" i="5"/>
  <c r="AD11" i="5"/>
  <c r="AD37" i="5"/>
  <c r="AD22" i="5"/>
  <c r="AD36" i="5"/>
  <c r="AD29" i="5"/>
  <c r="AD20" i="5"/>
  <c r="AD17" i="5"/>
  <c r="AD8" i="5"/>
  <c r="AD16" i="5"/>
  <c r="AD38" i="5"/>
  <c r="AD33" i="5"/>
  <c r="AD25" i="5"/>
  <c r="AD14" i="5"/>
  <c r="AD39" i="5"/>
  <c r="AD30" i="5"/>
  <c r="AD15" i="5"/>
  <c r="AD41" i="5"/>
  <c r="AD27" i="5"/>
  <c r="AD12" i="5"/>
  <c r="AD5" i="5"/>
  <c r="AD35" i="5"/>
  <c r="AD18" i="5"/>
  <c r="AD6" i="5"/>
  <c r="AD40" i="5"/>
  <c r="AD7" i="5"/>
  <c r="AD32" i="5"/>
  <c r="AD13" i="5"/>
  <c r="AD23" i="5"/>
  <c r="AD26" i="5"/>
  <c r="AD24" i="5"/>
  <c r="AD34" i="5"/>
  <c r="AD19" i="5"/>
  <c r="AD28" i="5"/>
  <c r="AD30" i="6"/>
  <c r="AD9" i="6"/>
  <c r="AD13" i="6"/>
  <c r="AD10" i="6"/>
  <c r="AD37" i="6"/>
  <c r="AD6" i="6"/>
  <c r="AD17" i="6"/>
  <c r="AD15" i="6"/>
  <c r="AD12" i="6"/>
  <c r="AD31" i="6"/>
  <c r="AD42" i="6"/>
  <c r="AD16" i="6"/>
  <c r="AD36" i="6"/>
  <c r="AD20" i="6"/>
  <c r="AD18" i="6"/>
  <c r="AD22" i="6"/>
  <c r="AD27" i="6"/>
  <c r="AD35" i="6"/>
  <c r="AD26" i="6"/>
  <c r="AD28" i="6"/>
  <c r="AD33" i="6"/>
  <c r="AD11" i="6"/>
  <c r="AD23" i="6"/>
  <c r="AD40" i="6"/>
  <c r="AD19" i="6"/>
  <c r="AD29" i="6"/>
  <c r="AD24" i="6"/>
  <c r="AD21" i="6"/>
  <c r="AD3" i="5"/>
  <c r="AD32" i="6"/>
  <c r="AD41" i="6"/>
  <c r="AD25" i="6"/>
  <c r="AD38" i="6"/>
  <c r="AD5" i="6"/>
  <c r="AD7" i="6"/>
  <c r="AD8" i="6"/>
  <c r="AD14" i="6"/>
  <c r="AD34" i="6"/>
  <c r="AD39" i="6"/>
  <c r="AD3" i="6" s="1"/>
  <c r="D5" i="40"/>
</calcChain>
</file>

<file path=xl/sharedStrings.xml><?xml version="1.0" encoding="utf-8"?>
<sst xmlns="http://schemas.openxmlformats.org/spreadsheetml/2006/main" count="1220" uniqueCount="212">
  <si>
    <t>PriceTickValue</t>
  </si>
  <si>
    <t>RateTickValue</t>
  </si>
  <si>
    <t>_Quote</t>
  </si>
  <si>
    <t>QuoteSuffix</t>
  </si>
  <si>
    <t>HKD</t>
  </si>
  <si>
    <t>Currency</t>
  </si>
  <si>
    <t>ADDITIONAL SETTINGS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</si>
  <si>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</si>
  <si>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</si>
  <si>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</si>
  <si>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</si>
  <si>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</si>
  <si>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</si>
  <si>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</si>
  <si>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</si>
  <si>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</si>
  <si>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</si>
  <si>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</si>
  <si>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</si>
  <si>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</si>
  <si>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</si>
  <si>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</si>
  <si>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</si>
  <si>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</si>
  <si>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</si>
  <si>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</si>
  <si>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</si>
  <si>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</si>
  <si>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</si>
  <si>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</si>
  <si>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</si>
  <si>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</si>
  <si>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</si>
  <si>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</si>
  <si>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</si>
  <si>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</si>
  <si>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</si>
  <si>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</si>
  <si>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</si>
  <si>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</si>
  <si>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</si>
  <si>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</si>
  <si>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</si>
  <si>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</si>
  <si>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</si>
  <si>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</si>
  <si>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</si>
  <si>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</si>
  <si>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</si>
  <si>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</si>
  <si>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</si>
  <si>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</si>
  <si>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</si>
  <si>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</si>
  <si>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</si>
  <si>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</si>
  <si>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</si>
  <si>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</si>
  <si>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</si>
  <si>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</si>
  <si>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</si>
  <si>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</si>
  <si>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</si>
  <si>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</si>
  <si>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</si>
  <si>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</si>
  <si>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</si>
  <si>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</si>
  <si>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</si>
  <si>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</si>
  <si>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</si>
  <si>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</si>
  <si>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</si>
  <si>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</si>
  <si>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</si>
  <si>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</si>
  <si>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</si>
  <si>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</si>
  <si>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</si>
  <si>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</si>
  <si>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</si>
  <si>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</si>
  <si>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</si>
  <si>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</si>
  <si>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</si>
  <si>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</si>
  <si>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</si>
  <si>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</si>
  <si>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</si>
  <si>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</si>
  <si>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</si>
  <si>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</si>
  <si>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</si>
  <si>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</si>
  <si>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</si>
  <si>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</si>
  <si>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</si>
  <si>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</si>
  <si>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</si>
  <si>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</si>
  <si>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</si>
  <si>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</si>
  <si>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</si>
  <si>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</si>
  <si>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</si>
  <si>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</si>
  <si>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</si>
  <si>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OIS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</si>
  <si>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</si>
  <si>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</si>
  <si>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</si>
  <si>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</si>
  <si>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</si>
  <si>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</si>
  <si>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</si>
  <si>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</si>
  <si>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</si>
  <si>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</si>
  <si>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</si>
  <si>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</si>
  <si>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</si>
  <si>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</si>
  <si>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AM</t>
  </si>
  <si>
    <t>SB</t>
  </si>
  <si>
    <t>3H</t>
  </si>
  <si>
    <t>QM</t>
  </si>
  <si>
    <t>AB</t>
  </si>
  <si>
    <t>ON</t>
  </si>
  <si>
    <t>Hibor</t>
  </si>
  <si>
    <t>FamilyName</t>
  </si>
  <si>
    <t>Actual/365 (Fixed)</t>
  </si>
  <si>
    <t>Following</t>
  </si>
  <si>
    <t>HongKong::HKEx</t>
  </si>
  <si>
    <t>1W</t>
  </si>
  <si>
    <t>SN</t>
  </si>
  <si>
    <t>TN</t>
  </si>
  <si>
    <t>Yield Curve</t>
  </si>
  <si>
    <t>dc</t>
  </si>
  <si>
    <t>eom</t>
  </si>
  <si>
    <t>bdc</t>
  </si>
  <si>
    <t>calendar</t>
  </si>
  <si>
    <t>fix days</t>
  </si>
  <si>
    <t>Tenor</t>
  </si>
  <si>
    <t>HiborYC1Y</t>
  </si>
  <si>
    <t>HiborYC6M</t>
  </si>
  <si>
    <t>HiborYC3M</t>
  </si>
  <si>
    <t>HiborYC1M</t>
  </si>
  <si>
    <t>HiborYCON</t>
  </si>
  <si>
    <t>YCCCSBasis</t>
  </si>
  <si>
    <t>YCSTD</t>
  </si>
  <si>
    <t>YC</t>
  </si>
  <si>
    <t>The record could not be found</t>
  </si>
  <si>
    <t>Change</t>
  </si>
  <si>
    <t>Effective</t>
  </si>
  <si>
    <t>Object ID</t>
  </si>
  <si>
    <t>Static</t>
  </si>
  <si>
    <t>PRIM ACT 1</t>
  </si>
  <si>
    <t>Quote suffix</t>
  </si>
  <si>
    <t>Contributors</t>
  </si>
  <si>
    <t>D</t>
  </si>
  <si>
    <t>LAST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</si>
  <si>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</si>
  <si>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</si>
  <si>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</si>
  <si>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</si>
  <si>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</si>
  <si>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</si>
  <si>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</si>
  <si>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</si>
  <si>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</si>
  <si>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</si>
  <si>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COSMOREX</t>
  </si>
  <si>
    <t>COSZ</t>
  </si>
  <si>
    <t>ASK-BID</t>
  </si>
  <si>
    <t>Mid Safe</t>
  </si>
  <si>
    <t>HST_CLOSE</t>
  </si>
  <si>
    <t>BID</t>
  </si>
  <si>
    <t>EXPIRE DATE</t>
  </si>
  <si>
    <t>Effective Date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</si>
  <si>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</si>
  <si>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</si>
  <si>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</si>
  <si>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</si>
  <si>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</si>
  <si>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</si>
  <si>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</si>
  <si>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</si>
  <si>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Mid</t>
  </si>
  <si>
    <t>Mid Equivalent</t>
  </si>
  <si>
    <t>Error</t>
  </si>
  <si>
    <t>ICHK</t>
  </si>
  <si>
    <t>GENERAL_SETTINGS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</si>
  <si>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</si>
  <si>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</si>
  <si>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</si>
  <si>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</si>
  <si>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</si>
  <si>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</si>
  <si>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</si>
  <si>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</si>
  <si>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</si>
  <si>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</si>
  <si>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</si>
  <si>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</si>
  <si>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</si>
  <si>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</si>
  <si>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</si>
  <si>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</si>
  <si>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HKD_010_BasisSwapQuotes</t>
  </si>
  <si>
    <t>HKD_010_DepoFRAFuturesQuotes</t>
  </si>
  <si>
    <t>HKD_010_SwapQuotes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</si>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</sst>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0.000000"/>
    <numFmt numFmtId="174" formatCode="0.000"/>
    <numFmt numFmtId="175" formatCode="ddd\,\ dd\-mmm\-yyyy\,\ h:mm:ss"/>
    <numFmt numFmtId="176" formatCode="ddd\,\ dd\-mmm\-yy"/>
  </numFmts>
  <fonts count="2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8"/>
      <name val="MS Sans Serif"/>
      <family val="2"/>
    </font>
    <font>
      <sz val="8"/>
      <color indexed="12"/>
      <name val="Arial"/>
      <family val="2"/>
    </font>
    <font>
      <sz val="8"/>
      <color indexed="10"/>
      <name val="MS Sans Serif"/>
      <family val="2"/>
    </font>
    <font>
      <sz val="10"/>
      <color indexed="10"/>
      <name val="Arial"/>
      <family val="2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399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1" fillId="3" borderId="6" xfId="2" applyFont="1" applyFill="1" applyBorder="1"/>
    <xf numFmtId="0" fontId="1" fillId="3" borderId="16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9" fillId="3" borderId="6" xfId="2" applyFont="1" applyFill="1" applyBorder="1" applyAlignment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/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1" fillId="2" borderId="11" xfId="1" applyFill="1" applyBorder="1"/>
    <xf numFmtId="0" fontId="3" fillId="2" borderId="6" xfId="2" applyFont="1" applyFill="1" applyBorder="1" applyAlignment="1">
      <alignment horizontal="center"/>
    </xf>
    <xf numFmtId="0" fontId="3" fillId="2" borderId="24" xfId="2" applyFont="1" applyFill="1" applyBorder="1" applyAlignment="1">
      <alignment horizontal="center"/>
    </xf>
    <xf numFmtId="0" fontId="19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9" fillId="3" borderId="24" xfId="2" applyFont="1" applyFill="1" applyBorder="1" applyAlignment="1">
      <alignment horizontal="center"/>
    </xf>
    <xf numFmtId="0" fontId="1" fillId="3" borderId="0" xfId="1" applyFill="1" applyBorder="1"/>
    <xf numFmtId="0" fontId="19" fillId="3" borderId="0" xfId="1" applyFont="1" applyFill="1" applyBorder="1"/>
    <xf numFmtId="0" fontId="1" fillId="3" borderId="17" xfId="1" applyFill="1" applyBorder="1"/>
    <xf numFmtId="0" fontId="1" fillId="3" borderId="18" xfId="1" applyFill="1" applyBorder="1"/>
    <xf numFmtId="0" fontId="20" fillId="3" borderId="18" xfId="1" applyFont="1" applyFill="1" applyBorder="1"/>
    <xf numFmtId="0" fontId="19" fillId="3" borderId="18" xfId="1" applyFont="1" applyFill="1" applyBorder="1"/>
    <xf numFmtId="0" fontId="19" fillId="3" borderId="19" xfId="1" applyFont="1" applyFill="1" applyBorder="1"/>
    <xf numFmtId="170" fontId="3" fillId="4" borderId="6" xfId="2" applyNumberFormat="1" applyFont="1" applyFill="1" applyBorder="1" applyAlignment="1" applyProtection="1">
      <alignment horizontal="left"/>
    </xf>
    <xf numFmtId="0" fontId="3" fillId="2" borderId="6" xfId="2" applyNumberFormat="1" applyFont="1" applyFill="1" applyBorder="1" applyAlignment="1"/>
    <xf numFmtId="0" fontId="9" fillId="3" borderId="6" xfId="2" applyNumberFormat="1" applyFont="1" applyFill="1" applyBorder="1" applyAlignment="1"/>
    <xf numFmtId="0" fontId="3" fillId="3" borderId="17" xfId="2" applyFont="1" applyFill="1" applyBorder="1"/>
    <xf numFmtId="0" fontId="3" fillId="3" borderId="18" xfId="2" applyFont="1" applyFill="1" applyBorder="1"/>
    <xf numFmtId="0" fontId="3" fillId="3" borderId="19" xfId="2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27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5" fontId="1" fillId="0" borderId="22" xfId="9" applyNumberFormat="1" applyFont="1" applyFill="1" applyBorder="1" applyAlignment="1"/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/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" fillId="0" borderId="0" xfId="0" applyFont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12" fillId="3" borderId="4" xfId="0" applyFont="1" applyFill="1" applyBorder="1"/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173" fontId="1" fillId="0" borderId="11" xfId="9" applyNumberFormat="1" applyFont="1" applyFill="1" applyBorder="1" applyAlignment="1"/>
    <xf numFmtId="164" fontId="1" fillId="0" borderId="13" xfId="9" applyNumberFormat="1" applyFont="1" applyFill="1" applyBorder="1" applyAlignment="1"/>
    <xf numFmtId="164" fontId="1" fillId="3" borderId="0" xfId="9" applyNumberFormat="1" applyFont="1" applyFill="1" applyBorder="1" applyAlignment="1">
      <alignment horizontal="center"/>
    </xf>
    <xf numFmtId="173" fontId="1" fillId="0" borderId="15" xfId="9" applyNumberFormat="1" applyFont="1" applyFill="1" applyBorder="1" applyAlignment="1"/>
    <xf numFmtId="170" fontId="1" fillId="3" borderId="0" xfId="9" applyNumberFormat="1" applyFont="1" applyFill="1" applyBorder="1" applyAlignment="1">
      <alignment horizontal="center"/>
    </xf>
    <xf numFmtId="172" fontId="1" fillId="0" borderId="13" xfId="9" applyNumberFormat="1" applyFont="1" applyFill="1" applyBorder="1" applyAlignment="1"/>
    <xf numFmtId="172" fontId="1" fillId="0" borderId="11" xfId="9" applyNumberFormat="1" applyFont="1" applyFill="1" applyBorder="1" applyAlignment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 applyAlignment="1">
      <alignment horizontal="center"/>
    </xf>
    <xf numFmtId="165" fontId="1" fillId="0" borderId="20" xfId="9" applyNumberFormat="1" applyFont="1" applyFill="1" applyBorder="1" applyAlignment="1"/>
    <xf numFmtId="165" fontId="1" fillId="0" borderId="25" xfId="9" applyNumberFormat="1" applyFont="1" applyFill="1" applyBorder="1" applyAlignment="1"/>
    <xf numFmtId="2" fontId="1" fillId="0" borderId="14" xfId="9" applyNumberFormat="1" applyFont="1" applyFill="1" applyBorder="1" applyAlignment="1"/>
    <xf numFmtId="172" fontId="10" fillId="0" borderId="5" xfId="9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3" xfId="9" applyNumberFormat="1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1" fillId="0" borderId="7" xfId="0" applyFont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/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4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2" fillId="9" borderId="0" xfId="2" applyFill="1"/>
    <xf numFmtId="0" fontId="19" fillId="3" borderId="7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21" fillId="3" borderId="0" xfId="2" applyFont="1" applyFill="1" applyBorder="1"/>
    <xf numFmtId="0" fontId="21" fillId="3" borderId="4" xfId="2" applyFont="1" applyFill="1" applyBorder="1"/>
    <xf numFmtId="0" fontId="21" fillId="2" borderId="26" xfId="2" applyFont="1" applyFill="1" applyBorder="1"/>
    <xf numFmtId="1" fontId="21" fillId="3" borderId="14" xfId="2" applyNumberFormat="1" applyFont="1" applyFill="1" applyBorder="1" applyAlignment="1">
      <alignment horizontal="center"/>
    </xf>
    <xf numFmtId="0" fontId="21" fillId="2" borderId="15" xfId="2" applyFont="1" applyFill="1" applyBorder="1"/>
    <xf numFmtId="1" fontId="21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21" fillId="3" borderId="6" xfId="2" applyFont="1" applyFill="1" applyBorder="1" applyAlignment="1">
      <alignment horizontal="center"/>
    </xf>
    <xf numFmtId="0" fontId="21" fillId="3" borderId="5" xfId="2" applyFont="1" applyFill="1" applyBorder="1" applyAlignment="1">
      <alignment horizontal="center"/>
    </xf>
    <xf numFmtId="0" fontId="21" fillId="3" borderId="26" xfId="2" applyFont="1" applyFill="1" applyBorder="1" applyAlignment="1">
      <alignment horizontal="center"/>
    </xf>
    <xf numFmtId="0" fontId="21" fillId="3" borderId="14" xfId="2" applyFont="1" applyFill="1" applyBorder="1" applyAlignment="1">
      <alignment horizontal="center"/>
    </xf>
    <xf numFmtId="0" fontId="2" fillId="3" borderId="0" xfId="2" applyFill="1" applyBorder="1"/>
    <xf numFmtId="0" fontId="21" fillId="3" borderId="15" xfId="2" applyFont="1" applyFill="1" applyBorder="1" applyAlignment="1">
      <alignment horizontal="center"/>
    </xf>
    <xf numFmtId="0" fontId="21" fillId="3" borderId="11" xfId="2" applyFont="1" applyFill="1" applyBorder="1" applyAlignment="1">
      <alignment horizontal="center"/>
    </xf>
    <xf numFmtId="0" fontId="21" fillId="3" borderId="0" xfId="2" applyFont="1" applyFill="1" applyBorder="1" applyAlignment="1">
      <alignment horizontal="center"/>
    </xf>
    <xf numFmtId="0" fontId="22" fillId="3" borderId="0" xfId="2" applyFont="1" applyFill="1" applyBorder="1" applyAlignment="1">
      <alignment horizontal="right"/>
    </xf>
    <xf numFmtId="175" fontId="23" fillId="3" borderId="0" xfId="2" applyNumberFormat="1" applyFont="1" applyFill="1" applyBorder="1" applyAlignment="1">
      <alignment horizontal="left"/>
    </xf>
    <xf numFmtId="0" fontId="19" fillId="3" borderId="0" xfId="2" applyFont="1" applyFill="1" applyBorder="1" applyAlignment="1">
      <alignment horizontal="right"/>
    </xf>
    <xf numFmtId="0" fontId="24" fillId="3" borderId="0" xfId="2" applyFont="1" applyFill="1" applyBorder="1" applyAlignment="1">
      <alignment horizontal="right"/>
    </xf>
    <xf numFmtId="0" fontId="18" fillId="3" borderId="0" xfId="2" quotePrefix="1" applyFont="1" applyFill="1" applyBorder="1" applyAlignment="1">
      <alignment horizontal="left"/>
    </xf>
    <xf numFmtId="0" fontId="2" fillId="3" borderId="3" xfId="2" applyFill="1" applyBorder="1"/>
    <xf numFmtId="0" fontId="1" fillId="9" borderId="0" xfId="2" applyFont="1" applyFill="1" applyBorder="1"/>
    <xf numFmtId="0" fontId="2" fillId="3" borderId="0" xfId="2" applyFill="1"/>
    <xf numFmtId="165" fontId="1" fillId="0" borderId="15" xfId="10" applyNumberFormat="1" applyFont="1" applyFill="1" applyBorder="1" applyAlignment="1">
      <alignment horizontal="center"/>
    </xf>
    <xf numFmtId="165" fontId="1" fillId="0" borderId="11" xfId="10" applyNumberFormat="1" applyFont="1" applyFill="1" applyBorder="1" applyAlignment="1"/>
    <xf numFmtId="165" fontId="1" fillId="0" borderId="12" xfId="10" applyNumberFormat="1" applyFont="1" applyFill="1" applyBorder="1" applyAlignment="1"/>
    <xf numFmtId="165" fontId="1" fillId="0" borderId="13" xfId="10" applyNumberFormat="1" applyFont="1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6" fontId="1" fillId="0" borderId="12" xfId="10" applyNumberFormat="1" applyFont="1" applyFill="1" applyBorder="1" applyAlignment="1"/>
    <xf numFmtId="165" fontId="10" fillId="0" borderId="13" xfId="10" applyNumberFormat="1" applyFont="1" applyFill="1" applyBorder="1" applyAlignment="1"/>
    <xf numFmtId="165" fontId="1" fillId="0" borderId="26" xfId="10" applyNumberFormat="1" applyFont="1" applyFill="1" applyBorder="1" applyAlignment="1">
      <alignment horizontal="center"/>
    </xf>
    <xf numFmtId="165" fontId="1" fillId="0" borderId="14" xfId="10" applyNumberFormat="1" applyFont="1" applyFill="1" applyBorder="1" applyAlignment="1"/>
    <xf numFmtId="165" fontId="1" fillId="0" borderId="0" xfId="10" applyNumberFormat="1" applyFont="1" applyFill="1" applyBorder="1" applyAlignment="1"/>
    <xf numFmtId="165" fontId="1" fillId="0" borderId="16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6" fontId="1" fillId="0" borderId="0" xfId="10" applyNumberFormat="1" applyFont="1" applyFill="1" applyBorder="1" applyAlignment="1"/>
    <xf numFmtId="165" fontId="10" fillId="0" borderId="16" xfId="10" applyNumberFormat="1" applyFont="1" applyFill="1" applyBorder="1" applyAlignment="1"/>
    <xf numFmtId="165" fontId="1" fillId="0" borderId="25" xfId="10" applyNumberFormat="1" applyFont="1" applyFill="1" applyBorder="1" applyAlignment="1">
      <alignment horizontal="center"/>
    </xf>
    <xf numFmtId="165" fontId="1" fillId="0" borderId="20" xfId="10" applyNumberFormat="1" applyFont="1" applyFill="1" applyBorder="1" applyAlignment="1"/>
    <xf numFmtId="165" fontId="1" fillId="0" borderId="21" xfId="10" applyNumberFormat="1" applyFont="1" applyFill="1" applyBorder="1" applyAlignment="1"/>
    <xf numFmtId="165" fontId="1" fillId="0" borderId="22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6" fontId="1" fillId="0" borderId="21" xfId="10" applyNumberFormat="1" applyFont="1" applyFill="1" applyBorder="1" applyAlignment="1"/>
    <xf numFmtId="165" fontId="10" fillId="0" borderId="22" xfId="10" applyNumberFormat="1" applyFont="1" applyFill="1" applyBorder="1" applyAlignment="1"/>
    <xf numFmtId="165" fontId="10" fillId="0" borderId="6" xfId="10" applyNumberFormat="1" applyFont="1" applyFill="1" applyBorder="1" applyAlignment="1">
      <alignment horizontal="center" vertical="center" wrapText="1"/>
    </xf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1" fillId="3" borderId="7" xfId="2" applyFont="1" applyFill="1" applyBorder="1" applyAlignment="1">
      <alignment horizontal="left"/>
    </xf>
    <xf numFmtId="0" fontId="10" fillId="0" borderId="24" xfId="0" applyFont="1" applyBorder="1" applyAlignment="1">
      <alignment horizontal="center" vertical="center" wrapText="1"/>
    </xf>
    <xf numFmtId="164" fontId="10" fillId="0" borderId="24" xfId="9" applyNumberFormat="1" applyFont="1" applyFill="1" applyBorder="1" applyAlignment="1">
      <alignment horizontal="center" vertical="center" wrapText="1"/>
    </xf>
    <xf numFmtId="0" fontId="21" fillId="2" borderId="25" xfId="2" applyFont="1" applyFill="1" applyBorder="1"/>
    <xf numFmtId="0" fontId="21" fillId="3" borderId="20" xfId="2" quotePrefix="1" applyNumberFormat="1" applyFont="1" applyFill="1" applyBorder="1" applyAlignment="1">
      <alignment horizontal="center"/>
    </xf>
    <xf numFmtId="0" fontId="10" fillId="0" borderId="24" xfId="0" applyFont="1" applyFill="1" applyBorder="1" applyAlignment="1">
      <alignment horizontal="center" vertical="center" wrapText="1"/>
    </xf>
    <xf numFmtId="0" fontId="1" fillId="3" borderId="0" xfId="0" quotePrefix="1" applyFont="1" applyFill="1" applyBorder="1" applyAlignment="1">
      <alignment horizontal="center"/>
    </xf>
    <xf numFmtId="164" fontId="1" fillId="0" borderId="24" xfId="9" applyNumberFormat="1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4" fontId="1" fillId="10" borderId="16" xfId="9" applyNumberFormat="1" applyFont="1" applyFill="1" applyBorder="1" applyAlignment="1"/>
    <xf numFmtId="173" fontId="1" fillId="0" borderId="13" xfId="9" applyNumberFormat="1" applyFont="1" applyFill="1" applyBorder="1" applyAlignment="1"/>
    <xf numFmtId="0" fontId="19" fillId="3" borderId="17" xfId="1" applyFont="1" applyFill="1" applyBorder="1"/>
    <xf numFmtId="0" fontId="19" fillId="3" borderId="4" xfId="1" applyFont="1" applyFill="1" applyBorder="1"/>
    <xf numFmtId="0" fontId="19" fillId="3" borderId="3" xfId="1" applyFont="1" applyFill="1" applyBorder="1"/>
    <xf numFmtId="0" fontId="19" fillId="3" borderId="2" xfId="1" applyFont="1" applyFill="1" applyBorder="1"/>
    <xf numFmtId="0" fontId="19" fillId="3" borderId="1" xfId="1" applyFont="1" applyFill="1" applyBorder="1"/>
    <xf numFmtId="0" fontId="1" fillId="3" borderId="4" xfId="2" quotePrefix="1" applyFont="1" applyFill="1" applyBorder="1"/>
    <xf numFmtId="0" fontId="1" fillId="3" borderId="14" xfId="2" quotePrefix="1" applyFont="1" applyFill="1" applyBorder="1"/>
    <xf numFmtId="0" fontId="1" fillId="3" borderId="14" xfId="2" quotePrefix="1" applyFont="1" applyFill="1" applyBorder="1" applyAlignment="1">
      <alignment horizontal="center"/>
    </xf>
    <xf numFmtId="0" fontId="15" fillId="3" borderId="4" xfId="2" quotePrefix="1" applyFont="1" applyFill="1" applyBorder="1"/>
    <xf numFmtId="0" fontId="1" fillId="3" borderId="4" xfId="1" quotePrefix="1" applyFill="1" applyBorder="1"/>
    <xf numFmtId="0" fontId="3" fillId="3" borderId="4" xfId="2" quotePrefix="1" applyFont="1" applyFill="1" applyBorder="1"/>
    <xf numFmtId="15" fontId="3" fillId="3" borderId="4" xfId="2" quotePrefix="1" applyNumberFormat="1" applyFont="1" applyFill="1" applyBorder="1"/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</cellXfs>
  <cellStyles count="11">
    <cellStyle name="Migliaia (0)_AZIONI" xfId="3"/>
    <cellStyle name="Migliaia_AZIONI" xfId="4"/>
    <cellStyle name="Normal" xfId="0" builtinId="0"/>
    <cellStyle name="Normal 2" xfId="2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3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On Pause</v>
        <stp/>
        <stp>{2C58EC2D-688F-454F-86B8-2C5BED73A822}</stp>
        <tr r="L4" s="19"/>
      </tp>
      <tp t="s">
        <v>On Pause</v>
        <stp/>
        <stp>{E3CF2DFB-2D86-4FD6-9911-7079632078AE}</stp>
        <tr r="I3" s="9"/>
      </tp>
      <tp t="s">
        <v>On Pause</v>
        <stp/>
        <stp>{CF50DEF7-F9D0-4FAF-94CA-19F9E826ADA4}</stp>
        <tr r="H4" s="14"/>
      </tp>
      <tp t="s">
        <v>On Pause</v>
        <stp/>
        <stp>{3D392084-3BE5-4186-8BD6-9E265CD52C70}</stp>
        <tr r="L4" s="16"/>
      </tp>
      <tp t="s">
        <v>On Pause</v>
        <stp/>
        <stp>{FF4A64F7-E998-4CC9-A851-E0E985F2C3E2}</stp>
        <tr r="M4" s="10"/>
      </tp>
      <tp t="s">
        <v>On Pause</v>
        <stp/>
        <stp>{A22F6B73-7F57-4967-9C9C-BBB93840C93D}</stp>
        <tr r="L4" s="17"/>
      </tp>
      <tp t="s">
        <v>On Pause</v>
        <stp/>
        <stp>{01B9C7B9-4123-4E37-A0CC-DDD5F07063D7}</stp>
        <tr r="S4" s="5"/>
      </tp>
      <tp t="s">
        <v>On Pause</v>
        <stp/>
        <stp>{8054C1BB-7EB7-4A5D-8F4E-4D83BABDCAE1}</stp>
        <tr r="O3" s="12"/>
      </tp>
      <tp t="s">
        <v>On Pause</v>
        <stp/>
        <stp>{2FB3AF97-78AE-4FB3-AF51-6C0E603A9794}</stp>
        <tr r="S5" s="36"/>
      </tp>
      <tp t="s">
        <v>On Pause</v>
        <stp/>
        <stp>{3723322E-43B6-44AD-90FD-B2962FAF90F7}</stp>
        <tr r="S4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57150</xdr:rowOff>
        </xdr:from>
        <xdr:to>
          <xdr:col>3</xdr:col>
          <xdr:colOff>390525</xdr:colOff>
          <xdr:row>19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123825</xdr:rowOff>
        </xdr:from>
        <xdr:to>
          <xdr:col>3</xdr:col>
          <xdr:colOff>390525</xdr:colOff>
          <xdr:row>21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A1:AJ57"/>
  <sheetViews>
    <sheetView tabSelected="1" zoomScaleNormal="100" workbookViewId="0"/>
  </sheetViews>
  <sheetFormatPr defaultRowHeight="12.75" x14ac:dyDescent="0.2"/>
  <cols>
    <col min="1" max="2" width="2.7109375" style="342" customWidth="1"/>
    <col min="3" max="3" width="14.85546875" style="342" bestFit="1" customWidth="1"/>
    <col min="4" max="4" width="21.42578125" style="342" bestFit="1" customWidth="1"/>
    <col min="5" max="5" width="20.7109375" style="342" bestFit="1" customWidth="1"/>
    <col min="6" max="8" width="2.7109375" style="342" customWidth="1"/>
    <col min="9" max="9" width="12.140625" style="342" bestFit="1" customWidth="1"/>
    <col min="10" max="10" width="53.7109375" style="342" bestFit="1" customWidth="1"/>
    <col min="11" max="11" width="2.7109375" style="342" customWidth="1"/>
    <col min="12" max="16384" width="9.140625" style="342"/>
  </cols>
  <sheetData>
    <row r="1" spans="1:36" s="316" customFormat="1" ht="13.5" thickBot="1" x14ac:dyDescent="0.25">
      <c r="B1" s="316" t="str">
        <f>_xll.qlxlVersion(TRUE,Trigger)</f>
        <v>QuantLibXL 1.3.0 - MS VC++ 9.0 - Multithreaded Static Runtime library - Release Configuration - Nov 12 2013 12:02:30</v>
      </c>
    </row>
    <row r="2" spans="1:36" s="316" customFormat="1" ht="15.75" x14ac:dyDescent="0.25">
      <c r="B2" s="394" t="s">
        <v>191</v>
      </c>
      <c r="C2" s="395"/>
      <c r="D2" s="395"/>
      <c r="E2" s="395"/>
      <c r="F2" s="396"/>
      <c r="H2" s="394" t="s">
        <v>13</v>
      </c>
      <c r="I2" s="395"/>
      <c r="J2" s="395"/>
      <c r="K2" s="396"/>
    </row>
    <row r="3" spans="1:36" s="38" customFormat="1" x14ac:dyDescent="0.2">
      <c r="A3" s="316"/>
      <c r="B3" s="317"/>
      <c r="C3" s="318"/>
      <c r="D3" s="318"/>
      <c r="E3" s="318"/>
      <c r="F3" s="319"/>
      <c r="G3" s="316"/>
      <c r="H3" s="8"/>
      <c r="I3" s="13"/>
      <c r="J3" s="13"/>
      <c r="K3" s="12"/>
      <c r="L3" s="316"/>
      <c r="M3" s="316"/>
      <c r="N3" s="316"/>
      <c r="O3" s="316"/>
      <c r="P3" s="316"/>
      <c r="Q3" s="316"/>
      <c r="R3" s="316"/>
      <c r="S3" s="316"/>
      <c r="T3" s="316"/>
      <c r="U3" s="316"/>
      <c r="V3" s="316"/>
      <c r="W3" s="316"/>
      <c r="X3" s="316"/>
      <c r="Y3" s="316"/>
      <c r="Z3" s="316"/>
      <c r="AA3" s="316"/>
      <c r="AB3" s="316"/>
      <c r="AC3" s="316"/>
      <c r="AD3" s="316"/>
      <c r="AE3" s="316"/>
      <c r="AF3" s="316"/>
      <c r="AG3" s="316"/>
      <c r="AH3" s="316"/>
      <c r="AI3" s="316"/>
      <c r="AJ3" s="316"/>
    </row>
    <row r="4" spans="1:36" s="38" customFormat="1" x14ac:dyDescent="0.2">
      <c r="A4" s="316"/>
      <c r="B4" s="317"/>
      <c r="C4" s="374" t="s">
        <v>192</v>
      </c>
      <c r="D4" s="375" t="s">
        <v>193</v>
      </c>
      <c r="E4" s="320"/>
      <c r="F4" s="321"/>
      <c r="G4" s="316"/>
      <c r="H4" s="8"/>
      <c r="I4" s="7" t="s">
        <v>12</v>
      </c>
      <c r="J4" s="11"/>
      <c r="K4" s="5"/>
      <c r="L4" s="316"/>
      <c r="M4" s="316"/>
      <c r="N4" s="316"/>
      <c r="O4" s="316"/>
      <c r="P4" s="316"/>
      <c r="Q4" s="316"/>
      <c r="R4" s="316"/>
      <c r="S4" s="316"/>
      <c r="T4" s="316"/>
      <c r="U4" s="316"/>
      <c r="V4" s="316"/>
      <c r="W4" s="316"/>
      <c r="X4" s="316"/>
      <c r="Y4" s="316"/>
      <c r="Z4" s="316"/>
      <c r="AA4" s="316"/>
      <c r="AB4" s="316"/>
      <c r="AC4" s="316"/>
      <c r="AD4" s="316"/>
      <c r="AE4" s="316"/>
      <c r="AF4" s="316"/>
      <c r="AG4" s="316"/>
      <c r="AH4" s="316"/>
      <c r="AI4" s="316"/>
      <c r="AJ4" s="316"/>
    </row>
    <row r="5" spans="1:36" s="38" customFormat="1" x14ac:dyDescent="0.2">
      <c r="A5" s="316"/>
      <c r="B5" s="317"/>
      <c r="C5" s="322" t="s">
        <v>194</v>
      </c>
      <c r="D5" s="323">
        <f>_xll.ohTrigger(BasisSwap1M3M!AD3,BasisSwap3M6M!AD3,OIS!V3,Deposits!O2,FRA!W3,Futures3M!Z2,FuturesHWConvAdj!Q3,Swaps1M!V3,Swap3M!V3)</f>
        <v>1</v>
      </c>
      <c r="E5" s="320"/>
      <c r="F5" s="321"/>
      <c r="G5" s="316"/>
      <c r="H5" s="8"/>
      <c r="I5" s="7" t="s">
        <v>11</v>
      </c>
      <c r="J5" s="11" t="b">
        <v>1</v>
      </c>
      <c r="K5" s="5"/>
      <c r="L5" s="316"/>
      <c r="M5" s="316"/>
      <c r="N5" s="316"/>
      <c r="O5" s="316"/>
      <c r="P5" s="316"/>
      <c r="Q5" s="316"/>
      <c r="R5" s="316"/>
      <c r="S5" s="316"/>
      <c r="T5" s="316"/>
      <c r="U5" s="316"/>
      <c r="V5" s="316"/>
      <c r="W5" s="316"/>
      <c r="X5" s="316"/>
      <c r="Y5" s="316"/>
      <c r="Z5" s="316"/>
      <c r="AA5" s="316"/>
      <c r="AB5" s="316"/>
      <c r="AC5" s="316"/>
      <c r="AD5" s="316"/>
      <c r="AE5" s="316"/>
      <c r="AF5" s="316"/>
      <c r="AG5" s="316"/>
      <c r="AH5" s="316"/>
      <c r="AI5" s="316"/>
      <c r="AJ5" s="316"/>
    </row>
    <row r="6" spans="1:36" s="38" customFormat="1" x14ac:dyDescent="0.2">
      <c r="A6" s="316"/>
      <c r="B6" s="317"/>
      <c r="C6" s="324" t="s">
        <v>195</v>
      </c>
      <c r="D6" s="325" t="s">
        <v>196</v>
      </c>
      <c r="E6" s="320"/>
      <c r="F6" s="321"/>
      <c r="G6" s="316"/>
      <c r="H6" s="8"/>
      <c r="I6" s="7" t="s">
        <v>10</v>
      </c>
      <c r="J6" s="11" t="b">
        <v>0</v>
      </c>
      <c r="K6" s="5"/>
      <c r="L6" s="316"/>
      <c r="M6" s="316"/>
      <c r="N6" s="316"/>
      <c r="O6" s="316"/>
      <c r="P6" s="316"/>
      <c r="Q6" s="316"/>
      <c r="R6" s="316"/>
      <c r="S6" s="316"/>
      <c r="T6" s="316"/>
      <c r="U6" s="316"/>
      <c r="V6" s="316"/>
      <c r="W6" s="316"/>
      <c r="X6" s="316"/>
      <c r="Y6" s="316"/>
      <c r="Z6" s="316"/>
      <c r="AA6" s="316"/>
      <c r="AB6" s="316"/>
      <c r="AC6" s="316"/>
      <c r="AD6" s="316"/>
      <c r="AE6" s="316"/>
      <c r="AF6" s="316"/>
      <c r="AG6" s="316"/>
      <c r="AH6" s="316"/>
      <c r="AI6" s="316"/>
      <c r="AJ6" s="316"/>
    </row>
    <row r="7" spans="1:36" s="38" customFormat="1" x14ac:dyDescent="0.2">
      <c r="A7" s="316"/>
      <c r="B7" s="317"/>
      <c r="C7" s="320"/>
      <c r="D7" s="326"/>
      <c r="E7" s="320"/>
      <c r="F7" s="321"/>
      <c r="G7" s="316"/>
      <c r="H7" s="8"/>
      <c r="I7" s="7" t="s">
        <v>9</v>
      </c>
      <c r="J7" s="11" t="b">
        <v>1</v>
      </c>
      <c r="K7" s="5"/>
      <c r="L7" s="316"/>
      <c r="M7" s="316"/>
      <c r="N7" s="316"/>
      <c r="O7" s="316"/>
      <c r="P7" s="316"/>
      <c r="Q7" s="316"/>
      <c r="R7" s="316"/>
      <c r="S7" s="316"/>
      <c r="T7" s="316"/>
      <c r="U7" s="316"/>
      <c r="V7" s="316"/>
      <c r="W7" s="316"/>
      <c r="X7" s="316"/>
      <c r="Y7" s="316"/>
      <c r="Z7" s="316"/>
      <c r="AA7" s="316"/>
      <c r="AB7" s="316"/>
      <c r="AC7" s="316"/>
      <c r="AD7" s="316"/>
      <c r="AE7" s="316"/>
      <c r="AF7" s="316"/>
      <c r="AG7" s="316"/>
      <c r="AH7" s="316"/>
      <c r="AI7" s="316"/>
      <c r="AJ7" s="316"/>
    </row>
    <row r="8" spans="1:36" s="38" customFormat="1" x14ac:dyDescent="0.2">
      <c r="A8" s="316"/>
      <c r="B8" s="317"/>
      <c r="C8" s="327" t="s">
        <v>158</v>
      </c>
      <c r="D8" s="328" t="s">
        <v>197</v>
      </c>
      <c r="E8" s="320"/>
      <c r="F8" s="321"/>
      <c r="G8" s="316"/>
      <c r="H8" s="8"/>
      <c r="I8" s="7" t="s">
        <v>8</v>
      </c>
      <c r="J8" s="15" t="str">
        <f ca="1">SUBSTITUTE(LEFT(CELL("filename",A1),FIND("[",CELL("filename",A1),1)-1),"\XLS\","\XML\")</f>
        <v>C:\Projects\quantlib\QuantLibXL\Data2\XML\</v>
      </c>
      <c r="K8" s="5"/>
      <c r="L8" s="316"/>
      <c r="M8" s="316"/>
      <c r="N8" s="316"/>
      <c r="O8" s="316"/>
      <c r="P8" s="316"/>
      <c r="Q8" s="316"/>
      <c r="R8" s="316"/>
      <c r="S8" s="316"/>
      <c r="T8" s="316"/>
      <c r="U8" s="316"/>
      <c r="V8" s="316"/>
      <c r="W8" s="316"/>
      <c r="X8" s="316"/>
      <c r="Y8" s="316"/>
      <c r="Z8" s="316"/>
      <c r="AA8" s="316"/>
      <c r="AB8" s="316"/>
      <c r="AC8" s="316"/>
      <c r="AD8" s="316"/>
      <c r="AE8" s="316"/>
      <c r="AF8" s="316"/>
      <c r="AG8" s="316"/>
      <c r="AH8" s="316"/>
      <c r="AI8" s="316"/>
      <c r="AJ8" s="316"/>
    </row>
    <row r="9" spans="1:36" s="38" customFormat="1" x14ac:dyDescent="0.2">
      <c r="A9" s="316"/>
      <c r="B9" s="317"/>
      <c r="C9" s="329" t="s">
        <v>162</v>
      </c>
      <c r="D9" s="330" t="str">
        <f>""</f>
        <v/>
      </c>
      <c r="E9" s="320"/>
      <c r="F9" s="321"/>
      <c r="G9" s="316"/>
      <c r="H9" s="8"/>
      <c r="I9" s="7" t="s">
        <v>7</v>
      </c>
      <c r="J9" s="10" t="b">
        <v>1</v>
      </c>
      <c r="K9" s="5"/>
      <c r="L9" s="316"/>
      <c r="M9" s="316"/>
      <c r="N9" s="316"/>
      <c r="O9" s="316"/>
      <c r="P9" s="316"/>
      <c r="Q9" s="316"/>
      <c r="R9" s="316"/>
      <c r="S9" s="316"/>
      <c r="T9" s="316"/>
      <c r="U9" s="316"/>
      <c r="V9" s="316"/>
      <c r="W9" s="316"/>
      <c r="X9" s="316"/>
      <c r="Y9" s="316"/>
      <c r="Z9" s="316"/>
      <c r="AA9" s="316"/>
      <c r="AB9" s="316"/>
      <c r="AC9" s="316"/>
      <c r="AD9" s="316"/>
      <c r="AE9" s="316"/>
      <c r="AF9" s="316"/>
      <c r="AG9" s="316"/>
      <c r="AH9" s="316"/>
      <c r="AI9" s="316"/>
      <c r="AJ9" s="316"/>
    </row>
    <row r="10" spans="1:36" s="38" customFormat="1" ht="13.5" thickBot="1" x14ac:dyDescent="0.25">
      <c r="A10" s="316"/>
      <c r="B10" s="317"/>
      <c r="C10" s="329" t="s">
        <v>163</v>
      </c>
      <c r="D10" s="330" t="s">
        <v>164</v>
      </c>
      <c r="E10" s="331"/>
      <c r="F10" s="321"/>
      <c r="G10" s="316"/>
      <c r="H10" s="4"/>
      <c r="I10" s="3"/>
      <c r="J10" s="3"/>
      <c r="K10" s="2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</row>
    <row r="11" spans="1:36" s="38" customFormat="1" ht="13.5" thickBot="1" x14ac:dyDescent="0.25">
      <c r="A11" s="316"/>
      <c r="B11" s="317"/>
      <c r="C11" s="329" t="s">
        <v>165</v>
      </c>
      <c r="D11" s="330" t="s">
        <v>165</v>
      </c>
      <c r="E11" s="331"/>
      <c r="F11" s="321"/>
      <c r="G11" s="316"/>
      <c r="H11" s="316"/>
      <c r="I11" s="316"/>
      <c r="J11" s="316"/>
      <c r="K11" s="316"/>
      <c r="L11" s="316"/>
      <c r="M11" s="316"/>
      <c r="N11" s="316"/>
      <c r="O11" s="316"/>
      <c r="P11" s="316"/>
      <c r="Q11" s="316"/>
      <c r="R11" s="316"/>
      <c r="S11" s="316"/>
      <c r="T11" s="316"/>
      <c r="U11" s="316"/>
      <c r="V11" s="316"/>
      <c r="W11" s="316"/>
      <c r="X11" s="316"/>
      <c r="Y11" s="316"/>
      <c r="Z11" s="316"/>
      <c r="AA11" s="316"/>
      <c r="AB11" s="316"/>
      <c r="AC11" s="316"/>
      <c r="AD11" s="316"/>
      <c r="AE11" s="316"/>
      <c r="AF11" s="316"/>
      <c r="AG11" s="316"/>
      <c r="AH11" s="316"/>
      <c r="AI11" s="316"/>
      <c r="AJ11" s="316"/>
    </row>
    <row r="12" spans="1:36" s="38" customFormat="1" ht="15.75" x14ac:dyDescent="0.25">
      <c r="A12" s="316"/>
      <c r="B12" s="317"/>
      <c r="C12" s="329" t="s">
        <v>190</v>
      </c>
      <c r="D12" s="330" t="s">
        <v>190</v>
      </c>
      <c r="E12" s="331"/>
      <c r="F12" s="321"/>
      <c r="G12" s="316"/>
      <c r="H12" s="394" t="s">
        <v>6</v>
      </c>
      <c r="I12" s="395"/>
      <c r="J12" s="395"/>
      <c r="K12" s="396"/>
      <c r="L12" s="316"/>
      <c r="M12" s="316"/>
      <c r="N12" s="316"/>
      <c r="O12" s="316"/>
      <c r="P12" s="316"/>
      <c r="Q12" s="316"/>
      <c r="R12" s="316"/>
      <c r="S12" s="316"/>
      <c r="T12" s="316"/>
      <c r="U12" s="316"/>
      <c r="V12" s="316"/>
      <c r="W12" s="316"/>
      <c r="X12" s="316"/>
      <c r="Y12" s="316"/>
      <c r="Z12" s="316"/>
      <c r="AA12" s="316"/>
      <c r="AB12" s="316"/>
      <c r="AC12" s="316"/>
      <c r="AD12" s="316"/>
      <c r="AE12" s="316"/>
      <c r="AF12" s="316"/>
      <c r="AG12" s="316"/>
      <c r="AH12" s="316"/>
      <c r="AI12" s="316"/>
      <c r="AJ12" s="316"/>
    </row>
    <row r="13" spans="1:36" s="38" customFormat="1" x14ac:dyDescent="0.2">
      <c r="A13" s="316"/>
      <c r="B13" s="317"/>
      <c r="C13" s="329" t="s">
        <v>166</v>
      </c>
      <c r="D13" s="330" t="s">
        <v>167</v>
      </c>
      <c r="E13" s="331"/>
      <c r="F13" s="321"/>
      <c r="G13" s="316"/>
      <c r="H13" s="8"/>
      <c r="I13" s="13"/>
      <c r="J13" s="13"/>
      <c r="K13" s="12"/>
      <c r="L13" s="316"/>
      <c r="M13" s="316"/>
      <c r="N13" s="316"/>
      <c r="O13" s="316"/>
      <c r="P13" s="316"/>
      <c r="Q13" s="316"/>
      <c r="R13" s="316"/>
      <c r="S13" s="316"/>
      <c r="T13" s="316"/>
      <c r="U13" s="316"/>
      <c r="V13" s="316"/>
      <c r="W13" s="316"/>
      <c r="X13" s="316"/>
      <c r="Y13" s="316"/>
      <c r="Z13" s="316"/>
      <c r="AA13" s="316"/>
      <c r="AB13" s="316"/>
      <c r="AC13" s="316"/>
      <c r="AD13" s="316"/>
      <c r="AE13" s="316"/>
      <c r="AF13" s="316"/>
      <c r="AG13" s="316"/>
      <c r="AH13" s="316"/>
      <c r="AI13" s="316"/>
      <c r="AJ13" s="316"/>
    </row>
    <row r="14" spans="1:36" s="38" customFormat="1" x14ac:dyDescent="0.2">
      <c r="A14" s="316"/>
      <c r="B14" s="317"/>
      <c r="C14" s="329" t="s">
        <v>168</v>
      </c>
      <c r="D14" s="330" t="s">
        <v>169</v>
      </c>
      <c r="E14" s="331"/>
      <c r="F14" s="321"/>
      <c r="G14" s="316"/>
      <c r="H14" s="8"/>
      <c r="I14" s="7" t="s">
        <v>5</v>
      </c>
      <c r="J14" s="11" t="s">
        <v>4</v>
      </c>
      <c r="K14" s="5"/>
      <c r="L14" s="316"/>
      <c r="M14" s="316"/>
      <c r="N14" s="316"/>
      <c r="O14" s="316"/>
      <c r="P14" s="316"/>
      <c r="Q14" s="316"/>
      <c r="R14" s="316"/>
      <c r="S14" s="316"/>
      <c r="T14" s="316"/>
      <c r="U14" s="316"/>
      <c r="V14" s="316"/>
      <c r="W14" s="316"/>
      <c r="X14" s="316"/>
      <c r="Y14" s="316"/>
      <c r="Z14" s="316"/>
      <c r="AA14" s="316"/>
      <c r="AB14" s="316"/>
      <c r="AC14" s="316"/>
      <c r="AD14" s="316"/>
      <c r="AE14" s="316"/>
      <c r="AF14" s="316"/>
      <c r="AG14" s="316"/>
      <c r="AH14" s="316"/>
      <c r="AI14" s="316"/>
      <c r="AJ14" s="316"/>
    </row>
    <row r="15" spans="1:36" s="38" customFormat="1" x14ac:dyDescent="0.2">
      <c r="A15" s="316"/>
      <c r="B15" s="317"/>
      <c r="C15" s="329" t="s">
        <v>170</v>
      </c>
      <c r="D15" s="330" t="s">
        <v>198</v>
      </c>
      <c r="E15" s="331"/>
      <c r="F15" s="321"/>
      <c r="G15" s="316"/>
      <c r="H15" s="8"/>
      <c r="I15" s="7" t="s">
        <v>3</v>
      </c>
      <c r="J15" s="10" t="s">
        <v>2</v>
      </c>
      <c r="K15" s="5"/>
      <c r="L15" s="316"/>
      <c r="M15" s="316"/>
      <c r="N15" s="316"/>
      <c r="O15" s="316"/>
      <c r="P15" s="316"/>
      <c r="Q15" s="316"/>
      <c r="R15" s="316"/>
      <c r="S15" s="316"/>
      <c r="T15" s="316"/>
      <c r="U15" s="316"/>
      <c r="V15" s="316"/>
      <c r="W15" s="316"/>
      <c r="X15" s="316"/>
      <c r="Y15" s="316"/>
      <c r="Z15" s="316"/>
      <c r="AA15" s="316"/>
      <c r="AB15" s="316"/>
      <c r="AC15" s="316"/>
      <c r="AD15" s="316"/>
      <c r="AE15" s="316"/>
      <c r="AF15" s="316"/>
      <c r="AG15" s="316"/>
      <c r="AH15" s="316"/>
      <c r="AI15" s="316"/>
      <c r="AJ15" s="316"/>
    </row>
    <row r="16" spans="1:36" s="38" customFormat="1" x14ac:dyDescent="0.2">
      <c r="A16" s="316"/>
      <c r="B16" s="317"/>
      <c r="C16" s="332" t="s">
        <v>171</v>
      </c>
      <c r="D16" s="333" t="s">
        <v>172</v>
      </c>
      <c r="E16" s="331"/>
      <c r="F16" s="321"/>
      <c r="G16" s="316"/>
      <c r="H16" s="8"/>
      <c r="I16" s="7" t="s">
        <v>1</v>
      </c>
      <c r="J16" s="9">
        <v>1E-4</v>
      </c>
      <c r="K16" s="5"/>
      <c r="L16" s="316"/>
      <c r="M16" s="316"/>
      <c r="N16" s="316"/>
      <c r="O16" s="316"/>
      <c r="P16" s="316"/>
      <c r="Q16" s="316"/>
      <c r="R16" s="316"/>
      <c r="S16" s="316"/>
      <c r="T16" s="316"/>
      <c r="U16" s="316"/>
      <c r="V16" s="316"/>
      <c r="W16" s="316"/>
      <c r="X16" s="316"/>
      <c r="Y16" s="316"/>
      <c r="Z16" s="316"/>
      <c r="AA16" s="316"/>
      <c r="AB16" s="316"/>
      <c r="AC16" s="316"/>
      <c r="AD16" s="316"/>
      <c r="AE16" s="316"/>
      <c r="AF16" s="316"/>
      <c r="AG16" s="316"/>
      <c r="AH16" s="316"/>
      <c r="AI16" s="316"/>
      <c r="AJ16" s="316"/>
    </row>
    <row r="17" spans="1:36" s="38" customFormat="1" x14ac:dyDescent="0.2">
      <c r="A17" s="316"/>
      <c r="B17" s="317"/>
      <c r="C17" s="334"/>
      <c r="D17" s="334"/>
      <c r="E17" s="334"/>
      <c r="F17" s="321"/>
      <c r="G17" s="316"/>
      <c r="H17" s="8"/>
      <c r="I17" s="7" t="s">
        <v>0</v>
      </c>
      <c r="J17" s="6">
        <v>-0.01</v>
      </c>
      <c r="K17" s="5"/>
      <c r="L17" s="316"/>
      <c r="M17" s="316"/>
      <c r="N17" s="316"/>
      <c r="O17" s="316"/>
      <c r="P17" s="316"/>
      <c r="Q17" s="316"/>
      <c r="R17" s="316"/>
      <c r="S17" s="316"/>
      <c r="T17" s="316"/>
      <c r="U17" s="316"/>
      <c r="V17" s="316"/>
      <c r="W17" s="316"/>
      <c r="X17" s="316"/>
      <c r="Y17" s="316"/>
      <c r="Z17" s="316"/>
      <c r="AA17" s="316"/>
      <c r="AB17" s="316"/>
      <c r="AC17" s="316"/>
      <c r="AD17" s="316"/>
      <c r="AE17" s="316"/>
      <c r="AF17" s="316"/>
      <c r="AG17" s="316"/>
      <c r="AH17" s="316"/>
      <c r="AI17" s="316"/>
      <c r="AJ17" s="316"/>
    </row>
    <row r="18" spans="1:36" s="38" customFormat="1" ht="13.5" thickBot="1" x14ac:dyDescent="0.25">
      <c r="A18" s="316"/>
      <c r="B18" s="317"/>
      <c r="C18" s="334"/>
      <c r="D18" s="334"/>
      <c r="E18" s="334"/>
      <c r="F18" s="321"/>
      <c r="G18" s="316"/>
      <c r="H18" s="4"/>
      <c r="I18" s="3"/>
      <c r="J18" s="3"/>
      <c r="K18" s="2"/>
      <c r="L18" s="316"/>
      <c r="M18" s="316"/>
      <c r="N18" s="316"/>
      <c r="O18" s="316"/>
      <c r="P18" s="316"/>
      <c r="Q18" s="316"/>
      <c r="R18" s="316"/>
      <c r="S18" s="316"/>
      <c r="T18" s="316"/>
      <c r="U18" s="316"/>
      <c r="V18" s="316"/>
      <c r="W18" s="316"/>
      <c r="X18" s="316"/>
      <c r="Y18" s="316"/>
      <c r="Z18" s="316"/>
      <c r="AA18" s="316"/>
      <c r="AB18" s="316"/>
      <c r="AC18" s="316"/>
      <c r="AD18" s="316"/>
      <c r="AE18" s="316"/>
      <c r="AF18" s="316"/>
      <c r="AG18" s="316"/>
      <c r="AH18" s="316"/>
      <c r="AI18" s="316"/>
      <c r="AJ18" s="316"/>
    </row>
    <row r="19" spans="1:36" s="38" customFormat="1" x14ac:dyDescent="0.2">
      <c r="A19" s="316"/>
      <c r="B19" s="317"/>
      <c r="C19" s="334"/>
      <c r="D19" s="335" t="s">
        <v>199</v>
      </c>
      <c r="E19" s="336">
        <v>41597.660462962966</v>
      </c>
      <c r="F19" s="65"/>
      <c r="G19" s="316"/>
      <c r="H19" s="316"/>
      <c r="I19" s="316"/>
      <c r="J19" s="316"/>
      <c r="K19" s="316"/>
      <c r="L19" s="316"/>
      <c r="M19" s="316"/>
      <c r="N19" s="316"/>
      <c r="O19" s="316"/>
      <c r="P19" s="316"/>
      <c r="Q19" s="316"/>
      <c r="R19" s="316"/>
      <c r="S19" s="316"/>
      <c r="T19" s="316"/>
      <c r="U19" s="316"/>
      <c r="V19" s="316"/>
      <c r="W19" s="316"/>
      <c r="X19" s="316"/>
      <c r="Y19" s="316"/>
      <c r="Z19" s="316"/>
      <c r="AA19" s="316"/>
      <c r="AB19" s="316"/>
      <c r="AC19" s="316"/>
      <c r="AD19" s="316"/>
      <c r="AE19" s="316"/>
      <c r="AF19" s="316"/>
      <c r="AG19" s="316"/>
      <c r="AH19" s="316"/>
      <c r="AI19" s="316"/>
      <c r="AJ19" s="316"/>
    </row>
    <row r="20" spans="1:36" s="38" customFormat="1" x14ac:dyDescent="0.2">
      <c r="A20" s="316"/>
      <c r="B20" s="317"/>
      <c r="C20" s="334"/>
      <c r="D20" s="337"/>
      <c r="E20" s="338"/>
      <c r="F20" s="321"/>
      <c r="G20" s="316"/>
      <c r="H20" s="316"/>
      <c r="I20" s="316"/>
      <c r="J20" s="316"/>
      <c r="K20" s="316"/>
      <c r="L20" s="316"/>
      <c r="M20" s="316"/>
      <c r="N20" s="316"/>
      <c r="O20" s="316"/>
      <c r="P20" s="316"/>
      <c r="Q20" s="316"/>
      <c r="R20" s="316"/>
      <c r="S20" s="316"/>
      <c r="T20" s="316"/>
      <c r="U20" s="316"/>
      <c r="V20" s="316"/>
      <c r="W20" s="316"/>
      <c r="X20" s="316"/>
      <c r="Y20" s="316"/>
      <c r="Z20" s="316"/>
      <c r="AA20" s="316"/>
      <c r="AB20" s="316"/>
      <c r="AC20" s="316"/>
      <c r="AD20" s="316"/>
      <c r="AE20" s="316"/>
      <c r="AF20" s="316"/>
      <c r="AG20" s="316"/>
      <c r="AH20" s="316"/>
      <c r="AI20" s="316"/>
      <c r="AJ20" s="316"/>
    </row>
    <row r="21" spans="1:36" s="38" customFormat="1" x14ac:dyDescent="0.2">
      <c r="A21" s="316"/>
      <c r="B21" s="317"/>
      <c r="C21" s="334"/>
      <c r="D21" s="335"/>
      <c r="E21" s="338"/>
      <c r="F21" s="65"/>
      <c r="G21" s="316"/>
      <c r="H21" s="316"/>
      <c r="I21" s="316"/>
      <c r="J21" s="316"/>
      <c r="K21" s="316"/>
      <c r="L21" s="316"/>
      <c r="M21" s="316"/>
      <c r="N21" s="316"/>
      <c r="O21" s="316"/>
      <c r="P21" s="316"/>
      <c r="Q21" s="316"/>
      <c r="R21" s="316"/>
      <c r="S21" s="316"/>
      <c r="T21" s="316"/>
      <c r="U21" s="316"/>
      <c r="V21" s="316"/>
      <c r="W21" s="316"/>
      <c r="X21" s="316"/>
      <c r="Y21" s="316"/>
      <c r="Z21" s="316"/>
      <c r="AA21" s="316"/>
      <c r="AB21" s="316"/>
      <c r="AC21" s="316"/>
      <c r="AD21" s="316"/>
      <c r="AE21" s="316"/>
      <c r="AF21" s="316"/>
      <c r="AG21" s="316"/>
      <c r="AH21" s="316"/>
      <c r="AI21" s="316"/>
      <c r="AJ21" s="316"/>
    </row>
    <row r="22" spans="1:36" s="38" customFormat="1" x14ac:dyDescent="0.2">
      <c r="A22" s="316"/>
      <c r="B22" s="317"/>
      <c r="C22" s="334"/>
      <c r="D22" s="335" t="s">
        <v>200</v>
      </c>
      <c r="E22" s="339" t="b">
        <v>1</v>
      </c>
      <c r="F22" s="65"/>
      <c r="G22" s="316"/>
      <c r="H22" s="316"/>
      <c r="I22" s="316"/>
      <c r="J22" s="316"/>
      <c r="K22" s="316"/>
      <c r="L22" s="316"/>
      <c r="M22" s="316"/>
      <c r="N22" s="316"/>
      <c r="O22" s="316"/>
      <c r="P22" s="316"/>
      <c r="Q22" s="316"/>
      <c r="R22" s="316"/>
      <c r="S22" s="316"/>
      <c r="T22" s="316"/>
      <c r="U22" s="316"/>
      <c r="V22" s="316"/>
      <c r="W22" s="316"/>
      <c r="X22" s="316"/>
      <c r="Y22" s="316"/>
      <c r="Z22" s="316"/>
      <c r="AA22" s="316"/>
      <c r="AB22" s="316"/>
      <c r="AC22" s="316"/>
      <c r="AD22" s="316"/>
      <c r="AE22" s="316"/>
      <c r="AF22" s="316"/>
      <c r="AG22" s="316"/>
      <c r="AH22" s="316"/>
      <c r="AI22" s="316"/>
      <c r="AJ22" s="316"/>
    </row>
    <row r="23" spans="1:36" s="38" customFormat="1" ht="13.5" thickBot="1" x14ac:dyDescent="0.25">
      <c r="A23" s="316"/>
      <c r="B23" s="340"/>
      <c r="C23" s="63"/>
      <c r="D23" s="63"/>
      <c r="E23" s="63"/>
      <c r="F23" s="61"/>
      <c r="G23" s="316"/>
      <c r="H23" s="316"/>
      <c r="I23" s="316"/>
      <c r="J23" s="316"/>
      <c r="K23" s="316"/>
      <c r="L23" s="316"/>
      <c r="M23" s="316"/>
      <c r="N23" s="316"/>
      <c r="O23" s="316"/>
      <c r="P23" s="316"/>
      <c r="Q23" s="316"/>
      <c r="R23" s="316"/>
      <c r="S23" s="316"/>
      <c r="T23" s="316"/>
      <c r="U23" s="316"/>
      <c r="V23" s="316"/>
      <c r="W23" s="316"/>
      <c r="X23" s="316"/>
      <c r="Y23" s="316"/>
      <c r="Z23" s="316"/>
      <c r="AA23" s="316"/>
      <c r="AB23" s="316"/>
      <c r="AC23" s="316"/>
      <c r="AD23" s="316"/>
      <c r="AE23" s="316"/>
      <c r="AF23" s="316"/>
      <c r="AG23" s="316"/>
      <c r="AH23" s="316"/>
      <c r="AI23" s="316"/>
      <c r="AJ23" s="316"/>
    </row>
    <row r="24" spans="1:36" s="38" customFormat="1" x14ac:dyDescent="0.2">
      <c r="A24" s="316"/>
      <c r="B24" s="316"/>
      <c r="C24" s="341"/>
      <c r="D24" s="341"/>
      <c r="E24" s="341"/>
      <c r="F24" s="341"/>
      <c r="G24" s="316"/>
      <c r="H24" s="316"/>
      <c r="I24" s="316"/>
      <c r="J24" s="316"/>
      <c r="K24" s="316"/>
      <c r="L24" s="316"/>
      <c r="M24" s="316"/>
      <c r="N24" s="316"/>
      <c r="O24" s="316"/>
      <c r="P24" s="316"/>
      <c r="Q24" s="316"/>
      <c r="R24" s="316"/>
      <c r="S24" s="316"/>
      <c r="T24" s="316"/>
      <c r="U24" s="316"/>
      <c r="V24" s="316"/>
      <c r="W24" s="316"/>
      <c r="X24" s="316"/>
      <c r="Y24" s="316"/>
      <c r="Z24" s="316"/>
      <c r="AA24" s="316"/>
      <c r="AB24" s="316"/>
      <c r="AC24" s="316"/>
      <c r="AD24" s="316"/>
      <c r="AE24" s="316"/>
      <c r="AF24" s="316"/>
      <c r="AG24" s="316"/>
      <c r="AH24" s="316"/>
      <c r="AI24" s="316"/>
      <c r="AJ24" s="316"/>
    </row>
    <row r="25" spans="1:36" s="38" customFormat="1" ht="11.25" customHeight="1" x14ac:dyDescent="0.2">
      <c r="A25" s="316"/>
      <c r="B25" s="316"/>
      <c r="C25" s="341"/>
      <c r="D25" s="341"/>
      <c r="E25" s="341"/>
      <c r="F25" s="341"/>
      <c r="G25" s="316"/>
      <c r="H25" s="316"/>
      <c r="I25" s="316"/>
      <c r="J25" s="316"/>
      <c r="K25" s="316"/>
      <c r="L25" s="316"/>
      <c r="M25" s="316"/>
      <c r="N25" s="316"/>
      <c r="O25" s="316"/>
      <c r="P25" s="316"/>
      <c r="Q25" s="316"/>
      <c r="R25" s="316"/>
      <c r="S25" s="316"/>
      <c r="T25" s="316"/>
      <c r="U25" s="316"/>
      <c r="V25" s="316"/>
      <c r="W25" s="316"/>
      <c r="X25" s="316"/>
      <c r="Y25" s="316"/>
      <c r="Z25" s="316"/>
      <c r="AA25" s="316"/>
      <c r="AB25" s="316"/>
      <c r="AC25" s="316"/>
      <c r="AD25" s="316"/>
      <c r="AE25" s="316"/>
      <c r="AF25" s="316"/>
      <c r="AG25" s="316"/>
      <c r="AH25" s="316"/>
      <c r="AI25" s="316"/>
      <c r="AJ25" s="316"/>
    </row>
    <row r="26" spans="1:36" s="316" customFormat="1" x14ac:dyDescent="0.2">
      <c r="C26" s="341"/>
      <c r="D26" s="341"/>
      <c r="E26" s="341"/>
      <c r="F26" s="341"/>
    </row>
    <row r="27" spans="1:36" s="316" customFormat="1" x14ac:dyDescent="0.2">
      <c r="C27" s="341"/>
      <c r="D27" s="341"/>
      <c r="E27" s="341"/>
      <c r="F27" s="341"/>
    </row>
    <row r="28" spans="1:36" s="316" customFormat="1" x14ac:dyDescent="0.2">
      <c r="C28" s="341"/>
      <c r="D28" s="341"/>
      <c r="E28" s="341"/>
      <c r="F28" s="341"/>
    </row>
    <row r="29" spans="1:36" s="316" customFormat="1" x14ac:dyDescent="0.2">
      <c r="C29" s="341"/>
      <c r="D29" s="341"/>
      <c r="E29" s="341"/>
      <c r="F29" s="341"/>
    </row>
    <row r="30" spans="1:36" s="316" customFormat="1" x14ac:dyDescent="0.2"/>
    <row r="31" spans="1:36" s="316" customFormat="1" x14ac:dyDescent="0.2"/>
    <row r="32" spans="1:36" s="316" customFormat="1" x14ac:dyDescent="0.2"/>
    <row r="33" s="316" customFormat="1" x14ac:dyDescent="0.2"/>
    <row r="34" s="316" customFormat="1" x14ac:dyDescent="0.2"/>
    <row r="35" s="316" customFormat="1" x14ac:dyDescent="0.2"/>
    <row r="36" s="316" customFormat="1" x14ac:dyDescent="0.2"/>
    <row r="37" s="316" customFormat="1" x14ac:dyDescent="0.2"/>
    <row r="38" s="316" customFormat="1" x14ac:dyDescent="0.2"/>
    <row r="39" s="316" customFormat="1" x14ac:dyDescent="0.2"/>
    <row r="40" s="316" customFormat="1" x14ac:dyDescent="0.2"/>
    <row r="41" s="316" customFormat="1" x14ac:dyDescent="0.2"/>
    <row r="42" s="316" customFormat="1" x14ac:dyDescent="0.2"/>
    <row r="43" s="316" customFormat="1" x14ac:dyDescent="0.2"/>
    <row r="44" s="316" customFormat="1" x14ac:dyDescent="0.2"/>
    <row r="45" s="316" customFormat="1" x14ac:dyDescent="0.2"/>
    <row r="46" s="316" customFormat="1" x14ac:dyDescent="0.2"/>
    <row r="47" s="316" customFormat="1" x14ac:dyDescent="0.2"/>
    <row r="48" s="316" customFormat="1" x14ac:dyDescent="0.2"/>
    <row r="49" spans="2:6" s="316" customFormat="1" x14ac:dyDescent="0.2"/>
    <row r="50" spans="2:6" s="316" customFormat="1" x14ac:dyDescent="0.2"/>
    <row r="51" spans="2:6" s="316" customFormat="1" x14ac:dyDescent="0.2"/>
    <row r="52" spans="2:6" s="316" customFormat="1" x14ac:dyDescent="0.2"/>
    <row r="53" spans="2:6" s="316" customFormat="1" x14ac:dyDescent="0.2"/>
    <row r="54" spans="2:6" s="316" customFormat="1" x14ac:dyDescent="0.2"/>
    <row r="55" spans="2:6" s="316" customFormat="1" x14ac:dyDescent="0.2"/>
    <row r="56" spans="2:6" s="316" customFormat="1" x14ac:dyDescent="0.2">
      <c r="B56" s="342"/>
      <c r="C56" s="342"/>
      <c r="D56" s="342"/>
      <c r="E56" s="342"/>
      <c r="F56" s="342"/>
    </row>
    <row r="57" spans="2:6" s="316" customFormat="1" x14ac:dyDescent="0.2">
      <c r="B57" s="342"/>
      <c r="C57" s="342"/>
      <c r="D57" s="342"/>
      <c r="E57" s="342"/>
      <c r="F57" s="342"/>
    </row>
  </sheetData>
  <mergeCells count="3">
    <mergeCell ref="B2:F2"/>
    <mergeCell ref="H2:K2"/>
    <mergeCell ref="H12:K12"/>
  </mergeCells>
  <conditionalFormatting sqref="E22">
    <cfRule type="cellIs" dxfId="2" priority="1" stopIfTrue="1" operator="equal">
      <formula>TRUE</formula>
    </cfRule>
  </conditionalFormatting>
  <dataValidations count="2">
    <dataValidation type="list" allowBlank="1" showInputMessage="1" showErrorMessage="1" sqref="D6:D7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J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0</xdr:colOff>
                <xdr:row>17</xdr:row>
                <xdr:rowOff>57150</xdr:rowOff>
              </from>
              <to>
                <xdr:col>3</xdr:col>
                <xdr:colOff>390525</xdr:colOff>
                <xdr:row>19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2</xdr:col>
                <xdr:colOff>0</xdr:colOff>
                <xdr:row>19</xdr:row>
                <xdr:rowOff>123825</xdr:rowOff>
              </from>
              <to>
                <xdr:col>3</xdr:col>
                <xdr:colOff>390525</xdr:colOff>
                <xdr:row>21</xdr:row>
                <xdr:rowOff>114300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zoomScale="80" zoomScaleNormal="80" workbookViewId="0"/>
  </sheetViews>
  <sheetFormatPr defaultRowHeight="11.25" x14ac:dyDescent="0.2"/>
  <cols>
    <col min="1" max="1" width="2.7109375" style="16" customWidth="1"/>
    <col min="2" max="2" width="7.7109375" style="16" bestFit="1" customWidth="1"/>
    <col min="3" max="4" width="2.7109375" style="16" bestFit="1" customWidth="1"/>
    <col min="5" max="5" width="17.85546875" style="16" bestFit="1" customWidth="1"/>
    <col min="6" max="6" width="21.5703125" style="17" bestFit="1" customWidth="1"/>
    <col min="7" max="7" width="38.28515625" style="16" customWidth="1"/>
    <col min="8" max="9" width="2.7109375" style="16" customWidth="1"/>
    <col min="10" max="10" width="5" style="16" bestFit="1" customWidth="1"/>
    <col min="11" max="11" width="3" style="16" bestFit="1" customWidth="1"/>
    <col min="12" max="12" width="3.140625" style="16" bestFit="1" customWidth="1"/>
    <col min="13" max="13" width="2.7109375" style="16" customWidth="1"/>
    <col min="14" max="17" width="9.140625" style="16"/>
    <col min="18" max="18" width="12.85546875" style="16" bestFit="1" customWidth="1"/>
    <col min="19" max="19" width="16.28515625" style="16" bestFit="1" customWidth="1"/>
    <col min="20" max="21" width="9.140625" style="16"/>
    <col min="22" max="22" width="11" style="16" bestFit="1" customWidth="1"/>
    <col min="23" max="24" width="9.140625" style="16"/>
    <col min="25" max="25" width="2.7109375" style="16" customWidth="1"/>
    <col min="26" max="26" width="9.140625" style="16"/>
    <col min="27" max="27" width="2.7109375" style="16" customWidth="1"/>
    <col min="28" max="28" width="9.140625" style="16"/>
    <col min="29" max="29" width="9.85546875" style="16" bestFit="1" customWidth="1"/>
    <col min="30" max="30" width="9.140625" style="16"/>
    <col min="31" max="32" width="2.7109375" style="16" customWidth="1"/>
    <col min="33" max="33" width="5" style="16" bestFit="1" customWidth="1"/>
    <col min="34" max="34" width="3" style="16" bestFit="1" customWidth="1"/>
    <col min="35" max="35" width="3.140625" style="16" bestFit="1" customWidth="1"/>
    <col min="36" max="16384" width="9.140625" style="16"/>
  </cols>
  <sheetData>
    <row r="1" spans="1:36" s="144" customFormat="1" x14ac:dyDescent="0.2">
      <c r="A1" s="144" t="s">
        <v>208</v>
      </c>
      <c r="F1" s="17"/>
      <c r="N1" s="237"/>
      <c r="O1" s="202"/>
      <c r="P1" s="202"/>
      <c r="Q1" s="202"/>
      <c r="R1" s="202"/>
      <c r="S1" s="202"/>
      <c r="T1" s="202"/>
      <c r="U1" s="202"/>
      <c r="V1" s="202"/>
      <c r="W1" s="202"/>
      <c r="X1" s="202"/>
      <c r="Y1" s="202"/>
      <c r="Z1" s="202"/>
      <c r="AA1" s="202"/>
      <c r="AB1" s="202"/>
      <c r="AC1" s="202"/>
      <c r="AD1" s="202"/>
      <c r="AE1" s="201"/>
      <c r="AF1" s="205"/>
      <c r="AG1" s="205"/>
      <c r="AH1" s="205"/>
      <c r="AI1" s="205"/>
      <c r="AJ1" s="205"/>
    </row>
    <row r="2" spans="1:36" s="144" customFormat="1" x14ac:dyDescent="0.2">
      <c r="F2" s="17"/>
      <c r="N2" s="200"/>
      <c r="O2" s="175"/>
      <c r="P2" s="175"/>
      <c r="Q2" s="175"/>
      <c r="R2" s="175"/>
      <c r="S2" s="199" t="s">
        <v>165</v>
      </c>
      <c r="T2" s="175"/>
      <c r="U2" s="175"/>
      <c r="V2" s="175"/>
      <c r="W2" s="175"/>
      <c r="X2" s="235"/>
      <c r="Y2" s="175"/>
      <c r="Z2" s="175"/>
      <c r="AA2" s="175"/>
      <c r="AB2" s="311" t="s">
        <v>157</v>
      </c>
      <c r="AC2" s="199" t="s">
        <v>2</v>
      </c>
      <c r="AD2" s="235"/>
      <c r="AE2" s="198"/>
      <c r="AF2" s="205"/>
      <c r="AG2" s="205"/>
      <c r="AH2" s="205"/>
      <c r="AI2" s="205"/>
      <c r="AJ2" s="205"/>
    </row>
    <row r="3" spans="1:36" x14ac:dyDescent="0.2">
      <c r="A3" s="48"/>
      <c r="B3" s="47"/>
      <c r="C3" s="47"/>
      <c r="D3" s="47"/>
      <c r="E3" s="45"/>
      <c r="F3" s="46"/>
      <c r="G3" s="45"/>
      <c r="H3" s="44"/>
      <c r="N3" s="180"/>
      <c r="O3" s="175"/>
      <c r="P3" s="235"/>
      <c r="Q3" s="235"/>
      <c r="R3" s="235"/>
      <c r="S3" s="235" t="e">
        <f>_xll.qlInterpolation(,InterpolationType,_xll.ohFilter(N5:N42,W5:W42),_xll.ohFilter(V5:V42,W5:W42))</f>
        <v>#NUM!</v>
      </c>
      <c r="T3" s="235"/>
      <c r="U3" s="235"/>
      <c r="V3" s="235"/>
      <c r="W3" s="235"/>
      <c r="X3" s="235"/>
      <c r="Y3" s="175"/>
      <c r="Z3" s="175"/>
      <c r="AA3" s="175"/>
      <c r="AB3" s="235"/>
      <c r="AC3" s="235"/>
      <c r="AD3" s="196">
        <f>_xll.ohTrigger(AD5:AD42)</f>
        <v>3</v>
      </c>
      <c r="AE3" s="171"/>
      <c r="AF3" s="205"/>
      <c r="AG3" s="205"/>
      <c r="AH3" s="205"/>
      <c r="AI3" s="205"/>
      <c r="AJ3" s="205"/>
    </row>
    <row r="4" spans="1:36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HKD_010_Sw1L6L.xml</v>
      </c>
      <c r="F4" s="40" t="e">
        <f ca="1">IF(Serialize,_xll.ohObjectSave(F5:F42,SerializationPath&amp;E4,FileOverwrite,,Serialize),"---")</f>
        <v>#NUM!</v>
      </c>
      <c r="G4" s="23" t="str">
        <f ca="1">_xll.ohRangeRetrieveError(F4)</f>
        <v>ohObjectSave - ObjectHandler error: attempt to retrieve object with unknown ID 'HKD1L6L6M_Quote'</v>
      </c>
      <c r="H4" s="388" t="s">
        <v>211</v>
      </c>
      <c r="N4" s="180"/>
      <c r="O4" s="296"/>
      <c r="P4" s="232"/>
      <c r="Q4" s="232"/>
      <c r="R4" s="232"/>
      <c r="S4" s="195" t="str">
        <f>_xll.RData(S5:S42,T4:U4,,ReutersRtMode,,T5)</f>
        <v>On Pause</v>
      </c>
      <c r="T4" s="231" t="s">
        <v>176</v>
      </c>
      <c r="U4" s="231" t="s">
        <v>161</v>
      </c>
      <c r="V4" s="231" t="s">
        <v>188</v>
      </c>
      <c r="W4" s="231"/>
      <c r="X4" s="191" t="s">
        <v>187</v>
      </c>
      <c r="Y4" s="175"/>
      <c r="Z4" s="193" t="s">
        <v>155</v>
      </c>
      <c r="AA4" s="175"/>
      <c r="AB4" s="192" t="s">
        <v>154</v>
      </c>
      <c r="AC4" s="295" t="s">
        <v>153</v>
      </c>
      <c r="AD4" s="294" t="s">
        <v>152</v>
      </c>
      <c r="AE4" s="171"/>
      <c r="AF4" s="205"/>
      <c r="AG4" s="205"/>
      <c r="AH4" s="205"/>
      <c r="AI4" s="205"/>
      <c r="AJ4" s="205"/>
    </row>
    <row r="5" spans="1:36" x14ac:dyDescent="0.2">
      <c r="A5" s="28"/>
      <c r="B5" s="39" t="s">
        <v>61</v>
      </c>
      <c r="C5" s="26" t="str">
        <f>VLOOKUP(Currency,$J$10:$L$14,2)</f>
        <v>1L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HKD1L6L6M_Quote</v>
      </c>
      <c r="F5" s="24" t="str">
        <f>_xll.qlSimpleQuote(E5,,RateTickValue,Permanent,Trigger,ObjectOverwrite)</f>
        <v>HKD1L6L6M_Quote#0003</v>
      </c>
      <c r="G5" s="23" t="str">
        <f>_xll.ohRangeRetrieveError(F5)</f>
        <v/>
      </c>
      <c r="H5" s="22"/>
      <c r="N5" s="310">
        <v>0.5</v>
      </c>
      <c r="O5" s="218" t="s">
        <v>61</v>
      </c>
      <c r="P5" s="217" t="str">
        <f t="array" ref="P5:P42">VLOOKUP(Currency,Conventions,2)</f>
        <v>1L</v>
      </c>
      <c r="Q5" s="217" t="str">
        <f t="array" ref="Q5:Q42">VLOOKUP(Currency,Conventions,3)</f>
        <v>6L</v>
      </c>
      <c r="R5" s="215" t="str">
        <f t="shared" ref="R5:R42" si="1">Currency&amp;$P5&amp;$Q5&amp;$O5</f>
        <v>HKD1L6L6M</v>
      </c>
      <c r="S5" s="178" t="str">
        <f t="array" ref="S5:S42">Instruments&amp;"="&amp;VLOOKUP(Contributor,ContributorTable,2,FALSE)</f>
        <v>HKD1L6L6M=ICAP</v>
      </c>
      <c r="T5" s="309" t="s">
        <v>151</v>
      </c>
      <c r="U5" s="309" t="s">
        <v>151</v>
      </c>
      <c r="V5" s="309" t="e">
        <f>_xll.qlMidEquivalent(T5,U5)</f>
        <v>#NUM!</v>
      </c>
      <c r="W5" s="182" t="b">
        <f t="shared" ref="W5:W42" si="2">IF(ISNUMBER(V5),TRUE,FALSE)</f>
        <v>0</v>
      </c>
      <c r="X5" s="308" t="e">
        <f t="array" ref="X5:X42">_xll.qlInterpolationInterpolate(S3,N5:N42)</f>
        <v>#VALUE!</v>
      </c>
      <c r="Y5" s="175"/>
      <c r="Z5" s="307" t="e">
        <v>#VALUE!</v>
      </c>
      <c r="AA5" s="175"/>
      <c r="AB5" s="183" t="str">
        <f t="shared" ref="AB5:AB42" si="3">$R5&amp;$AC$2</f>
        <v>HKD1L6L6M_Quote</v>
      </c>
      <c r="AC5" s="306" t="e">
        <f t="array" ref="AC5:AC42">QuoteLive</f>
        <v>#VALUE!</v>
      </c>
      <c r="AD5" s="181" t="e">
        <f>_xll.qlSimpleQuoteSetValue($AB5,ROUND($AC5/10000,6),Trigger)</f>
        <v>#NUM!</v>
      </c>
      <c r="AE5" s="171"/>
      <c r="AF5" s="205"/>
      <c r="AG5" s="285" t="s">
        <v>55</v>
      </c>
      <c r="AH5" s="304" t="s">
        <v>42</v>
      </c>
      <c r="AI5" s="303" t="s">
        <v>46</v>
      </c>
      <c r="AJ5" s="205"/>
    </row>
    <row r="6" spans="1:36" x14ac:dyDescent="0.2">
      <c r="A6" s="28"/>
      <c r="B6" s="39" t="s">
        <v>60</v>
      </c>
      <c r="C6" s="26" t="str">
        <f t="shared" ref="C6:C42" si="4">C5</f>
        <v>1L</v>
      </c>
      <c r="D6" s="25" t="str">
        <f t="shared" ref="D6:D42" si="5">D5</f>
        <v>6L</v>
      </c>
      <c r="E6" s="24" t="str">
        <f t="shared" si="0"/>
        <v>HKD1L6L1Y_Quote</v>
      </c>
      <c r="F6" s="24" t="str">
        <f>_xll.qlSimpleQuote(E6,,RateTickValue,Permanent,Trigger,ObjectOverwrite)</f>
        <v>HKD1L6L1Y_Quote#0003</v>
      </c>
      <c r="G6" s="23" t="str">
        <f>_xll.ohRangeRetrieveError(F6)</f>
        <v/>
      </c>
      <c r="H6" s="22"/>
      <c r="N6" s="310">
        <v>1</v>
      </c>
      <c r="O6" s="218" t="s">
        <v>60</v>
      </c>
      <c r="P6" s="217" t="str">
        <v>1L</v>
      </c>
      <c r="Q6" s="217" t="str">
        <v>6L</v>
      </c>
      <c r="R6" s="215" t="str">
        <f t="shared" si="1"/>
        <v>HKD1L6L1Y</v>
      </c>
      <c r="S6" s="178" t="str">
        <v>HKD1L6L1Y=ICAP</v>
      </c>
      <c r="T6" s="309" t="s">
        <v>151</v>
      </c>
      <c r="U6" s="309" t="s">
        <v>151</v>
      </c>
      <c r="V6" s="309" t="e">
        <f>_xll.qlMidEquivalent(T6,U6)</f>
        <v>#NUM!</v>
      </c>
      <c r="W6" s="182" t="b">
        <f t="shared" si="2"/>
        <v>0</v>
      </c>
      <c r="X6" s="308" t="e">
        <v>#VALUE!</v>
      </c>
      <c r="Y6" s="175"/>
      <c r="Z6" s="307" t="e">
        <v>#VALUE!</v>
      </c>
      <c r="AA6" s="175"/>
      <c r="AB6" s="183" t="str">
        <f t="shared" si="3"/>
        <v>HKD1L6L1Y_Quote</v>
      </c>
      <c r="AC6" s="306" t="e">
        <v>#VALUE!</v>
      </c>
      <c r="AD6" s="181" t="e">
        <f>_xll.qlSimpleQuoteSetValue($AB6,ROUND($AC6/10000,6),Trigger)</f>
        <v>#NUM!</v>
      </c>
      <c r="AE6" s="171"/>
      <c r="AF6" s="205"/>
      <c r="AG6" s="255" t="s">
        <v>53</v>
      </c>
      <c r="AH6" s="204" t="s">
        <v>52</v>
      </c>
      <c r="AI6" s="254" t="s">
        <v>51</v>
      </c>
      <c r="AJ6" s="205"/>
    </row>
    <row r="7" spans="1:36" s="38" customFormat="1" ht="12.75" x14ac:dyDescent="0.2">
      <c r="A7" s="28"/>
      <c r="B7" s="39" t="s">
        <v>59</v>
      </c>
      <c r="C7" s="26" t="str">
        <f t="shared" si="4"/>
        <v>1L</v>
      </c>
      <c r="D7" s="25" t="str">
        <f t="shared" si="5"/>
        <v>6L</v>
      </c>
      <c r="E7" s="24" t="str">
        <f t="shared" si="0"/>
        <v>HKD1L6L15M_Quote</v>
      </c>
      <c r="F7" s="24" t="str">
        <f>_xll.qlSimpleQuote(E7,,RateTickValue,Permanent,Trigger,ObjectOverwrite)</f>
        <v>HKD1L6L15M_Quote#0003</v>
      </c>
      <c r="G7" s="23" t="str">
        <f>_xll.ohRangeRetrieveError(F7)</f>
        <v/>
      </c>
      <c r="H7" s="22"/>
      <c r="N7" s="310">
        <v>1.25</v>
      </c>
      <c r="O7" s="218" t="s">
        <v>59</v>
      </c>
      <c r="P7" s="217" t="str">
        <v>1L</v>
      </c>
      <c r="Q7" s="217" t="str">
        <v>6L</v>
      </c>
      <c r="R7" s="215" t="str">
        <f t="shared" si="1"/>
        <v>HKD1L6L15M</v>
      </c>
      <c r="S7" s="178" t="str">
        <v>HKD1L6L15M=ICAP</v>
      </c>
      <c r="T7" s="309" t="s">
        <v>151</v>
      </c>
      <c r="U7" s="309" t="s">
        <v>151</v>
      </c>
      <c r="V7" s="309" t="e">
        <f>_xll.qlMidEquivalent(T7,U7)</f>
        <v>#NUM!</v>
      </c>
      <c r="W7" s="182" t="b">
        <f t="shared" si="2"/>
        <v>0</v>
      </c>
      <c r="X7" s="308" t="e">
        <v>#VALUE!</v>
      </c>
      <c r="Y7" s="175"/>
      <c r="Z7" s="307" t="e">
        <v>#VALUE!</v>
      </c>
      <c r="AA7" s="175"/>
      <c r="AB7" s="183" t="str">
        <f t="shared" si="3"/>
        <v>HKD1L6L15M_Quote</v>
      </c>
      <c r="AC7" s="306" t="e">
        <v>#VALUE!</v>
      </c>
      <c r="AD7" s="181" t="e">
        <f>_xll.qlSimpleQuoteSetValue($AB7,ROUND($AC7/10000,6),Trigger)</f>
        <v>#NUM!</v>
      </c>
      <c r="AE7" s="171"/>
      <c r="AF7" s="205"/>
      <c r="AG7" s="255" t="s">
        <v>49</v>
      </c>
      <c r="AH7" s="204" t="s">
        <v>42</v>
      </c>
      <c r="AI7" s="254" t="s">
        <v>46</v>
      </c>
      <c r="AJ7" s="205"/>
    </row>
    <row r="8" spans="1:36" s="38" customFormat="1" ht="12.75" x14ac:dyDescent="0.2">
      <c r="A8" s="28"/>
      <c r="B8" s="39" t="s">
        <v>58</v>
      </c>
      <c r="C8" s="26" t="str">
        <f t="shared" si="4"/>
        <v>1L</v>
      </c>
      <c r="D8" s="25" t="str">
        <f t="shared" si="5"/>
        <v>6L</v>
      </c>
      <c r="E8" s="24" t="str">
        <f t="shared" si="0"/>
        <v>HKD1L6L18M_Quote</v>
      </c>
      <c r="F8" s="24" t="str">
        <f>_xll.qlSimpleQuote(E8,,RateTickValue,Permanent,Trigger,ObjectOverwrite)</f>
        <v>HKD1L6L18M_Quote#0003</v>
      </c>
      <c r="G8" s="23" t="str">
        <f>_xll.ohRangeRetrieveError(F8)</f>
        <v/>
      </c>
      <c r="H8" s="22"/>
      <c r="N8" s="310">
        <v>1.5</v>
      </c>
      <c r="O8" s="218" t="s">
        <v>58</v>
      </c>
      <c r="P8" s="217" t="str">
        <v>1L</v>
      </c>
      <c r="Q8" s="217" t="str">
        <v>6L</v>
      </c>
      <c r="R8" s="215" t="str">
        <f t="shared" si="1"/>
        <v>HKD1L6L18M</v>
      </c>
      <c r="S8" s="178" t="str">
        <v>HKD1L6L18M=ICAP</v>
      </c>
      <c r="T8" s="309" t="s">
        <v>151</v>
      </c>
      <c r="U8" s="309" t="s">
        <v>151</v>
      </c>
      <c r="V8" s="309" t="e">
        <f>_xll.qlMidEquivalent(T8,U8)</f>
        <v>#NUM!</v>
      </c>
      <c r="W8" s="182" t="b">
        <f t="shared" si="2"/>
        <v>0</v>
      </c>
      <c r="X8" s="308" t="e">
        <v>#VALUE!</v>
      </c>
      <c r="Y8" s="175"/>
      <c r="Z8" s="307" t="e">
        <v>#VALUE!</v>
      </c>
      <c r="AA8" s="175"/>
      <c r="AB8" s="183" t="str">
        <f t="shared" si="3"/>
        <v>HKD1L6L18M_Quote</v>
      </c>
      <c r="AC8" s="306" t="e">
        <v>#VALUE!</v>
      </c>
      <c r="AD8" s="181" t="e">
        <f>_xll.qlSimpleQuoteSetValue($AB8,ROUND($AC8/10000,6),Trigger)</f>
        <v>#NUM!</v>
      </c>
      <c r="AE8" s="171"/>
      <c r="AF8" s="205"/>
      <c r="AG8" s="255" t="s">
        <v>47</v>
      </c>
      <c r="AH8" s="204" t="s">
        <v>42</v>
      </c>
      <c r="AI8" s="254" t="s">
        <v>46</v>
      </c>
      <c r="AJ8" s="205"/>
    </row>
    <row r="9" spans="1:36" s="38" customFormat="1" ht="13.5" thickBot="1" x14ac:dyDescent="0.25">
      <c r="A9" s="28"/>
      <c r="B9" s="39" t="s">
        <v>57</v>
      </c>
      <c r="C9" s="26" t="str">
        <f t="shared" si="4"/>
        <v>1L</v>
      </c>
      <c r="D9" s="25" t="str">
        <f t="shared" si="5"/>
        <v>6L</v>
      </c>
      <c r="E9" s="24" t="str">
        <f t="shared" si="0"/>
        <v>HKD1L6L21M_Quote</v>
      </c>
      <c r="F9" s="24" t="str">
        <f>_xll.qlSimpleQuote(E9,,RateTickValue,Permanent,Trigger,ObjectOverwrite)</f>
        <v>HKD1L6L21M_Quote#0003</v>
      </c>
      <c r="G9" s="23" t="str">
        <f>_xll.ohRangeRetrieveError(F9)</f>
        <v/>
      </c>
      <c r="H9" s="22"/>
      <c r="N9" s="310">
        <v>1.75</v>
      </c>
      <c r="O9" s="218" t="s">
        <v>57</v>
      </c>
      <c r="P9" s="217" t="str">
        <v>1L</v>
      </c>
      <c r="Q9" s="217" t="str">
        <v>6L</v>
      </c>
      <c r="R9" s="215" t="str">
        <f t="shared" si="1"/>
        <v>HKD1L6L21M</v>
      </c>
      <c r="S9" s="178" t="str">
        <v>HKD1L6L21M=ICAP</v>
      </c>
      <c r="T9" s="309" t="s">
        <v>151</v>
      </c>
      <c r="U9" s="309" t="s">
        <v>151</v>
      </c>
      <c r="V9" s="309" t="e">
        <f>_xll.qlMidEquivalent(T9,U9)</f>
        <v>#NUM!</v>
      </c>
      <c r="W9" s="182" t="b">
        <f t="shared" si="2"/>
        <v>0</v>
      </c>
      <c r="X9" s="308" t="e">
        <v>#VALUE!</v>
      </c>
      <c r="Y9" s="175"/>
      <c r="Z9" s="307" t="e">
        <v>#VALUE!</v>
      </c>
      <c r="AA9" s="175"/>
      <c r="AB9" s="183" t="str">
        <f t="shared" si="3"/>
        <v>HKD1L6L21M_Quote</v>
      </c>
      <c r="AC9" s="306" t="e">
        <v>#VALUE!</v>
      </c>
      <c r="AD9" s="181" t="e">
        <f>_xll.qlSimpleQuoteSetValue($AB9,ROUND($AC9/10000,6),Trigger)</f>
        <v>#NUM!</v>
      </c>
      <c r="AE9" s="171"/>
      <c r="AF9" s="205"/>
      <c r="AG9" s="253" t="s">
        <v>44</v>
      </c>
      <c r="AH9" s="300" t="s">
        <v>43</v>
      </c>
      <c r="AI9" s="252" t="s">
        <v>42</v>
      </c>
      <c r="AJ9" s="205"/>
    </row>
    <row r="10" spans="1:36" x14ac:dyDescent="0.2">
      <c r="A10" s="28"/>
      <c r="B10" s="27" t="s">
        <v>56</v>
      </c>
      <c r="C10" s="26" t="str">
        <f t="shared" si="4"/>
        <v>1L</v>
      </c>
      <c r="D10" s="25" t="str">
        <f t="shared" si="5"/>
        <v>6L</v>
      </c>
      <c r="E10" s="24" t="str">
        <f t="shared" si="0"/>
        <v>HKD1L6L2Y_Quote</v>
      </c>
      <c r="F10" s="24" t="str">
        <f>_xll.qlSimpleQuote(E10,,RateTickValue,Permanent,Trigger,ObjectOverwrite)</f>
        <v>HKD1L6L2Y_Quote#0003</v>
      </c>
      <c r="G10" s="23" t="str">
        <f>_xll.ohRangeRetrieveError(F10)</f>
        <v/>
      </c>
      <c r="H10" s="22"/>
      <c r="J10" s="37" t="s">
        <v>55</v>
      </c>
      <c r="K10" s="36" t="s">
        <v>42</v>
      </c>
      <c r="L10" s="35" t="s">
        <v>46</v>
      </c>
      <c r="N10" s="180">
        <v>2</v>
      </c>
      <c r="O10" s="218" t="s">
        <v>56</v>
      </c>
      <c r="P10" s="217" t="str">
        <v>1L</v>
      </c>
      <c r="Q10" s="217" t="str">
        <v>6L</v>
      </c>
      <c r="R10" s="215" t="str">
        <f t="shared" si="1"/>
        <v>HKD1L6L2Y</v>
      </c>
      <c r="S10" s="178" t="str">
        <v>HKD1L6L2Y=ICAP</v>
      </c>
      <c r="T10" s="309" t="s">
        <v>151</v>
      </c>
      <c r="U10" s="309" t="s">
        <v>151</v>
      </c>
      <c r="V10" s="309" t="e">
        <f>_xll.qlMidEquivalent(T10,U10)</f>
        <v>#NUM!</v>
      </c>
      <c r="W10" s="182" t="b">
        <f t="shared" si="2"/>
        <v>0</v>
      </c>
      <c r="X10" s="308" t="e">
        <v>#VALUE!</v>
      </c>
      <c r="Y10" s="175"/>
      <c r="Z10" s="307" t="e">
        <v>#VALUE!</v>
      </c>
      <c r="AA10" s="175"/>
      <c r="AB10" s="183" t="str">
        <f t="shared" si="3"/>
        <v>HKD1L6L2Y_Quote</v>
      </c>
      <c r="AC10" s="306" t="e">
        <v>#VALUE!</v>
      </c>
      <c r="AD10" s="181" t="e">
        <f>_xll.qlSimpleQuoteSetValue($AB10,ROUND($AC10/10000,6),Trigger)</f>
        <v>#NUM!</v>
      </c>
      <c r="AE10" s="171"/>
      <c r="AF10" s="205"/>
      <c r="AG10" s="205"/>
      <c r="AH10" s="205"/>
      <c r="AI10" s="205"/>
      <c r="AJ10" s="205"/>
    </row>
    <row r="11" spans="1:36" x14ac:dyDescent="0.2">
      <c r="A11" s="28"/>
      <c r="B11" s="27" t="s">
        <v>54</v>
      </c>
      <c r="C11" s="26" t="str">
        <f t="shared" si="4"/>
        <v>1L</v>
      </c>
      <c r="D11" s="25" t="str">
        <f t="shared" si="5"/>
        <v>6L</v>
      </c>
      <c r="E11" s="24" t="str">
        <f t="shared" si="0"/>
        <v>HKD1L6L3Y_Quote</v>
      </c>
      <c r="F11" s="24" t="str">
        <f>_xll.qlSimpleQuote(E11,,RateTickValue,Permanent,Trigger,ObjectOverwrite)</f>
        <v>HKD1L6L3Y_Quote#0003</v>
      </c>
      <c r="G11" s="23" t="str">
        <f>_xll.ohRangeRetrieveError(F11)</f>
        <v/>
      </c>
      <c r="H11" s="22"/>
      <c r="J11" s="34" t="s">
        <v>53</v>
      </c>
      <c r="K11" s="33" t="s">
        <v>52</v>
      </c>
      <c r="L11" s="32" t="s">
        <v>51</v>
      </c>
      <c r="N11" s="180">
        <v>3</v>
      </c>
      <c r="O11" s="218" t="s">
        <v>54</v>
      </c>
      <c r="P11" s="217" t="str">
        <v>1L</v>
      </c>
      <c r="Q11" s="217" t="str">
        <v>6L</v>
      </c>
      <c r="R11" s="215" t="str">
        <f t="shared" si="1"/>
        <v>HKD1L6L3Y</v>
      </c>
      <c r="S11" s="178" t="str">
        <v>HKD1L6L3Y=ICAP</v>
      </c>
      <c r="T11" s="309" t="s">
        <v>151</v>
      </c>
      <c r="U11" s="309" t="s">
        <v>151</v>
      </c>
      <c r="V11" s="309" t="e">
        <f>_xll.qlMidEquivalent(T11,U11)</f>
        <v>#NUM!</v>
      </c>
      <c r="W11" s="182" t="b">
        <f t="shared" si="2"/>
        <v>0</v>
      </c>
      <c r="X11" s="308" t="e">
        <v>#VALUE!</v>
      </c>
      <c r="Y11" s="175"/>
      <c r="Z11" s="307" t="e">
        <v>#VALUE!</v>
      </c>
      <c r="AA11" s="175"/>
      <c r="AB11" s="183" t="str">
        <f t="shared" si="3"/>
        <v>HKD1L6L3Y_Quote</v>
      </c>
      <c r="AC11" s="306" t="e">
        <v>#VALUE!</v>
      </c>
      <c r="AD11" s="181" t="e">
        <f>_xll.qlSimpleQuoteSetValue($AB11,ROUND($AC11/10000,6),Trigger)</f>
        <v>#NUM!</v>
      </c>
      <c r="AE11" s="171"/>
      <c r="AF11" s="205"/>
      <c r="AG11" s="205"/>
      <c r="AH11" s="205"/>
      <c r="AI11" s="205"/>
      <c r="AJ11" s="205"/>
    </row>
    <row r="12" spans="1:36" x14ac:dyDescent="0.2">
      <c r="A12" s="28"/>
      <c r="B12" s="27" t="s">
        <v>50</v>
      </c>
      <c r="C12" s="26" t="str">
        <f t="shared" si="4"/>
        <v>1L</v>
      </c>
      <c r="D12" s="25" t="str">
        <f t="shared" si="5"/>
        <v>6L</v>
      </c>
      <c r="E12" s="24" t="str">
        <f t="shared" si="0"/>
        <v>HKD1L6L4Y_Quote</v>
      </c>
      <c r="F12" s="24" t="str">
        <f>_xll.qlSimpleQuote(E12,,RateTickValue,Permanent,Trigger,ObjectOverwrite)</f>
        <v>HKD1L6L4Y_Quote#0003</v>
      </c>
      <c r="G12" s="23" t="str">
        <f>_xll.ohRangeRetrieveError(F12)</f>
        <v/>
      </c>
      <c r="H12" s="22"/>
      <c r="J12" s="34" t="s">
        <v>49</v>
      </c>
      <c r="K12" s="33" t="s">
        <v>42</v>
      </c>
      <c r="L12" s="32" t="s">
        <v>46</v>
      </c>
      <c r="N12" s="180">
        <v>4</v>
      </c>
      <c r="O12" s="218" t="s">
        <v>50</v>
      </c>
      <c r="P12" s="217" t="str">
        <v>1L</v>
      </c>
      <c r="Q12" s="217" t="str">
        <v>6L</v>
      </c>
      <c r="R12" s="215" t="str">
        <f t="shared" si="1"/>
        <v>HKD1L6L4Y</v>
      </c>
      <c r="S12" s="178" t="str">
        <v>HKD1L6L4Y=ICAP</v>
      </c>
      <c r="T12" s="309" t="s">
        <v>151</v>
      </c>
      <c r="U12" s="309" t="s">
        <v>151</v>
      </c>
      <c r="V12" s="309" t="e">
        <f>_xll.qlMidEquivalent(T12,U12)</f>
        <v>#NUM!</v>
      </c>
      <c r="W12" s="182" t="b">
        <f t="shared" si="2"/>
        <v>0</v>
      </c>
      <c r="X12" s="308" t="e">
        <v>#VALUE!</v>
      </c>
      <c r="Y12" s="175"/>
      <c r="Z12" s="307" t="e">
        <v>#VALUE!</v>
      </c>
      <c r="AA12" s="175"/>
      <c r="AB12" s="183" t="str">
        <f t="shared" si="3"/>
        <v>HKD1L6L4Y_Quote</v>
      </c>
      <c r="AC12" s="306" t="e">
        <v>#VALUE!</v>
      </c>
      <c r="AD12" s="181" t="e">
        <f>_xll.qlSimpleQuoteSetValue($AB12,ROUND($AC12/10000,6),Trigger)</f>
        <v>#NUM!</v>
      </c>
      <c r="AE12" s="171"/>
      <c r="AF12" s="205"/>
      <c r="AG12" s="205"/>
      <c r="AH12" s="205"/>
      <c r="AI12" s="205"/>
      <c r="AJ12" s="205"/>
    </row>
    <row r="13" spans="1:36" x14ac:dyDescent="0.2">
      <c r="A13" s="28"/>
      <c r="B13" s="27" t="s">
        <v>48</v>
      </c>
      <c r="C13" s="26" t="str">
        <f t="shared" si="4"/>
        <v>1L</v>
      </c>
      <c r="D13" s="25" t="str">
        <f t="shared" si="5"/>
        <v>6L</v>
      </c>
      <c r="E13" s="24" t="str">
        <f t="shared" si="0"/>
        <v>HKD1L6L5Y_Quote</v>
      </c>
      <c r="F13" s="24" t="str">
        <f>_xll.qlSimpleQuote(E13,,RateTickValue,Permanent,Trigger,ObjectOverwrite)</f>
        <v>HKD1L6L5Y_Quote#0003</v>
      </c>
      <c r="G13" s="23" t="str">
        <f>_xll.ohRangeRetrieveError(F13)</f>
        <v/>
      </c>
      <c r="H13" s="22"/>
      <c r="J13" s="34" t="s">
        <v>47</v>
      </c>
      <c r="K13" s="33" t="s">
        <v>42</v>
      </c>
      <c r="L13" s="32" t="s">
        <v>46</v>
      </c>
      <c r="N13" s="180">
        <v>5</v>
      </c>
      <c r="O13" s="218" t="s">
        <v>48</v>
      </c>
      <c r="P13" s="217" t="str">
        <v>1L</v>
      </c>
      <c r="Q13" s="217" t="str">
        <v>6L</v>
      </c>
      <c r="R13" s="215" t="str">
        <f t="shared" si="1"/>
        <v>HKD1L6L5Y</v>
      </c>
      <c r="S13" s="178" t="str">
        <v>HKD1L6L5Y=ICAP</v>
      </c>
      <c r="T13" s="309" t="s">
        <v>151</v>
      </c>
      <c r="U13" s="309" t="s">
        <v>151</v>
      </c>
      <c r="V13" s="309" t="e">
        <f>_xll.qlMidEquivalent(T13,U13)</f>
        <v>#NUM!</v>
      </c>
      <c r="W13" s="182" t="b">
        <f t="shared" si="2"/>
        <v>0</v>
      </c>
      <c r="X13" s="308" t="e">
        <v>#VALUE!</v>
      </c>
      <c r="Y13" s="175"/>
      <c r="Z13" s="307" t="e">
        <v>#VALUE!</v>
      </c>
      <c r="AA13" s="175"/>
      <c r="AB13" s="183" t="str">
        <f t="shared" si="3"/>
        <v>HKD1L6L5Y_Quote</v>
      </c>
      <c r="AC13" s="306" t="e">
        <v>#VALUE!</v>
      </c>
      <c r="AD13" s="181" t="e">
        <f>_xll.qlSimpleQuoteSetValue($AB13,ROUND($AC13/10000,6),Trigger)</f>
        <v>#NUM!</v>
      </c>
      <c r="AE13" s="171"/>
      <c r="AF13" s="205"/>
      <c r="AG13" s="205"/>
      <c r="AH13" s="205"/>
      <c r="AI13" s="205"/>
      <c r="AJ13" s="205"/>
    </row>
    <row r="14" spans="1:36" ht="12" thickBot="1" x14ac:dyDescent="0.25">
      <c r="A14" s="28"/>
      <c r="B14" s="27" t="s">
        <v>45</v>
      </c>
      <c r="C14" s="26" t="str">
        <f t="shared" si="4"/>
        <v>1L</v>
      </c>
      <c r="D14" s="25" t="str">
        <f t="shared" si="5"/>
        <v>6L</v>
      </c>
      <c r="E14" s="24" t="str">
        <f t="shared" si="0"/>
        <v>HKD1L6L6Y_Quote</v>
      </c>
      <c r="F14" s="24" t="str">
        <f>_xll.qlSimpleQuote(E14,,RateTickValue,Permanent,Trigger,ObjectOverwrite)</f>
        <v>HKD1L6L6Y_Quote#0003</v>
      </c>
      <c r="G14" s="23" t="str">
        <f>_xll.ohRangeRetrieveError(F14)</f>
        <v/>
      </c>
      <c r="H14" s="22"/>
      <c r="J14" s="31" t="s">
        <v>44</v>
      </c>
      <c r="K14" s="30" t="s">
        <v>43</v>
      </c>
      <c r="L14" s="29" t="s">
        <v>42</v>
      </c>
      <c r="N14" s="180">
        <v>6</v>
      </c>
      <c r="O14" s="218" t="s">
        <v>45</v>
      </c>
      <c r="P14" s="217" t="str">
        <v>1L</v>
      </c>
      <c r="Q14" s="217" t="str">
        <v>6L</v>
      </c>
      <c r="R14" s="215" t="str">
        <f t="shared" si="1"/>
        <v>HKD1L6L6Y</v>
      </c>
      <c r="S14" s="178" t="str">
        <v>HKD1L6L6Y=ICAP</v>
      </c>
      <c r="T14" s="309" t="s">
        <v>151</v>
      </c>
      <c r="U14" s="309" t="s">
        <v>151</v>
      </c>
      <c r="V14" s="309" t="e">
        <f>_xll.qlMidEquivalent(T14,U14)</f>
        <v>#NUM!</v>
      </c>
      <c r="W14" s="182" t="b">
        <f t="shared" si="2"/>
        <v>0</v>
      </c>
      <c r="X14" s="308" t="e">
        <v>#VALUE!</v>
      </c>
      <c r="Y14" s="175"/>
      <c r="Z14" s="307" t="e">
        <v>#VALUE!</v>
      </c>
      <c r="AA14" s="175"/>
      <c r="AB14" s="183" t="str">
        <f t="shared" si="3"/>
        <v>HKD1L6L6Y_Quote</v>
      </c>
      <c r="AC14" s="306" t="e">
        <v>#VALUE!</v>
      </c>
      <c r="AD14" s="181" t="e">
        <f>_xll.qlSimpleQuoteSetValue($AB14,ROUND($AC14/10000,6),Trigger)</f>
        <v>#NUM!</v>
      </c>
      <c r="AE14" s="171"/>
      <c r="AF14" s="205"/>
      <c r="AG14" s="205"/>
      <c r="AH14" s="205"/>
      <c r="AI14" s="205"/>
      <c r="AJ14" s="205"/>
    </row>
    <row r="15" spans="1:36" x14ac:dyDescent="0.2">
      <c r="A15" s="28"/>
      <c r="B15" s="27" t="s">
        <v>41</v>
      </c>
      <c r="C15" s="26" t="str">
        <f t="shared" si="4"/>
        <v>1L</v>
      </c>
      <c r="D15" s="25" t="str">
        <f t="shared" si="5"/>
        <v>6L</v>
      </c>
      <c r="E15" s="24" t="str">
        <f t="shared" si="0"/>
        <v>HKD1L6L7Y_Quote</v>
      </c>
      <c r="F15" s="24" t="str">
        <f>_xll.qlSimpleQuote(E15,,RateTickValue,Permanent,Trigger,ObjectOverwrite)</f>
        <v>HKD1L6L7Y_Quote#0003</v>
      </c>
      <c r="G15" s="23" t="str">
        <f>_xll.ohRangeRetrieveError(F15)</f>
        <v/>
      </c>
      <c r="H15" s="22"/>
      <c r="N15" s="180">
        <v>7</v>
      </c>
      <c r="O15" s="218" t="s">
        <v>41</v>
      </c>
      <c r="P15" s="217" t="str">
        <v>1L</v>
      </c>
      <c r="Q15" s="217" t="str">
        <v>6L</v>
      </c>
      <c r="R15" s="215" t="str">
        <f t="shared" si="1"/>
        <v>HKD1L6L7Y</v>
      </c>
      <c r="S15" s="178" t="str">
        <v>HKD1L6L7Y=ICAP</v>
      </c>
      <c r="T15" s="309" t="s">
        <v>151</v>
      </c>
      <c r="U15" s="309" t="s">
        <v>151</v>
      </c>
      <c r="V15" s="309" t="e">
        <f>_xll.qlMidEquivalent(T15,U15)</f>
        <v>#NUM!</v>
      </c>
      <c r="W15" s="182" t="b">
        <f t="shared" si="2"/>
        <v>0</v>
      </c>
      <c r="X15" s="308" t="e">
        <v>#VALUE!</v>
      </c>
      <c r="Y15" s="175"/>
      <c r="Z15" s="307" t="e">
        <v>#VALUE!</v>
      </c>
      <c r="AA15" s="175"/>
      <c r="AB15" s="183" t="str">
        <f t="shared" si="3"/>
        <v>HKD1L6L7Y_Quote</v>
      </c>
      <c r="AC15" s="306" t="e">
        <v>#VALUE!</v>
      </c>
      <c r="AD15" s="181" t="e">
        <f>_xll.qlSimpleQuoteSetValue($AB15,ROUND($AC15/10000,6),Trigger)</f>
        <v>#NUM!</v>
      </c>
      <c r="AE15" s="171"/>
      <c r="AF15" s="205"/>
      <c r="AG15" s="205"/>
      <c r="AH15" s="205"/>
      <c r="AI15" s="205"/>
      <c r="AJ15" s="205"/>
    </row>
    <row r="16" spans="1:36" x14ac:dyDescent="0.2">
      <c r="A16" s="28"/>
      <c r="B16" s="27" t="s">
        <v>40</v>
      </c>
      <c r="C16" s="26" t="str">
        <f t="shared" si="4"/>
        <v>1L</v>
      </c>
      <c r="D16" s="25" t="str">
        <f t="shared" si="5"/>
        <v>6L</v>
      </c>
      <c r="E16" s="24" t="str">
        <f t="shared" si="0"/>
        <v>HKD1L6L8Y_Quote</v>
      </c>
      <c r="F16" s="24" t="str">
        <f>_xll.qlSimpleQuote(E16,,RateTickValue,Permanent,Trigger,ObjectOverwrite)</f>
        <v>HKD1L6L8Y_Quote#0003</v>
      </c>
      <c r="G16" s="23" t="str">
        <f>_xll.ohRangeRetrieveError(F16)</f>
        <v/>
      </c>
      <c r="H16" s="22"/>
      <c r="N16" s="180">
        <v>8</v>
      </c>
      <c r="O16" s="218" t="s">
        <v>40</v>
      </c>
      <c r="P16" s="217" t="str">
        <v>1L</v>
      </c>
      <c r="Q16" s="217" t="str">
        <v>6L</v>
      </c>
      <c r="R16" s="215" t="str">
        <f t="shared" si="1"/>
        <v>HKD1L6L8Y</v>
      </c>
      <c r="S16" s="178" t="str">
        <v>HKD1L6L8Y=ICAP</v>
      </c>
      <c r="T16" s="309" t="s">
        <v>151</v>
      </c>
      <c r="U16" s="309" t="s">
        <v>151</v>
      </c>
      <c r="V16" s="309" t="e">
        <f>_xll.qlMidEquivalent(T16,U16)</f>
        <v>#NUM!</v>
      </c>
      <c r="W16" s="182" t="b">
        <f t="shared" si="2"/>
        <v>0</v>
      </c>
      <c r="X16" s="308" t="e">
        <v>#VALUE!</v>
      </c>
      <c r="Y16" s="175"/>
      <c r="Z16" s="307" t="e">
        <v>#VALUE!</v>
      </c>
      <c r="AA16" s="175"/>
      <c r="AB16" s="183" t="str">
        <f t="shared" si="3"/>
        <v>HKD1L6L8Y_Quote</v>
      </c>
      <c r="AC16" s="306" t="e">
        <v>#VALUE!</v>
      </c>
      <c r="AD16" s="181" t="e">
        <f>_xll.qlSimpleQuoteSetValue($AB16,ROUND($AC16/10000,6),Trigger)</f>
        <v>#NUM!</v>
      </c>
      <c r="AE16" s="171"/>
      <c r="AF16" s="205"/>
      <c r="AG16" s="205"/>
      <c r="AH16" s="205"/>
      <c r="AI16" s="205"/>
      <c r="AJ16" s="205"/>
    </row>
    <row r="17" spans="1:36" x14ac:dyDescent="0.2">
      <c r="A17" s="28"/>
      <c r="B17" s="27" t="s">
        <v>39</v>
      </c>
      <c r="C17" s="26" t="str">
        <f t="shared" si="4"/>
        <v>1L</v>
      </c>
      <c r="D17" s="25" t="str">
        <f t="shared" si="5"/>
        <v>6L</v>
      </c>
      <c r="E17" s="24" t="str">
        <f t="shared" si="0"/>
        <v>HKD1L6L9Y_Quote</v>
      </c>
      <c r="F17" s="24" t="str">
        <f>_xll.qlSimpleQuote(E17,,RateTickValue,Permanent,Trigger,ObjectOverwrite)</f>
        <v>HKD1L6L9Y_Quote#0003</v>
      </c>
      <c r="G17" s="23" t="str">
        <f>_xll.ohRangeRetrieveError(F17)</f>
        <v/>
      </c>
      <c r="H17" s="22"/>
      <c r="N17" s="180">
        <v>9</v>
      </c>
      <c r="O17" s="218" t="s">
        <v>39</v>
      </c>
      <c r="P17" s="217" t="str">
        <v>1L</v>
      </c>
      <c r="Q17" s="217" t="str">
        <v>6L</v>
      </c>
      <c r="R17" s="215" t="str">
        <f t="shared" si="1"/>
        <v>HKD1L6L9Y</v>
      </c>
      <c r="S17" s="178" t="str">
        <v>HKD1L6L9Y=ICAP</v>
      </c>
      <c r="T17" s="309" t="s">
        <v>151</v>
      </c>
      <c r="U17" s="309" t="s">
        <v>151</v>
      </c>
      <c r="V17" s="309" t="e">
        <f>_xll.qlMidEquivalent(T17,U17)</f>
        <v>#NUM!</v>
      </c>
      <c r="W17" s="182" t="b">
        <f t="shared" si="2"/>
        <v>0</v>
      </c>
      <c r="X17" s="308" t="e">
        <v>#VALUE!</v>
      </c>
      <c r="Y17" s="175"/>
      <c r="Z17" s="307" t="e">
        <v>#VALUE!</v>
      </c>
      <c r="AA17" s="175"/>
      <c r="AB17" s="183" t="str">
        <f t="shared" si="3"/>
        <v>HKD1L6L9Y_Quote</v>
      </c>
      <c r="AC17" s="306" t="e">
        <v>#VALUE!</v>
      </c>
      <c r="AD17" s="181" t="e">
        <f>_xll.qlSimpleQuoteSetValue($AB17,ROUND($AC17/10000,6),Trigger)</f>
        <v>#NUM!</v>
      </c>
      <c r="AE17" s="171"/>
      <c r="AF17" s="205"/>
      <c r="AG17" s="205"/>
      <c r="AH17" s="205"/>
      <c r="AI17" s="205"/>
      <c r="AJ17" s="205"/>
    </row>
    <row r="18" spans="1:36" x14ac:dyDescent="0.2">
      <c r="A18" s="28"/>
      <c r="B18" s="27" t="s">
        <v>38</v>
      </c>
      <c r="C18" s="26" t="str">
        <f t="shared" si="4"/>
        <v>1L</v>
      </c>
      <c r="D18" s="25" t="str">
        <f t="shared" si="5"/>
        <v>6L</v>
      </c>
      <c r="E18" s="24" t="str">
        <f t="shared" si="0"/>
        <v>HKD1L6L10Y_Quote</v>
      </c>
      <c r="F18" s="24" t="str">
        <f>_xll.qlSimpleQuote(E18,,RateTickValue,Permanent,Trigger,ObjectOverwrite)</f>
        <v>HKD1L6L10Y_Quote#0003</v>
      </c>
      <c r="G18" s="23" t="str">
        <f>_xll.ohRangeRetrieveError(F18)</f>
        <v/>
      </c>
      <c r="H18" s="22"/>
      <c r="N18" s="180">
        <v>10</v>
      </c>
      <c r="O18" s="218" t="s">
        <v>38</v>
      </c>
      <c r="P18" s="217" t="str">
        <v>1L</v>
      </c>
      <c r="Q18" s="217" t="str">
        <v>6L</v>
      </c>
      <c r="R18" s="215" t="str">
        <f t="shared" si="1"/>
        <v>HKD1L6L10Y</v>
      </c>
      <c r="S18" s="178" t="str">
        <v>HKD1L6L10Y=ICAP</v>
      </c>
      <c r="T18" s="309" t="s">
        <v>151</v>
      </c>
      <c r="U18" s="309" t="s">
        <v>151</v>
      </c>
      <c r="V18" s="309" t="e">
        <f>_xll.qlMidEquivalent(T18,U18)</f>
        <v>#NUM!</v>
      </c>
      <c r="W18" s="182" t="b">
        <f t="shared" si="2"/>
        <v>0</v>
      </c>
      <c r="X18" s="308" t="e">
        <v>#VALUE!</v>
      </c>
      <c r="Y18" s="175"/>
      <c r="Z18" s="307" t="e">
        <v>#VALUE!</v>
      </c>
      <c r="AA18" s="175"/>
      <c r="AB18" s="183" t="str">
        <f t="shared" si="3"/>
        <v>HKD1L6L10Y_Quote</v>
      </c>
      <c r="AC18" s="306" t="e">
        <v>#VALUE!</v>
      </c>
      <c r="AD18" s="181" t="e">
        <f>_xll.qlSimpleQuoteSetValue($AB18,ROUND($AC18/10000,6),Trigger)</f>
        <v>#NUM!</v>
      </c>
      <c r="AE18" s="171"/>
      <c r="AF18" s="205"/>
      <c r="AG18" s="205"/>
      <c r="AH18" s="205"/>
      <c r="AI18" s="205"/>
      <c r="AJ18" s="205"/>
    </row>
    <row r="19" spans="1:36" x14ac:dyDescent="0.2">
      <c r="A19" s="28"/>
      <c r="B19" s="27" t="s">
        <v>37</v>
      </c>
      <c r="C19" s="26" t="str">
        <f t="shared" si="4"/>
        <v>1L</v>
      </c>
      <c r="D19" s="25" t="str">
        <f t="shared" si="5"/>
        <v>6L</v>
      </c>
      <c r="E19" s="24" t="str">
        <f t="shared" si="0"/>
        <v>HKD1L6L11Y_Quote</v>
      </c>
      <c r="F19" s="24" t="str">
        <f>_xll.qlSimpleQuote(E19,,RateTickValue,Permanent,Trigger,ObjectOverwrite)</f>
        <v>HKD1L6L11Y_Quote#0003</v>
      </c>
      <c r="G19" s="23" t="str">
        <f>_xll.ohRangeRetrieveError(F19)</f>
        <v/>
      </c>
      <c r="H19" s="22"/>
      <c r="N19" s="180">
        <v>11</v>
      </c>
      <c r="O19" s="218" t="s">
        <v>37</v>
      </c>
      <c r="P19" s="217" t="str">
        <v>1L</v>
      </c>
      <c r="Q19" s="217" t="str">
        <v>6L</v>
      </c>
      <c r="R19" s="215" t="str">
        <f t="shared" si="1"/>
        <v>HKD1L6L11Y</v>
      </c>
      <c r="S19" s="178" t="str">
        <v>HKD1L6L11Y=ICAP</v>
      </c>
      <c r="T19" s="309" t="s">
        <v>151</v>
      </c>
      <c r="U19" s="309" t="s">
        <v>151</v>
      </c>
      <c r="V19" s="309" t="e">
        <f>_xll.qlMidEquivalent(T19,U19)</f>
        <v>#NUM!</v>
      </c>
      <c r="W19" s="182" t="b">
        <f t="shared" si="2"/>
        <v>0</v>
      </c>
      <c r="X19" s="308" t="e">
        <v>#VALUE!</v>
      </c>
      <c r="Y19" s="175"/>
      <c r="Z19" s="307" t="e">
        <v>#VALUE!</v>
      </c>
      <c r="AA19" s="175"/>
      <c r="AB19" s="183" t="str">
        <f t="shared" si="3"/>
        <v>HKD1L6L11Y_Quote</v>
      </c>
      <c r="AC19" s="306" t="e">
        <v>#VALUE!</v>
      </c>
      <c r="AD19" s="181" t="e">
        <f>_xll.qlSimpleQuoteSetValue($AB19,ROUND($AC19/10000,6),Trigger)</f>
        <v>#NUM!</v>
      </c>
      <c r="AE19" s="171"/>
      <c r="AF19" s="205"/>
      <c r="AG19" s="205"/>
      <c r="AH19" s="205"/>
      <c r="AI19" s="205"/>
      <c r="AJ19" s="205"/>
    </row>
    <row r="20" spans="1:36" x14ac:dyDescent="0.2">
      <c r="A20" s="28"/>
      <c r="B20" s="27" t="s">
        <v>36</v>
      </c>
      <c r="C20" s="26" t="str">
        <f t="shared" si="4"/>
        <v>1L</v>
      </c>
      <c r="D20" s="25" t="str">
        <f t="shared" si="5"/>
        <v>6L</v>
      </c>
      <c r="E20" s="24" t="str">
        <f t="shared" si="0"/>
        <v>HKD1L6L12Y_Quote</v>
      </c>
      <c r="F20" s="24" t="str">
        <f>_xll.qlSimpleQuote(E20,,RateTickValue,Permanent,Trigger,ObjectOverwrite)</f>
        <v>HKD1L6L12Y_Quote#0003</v>
      </c>
      <c r="G20" s="23" t="str">
        <f>_xll.ohRangeRetrieveError(F20)</f>
        <v/>
      </c>
      <c r="H20" s="22"/>
      <c r="N20" s="180">
        <v>12</v>
      </c>
      <c r="O20" s="218" t="s">
        <v>36</v>
      </c>
      <c r="P20" s="217" t="str">
        <v>1L</v>
      </c>
      <c r="Q20" s="217" t="str">
        <v>6L</v>
      </c>
      <c r="R20" s="215" t="str">
        <f t="shared" si="1"/>
        <v>HKD1L6L12Y</v>
      </c>
      <c r="S20" s="178" t="str">
        <v>HKD1L6L12Y=ICAP</v>
      </c>
      <c r="T20" s="309" t="s">
        <v>151</v>
      </c>
      <c r="U20" s="309" t="s">
        <v>151</v>
      </c>
      <c r="V20" s="309" t="e">
        <f>_xll.qlMidEquivalent(T20,U20)</f>
        <v>#NUM!</v>
      </c>
      <c r="W20" s="182" t="b">
        <f t="shared" si="2"/>
        <v>0</v>
      </c>
      <c r="X20" s="308" t="e">
        <v>#VALUE!</v>
      </c>
      <c r="Y20" s="175"/>
      <c r="Z20" s="307" t="e">
        <v>#VALUE!</v>
      </c>
      <c r="AA20" s="175"/>
      <c r="AB20" s="183" t="str">
        <f t="shared" si="3"/>
        <v>HKD1L6L12Y_Quote</v>
      </c>
      <c r="AC20" s="306" t="e">
        <v>#VALUE!</v>
      </c>
      <c r="AD20" s="181" t="e">
        <f>_xll.qlSimpleQuoteSetValue($AB20,ROUND($AC20/10000,6),Trigger)</f>
        <v>#NUM!</v>
      </c>
      <c r="AE20" s="171"/>
      <c r="AF20" s="205"/>
      <c r="AG20" s="205"/>
      <c r="AH20" s="205"/>
      <c r="AI20" s="205"/>
      <c r="AJ20" s="205"/>
    </row>
    <row r="21" spans="1:36" x14ac:dyDescent="0.2">
      <c r="A21" s="28"/>
      <c r="B21" s="27" t="s">
        <v>35</v>
      </c>
      <c r="C21" s="26" t="str">
        <f t="shared" si="4"/>
        <v>1L</v>
      </c>
      <c r="D21" s="25" t="str">
        <f t="shared" si="5"/>
        <v>6L</v>
      </c>
      <c r="E21" s="24" t="str">
        <f t="shared" si="0"/>
        <v>HKD1L6L13Y_Quote</v>
      </c>
      <c r="F21" s="24" t="str">
        <f>_xll.qlSimpleQuote(E21,,RateTickValue,Permanent,Trigger,ObjectOverwrite)</f>
        <v>HKD1L6L13Y_Quote#0003</v>
      </c>
      <c r="G21" s="23" t="str">
        <f>_xll.ohRangeRetrieveError(F21)</f>
        <v/>
      </c>
      <c r="H21" s="22"/>
      <c r="N21" s="180">
        <v>13</v>
      </c>
      <c r="O21" s="218" t="s">
        <v>35</v>
      </c>
      <c r="P21" s="217" t="str">
        <v>1L</v>
      </c>
      <c r="Q21" s="217" t="str">
        <v>6L</v>
      </c>
      <c r="R21" s="215" t="str">
        <f t="shared" si="1"/>
        <v>HKD1L6L13Y</v>
      </c>
      <c r="S21" s="178" t="str">
        <v>HKD1L6L13Y=ICAP</v>
      </c>
      <c r="T21" s="309" t="s">
        <v>151</v>
      </c>
      <c r="U21" s="309" t="s">
        <v>151</v>
      </c>
      <c r="V21" s="309" t="e">
        <f>_xll.qlMidEquivalent(T21,U21)</f>
        <v>#NUM!</v>
      </c>
      <c r="W21" s="182" t="b">
        <f t="shared" si="2"/>
        <v>0</v>
      </c>
      <c r="X21" s="308" t="e">
        <v>#VALUE!</v>
      </c>
      <c r="Y21" s="175"/>
      <c r="Z21" s="307" t="e">
        <v>#VALUE!</v>
      </c>
      <c r="AA21" s="175"/>
      <c r="AB21" s="183" t="str">
        <f t="shared" si="3"/>
        <v>HKD1L6L13Y_Quote</v>
      </c>
      <c r="AC21" s="306" t="e">
        <v>#VALUE!</v>
      </c>
      <c r="AD21" s="181" t="e">
        <f>_xll.qlSimpleQuoteSetValue($AB21,ROUND($AC21/10000,6),Trigger)</f>
        <v>#NUM!</v>
      </c>
      <c r="AE21" s="171"/>
      <c r="AF21" s="205"/>
      <c r="AG21" s="205"/>
      <c r="AH21" s="205"/>
      <c r="AI21" s="205"/>
      <c r="AJ21" s="205"/>
    </row>
    <row r="22" spans="1:36" x14ac:dyDescent="0.2">
      <c r="A22" s="28"/>
      <c r="B22" s="27" t="s">
        <v>34</v>
      </c>
      <c r="C22" s="26" t="str">
        <f t="shared" si="4"/>
        <v>1L</v>
      </c>
      <c r="D22" s="25" t="str">
        <f t="shared" si="5"/>
        <v>6L</v>
      </c>
      <c r="E22" s="24" t="str">
        <f t="shared" si="0"/>
        <v>HKD1L6L14Y_Quote</v>
      </c>
      <c r="F22" s="24" t="str">
        <f>_xll.qlSimpleQuote(E22,,RateTickValue,Permanent,Trigger,ObjectOverwrite)</f>
        <v>HKD1L6L14Y_Quote#0003</v>
      </c>
      <c r="G22" s="23" t="str">
        <f>_xll.ohRangeRetrieveError(F22)</f>
        <v/>
      </c>
      <c r="H22" s="22"/>
      <c r="N22" s="180">
        <v>14</v>
      </c>
      <c r="O22" s="218" t="s">
        <v>34</v>
      </c>
      <c r="P22" s="217" t="str">
        <v>1L</v>
      </c>
      <c r="Q22" s="217" t="str">
        <v>6L</v>
      </c>
      <c r="R22" s="215" t="str">
        <f t="shared" si="1"/>
        <v>HKD1L6L14Y</v>
      </c>
      <c r="S22" s="178" t="str">
        <v>HKD1L6L14Y=ICAP</v>
      </c>
      <c r="T22" s="309" t="s">
        <v>151</v>
      </c>
      <c r="U22" s="309" t="s">
        <v>151</v>
      </c>
      <c r="V22" s="309" t="e">
        <f>_xll.qlMidEquivalent(T22,U22)</f>
        <v>#NUM!</v>
      </c>
      <c r="W22" s="182" t="b">
        <f t="shared" si="2"/>
        <v>0</v>
      </c>
      <c r="X22" s="308" t="e">
        <v>#VALUE!</v>
      </c>
      <c r="Y22" s="175"/>
      <c r="Z22" s="307" t="e">
        <v>#VALUE!</v>
      </c>
      <c r="AA22" s="175"/>
      <c r="AB22" s="183" t="str">
        <f t="shared" si="3"/>
        <v>HKD1L6L14Y_Quote</v>
      </c>
      <c r="AC22" s="306" t="e">
        <v>#VALUE!</v>
      </c>
      <c r="AD22" s="181" t="e">
        <f>_xll.qlSimpleQuoteSetValue($AB22,ROUND($AC22/10000,6),Trigger)</f>
        <v>#NUM!</v>
      </c>
      <c r="AE22" s="171"/>
      <c r="AF22" s="205"/>
      <c r="AG22" s="205"/>
      <c r="AH22" s="205"/>
      <c r="AI22" s="205"/>
      <c r="AJ22" s="205"/>
    </row>
    <row r="23" spans="1:36" x14ac:dyDescent="0.2">
      <c r="A23" s="28"/>
      <c r="B23" s="27" t="s">
        <v>33</v>
      </c>
      <c r="C23" s="26" t="str">
        <f t="shared" si="4"/>
        <v>1L</v>
      </c>
      <c r="D23" s="25" t="str">
        <f t="shared" si="5"/>
        <v>6L</v>
      </c>
      <c r="E23" s="24" t="str">
        <f t="shared" si="0"/>
        <v>HKD1L6L15Y_Quote</v>
      </c>
      <c r="F23" s="24" t="str">
        <f>_xll.qlSimpleQuote(E23,,RateTickValue,Permanent,Trigger,ObjectOverwrite)</f>
        <v>HKD1L6L15Y_Quote#0003</v>
      </c>
      <c r="G23" s="23" t="str">
        <f>_xll.ohRangeRetrieveError(F23)</f>
        <v/>
      </c>
      <c r="H23" s="22"/>
      <c r="N23" s="180">
        <v>15</v>
      </c>
      <c r="O23" s="218" t="s">
        <v>33</v>
      </c>
      <c r="P23" s="217" t="str">
        <v>1L</v>
      </c>
      <c r="Q23" s="217" t="str">
        <v>6L</v>
      </c>
      <c r="R23" s="215" t="str">
        <f t="shared" si="1"/>
        <v>HKD1L6L15Y</v>
      </c>
      <c r="S23" s="178" t="str">
        <v>HKD1L6L15Y=ICAP</v>
      </c>
      <c r="T23" s="309" t="s">
        <v>151</v>
      </c>
      <c r="U23" s="309" t="s">
        <v>151</v>
      </c>
      <c r="V23" s="309" t="e">
        <f>_xll.qlMidEquivalent(T23,U23)</f>
        <v>#NUM!</v>
      </c>
      <c r="W23" s="182" t="b">
        <f t="shared" si="2"/>
        <v>0</v>
      </c>
      <c r="X23" s="308" t="e">
        <v>#VALUE!</v>
      </c>
      <c r="Y23" s="175"/>
      <c r="Z23" s="307" t="e">
        <v>#VALUE!</v>
      </c>
      <c r="AA23" s="175"/>
      <c r="AB23" s="183" t="str">
        <f t="shared" si="3"/>
        <v>HKD1L6L15Y_Quote</v>
      </c>
      <c r="AC23" s="306" t="e">
        <v>#VALUE!</v>
      </c>
      <c r="AD23" s="181" t="e">
        <f>_xll.qlSimpleQuoteSetValue($AB23,ROUND($AC23/10000,6),Trigger)</f>
        <v>#NUM!</v>
      </c>
      <c r="AE23" s="171"/>
      <c r="AF23" s="205"/>
      <c r="AG23" s="205"/>
      <c r="AH23" s="205"/>
      <c r="AI23" s="205"/>
      <c r="AJ23" s="205"/>
    </row>
    <row r="24" spans="1:36" x14ac:dyDescent="0.2">
      <c r="A24" s="28"/>
      <c r="B24" s="27" t="s">
        <v>32</v>
      </c>
      <c r="C24" s="26" t="str">
        <f t="shared" si="4"/>
        <v>1L</v>
      </c>
      <c r="D24" s="25" t="str">
        <f t="shared" si="5"/>
        <v>6L</v>
      </c>
      <c r="E24" s="24" t="str">
        <f t="shared" si="0"/>
        <v>HKD1L6L16Y_Quote</v>
      </c>
      <c r="F24" s="24" t="str">
        <f>_xll.qlSimpleQuote(E24,,RateTickValue,Permanent,Trigger,ObjectOverwrite)</f>
        <v>HKD1L6L16Y_Quote#0003</v>
      </c>
      <c r="G24" s="23" t="str">
        <f>_xll.ohRangeRetrieveError(F24)</f>
        <v/>
      </c>
      <c r="H24" s="22"/>
      <c r="N24" s="180">
        <v>16</v>
      </c>
      <c r="O24" s="218" t="s">
        <v>32</v>
      </c>
      <c r="P24" s="217" t="str">
        <v>1L</v>
      </c>
      <c r="Q24" s="217" t="str">
        <v>6L</v>
      </c>
      <c r="R24" s="215" t="str">
        <f t="shared" si="1"/>
        <v>HKD1L6L16Y</v>
      </c>
      <c r="S24" s="178" t="str">
        <v>HKD1L6L16Y=ICAP</v>
      </c>
      <c r="T24" s="309" t="s">
        <v>151</v>
      </c>
      <c r="U24" s="309" t="s">
        <v>151</v>
      </c>
      <c r="V24" s="309" t="e">
        <f>_xll.qlMidEquivalent(T24,U24)</f>
        <v>#NUM!</v>
      </c>
      <c r="W24" s="182" t="b">
        <f t="shared" si="2"/>
        <v>0</v>
      </c>
      <c r="X24" s="308" t="e">
        <v>#VALUE!</v>
      </c>
      <c r="Y24" s="175"/>
      <c r="Z24" s="307" t="e">
        <v>#VALUE!</v>
      </c>
      <c r="AA24" s="175"/>
      <c r="AB24" s="183" t="str">
        <f t="shared" si="3"/>
        <v>HKD1L6L16Y_Quote</v>
      </c>
      <c r="AC24" s="306" t="e">
        <v>#VALUE!</v>
      </c>
      <c r="AD24" s="181" t="e">
        <f>_xll.qlSimpleQuoteSetValue($AB24,ROUND($AC24/10000,6),Trigger)</f>
        <v>#NUM!</v>
      </c>
      <c r="AE24" s="171"/>
      <c r="AF24" s="205"/>
      <c r="AG24" s="205"/>
      <c r="AH24" s="205"/>
      <c r="AI24" s="205"/>
      <c r="AJ24" s="205"/>
    </row>
    <row r="25" spans="1:36" x14ac:dyDescent="0.2">
      <c r="A25" s="28"/>
      <c r="B25" s="27" t="s">
        <v>31</v>
      </c>
      <c r="C25" s="26" t="str">
        <f t="shared" si="4"/>
        <v>1L</v>
      </c>
      <c r="D25" s="25" t="str">
        <f t="shared" si="5"/>
        <v>6L</v>
      </c>
      <c r="E25" s="24" t="str">
        <f t="shared" si="0"/>
        <v>HKD1L6L17Y_Quote</v>
      </c>
      <c r="F25" s="24" t="str">
        <f>_xll.qlSimpleQuote(E25,,RateTickValue,Permanent,Trigger,ObjectOverwrite)</f>
        <v>HKD1L6L17Y_Quote#0003</v>
      </c>
      <c r="G25" s="23" t="str">
        <f>_xll.ohRangeRetrieveError(F25)</f>
        <v/>
      </c>
      <c r="H25" s="22"/>
      <c r="N25" s="180">
        <v>17</v>
      </c>
      <c r="O25" s="218" t="s">
        <v>31</v>
      </c>
      <c r="P25" s="217" t="str">
        <v>1L</v>
      </c>
      <c r="Q25" s="217" t="str">
        <v>6L</v>
      </c>
      <c r="R25" s="215" t="str">
        <f t="shared" si="1"/>
        <v>HKD1L6L17Y</v>
      </c>
      <c r="S25" s="178" t="str">
        <v>HKD1L6L17Y=ICAP</v>
      </c>
      <c r="T25" s="309" t="s">
        <v>151</v>
      </c>
      <c r="U25" s="309" t="s">
        <v>151</v>
      </c>
      <c r="V25" s="309" t="e">
        <f>_xll.qlMidEquivalent(T25,U25)</f>
        <v>#NUM!</v>
      </c>
      <c r="W25" s="182" t="b">
        <f t="shared" si="2"/>
        <v>0</v>
      </c>
      <c r="X25" s="308" t="e">
        <v>#VALUE!</v>
      </c>
      <c r="Y25" s="175"/>
      <c r="Z25" s="307" t="e">
        <v>#VALUE!</v>
      </c>
      <c r="AA25" s="175"/>
      <c r="AB25" s="183" t="str">
        <f t="shared" si="3"/>
        <v>HKD1L6L17Y_Quote</v>
      </c>
      <c r="AC25" s="306" t="e">
        <v>#VALUE!</v>
      </c>
      <c r="AD25" s="181" t="e">
        <f>_xll.qlSimpleQuoteSetValue($AB25,ROUND($AC25/10000,6),Trigger)</f>
        <v>#NUM!</v>
      </c>
      <c r="AE25" s="171"/>
      <c r="AF25" s="205"/>
      <c r="AG25" s="205"/>
      <c r="AH25" s="205"/>
      <c r="AI25" s="205"/>
      <c r="AJ25" s="205"/>
    </row>
    <row r="26" spans="1:36" x14ac:dyDescent="0.2">
      <c r="A26" s="28"/>
      <c r="B26" s="27" t="s">
        <v>30</v>
      </c>
      <c r="C26" s="26" t="str">
        <f t="shared" si="4"/>
        <v>1L</v>
      </c>
      <c r="D26" s="25" t="str">
        <f t="shared" si="5"/>
        <v>6L</v>
      </c>
      <c r="E26" s="24" t="str">
        <f t="shared" si="0"/>
        <v>HKD1L6L18Y_Quote</v>
      </c>
      <c r="F26" s="24" t="str">
        <f>_xll.qlSimpleQuote(E26,,RateTickValue,Permanent,Trigger,ObjectOverwrite)</f>
        <v>HKD1L6L18Y_Quote#0003</v>
      </c>
      <c r="G26" s="23" t="str">
        <f>_xll.ohRangeRetrieveError(F26)</f>
        <v/>
      </c>
      <c r="H26" s="22"/>
      <c r="N26" s="180">
        <v>18</v>
      </c>
      <c r="O26" s="218" t="s">
        <v>30</v>
      </c>
      <c r="P26" s="217" t="str">
        <v>1L</v>
      </c>
      <c r="Q26" s="217" t="str">
        <v>6L</v>
      </c>
      <c r="R26" s="215" t="str">
        <f t="shared" si="1"/>
        <v>HKD1L6L18Y</v>
      </c>
      <c r="S26" s="178" t="str">
        <v>HKD1L6L18Y=ICAP</v>
      </c>
      <c r="T26" s="309" t="s">
        <v>151</v>
      </c>
      <c r="U26" s="309" t="s">
        <v>151</v>
      </c>
      <c r="V26" s="309" t="e">
        <f>_xll.qlMidEquivalent(T26,U26)</f>
        <v>#NUM!</v>
      </c>
      <c r="W26" s="182" t="b">
        <f t="shared" si="2"/>
        <v>0</v>
      </c>
      <c r="X26" s="308" t="e">
        <v>#VALUE!</v>
      </c>
      <c r="Y26" s="175"/>
      <c r="Z26" s="307" t="e">
        <v>#VALUE!</v>
      </c>
      <c r="AA26" s="175"/>
      <c r="AB26" s="183" t="str">
        <f t="shared" si="3"/>
        <v>HKD1L6L18Y_Quote</v>
      </c>
      <c r="AC26" s="306" t="e">
        <v>#VALUE!</v>
      </c>
      <c r="AD26" s="181" t="e">
        <f>_xll.qlSimpleQuoteSetValue($AB26,ROUND($AC26/10000,6),Trigger)</f>
        <v>#NUM!</v>
      </c>
      <c r="AE26" s="171"/>
      <c r="AF26" s="205"/>
      <c r="AG26" s="205"/>
      <c r="AH26" s="205"/>
      <c r="AI26" s="205"/>
      <c r="AJ26" s="205"/>
    </row>
    <row r="27" spans="1:36" x14ac:dyDescent="0.2">
      <c r="A27" s="28"/>
      <c r="B27" s="27" t="s">
        <v>29</v>
      </c>
      <c r="C27" s="26" t="str">
        <f t="shared" si="4"/>
        <v>1L</v>
      </c>
      <c r="D27" s="25" t="str">
        <f t="shared" si="5"/>
        <v>6L</v>
      </c>
      <c r="E27" s="24" t="str">
        <f t="shared" si="0"/>
        <v>HKD1L6L19Y_Quote</v>
      </c>
      <c r="F27" s="24" t="str">
        <f>_xll.qlSimpleQuote(E27,,RateTickValue,Permanent,Trigger,ObjectOverwrite)</f>
        <v>HKD1L6L19Y_Quote#0003</v>
      </c>
      <c r="G27" s="23" t="str">
        <f>_xll.ohRangeRetrieveError(F27)</f>
        <v/>
      </c>
      <c r="H27" s="22"/>
      <c r="N27" s="180">
        <v>19</v>
      </c>
      <c r="O27" s="218" t="s">
        <v>29</v>
      </c>
      <c r="P27" s="217" t="str">
        <v>1L</v>
      </c>
      <c r="Q27" s="217" t="str">
        <v>6L</v>
      </c>
      <c r="R27" s="215" t="str">
        <f t="shared" si="1"/>
        <v>HKD1L6L19Y</v>
      </c>
      <c r="S27" s="178" t="str">
        <v>HKD1L6L19Y=ICAP</v>
      </c>
      <c r="T27" s="309" t="s">
        <v>151</v>
      </c>
      <c r="U27" s="309" t="s">
        <v>151</v>
      </c>
      <c r="V27" s="309" t="e">
        <f>_xll.qlMidEquivalent(T27,U27)</f>
        <v>#NUM!</v>
      </c>
      <c r="W27" s="182" t="b">
        <f t="shared" si="2"/>
        <v>0</v>
      </c>
      <c r="X27" s="308" t="e">
        <v>#VALUE!</v>
      </c>
      <c r="Y27" s="175"/>
      <c r="Z27" s="307" t="e">
        <v>#VALUE!</v>
      </c>
      <c r="AA27" s="175"/>
      <c r="AB27" s="183" t="str">
        <f t="shared" si="3"/>
        <v>HKD1L6L19Y_Quote</v>
      </c>
      <c r="AC27" s="306" t="e">
        <v>#VALUE!</v>
      </c>
      <c r="AD27" s="181" t="e">
        <f>_xll.qlSimpleQuoteSetValue($AB27,ROUND($AC27/10000,6),Trigger)</f>
        <v>#NUM!</v>
      </c>
      <c r="AE27" s="171"/>
      <c r="AF27" s="205"/>
      <c r="AG27" s="205"/>
      <c r="AH27" s="205"/>
      <c r="AI27" s="205"/>
      <c r="AJ27" s="205"/>
    </row>
    <row r="28" spans="1:36" x14ac:dyDescent="0.2">
      <c r="A28" s="28"/>
      <c r="B28" s="27" t="s">
        <v>28</v>
      </c>
      <c r="C28" s="26" t="str">
        <f t="shared" si="4"/>
        <v>1L</v>
      </c>
      <c r="D28" s="25" t="str">
        <f t="shared" si="5"/>
        <v>6L</v>
      </c>
      <c r="E28" s="24" t="str">
        <f t="shared" si="0"/>
        <v>HKD1L6L20Y_Quote</v>
      </c>
      <c r="F28" s="24" t="str">
        <f>_xll.qlSimpleQuote(E28,,RateTickValue,Permanent,Trigger,ObjectOverwrite)</f>
        <v>HKD1L6L20Y_Quote#0003</v>
      </c>
      <c r="G28" s="23" t="str">
        <f>_xll.ohRangeRetrieveError(F28)</f>
        <v/>
      </c>
      <c r="H28" s="22"/>
      <c r="N28" s="180">
        <v>20</v>
      </c>
      <c r="O28" s="218" t="s">
        <v>28</v>
      </c>
      <c r="P28" s="217" t="str">
        <v>1L</v>
      </c>
      <c r="Q28" s="217" t="str">
        <v>6L</v>
      </c>
      <c r="R28" s="215" t="str">
        <f t="shared" si="1"/>
        <v>HKD1L6L20Y</v>
      </c>
      <c r="S28" s="178" t="str">
        <v>HKD1L6L20Y=ICAP</v>
      </c>
      <c r="T28" s="309" t="s">
        <v>151</v>
      </c>
      <c r="U28" s="309" t="s">
        <v>151</v>
      </c>
      <c r="V28" s="309" t="e">
        <f>_xll.qlMidEquivalent(T28,U28)</f>
        <v>#NUM!</v>
      </c>
      <c r="W28" s="182" t="b">
        <f t="shared" si="2"/>
        <v>0</v>
      </c>
      <c r="X28" s="308" t="e">
        <v>#VALUE!</v>
      </c>
      <c r="Y28" s="175"/>
      <c r="Z28" s="307" t="e">
        <v>#VALUE!</v>
      </c>
      <c r="AA28" s="175"/>
      <c r="AB28" s="183" t="str">
        <f t="shared" si="3"/>
        <v>HKD1L6L20Y_Quote</v>
      </c>
      <c r="AC28" s="306" t="e">
        <v>#VALUE!</v>
      </c>
      <c r="AD28" s="181" t="e">
        <f>_xll.qlSimpleQuoteSetValue($AB28,ROUND($AC28/10000,6),Trigger)</f>
        <v>#NUM!</v>
      </c>
      <c r="AE28" s="171"/>
      <c r="AF28" s="205"/>
      <c r="AG28" s="205"/>
      <c r="AH28" s="205"/>
      <c r="AI28" s="205"/>
      <c r="AJ28" s="205"/>
    </row>
    <row r="29" spans="1:36" x14ac:dyDescent="0.2">
      <c r="A29" s="28"/>
      <c r="B29" s="27" t="s">
        <v>27</v>
      </c>
      <c r="C29" s="26" t="str">
        <f t="shared" si="4"/>
        <v>1L</v>
      </c>
      <c r="D29" s="25" t="str">
        <f t="shared" si="5"/>
        <v>6L</v>
      </c>
      <c r="E29" s="24" t="str">
        <f t="shared" si="0"/>
        <v>HKD1L6L21Y_Quote</v>
      </c>
      <c r="F29" s="24" t="str">
        <f>_xll.qlSimpleQuote(E29,,RateTickValue,Permanent,Trigger,ObjectOverwrite)</f>
        <v>HKD1L6L21Y_Quote#0003</v>
      </c>
      <c r="G29" s="23" t="str">
        <f>_xll.ohRangeRetrieveError(F29)</f>
        <v/>
      </c>
      <c r="H29" s="22"/>
      <c r="N29" s="180">
        <v>21</v>
      </c>
      <c r="O29" s="218" t="s">
        <v>27</v>
      </c>
      <c r="P29" s="217" t="str">
        <v>1L</v>
      </c>
      <c r="Q29" s="217" t="str">
        <v>6L</v>
      </c>
      <c r="R29" s="215" t="str">
        <f t="shared" si="1"/>
        <v>HKD1L6L21Y</v>
      </c>
      <c r="S29" s="178" t="str">
        <v>HKD1L6L21Y=ICAP</v>
      </c>
      <c r="T29" s="309" t="s">
        <v>151</v>
      </c>
      <c r="U29" s="309" t="s">
        <v>151</v>
      </c>
      <c r="V29" s="309" t="e">
        <f>_xll.qlMidEquivalent(T29,U29)</f>
        <v>#NUM!</v>
      </c>
      <c r="W29" s="182" t="b">
        <f t="shared" si="2"/>
        <v>0</v>
      </c>
      <c r="X29" s="308" t="e">
        <v>#VALUE!</v>
      </c>
      <c r="Y29" s="175"/>
      <c r="Z29" s="307" t="e">
        <v>#VALUE!</v>
      </c>
      <c r="AA29" s="175"/>
      <c r="AB29" s="183" t="str">
        <f t="shared" si="3"/>
        <v>HKD1L6L21Y_Quote</v>
      </c>
      <c r="AC29" s="306" t="e">
        <v>#VALUE!</v>
      </c>
      <c r="AD29" s="181" t="e">
        <f>_xll.qlSimpleQuoteSetValue($AB29,ROUND($AC29/10000,6),Trigger)</f>
        <v>#NUM!</v>
      </c>
      <c r="AE29" s="171"/>
      <c r="AF29" s="205"/>
      <c r="AG29" s="205"/>
      <c r="AH29" s="205"/>
      <c r="AI29" s="205"/>
      <c r="AJ29" s="205"/>
    </row>
    <row r="30" spans="1:36" x14ac:dyDescent="0.2">
      <c r="A30" s="28"/>
      <c r="B30" s="27" t="s">
        <v>26</v>
      </c>
      <c r="C30" s="26" t="str">
        <f t="shared" si="4"/>
        <v>1L</v>
      </c>
      <c r="D30" s="25" t="str">
        <f t="shared" si="5"/>
        <v>6L</v>
      </c>
      <c r="E30" s="24" t="str">
        <f t="shared" si="0"/>
        <v>HKD1L6L22Y_Quote</v>
      </c>
      <c r="F30" s="24" t="str">
        <f>_xll.qlSimpleQuote(E30,,RateTickValue,Permanent,Trigger,ObjectOverwrite)</f>
        <v>HKD1L6L22Y_Quote#0003</v>
      </c>
      <c r="G30" s="23" t="str">
        <f>_xll.ohRangeRetrieveError(F30)</f>
        <v/>
      </c>
      <c r="H30" s="22"/>
      <c r="N30" s="180">
        <v>22</v>
      </c>
      <c r="O30" s="218" t="s">
        <v>26</v>
      </c>
      <c r="P30" s="217" t="str">
        <v>1L</v>
      </c>
      <c r="Q30" s="217" t="str">
        <v>6L</v>
      </c>
      <c r="R30" s="215" t="str">
        <f t="shared" si="1"/>
        <v>HKD1L6L22Y</v>
      </c>
      <c r="S30" s="178" t="str">
        <v>HKD1L6L22Y=ICAP</v>
      </c>
      <c r="T30" s="309" t="s">
        <v>151</v>
      </c>
      <c r="U30" s="309" t="s">
        <v>151</v>
      </c>
      <c r="V30" s="309" t="e">
        <f>_xll.qlMidEquivalent(T30,U30)</f>
        <v>#NUM!</v>
      </c>
      <c r="W30" s="182" t="b">
        <f t="shared" si="2"/>
        <v>0</v>
      </c>
      <c r="X30" s="308" t="e">
        <v>#VALUE!</v>
      </c>
      <c r="Y30" s="175"/>
      <c r="Z30" s="307" t="e">
        <v>#VALUE!</v>
      </c>
      <c r="AA30" s="175"/>
      <c r="AB30" s="183" t="str">
        <f t="shared" si="3"/>
        <v>HKD1L6L22Y_Quote</v>
      </c>
      <c r="AC30" s="306" t="e">
        <v>#VALUE!</v>
      </c>
      <c r="AD30" s="181" t="e">
        <f>_xll.qlSimpleQuoteSetValue($AB30,ROUND($AC30/10000,6),Trigger)</f>
        <v>#NUM!</v>
      </c>
      <c r="AE30" s="171"/>
      <c r="AF30" s="205"/>
      <c r="AG30" s="205"/>
      <c r="AH30" s="205"/>
      <c r="AI30" s="205"/>
      <c r="AJ30" s="205"/>
    </row>
    <row r="31" spans="1:36" x14ac:dyDescent="0.2">
      <c r="A31" s="28"/>
      <c r="B31" s="27" t="s">
        <v>25</v>
      </c>
      <c r="C31" s="26" t="str">
        <f t="shared" si="4"/>
        <v>1L</v>
      </c>
      <c r="D31" s="25" t="str">
        <f t="shared" si="5"/>
        <v>6L</v>
      </c>
      <c r="E31" s="24" t="str">
        <f t="shared" si="0"/>
        <v>HKD1L6L23Y_Quote</v>
      </c>
      <c r="F31" s="24" t="str">
        <f>_xll.qlSimpleQuote(E31,,RateTickValue,Permanent,Trigger,ObjectOverwrite)</f>
        <v>HKD1L6L23Y_Quote#0003</v>
      </c>
      <c r="G31" s="23" t="str">
        <f>_xll.ohRangeRetrieveError(F31)</f>
        <v/>
      </c>
      <c r="H31" s="22"/>
      <c r="N31" s="180">
        <v>23</v>
      </c>
      <c r="O31" s="218" t="s">
        <v>25</v>
      </c>
      <c r="P31" s="217" t="str">
        <v>1L</v>
      </c>
      <c r="Q31" s="217" t="str">
        <v>6L</v>
      </c>
      <c r="R31" s="215" t="str">
        <f t="shared" si="1"/>
        <v>HKD1L6L23Y</v>
      </c>
      <c r="S31" s="178" t="str">
        <v>HKD1L6L23Y=ICAP</v>
      </c>
      <c r="T31" s="309" t="s">
        <v>151</v>
      </c>
      <c r="U31" s="309" t="s">
        <v>151</v>
      </c>
      <c r="V31" s="309" t="e">
        <f>_xll.qlMidEquivalent(T31,U31)</f>
        <v>#NUM!</v>
      </c>
      <c r="W31" s="182" t="b">
        <f t="shared" si="2"/>
        <v>0</v>
      </c>
      <c r="X31" s="308" t="e">
        <v>#VALUE!</v>
      </c>
      <c r="Y31" s="175"/>
      <c r="Z31" s="307" t="e">
        <v>#VALUE!</v>
      </c>
      <c r="AA31" s="175"/>
      <c r="AB31" s="183" t="str">
        <f t="shared" si="3"/>
        <v>HKD1L6L23Y_Quote</v>
      </c>
      <c r="AC31" s="306" t="e">
        <v>#VALUE!</v>
      </c>
      <c r="AD31" s="181" t="e">
        <f>_xll.qlSimpleQuoteSetValue($AB31,ROUND($AC31/10000,6),Trigger)</f>
        <v>#NUM!</v>
      </c>
      <c r="AE31" s="171"/>
      <c r="AF31" s="205"/>
      <c r="AG31" s="205"/>
      <c r="AH31" s="205"/>
      <c r="AI31" s="205"/>
      <c r="AJ31" s="205"/>
    </row>
    <row r="32" spans="1:36" x14ac:dyDescent="0.2">
      <c r="A32" s="28"/>
      <c r="B32" s="27" t="s">
        <v>24</v>
      </c>
      <c r="C32" s="26" t="str">
        <f t="shared" si="4"/>
        <v>1L</v>
      </c>
      <c r="D32" s="25" t="str">
        <f t="shared" si="5"/>
        <v>6L</v>
      </c>
      <c r="E32" s="24" t="str">
        <f t="shared" si="0"/>
        <v>HKD1L6L24Y_Quote</v>
      </c>
      <c r="F32" s="24" t="str">
        <f>_xll.qlSimpleQuote(E32,,RateTickValue,Permanent,Trigger,ObjectOverwrite)</f>
        <v>HKD1L6L24Y_Quote#0003</v>
      </c>
      <c r="G32" s="23" t="str">
        <f>_xll.ohRangeRetrieveError(F32)</f>
        <v/>
      </c>
      <c r="H32" s="22"/>
      <c r="N32" s="180">
        <v>24</v>
      </c>
      <c r="O32" s="218" t="s">
        <v>24</v>
      </c>
      <c r="P32" s="217" t="str">
        <v>1L</v>
      </c>
      <c r="Q32" s="217" t="str">
        <v>6L</v>
      </c>
      <c r="R32" s="215" t="str">
        <f t="shared" si="1"/>
        <v>HKD1L6L24Y</v>
      </c>
      <c r="S32" s="178" t="str">
        <v>HKD1L6L24Y=ICAP</v>
      </c>
      <c r="T32" s="309" t="s">
        <v>151</v>
      </c>
      <c r="U32" s="309" t="s">
        <v>151</v>
      </c>
      <c r="V32" s="309" t="e">
        <f>_xll.qlMidEquivalent(T32,U32)</f>
        <v>#NUM!</v>
      </c>
      <c r="W32" s="182" t="b">
        <f t="shared" si="2"/>
        <v>0</v>
      </c>
      <c r="X32" s="308" t="e">
        <v>#VALUE!</v>
      </c>
      <c r="Y32" s="175"/>
      <c r="Z32" s="307" t="e">
        <v>#VALUE!</v>
      </c>
      <c r="AA32" s="175"/>
      <c r="AB32" s="183" t="str">
        <f t="shared" si="3"/>
        <v>HKD1L6L24Y_Quote</v>
      </c>
      <c r="AC32" s="306" t="e">
        <v>#VALUE!</v>
      </c>
      <c r="AD32" s="181" t="e">
        <f>_xll.qlSimpleQuoteSetValue($AB32,ROUND($AC32/10000,6),Trigger)</f>
        <v>#NUM!</v>
      </c>
      <c r="AE32" s="171"/>
      <c r="AF32" s="205"/>
      <c r="AG32" s="205"/>
      <c r="AH32" s="205"/>
      <c r="AI32" s="205"/>
      <c r="AJ32" s="205"/>
    </row>
    <row r="33" spans="1:36" x14ac:dyDescent="0.2">
      <c r="A33" s="28"/>
      <c r="B33" s="27" t="s">
        <v>23</v>
      </c>
      <c r="C33" s="26" t="str">
        <f t="shared" si="4"/>
        <v>1L</v>
      </c>
      <c r="D33" s="25" t="str">
        <f t="shared" si="5"/>
        <v>6L</v>
      </c>
      <c r="E33" s="24" t="str">
        <f t="shared" si="0"/>
        <v>HKD1L6L25Y_Quote</v>
      </c>
      <c r="F33" s="24" t="str">
        <f>_xll.qlSimpleQuote(E33,,RateTickValue,Permanent,Trigger,ObjectOverwrite)</f>
        <v>HKD1L6L25Y_Quote#0003</v>
      </c>
      <c r="G33" s="23" t="str">
        <f>_xll.ohRangeRetrieveError(F33)</f>
        <v/>
      </c>
      <c r="H33" s="22"/>
      <c r="N33" s="180">
        <v>25</v>
      </c>
      <c r="O33" s="218" t="s">
        <v>23</v>
      </c>
      <c r="P33" s="217" t="str">
        <v>1L</v>
      </c>
      <c r="Q33" s="217" t="str">
        <v>6L</v>
      </c>
      <c r="R33" s="215" t="str">
        <f t="shared" si="1"/>
        <v>HKD1L6L25Y</v>
      </c>
      <c r="S33" s="178" t="str">
        <v>HKD1L6L25Y=ICAP</v>
      </c>
      <c r="T33" s="309" t="s">
        <v>151</v>
      </c>
      <c r="U33" s="309" t="s">
        <v>151</v>
      </c>
      <c r="V33" s="309" t="e">
        <f>_xll.qlMidEquivalent(T33,U33)</f>
        <v>#NUM!</v>
      </c>
      <c r="W33" s="182" t="b">
        <f t="shared" si="2"/>
        <v>0</v>
      </c>
      <c r="X33" s="308" t="e">
        <v>#VALUE!</v>
      </c>
      <c r="Y33" s="175"/>
      <c r="Z33" s="307" t="e">
        <v>#VALUE!</v>
      </c>
      <c r="AA33" s="175"/>
      <c r="AB33" s="183" t="str">
        <f t="shared" si="3"/>
        <v>HKD1L6L25Y_Quote</v>
      </c>
      <c r="AC33" s="306" t="e">
        <v>#VALUE!</v>
      </c>
      <c r="AD33" s="181" t="e">
        <f>_xll.qlSimpleQuoteSetValue($AB33,ROUND($AC33/10000,6),Trigger)</f>
        <v>#NUM!</v>
      </c>
      <c r="AE33" s="171"/>
      <c r="AF33" s="205"/>
      <c r="AG33" s="205"/>
      <c r="AH33" s="205"/>
      <c r="AI33" s="205"/>
      <c r="AJ33" s="205"/>
    </row>
    <row r="34" spans="1:36" x14ac:dyDescent="0.2">
      <c r="A34" s="28"/>
      <c r="B34" s="27" t="s">
        <v>22</v>
      </c>
      <c r="C34" s="26" t="str">
        <f t="shared" si="4"/>
        <v>1L</v>
      </c>
      <c r="D34" s="25" t="str">
        <f t="shared" si="5"/>
        <v>6L</v>
      </c>
      <c r="E34" s="24" t="str">
        <f t="shared" si="0"/>
        <v>HKD1L6L26Y_Quote</v>
      </c>
      <c r="F34" s="24" t="str">
        <f>_xll.qlSimpleQuote(E34,,RateTickValue,Permanent,Trigger,ObjectOverwrite)</f>
        <v>HKD1L6L26Y_Quote#0003</v>
      </c>
      <c r="G34" s="23" t="str">
        <f>_xll.ohRangeRetrieveError(F34)</f>
        <v/>
      </c>
      <c r="H34" s="22"/>
      <c r="N34" s="180">
        <v>26</v>
      </c>
      <c r="O34" s="218" t="s">
        <v>22</v>
      </c>
      <c r="P34" s="217" t="str">
        <v>1L</v>
      </c>
      <c r="Q34" s="217" t="str">
        <v>6L</v>
      </c>
      <c r="R34" s="215" t="str">
        <f t="shared" si="1"/>
        <v>HKD1L6L26Y</v>
      </c>
      <c r="S34" s="178" t="str">
        <v>HKD1L6L26Y=ICAP</v>
      </c>
      <c r="T34" s="309" t="s">
        <v>151</v>
      </c>
      <c r="U34" s="309" t="s">
        <v>151</v>
      </c>
      <c r="V34" s="309" t="e">
        <f>_xll.qlMidEquivalent(T34,U34)</f>
        <v>#NUM!</v>
      </c>
      <c r="W34" s="182" t="b">
        <f t="shared" si="2"/>
        <v>0</v>
      </c>
      <c r="X34" s="308" t="e">
        <v>#VALUE!</v>
      </c>
      <c r="Y34" s="175"/>
      <c r="Z34" s="307" t="e">
        <v>#VALUE!</v>
      </c>
      <c r="AA34" s="175"/>
      <c r="AB34" s="183" t="str">
        <f t="shared" si="3"/>
        <v>HKD1L6L26Y_Quote</v>
      </c>
      <c r="AC34" s="306" t="e">
        <v>#VALUE!</v>
      </c>
      <c r="AD34" s="181" t="e">
        <f>_xll.qlSimpleQuoteSetValue($AB34,ROUND($AC34/10000,6),Trigger)</f>
        <v>#NUM!</v>
      </c>
      <c r="AE34" s="171"/>
      <c r="AF34" s="205"/>
      <c r="AG34" s="205"/>
      <c r="AH34" s="205"/>
      <c r="AI34" s="205"/>
      <c r="AJ34" s="205"/>
    </row>
    <row r="35" spans="1:36" x14ac:dyDescent="0.2">
      <c r="A35" s="28"/>
      <c r="B35" s="27" t="s">
        <v>21</v>
      </c>
      <c r="C35" s="26" t="str">
        <f t="shared" si="4"/>
        <v>1L</v>
      </c>
      <c r="D35" s="25" t="str">
        <f t="shared" si="5"/>
        <v>6L</v>
      </c>
      <c r="E35" s="24" t="str">
        <f t="shared" si="0"/>
        <v>HKD1L6L27Y_Quote</v>
      </c>
      <c r="F35" s="24" t="str">
        <f>_xll.qlSimpleQuote(E35,,RateTickValue,Permanent,Trigger,ObjectOverwrite)</f>
        <v>HKD1L6L27Y_Quote#0003</v>
      </c>
      <c r="G35" s="23" t="str">
        <f>_xll.ohRangeRetrieveError(F35)</f>
        <v/>
      </c>
      <c r="H35" s="22"/>
      <c r="N35" s="180">
        <v>27</v>
      </c>
      <c r="O35" s="218" t="s">
        <v>21</v>
      </c>
      <c r="P35" s="217" t="str">
        <v>1L</v>
      </c>
      <c r="Q35" s="217" t="str">
        <v>6L</v>
      </c>
      <c r="R35" s="215" t="str">
        <f t="shared" si="1"/>
        <v>HKD1L6L27Y</v>
      </c>
      <c r="S35" s="178" t="str">
        <v>HKD1L6L27Y=ICAP</v>
      </c>
      <c r="T35" s="309" t="s">
        <v>151</v>
      </c>
      <c r="U35" s="309" t="s">
        <v>151</v>
      </c>
      <c r="V35" s="309" t="e">
        <f>_xll.qlMidEquivalent(T35,U35)</f>
        <v>#NUM!</v>
      </c>
      <c r="W35" s="182" t="b">
        <f t="shared" si="2"/>
        <v>0</v>
      </c>
      <c r="X35" s="308" t="e">
        <v>#VALUE!</v>
      </c>
      <c r="Y35" s="175"/>
      <c r="Z35" s="307" t="e">
        <v>#VALUE!</v>
      </c>
      <c r="AA35" s="175"/>
      <c r="AB35" s="183" t="str">
        <f t="shared" si="3"/>
        <v>HKD1L6L27Y_Quote</v>
      </c>
      <c r="AC35" s="306" t="e">
        <v>#VALUE!</v>
      </c>
      <c r="AD35" s="181" t="e">
        <f>_xll.qlSimpleQuoteSetValue($AB35,ROUND($AC35/10000,6),Trigger)</f>
        <v>#NUM!</v>
      </c>
      <c r="AE35" s="171"/>
      <c r="AF35" s="205"/>
      <c r="AG35" s="205"/>
      <c r="AH35" s="205"/>
      <c r="AI35" s="205"/>
      <c r="AJ35" s="205"/>
    </row>
    <row r="36" spans="1:36" x14ac:dyDescent="0.2">
      <c r="A36" s="28"/>
      <c r="B36" s="27" t="s">
        <v>20</v>
      </c>
      <c r="C36" s="26" t="str">
        <f t="shared" si="4"/>
        <v>1L</v>
      </c>
      <c r="D36" s="25" t="str">
        <f t="shared" si="5"/>
        <v>6L</v>
      </c>
      <c r="E36" s="24" t="str">
        <f t="shared" si="0"/>
        <v>HKD1L6L28Y_Quote</v>
      </c>
      <c r="F36" s="24" t="str">
        <f>_xll.qlSimpleQuote(E36,,RateTickValue,Permanent,Trigger,ObjectOverwrite)</f>
        <v>HKD1L6L28Y_Quote#0003</v>
      </c>
      <c r="G36" s="23" t="str">
        <f>_xll.ohRangeRetrieveError(F36)</f>
        <v/>
      </c>
      <c r="H36" s="22"/>
      <c r="N36" s="180">
        <v>28</v>
      </c>
      <c r="O36" s="218" t="s">
        <v>20</v>
      </c>
      <c r="P36" s="217" t="str">
        <v>1L</v>
      </c>
      <c r="Q36" s="217" t="str">
        <v>6L</v>
      </c>
      <c r="R36" s="215" t="str">
        <f t="shared" si="1"/>
        <v>HKD1L6L28Y</v>
      </c>
      <c r="S36" s="178" t="str">
        <v>HKD1L6L28Y=ICAP</v>
      </c>
      <c r="T36" s="309" t="s">
        <v>151</v>
      </c>
      <c r="U36" s="309" t="s">
        <v>151</v>
      </c>
      <c r="V36" s="309" t="e">
        <f>_xll.qlMidEquivalent(T36,U36)</f>
        <v>#NUM!</v>
      </c>
      <c r="W36" s="182" t="b">
        <f t="shared" si="2"/>
        <v>0</v>
      </c>
      <c r="X36" s="308" t="e">
        <v>#VALUE!</v>
      </c>
      <c r="Y36" s="175"/>
      <c r="Z36" s="307" t="e">
        <v>#VALUE!</v>
      </c>
      <c r="AA36" s="175"/>
      <c r="AB36" s="183" t="str">
        <f t="shared" si="3"/>
        <v>HKD1L6L28Y_Quote</v>
      </c>
      <c r="AC36" s="306" t="e">
        <v>#VALUE!</v>
      </c>
      <c r="AD36" s="181" t="e">
        <f>_xll.qlSimpleQuoteSetValue($AB36,ROUND($AC36/10000,6),Trigger)</f>
        <v>#NUM!</v>
      </c>
      <c r="AE36" s="171"/>
      <c r="AF36" s="205"/>
      <c r="AG36" s="205"/>
      <c r="AH36" s="205"/>
      <c r="AI36" s="205"/>
      <c r="AJ36" s="205"/>
    </row>
    <row r="37" spans="1:36" x14ac:dyDescent="0.2">
      <c r="A37" s="28"/>
      <c r="B37" s="27" t="s">
        <v>19</v>
      </c>
      <c r="C37" s="26" t="str">
        <f t="shared" si="4"/>
        <v>1L</v>
      </c>
      <c r="D37" s="25" t="str">
        <f t="shared" si="5"/>
        <v>6L</v>
      </c>
      <c r="E37" s="24" t="str">
        <f t="shared" si="0"/>
        <v>HKD1L6L29Y_Quote</v>
      </c>
      <c r="F37" s="24" t="str">
        <f>_xll.qlSimpleQuote(E37,,RateTickValue,Permanent,Trigger,ObjectOverwrite)</f>
        <v>HKD1L6L29Y_Quote#0003</v>
      </c>
      <c r="G37" s="23" t="str">
        <f>_xll.ohRangeRetrieveError(F37)</f>
        <v/>
      </c>
      <c r="H37" s="22"/>
      <c r="N37" s="180">
        <v>29</v>
      </c>
      <c r="O37" s="218" t="s">
        <v>19</v>
      </c>
      <c r="P37" s="217" t="str">
        <v>1L</v>
      </c>
      <c r="Q37" s="217" t="str">
        <v>6L</v>
      </c>
      <c r="R37" s="215" t="str">
        <f t="shared" si="1"/>
        <v>HKD1L6L29Y</v>
      </c>
      <c r="S37" s="178" t="str">
        <v>HKD1L6L29Y=ICAP</v>
      </c>
      <c r="T37" s="309" t="s">
        <v>151</v>
      </c>
      <c r="U37" s="309" t="s">
        <v>151</v>
      </c>
      <c r="V37" s="309" t="e">
        <f>_xll.qlMidEquivalent(T37,U37)</f>
        <v>#NUM!</v>
      </c>
      <c r="W37" s="182" t="b">
        <f t="shared" si="2"/>
        <v>0</v>
      </c>
      <c r="X37" s="308" t="e">
        <v>#VALUE!</v>
      </c>
      <c r="Y37" s="175"/>
      <c r="Z37" s="307" t="e">
        <v>#VALUE!</v>
      </c>
      <c r="AA37" s="175"/>
      <c r="AB37" s="183" t="str">
        <f t="shared" si="3"/>
        <v>HKD1L6L29Y_Quote</v>
      </c>
      <c r="AC37" s="306" t="e">
        <v>#VALUE!</v>
      </c>
      <c r="AD37" s="181" t="e">
        <f>_xll.qlSimpleQuoteSetValue($AB37,ROUND($AC37/10000,6),Trigger)</f>
        <v>#NUM!</v>
      </c>
      <c r="AE37" s="171"/>
      <c r="AF37" s="205"/>
      <c r="AG37" s="205"/>
      <c r="AH37" s="205"/>
      <c r="AI37" s="205"/>
      <c r="AJ37" s="205"/>
    </row>
    <row r="38" spans="1:36" x14ac:dyDescent="0.2">
      <c r="A38" s="28"/>
      <c r="B38" s="27" t="s">
        <v>18</v>
      </c>
      <c r="C38" s="26" t="str">
        <f t="shared" si="4"/>
        <v>1L</v>
      </c>
      <c r="D38" s="25" t="str">
        <f t="shared" si="5"/>
        <v>6L</v>
      </c>
      <c r="E38" s="24" t="str">
        <f t="shared" si="0"/>
        <v>HKD1L6L30Y_Quote</v>
      </c>
      <c r="F38" s="24" t="str">
        <f>_xll.qlSimpleQuote(E38,,RateTickValue,Permanent,Trigger,ObjectOverwrite)</f>
        <v>HKD1L6L30Y_Quote#0003</v>
      </c>
      <c r="G38" s="23" t="str">
        <f>_xll.ohRangeRetrieveError(F38)</f>
        <v/>
      </c>
      <c r="H38" s="22"/>
      <c r="N38" s="180">
        <v>30</v>
      </c>
      <c r="O38" s="218" t="s">
        <v>18</v>
      </c>
      <c r="P38" s="217" t="str">
        <v>1L</v>
      </c>
      <c r="Q38" s="217" t="str">
        <v>6L</v>
      </c>
      <c r="R38" s="215" t="str">
        <f t="shared" si="1"/>
        <v>HKD1L6L30Y</v>
      </c>
      <c r="S38" s="178" t="str">
        <v>HKD1L6L30Y=ICAP</v>
      </c>
      <c r="T38" s="309" t="s">
        <v>151</v>
      </c>
      <c r="U38" s="309" t="s">
        <v>151</v>
      </c>
      <c r="V38" s="309" t="e">
        <f>_xll.qlMidEquivalent(T38,U38)</f>
        <v>#NUM!</v>
      </c>
      <c r="W38" s="182" t="b">
        <f t="shared" si="2"/>
        <v>0</v>
      </c>
      <c r="X38" s="308" t="e">
        <v>#VALUE!</v>
      </c>
      <c r="Y38" s="175"/>
      <c r="Z38" s="307" t="e">
        <v>#VALUE!</v>
      </c>
      <c r="AA38" s="175"/>
      <c r="AB38" s="183" t="str">
        <f t="shared" si="3"/>
        <v>HKD1L6L30Y_Quote</v>
      </c>
      <c r="AC38" s="306" t="e">
        <v>#VALUE!</v>
      </c>
      <c r="AD38" s="181" t="e">
        <f>_xll.qlSimpleQuoteSetValue($AB38,ROUND($AC38/10000,6),Trigger)</f>
        <v>#NUM!</v>
      </c>
      <c r="AE38" s="171"/>
      <c r="AF38" s="205"/>
      <c r="AG38" s="205"/>
      <c r="AH38" s="205"/>
      <c r="AI38" s="205"/>
      <c r="AJ38" s="205"/>
    </row>
    <row r="39" spans="1:36" x14ac:dyDescent="0.2">
      <c r="A39" s="28"/>
      <c r="B39" s="27" t="s">
        <v>17</v>
      </c>
      <c r="C39" s="26" t="str">
        <f t="shared" si="4"/>
        <v>1L</v>
      </c>
      <c r="D39" s="25" t="str">
        <f t="shared" si="5"/>
        <v>6L</v>
      </c>
      <c r="E39" s="24" t="str">
        <f t="shared" si="0"/>
        <v>HKD1L6L35Y_Quote</v>
      </c>
      <c r="F39" s="24" t="str">
        <f>_xll.qlSimpleQuote(E39,,RateTickValue,Permanent,Trigger,ObjectOverwrite)</f>
        <v>HKD1L6L35Y_Quote#0003</v>
      </c>
      <c r="G39" s="23" t="str">
        <f>_xll.ohRangeRetrieveError(F39)</f>
        <v/>
      </c>
      <c r="H39" s="22"/>
      <c r="N39" s="180">
        <v>35</v>
      </c>
      <c r="O39" s="218" t="s">
        <v>17</v>
      </c>
      <c r="P39" s="217" t="str">
        <v>1L</v>
      </c>
      <c r="Q39" s="217" t="str">
        <v>6L</v>
      </c>
      <c r="R39" s="215" t="str">
        <f t="shared" si="1"/>
        <v>HKD1L6L35Y</v>
      </c>
      <c r="S39" s="178" t="str">
        <v>HKD1L6L35Y=ICAP</v>
      </c>
      <c r="T39" s="309" t="s">
        <v>151</v>
      </c>
      <c r="U39" s="309" t="s">
        <v>151</v>
      </c>
      <c r="V39" s="309" t="e">
        <f>_xll.qlMidEquivalent(T39,U39)</f>
        <v>#NUM!</v>
      </c>
      <c r="W39" s="182" t="b">
        <f t="shared" si="2"/>
        <v>0</v>
      </c>
      <c r="X39" s="308" t="e">
        <v>#VALUE!</v>
      </c>
      <c r="Y39" s="175"/>
      <c r="Z39" s="307" t="e">
        <v>#VALUE!</v>
      </c>
      <c r="AA39" s="175"/>
      <c r="AB39" s="183" t="str">
        <f t="shared" si="3"/>
        <v>HKD1L6L35Y_Quote</v>
      </c>
      <c r="AC39" s="306" t="e">
        <v>#VALUE!</v>
      </c>
      <c r="AD39" s="181" t="e">
        <f>_xll.qlSimpleQuoteSetValue($AB39,ROUND($AC39/10000,6),Trigger)</f>
        <v>#NUM!</v>
      </c>
      <c r="AE39" s="171"/>
      <c r="AF39" s="205"/>
      <c r="AG39" s="205"/>
      <c r="AH39" s="205"/>
      <c r="AI39" s="205"/>
      <c r="AJ39" s="205"/>
    </row>
    <row r="40" spans="1:36" x14ac:dyDescent="0.2">
      <c r="A40" s="28"/>
      <c r="B40" s="27" t="s">
        <v>16</v>
      </c>
      <c r="C40" s="26" t="str">
        <f t="shared" si="4"/>
        <v>1L</v>
      </c>
      <c r="D40" s="25" t="str">
        <f t="shared" si="5"/>
        <v>6L</v>
      </c>
      <c r="E40" s="24" t="str">
        <f t="shared" si="0"/>
        <v>HKD1L6L40Y_Quote</v>
      </c>
      <c r="F40" s="24" t="str">
        <f>_xll.qlSimpleQuote(E40,,RateTickValue,Permanent,Trigger,ObjectOverwrite)</f>
        <v>HKD1L6L40Y_Quote#0003</v>
      </c>
      <c r="G40" s="23" t="str">
        <f>_xll.ohRangeRetrieveError(F40)</f>
        <v/>
      </c>
      <c r="H40" s="22"/>
      <c r="N40" s="180">
        <v>40</v>
      </c>
      <c r="O40" s="218" t="s">
        <v>16</v>
      </c>
      <c r="P40" s="217" t="str">
        <v>1L</v>
      </c>
      <c r="Q40" s="217" t="str">
        <v>6L</v>
      </c>
      <c r="R40" s="215" t="str">
        <f t="shared" si="1"/>
        <v>HKD1L6L40Y</v>
      </c>
      <c r="S40" s="178" t="str">
        <v>HKD1L6L40Y=ICAP</v>
      </c>
      <c r="T40" s="309" t="s">
        <v>151</v>
      </c>
      <c r="U40" s="309" t="s">
        <v>151</v>
      </c>
      <c r="V40" s="309" t="e">
        <f>_xll.qlMidEquivalent(T40,U40)</f>
        <v>#NUM!</v>
      </c>
      <c r="W40" s="182" t="b">
        <f t="shared" si="2"/>
        <v>0</v>
      </c>
      <c r="X40" s="308" t="e">
        <v>#VALUE!</v>
      </c>
      <c r="Y40" s="175"/>
      <c r="Z40" s="307" t="e">
        <v>#VALUE!</v>
      </c>
      <c r="AA40" s="175"/>
      <c r="AB40" s="183" t="str">
        <f t="shared" si="3"/>
        <v>HKD1L6L40Y_Quote</v>
      </c>
      <c r="AC40" s="306" t="e">
        <v>#VALUE!</v>
      </c>
      <c r="AD40" s="181" t="e">
        <f>_xll.qlSimpleQuoteSetValue($AB40,ROUND($AC40/10000,6),Trigger)</f>
        <v>#NUM!</v>
      </c>
      <c r="AE40" s="171"/>
      <c r="AF40" s="205"/>
      <c r="AG40" s="205"/>
      <c r="AH40" s="205"/>
      <c r="AI40" s="205"/>
      <c r="AJ40" s="205"/>
    </row>
    <row r="41" spans="1:36" x14ac:dyDescent="0.2">
      <c r="A41" s="28"/>
      <c r="B41" s="27" t="s">
        <v>15</v>
      </c>
      <c r="C41" s="26" t="str">
        <f t="shared" si="4"/>
        <v>1L</v>
      </c>
      <c r="D41" s="25" t="str">
        <f t="shared" si="5"/>
        <v>6L</v>
      </c>
      <c r="E41" s="24" t="str">
        <f t="shared" si="0"/>
        <v>HKD1L6L50Y_Quote</v>
      </c>
      <c r="F41" s="24" t="str">
        <f>_xll.qlSimpleQuote(E41,,RateTickValue,Permanent,Trigger,ObjectOverwrite)</f>
        <v>HKD1L6L50Y_Quote#0003</v>
      </c>
      <c r="G41" s="23" t="str">
        <f>_xll.ohRangeRetrieveError(F41)</f>
        <v/>
      </c>
      <c r="H41" s="22"/>
      <c r="N41" s="180">
        <v>50</v>
      </c>
      <c r="O41" s="218" t="s">
        <v>15</v>
      </c>
      <c r="P41" s="217" t="str">
        <v>1L</v>
      </c>
      <c r="Q41" s="217" t="str">
        <v>6L</v>
      </c>
      <c r="R41" s="215" t="str">
        <f t="shared" si="1"/>
        <v>HKD1L6L50Y</v>
      </c>
      <c r="S41" s="178" t="str">
        <v>HKD1L6L50Y=ICAP</v>
      </c>
      <c r="T41" s="309" t="s">
        <v>151</v>
      </c>
      <c r="U41" s="309" t="s">
        <v>151</v>
      </c>
      <c r="V41" s="309" t="e">
        <f>_xll.qlMidEquivalent(T41,U41)</f>
        <v>#NUM!</v>
      </c>
      <c r="W41" s="182" t="b">
        <f t="shared" si="2"/>
        <v>0</v>
      </c>
      <c r="X41" s="308" t="e">
        <v>#VALUE!</v>
      </c>
      <c r="Y41" s="175"/>
      <c r="Z41" s="307" t="e">
        <v>#VALUE!</v>
      </c>
      <c r="AA41" s="175"/>
      <c r="AB41" s="183" t="str">
        <f t="shared" si="3"/>
        <v>HKD1L6L50Y_Quote</v>
      </c>
      <c r="AC41" s="306" t="e">
        <v>#VALUE!</v>
      </c>
      <c r="AD41" s="181" t="e">
        <f>_xll.qlSimpleQuoteSetValue($AB41,ROUND($AC41/10000,6),Trigger)</f>
        <v>#NUM!</v>
      </c>
      <c r="AE41" s="171"/>
      <c r="AF41" s="205"/>
      <c r="AG41" s="205"/>
      <c r="AH41" s="205"/>
      <c r="AI41" s="205"/>
      <c r="AJ41" s="205"/>
    </row>
    <row r="42" spans="1:36" x14ac:dyDescent="0.2">
      <c r="A42" s="28"/>
      <c r="B42" s="27" t="s">
        <v>14</v>
      </c>
      <c r="C42" s="26" t="str">
        <f t="shared" si="4"/>
        <v>1L</v>
      </c>
      <c r="D42" s="25" t="str">
        <f t="shared" si="5"/>
        <v>6L</v>
      </c>
      <c r="E42" s="24" t="str">
        <f t="shared" si="0"/>
        <v>HKD1L6L60Y_Quote</v>
      </c>
      <c r="F42" s="24" t="str">
        <f>_xll.qlSimpleQuote(E42,,RateTickValue,Permanent,Trigger,ObjectOverwrite)</f>
        <v>HKD1L6L60Y_Quote#0003</v>
      </c>
      <c r="G42" s="23" t="str">
        <f>_xll.ohRangeRetrieveError(F42)</f>
        <v/>
      </c>
      <c r="H42" s="22"/>
      <c r="N42" s="180">
        <v>60</v>
      </c>
      <c r="O42" s="218" t="s">
        <v>14</v>
      </c>
      <c r="P42" s="217" t="str">
        <v>1L</v>
      </c>
      <c r="Q42" s="217" t="str">
        <v>6L</v>
      </c>
      <c r="R42" s="215" t="str">
        <f t="shared" si="1"/>
        <v>HKD1L6L60Y</v>
      </c>
      <c r="S42" s="178" t="str">
        <v>HKD1L6L60Y=ICAP</v>
      </c>
      <c r="T42" s="309" t="s">
        <v>151</v>
      </c>
      <c r="U42" s="309" t="s">
        <v>151</v>
      </c>
      <c r="V42" s="309" t="e">
        <f>_xll.qlMidEquivalent(T42,U42)</f>
        <v>#NUM!</v>
      </c>
      <c r="W42" s="182" t="b">
        <f t="shared" si="2"/>
        <v>0</v>
      </c>
      <c r="X42" s="308" t="e">
        <v>#VALUE!</v>
      </c>
      <c r="Y42" s="175"/>
      <c r="Z42" s="307" t="e">
        <v>#VALUE!</v>
      </c>
      <c r="AA42" s="175"/>
      <c r="AB42" s="183" t="str">
        <f t="shared" si="3"/>
        <v>HKD1L6L60Y_Quote</v>
      </c>
      <c r="AC42" s="306" t="e">
        <v>#VALUE!</v>
      </c>
      <c r="AD42" s="181" t="e">
        <f>_xll.qlSimpleQuoteSetValue($AB42,ROUND($AC42/10000,6),Trigger)</f>
        <v>#NUM!</v>
      </c>
      <c r="AE42" s="171"/>
      <c r="AF42" s="205"/>
      <c r="AG42" s="205"/>
      <c r="AH42" s="205"/>
      <c r="AI42" s="205"/>
      <c r="AJ42" s="205"/>
    </row>
    <row r="43" spans="1:36" ht="12" thickBot="1" x14ac:dyDescent="0.25">
      <c r="A43" s="21"/>
      <c r="B43" s="20"/>
      <c r="C43" s="20"/>
      <c r="D43" s="20"/>
      <c r="E43" s="20"/>
      <c r="F43" s="19"/>
      <c r="G43" s="19"/>
      <c r="H43" s="18"/>
      <c r="N43" s="170"/>
      <c r="O43" s="169"/>
      <c r="P43" s="169"/>
      <c r="Q43" s="169"/>
      <c r="R43" s="169"/>
      <c r="S43" s="169"/>
      <c r="T43" s="169"/>
      <c r="U43" s="169"/>
      <c r="V43" s="169"/>
      <c r="W43" s="169"/>
      <c r="X43" s="169"/>
      <c r="Y43" s="168"/>
      <c r="Z43" s="169"/>
      <c r="AA43" s="168"/>
      <c r="AB43" s="169"/>
      <c r="AC43" s="169"/>
      <c r="AD43" s="169"/>
      <c r="AE43" s="290"/>
      <c r="AF43" s="205"/>
      <c r="AG43" s="205"/>
      <c r="AH43" s="205"/>
      <c r="AI43" s="205"/>
      <c r="AJ43" s="205"/>
    </row>
    <row r="44" spans="1:36" x14ac:dyDescent="0.2">
      <c r="N44" s="205"/>
      <c r="O44" s="205"/>
      <c r="P44" s="205"/>
      <c r="Q44" s="205"/>
      <c r="R44" s="205"/>
      <c r="S44" s="205"/>
      <c r="T44" s="205"/>
      <c r="U44" s="205"/>
      <c r="V44" s="205"/>
      <c r="W44" s="205"/>
      <c r="X44" s="205"/>
      <c r="Y44" s="205"/>
      <c r="Z44" s="205"/>
      <c r="AA44" s="205"/>
      <c r="AB44" s="205"/>
      <c r="AC44" s="205"/>
      <c r="AD44" s="205"/>
      <c r="AE44" s="205"/>
      <c r="AF44" s="205"/>
      <c r="AG44" s="205"/>
      <c r="AH44" s="205"/>
      <c r="AI44" s="205"/>
      <c r="AJ44" s="205"/>
    </row>
  </sheetData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zoomScale="75" zoomScaleNormal="75" workbookViewId="0"/>
  </sheetViews>
  <sheetFormatPr defaultRowHeight="12.75" x14ac:dyDescent="0.2"/>
  <cols>
    <col min="1" max="1" width="2.7109375" style="38" customWidth="1"/>
    <col min="2" max="2" width="6.5703125" style="38" bestFit="1" customWidth="1"/>
    <col min="3" max="4" width="2.7109375" style="38" bestFit="1" customWidth="1"/>
    <col min="5" max="5" width="17.85546875" style="38" bestFit="1" customWidth="1"/>
    <col min="6" max="6" width="19.7109375" style="38" bestFit="1" customWidth="1"/>
    <col min="7" max="7" width="36.28515625" style="38" customWidth="1"/>
    <col min="8" max="9" width="2.7109375" style="38" customWidth="1"/>
    <col min="10" max="12" width="3.5703125" style="38" customWidth="1"/>
    <col min="13" max="13" width="2.7109375" style="38" customWidth="1"/>
    <col min="14" max="24" width="9.140625" style="38"/>
    <col min="25" max="25" width="2.7109375" style="38" customWidth="1"/>
    <col min="26" max="26" width="9.140625" style="38"/>
    <col min="27" max="27" width="2.7109375" style="38" customWidth="1"/>
    <col min="28" max="30" width="9.140625" style="38"/>
    <col min="31" max="32" width="2.7109375" style="38" customWidth="1"/>
    <col min="33" max="33" width="4.5703125" style="38" bestFit="1" customWidth="1"/>
    <col min="34" max="35" width="3.140625" style="38" bestFit="1" customWidth="1"/>
    <col min="36" max="16384" width="9.140625" style="38"/>
  </cols>
  <sheetData>
    <row r="1" spans="1:38" x14ac:dyDescent="0.2">
      <c r="A1" s="38" t="s">
        <v>208</v>
      </c>
      <c r="N1" s="237"/>
      <c r="O1" s="202"/>
      <c r="P1" s="202"/>
      <c r="Q1" s="202"/>
      <c r="R1" s="202"/>
      <c r="S1" s="202"/>
      <c r="T1" s="202"/>
      <c r="U1" s="202"/>
      <c r="V1" s="202"/>
      <c r="W1" s="202"/>
      <c r="X1" s="202"/>
      <c r="Y1" s="202"/>
      <c r="Z1" s="202"/>
      <c r="AA1" s="202"/>
      <c r="AB1" s="202"/>
      <c r="AC1" s="202"/>
      <c r="AD1" s="202"/>
      <c r="AE1" s="201"/>
      <c r="AF1" s="205"/>
      <c r="AG1" s="205"/>
      <c r="AH1" s="205"/>
      <c r="AI1" s="205"/>
      <c r="AJ1" s="205"/>
      <c r="AK1" s="205"/>
      <c r="AL1" s="205"/>
    </row>
    <row r="2" spans="1:38" x14ac:dyDescent="0.2">
      <c r="N2" s="200"/>
      <c r="O2" s="235"/>
      <c r="P2" s="175"/>
      <c r="Q2" s="175"/>
      <c r="R2" s="175"/>
      <c r="S2" s="199" t="s">
        <v>165</v>
      </c>
      <c r="T2" s="175"/>
      <c r="U2" s="175"/>
      <c r="V2" s="175"/>
      <c r="W2" s="175"/>
      <c r="X2" s="235"/>
      <c r="Y2" s="175"/>
      <c r="Z2" s="175"/>
      <c r="AA2" s="175"/>
      <c r="AB2" s="311" t="s">
        <v>157</v>
      </c>
      <c r="AC2" s="199" t="s">
        <v>2</v>
      </c>
      <c r="AD2" s="235"/>
      <c r="AE2" s="198"/>
      <c r="AF2" s="205"/>
      <c r="AG2" s="205"/>
      <c r="AH2" s="205"/>
      <c r="AI2" s="205"/>
      <c r="AJ2" s="205"/>
      <c r="AK2" s="205"/>
      <c r="AL2" s="205"/>
    </row>
    <row r="3" spans="1:38" x14ac:dyDescent="0.2">
      <c r="A3" s="48"/>
      <c r="B3" s="47"/>
      <c r="C3" s="47"/>
      <c r="D3" s="47"/>
      <c r="E3" s="49"/>
      <c r="F3" s="50"/>
      <c r="G3" s="49"/>
      <c r="H3" s="44"/>
      <c r="N3" s="180"/>
      <c r="O3" s="175"/>
      <c r="P3" s="235"/>
      <c r="Q3" s="235"/>
      <c r="R3" s="235"/>
      <c r="S3" s="235" t="e">
        <f>_xll.qlInterpolation(,InterpolationType,_xll.ohFilter(N5:N42,W5:W42),_xll.ohFilter(V5:V42,W5:W42))</f>
        <v>#NUM!</v>
      </c>
      <c r="T3" s="235"/>
      <c r="U3" s="235"/>
      <c r="V3" s="235"/>
      <c r="W3" s="235"/>
      <c r="X3" s="235"/>
      <c r="Y3" s="175"/>
      <c r="Z3" s="175"/>
      <c r="AA3" s="175"/>
      <c r="AB3" s="235"/>
      <c r="AC3" s="235"/>
      <c r="AD3" s="196">
        <f>_xll.ohTrigger(AD5:AD42)</f>
        <v>3</v>
      </c>
      <c r="AE3" s="171"/>
      <c r="AF3" s="205"/>
      <c r="AG3" s="205"/>
      <c r="AH3" s="205"/>
      <c r="AI3" s="205"/>
      <c r="AJ3" s="205"/>
      <c r="AK3" s="205"/>
      <c r="AL3" s="205"/>
    </row>
    <row r="4" spans="1:38" ht="23.25" thickBot="1" x14ac:dyDescent="0.25">
      <c r="A4" s="28"/>
      <c r="B4" s="42" t="s">
        <v>62</v>
      </c>
      <c r="C4" s="43"/>
      <c r="D4" s="42"/>
      <c r="E4" s="41" t="str">
        <f>Currency&amp;"_010_Sw"&amp;$C$6&amp;$D$6&amp;".xml"</f>
        <v>HKD_010_Sw3L6L.xml</v>
      </c>
      <c r="F4" s="40" t="e">
        <f ca="1">IF(Serialize,_xll.ohObjectSave(F5:F42,SerializationPath&amp;E4,FileOverwrite,,Serialize),"---")</f>
        <v>#NUM!</v>
      </c>
      <c r="G4" s="23" t="str">
        <f ca="1">_xll.ohRangeRetrieveError(F4)</f>
        <v>ohObjectSave - ObjectHandler error: attempt to retrieve object with unknown ID 'HKD3L6L6M_Quote'</v>
      </c>
      <c r="H4" s="388" t="s">
        <v>211</v>
      </c>
      <c r="N4" s="180"/>
      <c r="O4" s="296"/>
      <c r="P4" s="232"/>
      <c r="Q4" s="232"/>
      <c r="R4" s="232"/>
      <c r="S4" s="195" t="str">
        <f>_xll.RData(S5:S42,T4:U4,,ReutersRtMode,,T5)</f>
        <v>On Pause</v>
      </c>
      <c r="T4" s="231" t="s">
        <v>176</v>
      </c>
      <c r="U4" s="231" t="s">
        <v>161</v>
      </c>
      <c r="V4" s="231" t="s">
        <v>188</v>
      </c>
      <c r="W4" s="231"/>
      <c r="X4" s="191" t="s">
        <v>187</v>
      </c>
      <c r="Y4" s="175"/>
      <c r="Z4" s="193" t="s">
        <v>155</v>
      </c>
      <c r="AA4" s="175"/>
      <c r="AB4" s="192" t="s">
        <v>154</v>
      </c>
      <c r="AC4" s="295" t="s">
        <v>153</v>
      </c>
      <c r="AD4" s="294" t="s">
        <v>152</v>
      </c>
      <c r="AE4" s="171"/>
      <c r="AF4" s="205"/>
      <c r="AG4" s="205"/>
      <c r="AH4" s="205"/>
      <c r="AI4" s="205"/>
      <c r="AJ4" s="205"/>
      <c r="AK4" s="230" t="s">
        <v>189</v>
      </c>
      <c r="AL4" s="205"/>
    </row>
    <row r="5" spans="1:38" x14ac:dyDescent="0.2">
      <c r="A5" s="28"/>
      <c r="B5" s="39" t="s">
        <v>61</v>
      </c>
      <c r="C5" s="26" t="str">
        <f>VLOOKUP(Currency,$J$10:$L$14,2)</f>
        <v>3L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HKD3L6L6M_Quote</v>
      </c>
      <c r="F5" s="24" t="str">
        <f>_xll.qlSimpleQuote(E5,,RateTickValue,Permanent,Trigger,ObjectOverwrite)</f>
        <v>HKD3L6L6M_Quote#0003</v>
      </c>
      <c r="G5" s="23" t="str">
        <f>_xll.ohRangeRetrieveError(F5)</f>
        <v/>
      </c>
      <c r="H5" s="22"/>
      <c r="N5" s="310">
        <v>0.5</v>
      </c>
      <c r="O5" s="218" t="s">
        <v>61</v>
      </c>
      <c r="P5" s="217" t="str">
        <f t="array" ref="P5:P42">VLOOKUP(Currency,Conventions,2)</f>
        <v>3L</v>
      </c>
      <c r="Q5" s="217" t="str">
        <f t="array" ref="Q5:Q42">VLOOKUP(Currency,Conventions,3)</f>
        <v>6L</v>
      </c>
      <c r="R5" s="215" t="str">
        <f t="shared" ref="R5:R42" si="1">Currency&amp;$P5&amp;$Q5&amp;$O5</f>
        <v>HKD3L6L6M</v>
      </c>
      <c r="S5" s="178" t="str">
        <f t="array" ref="S5:S42">Instruments&amp;"="&amp;VLOOKUP(Contributor,ContributorTable,2,FALSE)</f>
        <v>HKD3L6L6M=ICAP</v>
      </c>
      <c r="T5" s="309" t="s">
        <v>151</v>
      </c>
      <c r="U5" s="309" t="s">
        <v>151</v>
      </c>
      <c r="V5" s="309" t="e">
        <f>_xll.qlMidEquivalent(T5,U5)</f>
        <v>#NUM!</v>
      </c>
      <c r="W5" s="182" t="b">
        <f t="shared" ref="W5:W42" si="2">IF(ISNUMBER(V5),TRUE,FALSE)</f>
        <v>0</v>
      </c>
      <c r="X5" s="315" t="e">
        <f t="array" ref="X5:X41">_xll.qlInterpolationInterpolate(S3,N5:N42)</f>
        <v>#VALUE!</v>
      </c>
      <c r="Y5" s="175"/>
      <c r="Z5" s="307" t="e">
        <v>#VALUE!</v>
      </c>
      <c r="AA5" s="175"/>
      <c r="AB5" s="183" t="str">
        <f t="shared" ref="AB5:AB42" si="3">$R5&amp;$AC$2</f>
        <v>HKD3L6L6M_Quote</v>
      </c>
      <c r="AC5" s="306" t="e">
        <f t="array" ref="AC5:AC42">QuoteLive</f>
        <v>#VALUE!</v>
      </c>
      <c r="AD5" s="181" t="e">
        <f>_xll.qlSimpleQuoteSetValue($AB5,ROUND($AC5/10000,6),Trigger)</f>
        <v>#NUM!</v>
      </c>
      <c r="AE5" s="171"/>
      <c r="AF5" s="205"/>
      <c r="AG5" s="285" t="s">
        <v>55</v>
      </c>
      <c r="AH5" s="304" t="s">
        <v>43</v>
      </c>
      <c r="AI5" s="303" t="s">
        <v>46</v>
      </c>
      <c r="AJ5" s="205" t="str">
        <f t="shared" ref="AJ5:AJ42" si="4">O5</f>
        <v>6M</v>
      </c>
      <c r="AK5" s="312" t="e">
        <f>((#REF!-Swap3M!U5)*100-AC5)/10000</f>
        <v>#REF!</v>
      </c>
      <c r="AL5" s="205"/>
    </row>
    <row r="6" spans="1:38" x14ac:dyDescent="0.2">
      <c r="A6" s="28"/>
      <c r="B6" s="39" t="s">
        <v>60</v>
      </c>
      <c r="C6" s="26" t="str">
        <f t="shared" ref="C6:C42" si="5">C5</f>
        <v>3L</v>
      </c>
      <c r="D6" s="25" t="str">
        <f t="shared" ref="D6:D42" si="6">D5</f>
        <v>6L</v>
      </c>
      <c r="E6" s="24" t="str">
        <f t="shared" si="0"/>
        <v>HKD3L6L1Y_Quote</v>
      </c>
      <c r="F6" s="24" t="str">
        <f>_xll.qlSimpleQuote(E6,,RateTickValue,Permanent,Trigger,ObjectOverwrite)</f>
        <v>HKD3L6L1Y_Quote#0003</v>
      </c>
      <c r="G6" s="23" t="str">
        <f>_xll.ohRangeRetrieveError(F6)</f>
        <v/>
      </c>
      <c r="H6" s="22"/>
      <c r="N6" s="310">
        <v>1</v>
      </c>
      <c r="O6" s="218" t="s">
        <v>60</v>
      </c>
      <c r="P6" s="217" t="str">
        <v>3L</v>
      </c>
      <c r="Q6" s="217" t="str">
        <v>6L</v>
      </c>
      <c r="R6" s="215" t="str">
        <f t="shared" si="1"/>
        <v>HKD3L6L1Y</v>
      </c>
      <c r="S6" s="178" t="str">
        <v>HKD3L6L1Y=ICAP</v>
      </c>
      <c r="T6" s="309" t="s">
        <v>151</v>
      </c>
      <c r="U6" s="309" t="s">
        <v>151</v>
      </c>
      <c r="V6" s="309" t="e">
        <f>_xll.qlMidEquivalent(T6,U6)</f>
        <v>#NUM!</v>
      </c>
      <c r="W6" s="182" t="b">
        <f t="shared" si="2"/>
        <v>0</v>
      </c>
      <c r="X6" s="315" t="e">
        <v>#VALUE!</v>
      </c>
      <c r="Y6" s="175"/>
      <c r="Z6" s="307" t="e">
        <v>#VALUE!</v>
      </c>
      <c r="AA6" s="175"/>
      <c r="AB6" s="183" t="str">
        <f t="shared" si="3"/>
        <v>HKD3L6L1Y_Quote</v>
      </c>
      <c r="AC6" s="306" t="e">
        <v>#VALUE!</v>
      </c>
      <c r="AD6" s="181" t="e">
        <f>_xll.qlSimpleQuoteSetValue($AB6,ROUND($AC6/10000,6),Trigger)</f>
        <v>#NUM!</v>
      </c>
      <c r="AE6" s="171"/>
      <c r="AF6" s="205"/>
      <c r="AG6" s="255" t="s">
        <v>53</v>
      </c>
      <c r="AH6" s="204" t="s">
        <v>63</v>
      </c>
      <c r="AI6" s="254" t="s">
        <v>51</v>
      </c>
      <c r="AJ6" s="205" t="str">
        <f t="shared" si="4"/>
        <v>1Y</v>
      </c>
      <c r="AK6" s="312" t="e">
        <f>((#REF!-Swap3M!U6)*100-AC6)/10000</f>
        <v>#REF!</v>
      </c>
      <c r="AL6" s="205"/>
    </row>
    <row r="7" spans="1:38" x14ac:dyDescent="0.2">
      <c r="A7" s="28"/>
      <c r="B7" s="39" t="s">
        <v>59</v>
      </c>
      <c r="C7" s="26" t="str">
        <f t="shared" si="5"/>
        <v>3L</v>
      </c>
      <c r="D7" s="25" t="str">
        <f t="shared" si="6"/>
        <v>6L</v>
      </c>
      <c r="E7" s="24" t="str">
        <f t="shared" si="0"/>
        <v>HKD3L6L15M_Quote</v>
      </c>
      <c r="F7" s="24" t="str">
        <f>_xll.qlSimpleQuote(E7,,RateTickValue,Permanent,Trigger,ObjectOverwrite)</f>
        <v>HKD3L6L15M_Quote#0003</v>
      </c>
      <c r="G7" s="23" t="str">
        <f>_xll.ohRangeRetrieveError(F7)</f>
        <v/>
      </c>
      <c r="H7" s="22"/>
      <c r="N7" s="310">
        <v>1.25</v>
      </c>
      <c r="O7" s="218" t="s">
        <v>59</v>
      </c>
      <c r="P7" s="217" t="str">
        <v>3L</v>
      </c>
      <c r="Q7" s="217" t="str">
        <v>6L</v>
      </c>
      <c r="R7" s="215" t="str">
        <f t="shared" si="1"/>
        <v>HKD3L6L15M</v>
      </c>
      <c r="S7" s="178" t="str">
        <v>HKD3L6L15M=ICAP</v>
      </c>
      <c r="T7" s="309" t="s">
        <v>151</v>
      </c>
      <c r="U7" s="309" t="s">
        <v>151</v>
      </c>
      <c r="V7" s="309" t="e">
        <f>_xll.qlMidEquivalent(T7,U7)</f>
        <v>#NUM!</v>
      </c>
      <c r="W7" s="182" t="b">
        <f t="shared" si="2"/>
        <v>0</v>
      </c>
      <c r="X7" s="315" t="e">
        <v>#VALUE!</v>
      </c>
      <c r="Y7" s="175"/>
      <c r="Z7" s="307" t="e">
        <v>#VALUE!</v>
      </c>
      <c r="AA7" s="175"/>
      <c r="AB7" s="183" t="str">
        <f t="shared" si="3"/>
        <v>HKD3L6L15M_Quote</v>
      </c>
      <c r="AC7" s="306" t="e">
        <v>#VALUE!</v>
      </c>
      <c r="AD7" s="181" t="e">
        <f>_xll.qlSimpleQuoteSetValue($AB7,ROUND($AC7/10000,6),Trigger)</f>
        <v>#NUM!</v>
      </c>
      <c r="AE7" s="171"/>
      <c r="AF7" s="205"/>
      <c r="AG7" s="255" t="s">
        <v>49</v>
      </c>
      <c r="AH7" s="204" t="s">
        <v>43</v>
      </c>
      <c r="AI7" s="254" t="s">
        <v>46</v>
      </c>
      <c r="AJ7" s="205" t="str">
        <f t="shared" si="4"/>
        <v>15M</v>
      </c>
      <c r="AK7" s="312" t="e">
        <f>((#REF!-Swap3M!U7)*100-AC7)/10000</f>
        <v>#REF!</v>
      </c>
      <c r="AL7" s="205"/>
    </row>
    <row r="8" spans="1:38" x14ac:dyDescent="0.2">
      <c r="A8" s="28"/>
      <c r="B8" s="39" t="s">
        <v>58</v>
      </c>
      <c r="C8" s="26" t="str">
        <f t="shared" si="5"/>
        <v>3L</v>
      </c>
      <c r="D8" s="25" t="str">
        <f t="shared" si="6"/>
        <v>6L</v>
      </c>
      <c r="E8" s="24" t="str">
        <f t="shared" si="0"/>
        <v>HKD3L6L18M_Quote</v>
      </c>
      <c r="F8" s="24" t="str">
        <f>_xll.qlSimpleQuote(E8,,RateTickValue,Permanent,Trigger,ObjectOverwrite)</f>
        <v>HKD3L6L18M_Quote#0003</v>
      </c>
      <c r="G8" s="23" t="str">
        <f>_xll.ohRangeRetrieveError(F8)</f>
        <v/>
      </c>
      <c r="H8" s="22"/>
      <c r="N8" s="310">
        <v>1.5</v>
      </c>
      <c r="O8" s="218" t="s">
        <v>58</v>
      </c>
      <c r="P8" s="217" t="str">
        <v>3L</v>
      </c>
      <c r="Q8" s="217" t="str">
        <v>6L</v>
      </c>
      <c r="R8" s="215" t="str">
        <f t="shared" si="1"/>
        <v>HKD3L6L18M</v>
      </c>
      <c r="S8" s="178" t="str">
        <v>HKD3L6L18M=ICAP</v>
      </c>
      <c r="T8" s="309" t="s">
        <v>151</v>
      </c>
      <c r="U8" s="309" t="s">
        <v>151</v>
      </c>
      <c r="V8" s="309" t="e">
        <f>_xll.qlMidEquivalent(T8,U8)</f>
        <v>#NUM!</v>
      </c>
      <c r="W8" s="182" t="b">
        <f t="shared" si="2"/>
        <v>0</v>
      </c>
      <c r="X8" s="315" t="e">
        <v>#VALUE!</v>
      </c>
      <c r="Y8" s="175"/>
      <c r="Z8" s="307" t="e">
        <v>#VALUE!</v>
      </c>
      <c r="AA8" s="175"/>
      <c r="AB8" s="183" t="str">
        <f t="shared" si="3"/>
        <v>HKD3L6L18M_Quote</v>
      </c>
      <c r="AC8" s="306" t="e">
        <v>#VALUE!</v>
      </c>
      <c r="AD8" s="181" t="e">
        <f>_xll.qlSimpleQuoteSetValue($AB8,ROUND($AC8/10000,6),Trigger)</f>
        <v>#NUM!</v>
      </c>
      <c r="AE8" s="171"/>
      <c r="AF8" s="205"/>
      <c r="AG8" s="255" t="s">
        <v>47</v>
      </c>
      <c r="AH8" s="204" t="s">
        <v>43</v>
      </c>
      <c r="AI8" s="254" t="s">
        <v>46</v>
      </c>
      <c r="AJ8" s="205" t="str">
        <f t="shared" si="4"/>
        <v>18M</v>
      </c>
      <c r="AK8" s="312" t="e">
        <f>((#REF!-Swap3M!U8)*100-AC8)/10000</f>
        <v>#REF!</v>
      </c>
      <c r="AL8" s="205"/>
    </row>
    <row r="9" spans="1:38" ht="13.5" thickBot="1" x14ac:dyDescent="0.25">
      <c r="A9" s="28"/>
      <c r="B9" s="39" t="s">
        <v>57</v>
      </c>
      <c r="C9" s="26" t="str">
        <f t="shared" si="5"/>
        <v>3L</v>
      </c>
      <c r="D9" s="25" t="str">
        <f t="shared" si="6"/>
        <v>6L</v>
      </c>
      <c r="E9" s="24" t="str">
        <f t="shared" si="0"/>
        <v>HKD3L6L21M_Quote</v>
      </c>
      <c r="F9" s="24" t="str">
        <f>_xll.qlSimpleQuote(E9,,RateTickValue,Permanent,Trigger,ObjectOverwrite)</f>
        <v>HKD3L6L21M_Quote#0003</v>
      </c>
      <c r="G9" s="23" t="str">
        <f>_xll.ohRangeRetrieveError(F9)</f>
        <v/>
      </c>
      <c r="H9" s="22"/>
      <c r="N9" s="310">
        <v>1.75</v>
      </c>
      <c r="O9" s="218" t="s">
        <v>57</v>
      </c>
      <c r="P9" s="217" t="str">
        <v>3L</v>
      </c>
      <c r="Q9" s="217" t="str">
        <v>6L</v>
      </c>
      <c r="R9" s="215" t="str">
        <f t="shared" si="1"/>
        <v>HKD3L6L21M</v>
      </c>
      <c r="S9" s="178" t="str">
        <v>HKD3L6L21M=ICAP</v>
      </c>
      <c r="T9" s="309" t="s">
        <v>151</v>
      </c>
      <c r="U9" s="309" t="s">
        <v>151</v>
      </c>
      <c r="V9" s="309" t="e">
        <f>_xll.qlMidEquivalent(T9,U9)</f>
        <v>#NUM!</v>
      </c>
      <c r="W9" s="182" t="b">
        <f t="shared" si="2"/>
        <v>0</v>
      </c>
      <c r="X9" s="315" t="e">
        <v>#VALUE!</v>
      </c>
      <c r="Y9" s="175"/>
      <c r="Z9" s="307" t="e">
        <v>#VALUE!</v>
      </c>
      <c r="AA9" s="175"/>
      <c r="AB9" s="183" t="str">
        <f t="shared" si="3"/>
        <v>HKD3L6L21M_Quote</v>
      </c>
      <c r="AC9" s="306" t="e">
        <v>#VALUE!</v>
      </c>
      <c r="AD9" s="181" t="e">
        <f>_xll.qlSimpleQuoteSetValue($AB9,ROUND($AC9/10000,6),Trigger)</f>
        <v>#NUM!</v>
      </c>
      <c r="AE9" s="171"/>
      <c r="AF9" s="205"/>
      <c r="AG9" s="253" t="s">
        <v>44</v>
      </c>
      <c r="AH9" s="300" t="s">
        <v>46</v>
      </c>
      <c r="AI9" s="252" t="s">
        <v>43</v>
      </c>
      <c r="AJ9" s="205" t="str">
        <f t="shared" si="4"/>
        <v>21M</v>
      </c>
      <c r="AK9" s="312" t="e">
        <f>((#REF!-Swap3M!U9)*100-AC9)/10000</f>
        <v>#REF!</v>
      </c>
      <c r="AL9" s="205"/>
    </row>
    <row r="10" spans="1:38" x14ac:dyDescent="0.2">
      <c r="A10" s="28"/>
      <c r="B10" s="27" t="s">
        <v>56</v>
      </c>
      <c r="C10" s="26" t="str">
        <f t="shared" si="5"/>
        <v>3L</v>
      </c>
      <c r="D10" s="25" t="str">
        <f t="shared" si="6"/>
        <v>6L</v>
      </c>
      <c r="E10" s="24" t="str">
        <f t="shared" si="0"/>
        <v>HKD3L6L2Y_Quote</v>
      </c>
      <c r="F10" s="24" t="str">
        <f>_xll.qlSimpleQuote(E10,,RateTickValue,Permanent,Trigger,ObjectOverwrite)</f>
        <v>HKD3L6L2Y_Quote#0003</v>
      </c>
      <c r="G10" s="23" t="str">
        <f>_xll.ohRangeRetrieveError(F10)</f>
        <v/>
      </c>
      <c r="H10" s="22"/>
      <c r="J10" s="37" t="s">
        <v>55</v>
      </c>
      <c r="K10" s="36" t="s">
        <v>43</v>
      </c>
      <c r="L10" s="35" t="s">
        <v>46</v>
      </c>
      <c r="N10" s="180">
        <v>2</v>
      </c>
      <c r="O10" s="218" t="s">
        <v>56</v>
      </c>
      <c r="P10" s="217" t="str">
        <v>3L</v>
      </c>
      <c r="Q10" s="217" t="str">
        <v>6L</v>
      </c>
      <c r="R10" s="215" t="str">
        <f t="shared" si="1"/>
        <v>HKD3L6L2Y</v>
      </c>
      <c r="S10" s="178" t="str">
        <v>HKD3L6L2Y=ICAP</v>
      </c>
      <c r="T10" s="309" t="s">
        <v>151</v>
      </c>
      <c r="U10" s="309" t="s">
        <v>151</v>
      </c>
      <c r="V10" s="309" t="e">
        <f>_xll.qlMidEquivalent(T10,U10)</f>
        <v>#NUM!</v>
      </c>
      <c r="W10" s="182" t="b">
        <f t="shared" si="2"/>
        <v>0</v>
      </c>
      <c r="X10" s="315" t="e">
        <v>#VALUE!</v>
      </c>
      <c r="Y10" s="175"/>
      <c r="Z10" s="307" t="e">
        <v>#VALUE!</v>
      </c>
      <c r="AA10" s="175"/>
      <c r="AB10" s="183" t="str">
        <f t="shared" si="3"/>
        <v>HKD3L6L2Y_Quote</v>
      </c>
      <c r="AC10" s="306" t="e">
        <v>#VALUE!</v>
      </c>
      <c r="AD10" s="181" t="e">
        <f>_xll.qlSimpleQuoteSetValue($AB10,ROUND($AC10/10000,6),Trigger)</f>
        <v>#NUM!</v>
      </c>
      <c r="AE10" s="171"/>
      <c r="AF10" s="205"/>
      <c r="AG10" s="205"/>
      <c r="AH10" s="205"/>
      <c r="AI10" s="205"/>
      <c r="AJ10" s="205" t="str">
        <f t="shared" si="4"/>
        <v>2Y</v>
      </c>
      <c r="AK10" s="312" t="e">
        <f>((#REF!-Swap3M!U10)*100-AC10)/10000</f>
        <v>#REF!</v>
      </c>
      <c r="AL10" s="205"/>
    </row>
    <row r="11" spans="1:38" x14ac:dyDescent="0.2">
      <c r="A11" s="28"/>
      <c r="B11" s="27" t="s">
        <v>54</v>
      </c>
      <c r="C11" s="26" t="str">
        <f t="shared" si="5"/>
        <v>3L</v>
      </c>
      <c r="D11" s="25" t="str">
        <f t="shared" si="6"/>
        <v>6L</v>
      </c>
      <c r="E11" s="24" t="str">
        <f t="shared" si="0"/>
        <v>HKD3L6L3Y_Quote</v>
      </c>
      <c r="F11" s="24" t="str">
        <f>_xll.qlSimpleQuote(E11,,RateTickValue,Permanent,Trigger,ObjectOverwrite)</f>
        <v>HKD3L6L3Y_Quote#0003</v>
      </c>
      <c r="G11" s="23" t="str">
        <f>_xll.ohRangeRetrieveError(F11)</f>
        <v/>
      </c>
      <c r="H11" s="22"/>
      <c r="J11" s="34" t="s">
        <v>53</v>
      </c>
      <c r="K11" s="33" t="s">
        <v>63</v>
      </c>
      <c r="L11" s="32" t="s">
        <v>51</v>
      </c>
      <c r="N11" s="180">
        <v>3</v>
      </c>
      <c r="O11" s="218" t="s">
        <v>54</v>
      </c>
      <c r="P11" s="217" t="str">
        <v>3L</v>
      </c>
      <c r="Q11" s="217" t="str">
        <v>6L</v>
      </c>
      <c r="R11" s="215" t="str">
        <f t="shared" si="1"/>
        <v>HKD3L6L3Y</v>
      </c>
      <c r="S11" s="178" t="str">
        <v>HKD3L6L3Y=ICAP</v>
      </c>
      <c r="T11" s="309" t="s">
        <v>151</v>
      </c>
      <c r="U11" s="309" t="s">
        <v>151</v>
      </c>
      <c r="V11" s="309" t="e">
        <f>_xll.qlMidEquivalent(T11,U11)</f>
        <v>#NUM!</v>
      </c>
      <c r="W11" s="182" t="b">
        <f t="shared" si="2"/>
        <v>0</v>
      </c>
      <c r="X11" s="315" t="e">
        <v>#VALUE!</v>
      </c>
      <c r="Y11" s="175"/>
      <c r="Z11" s="307" t="e">
        <v>#VALUE!</v>
      </c>
      <c r="AA11" s="175"/>
      <c r="AB11" s="183" t="str">
        <f t="shared" si="3"/>
        <v>HKD3L6L3Y_Quote</v>
      </c>
      <c r="AC11" s="306" t="e">
        <v>#VALUE!</v>
      </c>
      <c r="AD11" s="181" t="e">
        <f>_xll.qlSimpleQuoteSetValue($AB11,ROUND($AC11/10000,6),Trigger)</f>
        <v>#NUM!</v>
      </c>
      <c r="AE11" s="171"/>
      <c r="AF11" s="205"/>
      <c r="AG11" s="205"/>
      <c r="AH11" s="205"/>
      <c r="AI11" s="205"/>
      <c r="AJ11" s="205" t="str">
        <f t="shared" si="4"/>
        <v>3Y</v>
      </c>
      <c r="AK11" s="312" t="e">
        <f>((#REF!-Swap3M!U11)*100-AC11)/10000</f>
        <v>#REF!</v>
      </c>
      <c r="AL11" s="205"/>
    </row>
    <row r="12" spans="1:38" x14ac:dyDescent="0.2">
      <c r="A12" s="28"/>
      <c r="B12" s="27" t="s">
        <v>50</v>
      </c>
      <c r="C12" s="26" t="str">
        <f t="shared" si="5"/>
        <v>3L</v>
      </c>
      <c r="D12" s="25" t="str">
        <f t="shared" si="6"/>
        <v>6L</v>
      </c>
      <c r="E12" s="24" t="str">
        <f t="shared" si="0"/>
        <v>HKD3L6L4Y_Quote</v>
      </c>
      <c r="F12" s="24" t="str">
        <f>_xll.qlSimpleQuote(E12,,RateTickValue,Permanent,Trigger,ObjectOverwrite)</f>
        <v>HKD3L6L4Y_Quote#0003</v>
      </c>
      <c r="G12" s="23" t="str">
        <f>_xll.ohRangeRetrieveError(F12)</f>
        <v/>
      </c>
      <c r="H12" s="22"/>
      <c r="J12" s="34" t="s">
        <v>49</v>
      </c>
      <c r="K12" s="33" t="s">
        <v>43</v>
      </c>
      <c r="L12" s="32" t="s">
        <v>46</v>
      </c>
      <c r="N12" s="180">
        <v>4</v>
      </c>
      <c r="O12" s="218" t="s">
        <v>50</v>
      </c>
      <c r="P12" s="217" t="str">
        <v>3L</v>
      </c>
      <c r="Q12" s="217" t="str">
        <v>6L</v>
      </c>
      <c r="R12" s="215" t="str">
        <f t="shared" si="1"/>
        <v>HKD3L6L4Y</v>
      </c>
      <c r="S12" s="178" t="str">
        <v>HKD3L6L4Y=ICAP</v>
      </c>
      <c r="T12" s="309" t="s">
        <v>151</v>
      </c>
      <c r="U12" s="309" t="s">
        <v>151</v>
      </c>
      <c r="V12" s="309" t="e">
        <f>_xll.qlMidEquivalent(T12,U12)</f>
        <v>#NUM!</v>
      </c>
      <c r="W12" s="182" t="b">
        <f t="shared" si="2"/>
        <v>0</v>
      </c>
      <c r="X12" s="315" t="e">
        <v>#VALUE!</v>
      </c>
      <c r="Y12" s="175"/>
      <c r="Z12" s="307" t="e">
        <v>#VALUE!</v>
      </c>
      <c r="AA12" s="175"/>
      <c r="AB12" s="183" t="str">
        <f t="shared" si="3"/>
        <v>HKD3L6L4Y_Quote</v>
      </c>
      <c r="AC12" s="306" t="e">
        <v>#VALUE!</v>
      </c>
      <c r="AD12" s="181" t="e">
        <f>_xll.qlSimpleQuoteSetValue($AB12,ROUND($AC12/10000,6),Trigger)</f>
        <v>#NUM!</v>
      </c>
      <c r="AE12" s="171"/>
      <c r="AF12" s="205"/>
      <c r="AG12" s="205"/>
      <c r="AH12" s="205"/>
      <c r="AI12" s="205"/>
      <c r="AJ12" s="205" t="str">
        <f t="shared" si="4"/>
        <v>4Y</v>
      </c>
      <c r="AK12" s="312" t="e">
        <f>((#REF!-Swap3M!U12)*100-AC12)/10000</f>
        <v>#REF!</v>
      </c>
      <c r="AL12" s="205"/>
    </row>
    <row r="13" spans="1:38" x14ac:dyDescent="0.2">
      <c r="A13" s="28"/>
      <c r="B13" s="27" t="s">
        <v>48</v>
      </c>
      <c r="C13" s="26" t="str">
        <f t="shared" si="5"/>
        <v>3L</v>
      </c>
      <c r="D13" s="25" t="str">
        <f t="shared" si="6"/>
        <v>6L</v>
      </c>
      <c r="E13" s="24" t="str">
        <f t="shared" si="0"/>
        <v>HKD3L6L5Y_Quote</v>
      </c>
      <c r="F13" s="24" t="str">
        <f>_xll.qlSimpleQuote(E13,,RateTickValue,Permanent,Trigger,ObjectOverwrite)</f>
        <v>HKD3L6L5Y_Quote#0003</v>
      </c>
      <c r="G13" s="23" t="str">
        <f>_xll.ohRangeRetrieveError(F13)</f>
        <v/>
      </c>
      <c r="H13" s="22"/>
      <c r="J13" s="34" t="s">
        <v>47</v>
      </c>
      <c r="K13" s="33" t="s">
        <v>43</v>
      </c>
      <c r="L13" s="32" t="s">
        <v>46</v>
      </c>
      <c r="N13" s="180">
        <v>5</v>
      </c>
      <c r="O13" s="218" t="s">
        <v>48</v>
      </c>
      <c r="P13" s="217" t="str">
        <v>3L</v>
      </c>
      <c r="Q13" s="217" t="str">
        <v>6L</v>
      </c>
      <c r="R13" s="215" t="str">
        <f t="shared" si="1"/>
        <v>HKD3L6L5Y</v>
      </c>
      <c r="S13" s="178" t="str">
        <v>HKD3L6L5Y=ICAP</v>
      </c>
      <c r="T13" s="309" t="s">
        <v>151</v>
      </c>
      <c r="U13" s="309" t="s">
        <v>151</v>
      </c>
      <c r="V13" s="309" t="e">
        <f>_xll.qlMidEquivalent(T13,U13)</f>
        <v>#NUM!</v>
      </c>
      <c r="W13" s="182" t="b">
        <f t="shared" si="2"/>
        <v>0</v>
      </c>
      <c r="X13" s="315" t="e">
        <v>#VALUE!</v>
      </c>
      <c r="Y13" s="175"/>
      <c r="Z13" s="307" t="e">
        <v>#VALUE!</v>
      </c>
      <c r="AA13" s="175"/>
      <c r="AB13" s="183" t="str">
        <f t="shared" si="3"/>
        <v>HKD3L6L5Y_Quote</v>
      </c>
      <c r="AC13" s="306" t="e">
        <v>#VALUE!</v>
      </c>
      <c r="AD13" s="181" t="e">
        <f>_xll.qlSimpleQuoteSetValue($AB13,ROUND($AC13/10000,6),Trigger)</f>
        <v>#NUM!</v>
      </c>
      <c r="AE13" s="171"/>
      <c r="AF13" s="205"/>
      <c r="AG13" s="205"/>
      <c r="AH13" s="205"/>
      <c r="AI13" s="205"/>
      <c r="AJ13" s="205" t="str">
        <f t="shared" si="4"/>
        <v>5Y</v>
      </c>
      <c r="AK13" s="312" t="e">
        <f>((#REF!-Swap3M!U13)*100-AC13)/10000</f>
        <v>#REF!</v>
      </c>
      <c r="AL13" s="205"/>
    </row>
    <row r="14" spans="1:38" ht="13.5" thickBot="1" x14ac:dyDescent="0.25">
      <c r="A14" s="28"/>
      <c r="B14" s="27" t="s">
        <v>45</v>
      </c>
      <c r="C14" s="26" t="str">
        <f t="shared" si="5"/>
        <v>3L</v>
      </c>
      <c r="D14" s="25" t="str">
        <f t="shared" si="6"/>
        <v>6L</v>
      </c>
      <c r="E14" s="24" t="str">
        <f t="shared" si="0"/>
        <v>HKD3L6L6Y_Quote</v>
      </c>
      <c r="F14" s="24" t="str">
        <f>_xll.qlSimpleQuote(E14,,RateTickValue,Permanent,Trigger,ObjectOverwrite)</f>
        <v>HKD3L6L6Y_Quote#0003</v>
      </c>
      <c r="G14" s="23" t="str">
        <f>_xll.ohRangeRetrieveError(F14)</f>
        <v/>
      </c>
      <c r="H14" s="22"/>
      <c r="J14" s="31" t="s">
        <v>44</v>
      </c>
      <c r="K14" s="30" t="s">
        <v>46</v>
      </c>
      <c r="L14" s="29" t="s">
        <v>43</v>
      </c>
      <c r="N14" s="180">
        <v>6</v>
      </c>
      <c r="O14" s="218" t="s">
        <v>45</v>
      </c>
      <c r="P14" s="217" t="str">
        <v>3L</v>
      </c>
      <c r="Q14" s="217" t="str">
        <v>6L</v>
      </c>
      <c r="R14" s="215" t="str">
        <f t="shared" si="1"/>
        <v>HKD3L6L6Y</v>
      </c>
      <c r="S14" s="178" t="str">
        <v>HKD3L6L6Y=ICAP</v>
      </c>
      <c r="T14" s="309" t="s">
        <v>151</v>
      </c>
      <c r="U14" s="309" t="s">
        <v>151</v>
      </c>
      <c r="V14" s="309" t="e">
        <f>_xll.qlMidEquivalent(T14,U14)</f>
        <v>#NUM!</v>
      </c>
      <c r="W14" s="182" t="b">
        <f t="shared" si="2"/>
        <v>0</v>
      </c>
      <c r="X14" s="315" t="e">
        <v>#VALUE!</v>
      </c>
      <c r="Y14" s="175"/>
      <c r="Z14" s="307" t="e">
        <v>#VALUE!</v>
      </c>
      <c r="AA14" s="175"/>
      <c r="AB14" s="183" t="str">
        <f t="shared" si="3"/>
        <v>HKD3L6L6Y_Quote</v>
      </c>
      <c r="AC14" s="306" t="e">
        <v>#VALUE!</v>
      </c>
      <c r="AD14" s="181" t="e">
        <f>_xll.qlSimpleQuoteSetValue($AB14,ROUND($AC14/10000,6),Trigger)</f>
        <v>#NUM!</v>
      </c>
      <c r="AE14" s="171"/>
      <c r="AF14" s="205"/>
      <c r="AG14" s="205"/>
      <c r="AH14" s="205"/>
      <c r="AI14" s="205"/>
      <c r="AJ14" s="205" t="str">
        <f t="shared" si="4"/>
        <v>6Y</v>
      </c>
      <c r="AK14" s="312" t="e">
        <f>((#REF!-Swap3M!U14)*100-AC14)/10000</f>
        <v>#REF!</v>
      </c>
      <c r="AL14" s="205"/>
    </row>
    <row r="15" spans="1:38" x14ac:dyDescent="0.2">
      <c r="A15" s="28"/>
      <c r="B15" s="27" t="s">
        <v>41</v>
      </c>
      <c r="C15" s="26" t="str">
        <f t="shared" si="5"/>
        <v>3L</v>
      </c>
      <c r="D15" s="25" t="str">
        <f t="shared" si="6"/>
        <v>6L</v>
      </c>
      <c r="E15" s="24" t="str">
        <f t="shared" si="0"/>
        <v>HKD3L6L7Y_Quote</v>
      </c>
      <c r="F15" s="24" t="str">
        <f>_xll.qlSimpleQuote(E15,,RateTickValue,Permanent,Trigger,ObjectOverwrite)</f>
        <v>HKD3L6L7Y_Quote#0003</v>
      </c>
      <c r="G15" s="23" t="str">
        <f>_xll.ohRangeRetrieveError(F15)</f>
        <v/>
      </c>
      <c r="H15" s="22"/>
      <c r="N15" s="180">
        <v>7</v>
      </c>
      <c r="O15" s="218" t="s">
        <v>41</v>
      </c>
      <c r="P15" s="217" t="str">
        <v>3L</v>
      </c>
      <c r="Q15" s="217" t="str">
        <v>6L</v>
      </c>
      <c r="R15" s="215" t="str">
        <f t="shared" si="1"/>
        <v>HKD3L6L7Y</v>
      </c>
      <c r="S15" s="178" t="str">
        <v>HKD3L6L7Y=ICAP</v>
      </c>
      <c r="T15" s="309" t="s">
        <v>151</v>
      </c>
      <c r="U15" s="309" t="s">
        <v>151</v>
      </c>
      <c r="V15" s="309" t="e">
        <f>_xll.qlMidEquivalent(T15,U15)</f>
        <v>#NUM!</v>
      </c>
      <c r="W15" s="182" t="b">
        <f t="shared" si="2"/>
        <v>0</v>
      </c>
      <c r="X15" s="315" t="e">
        <v>#VALUE!</v>
      </c>
      <c r="Y15" s="175"/>
      <c r="Z15" s="307" t="e">
        <v>#VALUE!</v>
      </c>
      <c r="AA15" s="175"/>
      <c r="AB15" s="183" t="str">
        <f t="shared" si="3"/>
        <v>HKD3L6L7Y_Quote</v>
      </c>
      <c r="AC15" s="306" t="e">
        <v>#VALUE!</v>
      </c>
      <c r="AD15" s="181" t="e">
        <f>_xll.qlSimpleQuoteSetValue($AB15,ROUND($AC15/10000,6),Trigger)</f>
        <v>#NUM!</v>
      </c>
      <c r="AE15" s="171"/>
      <c r="AF15" s="205"/>
      <c r="AG15" s="205"/>
      <c r="AH15" s="205"/>
      <c r="AI15" s="205"/>
      <c r="AJ15" s="205" t="str">
        <f t="shared" si="4"/>
        <v>7Y</v>
      </c>
      <c r="AK15" s="312" t="e">
        <f>((#REF!-Swap3M!U15)*100-AC15)/10000</f>
        <v>#REF!</v>
      </c>
      <c r="AL15" s="205"/>
    </row>
    <row r="16" spans="1:38" x14ac:dyDescent="0.2">
      <c r="A16" s="28"/>
      <c r="B16" s="27" t="s">
        <v>40</v>
      </c>
      <c r="C16" s="26" t="str">
        <f t="shared" si="5"/>
        <v>3L</v>
      </c>
      <c r="D16" s="25" t="str">
        <f t="shared" si="6"/>
        <v>6L</v>
      </c>
      <c r="E16" s="24" t="str">
        <f t="shared" si="0"/>
        <v>HKD3L6L8Y_Quote</v>
      </c>
      <c r="F16" s="24" t="str">
        <f>_xll.qlSimpleQuote(E16,,RateTickValue,Permanent,Trigger,ObjectOverwrite)</f>
        <v>HKD3L6L8Y_Quote#0003</v>
      </c>
      <c r="G16" s="23" t="str">
        <f>_xll.ohRangeRetrieveError(F16)</f>
        <v/>
      </c>
      <c r="H16" s="22"/>
      <c r="N16" s="180">
        <v>8</v>
      </c>
      <c r="O16" s="218" t="s">
        <v>40</v>
      </c>
      <c r="P16" s="217" t="str">
        <v>3L</v>
      </c>
      <c r="Q16" s="217" t="str">
        <v>6L</v>
      </c>
      <c r="R16" s="215" t="str">
        <f t="shared" si="1"/>
        <v>HKD3L6L8Y</v>
      </c>
      <c r="S16" s="178" t="str">
        <v>HKD3L6L8Y=ICAP</v>
      </c>
      <c r="T16" s="309" t="s">
        <v>151</v>
      </c>
      <c r="U16" s="309" t="s">
        <v>151</v>
      </c>
      <c r="V16" s="309" t="e">
        <f>_xll.qlMidEquivalent(T16,U16)</f>
        <v>#NUM!</v>
      </c>
      <c r="W16" s="182" t="b">
        <f t="shared" si="2"/>
        <v>0</v>
      </c>
      <c r="X16" s="315" t="e">
        <v>#VALUE!</v>
      </c>
      <c r="Y16" s="175"/>
      <c r="Z16" s="307" t="e">
        <v>#VALUE!</v>
      </c>
      <c r="AA16" s="175"/>
      <c r="AB16" s="183" t="str">
        <f t="shared" si="3"/>
        <v>HKD3L6L8Y_Quote</v>
      </c>
      <c r="AC16" s="306" t="e">
        <v>#VALUE!</v>
      </c>
      <c r="AD16" s="181" t="e">
        <f>_xll.qlSimpleQuoteSetValue($AB16,ROUND($AC16/10000,6),Trigger)</f>
        <v>#NUM!</v>
      </c>
      <c r="AE16" s="171"/>
      <c r="AF16" s="205"/>
      <c r="AG16" s="205"/>
      <c r="AH16" s="205"/>
      <c r="AI16" s="205"/>
      <c r="AJ16" s="205" t="str">
        <f t="shared" si="4"/>
        <v>8Y</v>
      </c>
      <c r="AK16" s="312" t="e">
        <f>((#REF!-Swap3M!U16)*100-AC16)/10000</f>
        <v>#REF!</v>
      </c>
      <c r="AL16" s="205"/>
    </row>
    <row r="17" spans="1:38" x14ac:dyDescent="0.2">
      <c r="A17" s="28"/>
      <c r="B17" s="27" t="s">
        <v>39</v>
      </c>
      <c r="C17" s="26" t="str">
        <f t="shared" si="5"/>
        <v>3L</v>
      </c>
      <c r="D17" s="25" t="str">
        <f t="shared" si="6"/>
        <v>6L</v>
      </c>
      <c r="E17" s="24" t="str">
        <f t="shared" si="0"/>
        <v>HKD3L6L9Y_Quote</v>
      </c>
      <c r="F17" s="24" t="str">
        <f>_xll.qlSimpleQuote(E17,,RateTickValue,Permanent,Trigger,ObjectOverwrite)</f>
        <v>HKD3L6L9Y_Quote#0003</v>
      </c>
      <c r="G17" s="23" t="str">
        <f>_xll.ohRangeRetrieveError(F17)</f>
        <v/>
      </c>
      <c r="H17" s="22"/>
      <c r="N17" s="180">
        <v>9</v>
      </c>
      <c r="O17" s="218" t="s">
        <v>39</v>
      </c>
      <c r="P17" s="217" t="str">
        <v>3L</v>
      </c>
      <c r="Q17" s="217" t="str">
        <v>6L</v>
      </c>
      <c r="R17" s="215" t="str">
        <f t="shared" si="1"/>
        <v>HKD3L6L9Y</v>
      </c>
      <c r="S17" s="178" t="str">
        <v>HKD3L6L9Y=ICAP</v>
      </c>
      <c r="T17" s="309" t="s">
        <v>151</v>
      </c>
      <c r="U17" s="309" t="s">
        <v>151</v>
      </c>
      <c r="V17" s="309" t="e">
        <f>_xll.qlMidEquivalent(T17,U17)</f>
        <v>#NUM!</v>
      </c>
      <c r="W17" s="182" t="b">
        <f t="shared" si="2"/>
        <v>0</v>
      </c>
      <c r="X17" s="315" t="e">
        <v>#VALUE!</v>
      </c>
      <c r="Y17" s="175"/>
      <c r="Z17" s="307" t="e">
        <v>#VALUE!</v>
      </c>
      <c r="AA17" s="175"/>
      <c r="AB17" s="183" t="str">
        <f t="shared" si="3"/>
        <v>HKD3L6L9Y_Quote</v>
      </c>
      <c r="AC17" s="306" t="e">
        <v>#VALUE!</v>
      </c>
      <c r="AD17" s="181" t="e">
        <f>_xll.qlSimpleQuoteSetValue($AB17,ROUND($AC17/10000,6),Trigger)</f>
        <v>#NUM!</v>
      </c>
      <c r="AE17" s="171"/>
      <c r="AF17" s="205"/>
      <c r="AG17" s="205"/>
      <c r="AH17" s="205"/>
      <c r="AI17" s="205"/>
      <c r="AJ17" s="205" t="str">
        <f t="shared" si="4"/>
        <v>9Y</v>
      </c>
      <c r="AK17" s="312" t="e">
        <f>((#REF!-Swap3M!U17)*100-AC17)/10000</f>
        <v>#REF!</v>
      </c>
      <c r="AL17" s="205"/>
    </row>
    <row r="18" spans="1:38" x14ac:dyDescent="0.2">
      <c r="A18" s="28"/>
      <c r="B18" s="27" t="s">
        <v>38</v>
      </c>
      <c r="C18" s="26" t="str">
        <f t="shared" si="5"/>
        <v>3L</v>
      </c>
      <c r="D18" s="25" t="str">
        <f t="shared" si="6"/>
        <v>6L</v>
      </c>
      <c r="E18" s="24" t="str">
        <f t="shared" si="0"/>
        <v>HKD3L6L10Y_Quote</v>
      </c>
      <c r="F18" s="24" t="str">
        <f>_xll.qlSimpleQuote(E18,,RateTickValue,Permanent,Trigger,ObjectOverwrite)</f>
        <v>HKD3L6L10Y_Quote#0003</v>
      </c>
      <c r="G18" s="23" t="str">
        <f>_xll.ohRangeRetrieveError(F18)</f>
        <v/>
      </c>
      <c r="H18" s="22"/>
      <c r="N18" s="180">
        <v>10</v>
      </c>
      <c r="O18" s="218" t="s">
        <v>38</v>
      </c>
      <c r="P18" s="217" t="str">
        <v>3L</v>
      </c>
      <c r="Q18" s="217" t="str">
        <v>6L</v>
      </c>
      <c r="R18" s="215" t="str">
        <f t="shared" si="1"/>
        <v>HKD3L6L10Y</v>
      </c>
      <c r="S18" s="178" t="str">
        <v>HKD3L6L10Y=ICAP</v>
      </c>
      <c r="T18" s="309" t="s">
        <v>151</v>
      </c>
      <c r="U18" s="309" t="s">
        <v>151</v>
      </c>
      <c r="V18" s="309" t="e">
        <f>_xll.qlMidEquivalent(T18,U18)</f>
        <v>#NUM!</v>
      </c>
      <c r="W18" s="182" t="b">
        <f t="shared" si="2"/>
        <v>0</v>
      </c>
      <c r="X18" s="315" t="e">
        <v>#VALUE!</v>
      </c>
      <c r="Y18" s="175"/>
      <c r="Z18" s="307" t="e">
        <v>#VALUE!</v>
      </c>
      <c r="AA18" s="175"/>
      <c r="AB18" s="183" t="str">
        <f t="shared" si="3"/>
        <v>HKD3L6L10Y_Quote</v>
      </c>
      <c r="AC18" s="306" t="e">
        <v>#VALUE!</v>
      </c>
      <c r="AD18" s="181" t="e">
        <f>_xll.qlSimpleQuoteSetValue($AB18,ROUND($AC18/10000,6),Trigger)</f>
        <v>#NUM!</v>
      </c>
      <c r="AE18" s="171"/>
      <c r="AF18" s="205"/>
      <c r="AG18" s="205"/>
      <c r="AH18" s="205"/>
      <c r="AI18" s="205"/>
      <c r="AJ18" s="205" t="str">
        <f t="shared" si="4"/>
        <v>10Y</v>
      </c>
      <c r="AK18" s="312" t="e">
        <f>((#REF!-Swap3M!U18)*100-AC18)/10000</f>
        <v>#REF!</v>
      </c>
      <c r="AL18" s="205"/>
    </row>
    <row r="19" spans="1:38" x14ac:dyDescent="0.2">
      <c r="A19" s="28"/>
      <c r="B19" s="27" t="s">
        <v>37</v>
      </c>
      <c r="C19" s="26" t="str">
        <f t="shared" si="5"/>
        <v>3L</v>
      </c>
      <c r="D19" s="25" t="str">
        <f t="shared" si="6"/>
        <v>6L</v>
      </c>
      <c r="E19" s="24" t="str">
        <f t="shared" si="0"/>
        <v>HKD3L6L11Y_Quote</v>
      </c>
      <c r="F19" s="24" t="str">
        <f>_xll.qlSimpleQuote(E19,,RateTickValue,Permanent,Trigger,ObjectOverwrite)</f>
        <v>HKD3L6L11Y_Quote#0003</v>
      </c>
      <c r="G19" s="23" t="str">
        <f>_xll.ohRangeRetrieveError(F19)</f>
        <v/>
      </c>
      <c r="H19" s="22"/>
      <c r="N19" s="180">
        <v>11</v>
      </c>
      <c r="O19" s="218" t="s">
        <v>37</v>
      </c>
      <c r="P19" s="217" t="str">
        <v>3L</v>
      </c>
      <c r="Q19" s="217" t="str">
        <v>6L</v>
      </c>
      <c r="R19" s="215" t="str">
        <f t="shared" si="1"/>
        <v>HKD3L6L11Y</v>
      </c>
      <c r="S19" s="178" t="str">
        <v>HKD3L6L11Y=ICAP</v>
      </c>
      <c r="T19" s="309" t="s">
        <v>151</v>
      </c>
      <c r="U19" s="309" t="s">
        <v>151</v>
      </c>
      <c r="V19" s="309" t="e">
        <f>_xll.qlMidEquivalent(T19,U19)</f>
        <v>#NUM!</v>
      </c>
      <c r="W19" s="182" t="b">
        <f t="shared" si="2"/>
        <v>0</v>
      </c>
      <c r="X19" s="315" t="e">
        <v>#VALUE!</v>
      </c>
      <c r="Y19" s="175"/>
      <c r="Z19" s="307" t="e">
        <v>#VALUE!</v>
      </c>
      <c r="AA19" s="175"/>
      <c r="AB19" s="183" t="str">
        <f t="shared" si="3"/>
        <v>HKD3L6L11Y_Quote</v>
      </c>
      <c r="AC19" s="306" t="e">
        <v>#VALUE!</v>
      </c>
      <c r="AD19" s="181" t="e">
        <f>_xll.qlSimpleQuoteSetValue($AB19,ROUND($AC19/10000,6),Trigger)</f>
        <v>#NUM!</v>
      </c>
      <c r="AE19" s="171"/>
      <c r="AF19" s="205"/>
      <c r="AG19" s="205"/>
      <c r="AH19" s="205"/>
      <c r="AI19" s="205"/>
      <c r="AJ19" s="205" t="str">
        <f t="shared" si="4"/>
        <v>11Y</v>
      </c>
      <c r="AK19" s="312" t="e">
        <f>((#REF!-Swap3M!U19)*100-AC19)/10000</f>
        <v>#REF!</v>
      </c>
      <c r="AL19" s="205"/>
    </row>
    <row r="20" spans="1:38" x14ac:dyDescent="0.2">
      <c r="A20" s="28"/>
      <c r="B20" s="27" t="s">
        <v>36</v>
      </c>
      <c r="C20" s="26" t="str">
        <f t="shared" si="5"/>
        <v>3L</v>
      </c>
      <c r="D20" s="25" t="str">
        <f t="shared" si="6"/>
        <v>6L</v>
      </c>
      <c r="E20" s="24" t="str">
        <f t="shared" si="0"/>
        <v>HKD3L6L12Y_Quote</v>
      </c>
      <c r="F20" s="24" t="str">
        <f>_xll.qlSimpleQuote(E20,,RateTickValue,Permanent,Trigger,ObjectOverwrite)</f>
        <v>HKD3L6L12Y_Quote#0003</v>
      </c>
      <c r="G20" s="23" t="str">
        <f>_xll.ohRangeRetrieveError(F20)</f>
        <v/>
      </c>
      <c r="H20" s="22"/>
      <c r="N20" s="180">
        <v>12</v>
      </c>
      <c r="O20" s="218" t="s">
        <v>36</v>
      </c>
      <c r="P20" s="217" t="str">
        <v>3L</v>
      </c>
      <c r="Q20" s="217" t="str">
        <v>6L</v>
      </c>
      <c r="R20" s="215" t="str">
        <f t="shared" si="1"/>
        <v>HKD3L6L12Y</v>
      </c>
      <c r="S20" s="178" t="str">
        <v>HKD3L6L12Y=ICAP</v>
      </c>
      <c r="T20" s="309" t="s">
        <v>151</v>
      </c>
      <c r="U20" s="309" t="s">
        <v>151</v>
      </c>
      <c r="V20" s="309" t="e">
        <f>_xll.qlMidEquivalent(T20,U20)</f>
        <v>#NUM!</v>
      </c>
      <c r="W20" s="182" t="b">
        <f t="shared" si="2"/>
        <v>0</v>
      </c>
      <c r="X20" s="315" t="e">
        <v>#VALUE!</v>
      </c>
      <c r="Y20" s="175"/>
      <c r="Z20" s="307" t="e">
        <v>#VALUE!</v>
      </c>
      <c r="AA20" s="175"/>
      <c r="AB20" s="183" t="str">
        <f t="shared" si="3"/>
        <v>HKD3L6L12Y_Quote</v>
      </c>
      <c r="AC20" s="306" t="e">
        <v>#VALUE!</v>
      </c>
      <c r="AD20" s="181" t="e">
        <f>_xll.qlSimpleQuoteSetValue($AB20,ROUND($AC20/10000,6),Trigger)</f>
        <v>#NUM!</v>
      </c>
      <c r="AE20" s="171"/>
      <c r="AF20" s="205"/>
      <c r="AG20" s="205"/>
      <c r="AH20" s="205"/>
      <c r="AI20" s="205"/>
      <c r="AJ20" s="205" t="str">
        <f t="shared" si="4"/>
        <v>12Y</v>
      </c>
      <c r="AK20" s="312" t="e">
        <f>((#REF!-Swap3M!U20)*100-AC20)/10000</f>
        <v>#REF!</v>
      </c>
      <c r="AL20" s="205"/>
    </row>
    <row r="21" spans="1:38" x14ac:dyDescent="0.2">
      <c r="A21" s="28"/>
      <c r="B21" s="27" t="s">
        <v>35</v>
      </c>
      <c r="C21" s="26" t="str">
        <f t="shared" si="5"/>
        <v>3L</v>
      </c>
      <c r="D21" s="25" t="str">
        <f t="shared" si="6"/>
        <v>6L</v>
      </c>
      <c r="E21" s="24" t="str">
        <f t="shared" si="0"/>
        <v>HKD3L6L13Y_Quote</v>
      </c>
      <c r="F21" s="24" t="str">
        <f>_xll.qlSimpleQuote(E21,,RateTickValue,Permanent,Trigger,ObjectOverwrite)</f>
        <v>HKD3L6L13Y_Quote#0003</v>
      </c>
      <c r="G21" s="23" t="str">
        <f>_xll.ohRangeRetrieveError(F21)</f>
        <v/>
      </c>
      <c r="H21" s="22"/>
      <c r="N21" s="180">
        <v>13</v>
      </c>
      <c r="O21" s="218" t="s">
        <v>35</v>
      </c>
      <c r="P21" s="217" t="str">
        <v>3L</v>
      </c>
      <c r="Q21" s="217" t="str">
        <v>6L</v>
      </c>
      <c r="R21" s="215" t="str">
        <f t="shared" si="1"/>
        <v>HKD3L6L13Y</v>
      </c>
      <c r="S21" s="178" t="str">
        <v>HKD3L6L13Y=ICAP</v>
      </c>
      <c r="T21" s="309" t="s">
        <v>151</v>
      </c>
      <c r="U21" s="309" t="s">
        <v>151</v>
      </c>
      <c r="V21" s="309" t="e">
        <f>_xll.qlMidEquivalent(T21,U21)</f>
        <v>#NUM!</v>
      </c>
      <c r="W21" s="182" t="b">
        <f t="shared" si="2"/>
        <v>0</v>
      </c>
      <c r="X21" s="315" t="e">
        <v>#VALUE!</v>
      </c>
      <c r="Y21" s="175"/>
      <c r="Z21" s="307" t="e">
        <v>#VALUE!</v>
      </c>
      <c r="AA21" s="175"/>
      <c r="AB21" s="183" t="str">
        <f t="shared" si="3"/>
        <v>HKD3L6L13Y_Quote</v>
      </c>
      <c r="AC21" s="306" t="e">
        <v>#VALUE!</v>
      </c>
      <c r="AD21" s="181" t="e">
        <f>_xll.qlSimpleQuoteSetValue($AB21,ROUND($AC21/10000,6),Trigger)</f>
        <v>#NUM!</v>
      </c>
      <c r="AE21" s="171"/>
      <c r="AF21" s="205"/>
      <c r="AG21" s="205"/>
      <c r="AH21" s="205"/>
      <c r="AI21" s="205"/>
      <c r="AJ21" s="205" t="str">
        <f t="shared" si="4"/>
        <v>13Y</v>
      </c>
      <c r="AK21" s="312" t="e">
        <f>((#REF!-Swap3M!U21)*100-AC21)/10000</f>
        <v>#REF!</v>
      </c>
      <c r="AL21" s="205"/>
    </row>
    <row r="22" spans="1:38" x14ac:dyDescent="0.2">
      <c r="A22" s="28"/>
      <c r="B22" s="27" t="s">
        <v>34</v>
      </c>
      <c r="C22" s="26" t="str">
        <f t="shared" si="5"/>
        <v>3L</v>
      </c>
      <c r="D22" s="25" t="str">
        <f t="shared" si="6"/>
        <v>6L</v>
      </c>
      <c r="E22" s="24" t="str">
        <f t="shared" si="0"/>
        <v>HKD3L6L14Y_Quote</v>
      </c>
      <c r="F22" s="24" t="str">
        <f>_xll.qlSimpleQuote(E22,,RateTickValue,Permanent,Trigger,ObjectOverwrite)</f>
        <v>HKD3L6L14Y_Quote#0003</v>
      </c>
      <c r="G22" s="23" t="str">
        <f>_xll.ohRangeRetrieveError(F22)</f>
        <v/>
      </c>
      <c r="H22" s="22"/>
      <c r="N22" s="180">
        <v>14</v>
      </c>
      <c r="O22" s="218" t="s">
        <v>34</v>
      </c>
      <c r="P22" s="217" t="str">
        <v>3L</v>
      </c>
      <c r="Q22" s="217" t="str">
        <v>6L</v>
      </c>
      <c r="R22" s="215" t="str">
        <f t="shared" si="1"/>
        <v>HKD3L6L14Y</v>
      </c>
      <c r="S22" s="178" t="str">
        <v>HKD3L6L14Y=ICAP</v>
      </c>
      <c r="T22" s="309" t="s">
        <v>151</v>
      </c>
      <c r="U22" s="309" t="s">
        <v>151</v>
      </c>
      <c r="V22" s="309" t="e">
        <f>_xll.qlMidEquivalent(T22,U22)</f>
        <v>#NUM!</v>
      </c>
      <c r="W22" s="182" t="b">
        <f t="shared" si="2"/>
        <v>0</v>
      </c>
      <c r="X22" s="315" t="e">
        <v>#VALUE!</v>
      </c>
      <c r="Y22" s="175"/>
      <c r="Z22" s="307" t="e">
        <v>#VALUE!</v>
      </c>
      <c r="AA22" s="175"/>
      <c r="AB22" s="183" t="str">
        <f t="shared" si="3"/>
        <v>HKD3L6L14Y_Quote</v>
      </c>
      <c r="AC22" s="306" t="e">
        <v>#VALUE!</v>
      </c>
      <c r="AD22" s="181" t="e">
        <f>_xll.qlSimpleQuoteSetValue($AB22,ROUND($AC22/10000,6),Trigger)</f>
        <v>#NUM!</v>
      </c>
      <c r="AE22" s="171"/>
      <c r="AF22" s="205"/>
      <c r="AG22" s="205"/>
      <c r="AH22" s="205"/>
      <c r="AI22" s="205"/>
      <c r="AJ22" s="205" t="str">
        <f t="shared" si="4"/>
        <v>14Y</v>
      </c>
      <c r="AK22" s="312" t="e">
        <f>((#REF!-Swap3M!U22)*100-AC22)/10000</f>
        <v>#REF!</v>
      </c>
      <c r="AL22" s="205"/>
    </row>
    <row r="23" spans="1:38" x14ac:dyDescent="0.2">
      <c r="A23" s="28"/>
      <c r="B23" s="27" t="s">
        <v>33</v>
      </c>
      <c r="C23" s="26" t="str">
        <f t="shared" si="5"/>
        <v>3L</v>
      </c>
      <c r="D23" s="25" t="str">
        <f t="shared" si="6"/>
        <v>6L</v>
      </c>
      <c r="E23" s="24" t="str">
        <f t="shared" si="0"/>
        <v>HKD3L6L15Y_Quote</v>
      </c>
      <c r="F23" s="24" t="str">
        <f>_xll.qlSimpleQuote(E23,,RateTickValue,Permanent,Trigger,ObjectOverwrite)</f>
        <v>HKD3L6L15Y_Quote#0003</v>
      </c>
      <c r="G23" s="23" t="str">
        <f>_xll.ohRangeRetrieveError(F23)</f>
        <v/>
      </c>
      <c r="H23" s="22"/>
      <c r="N23" s="180">
        <v>15</v>
      </c>
      <c r="O23" s="218" t="s">
        <v>33</v>
      </c>
      <c r="P23" s="217" t="str">
        <v>3L</v>
      </c>
      <c r="Q23" s="217" t="str">
        <v>6L</v>
      </c>
      <c r="R23" s="215" t="str">
        <f t="shared" si="1"/>
        <v>HKD3L6L15Y</v>
      </c>
      <c r="S23" s="178" t="str">
        <v>HKD3L6L15Y=ICAP</v>
      </c>
      <c r="T23" s="309" t="s">
        <v>151</v>
      </c>
      <c r="U23" s="309" t="s">
        <v>151</v>
      </c>
      <c r="V23" s="309" t="e">
        <f>_xll.qlMidEquivalent(T23,U23)</f>
        <v>#NUM!</v>
      </c>
      <c r="W23" s="182" t="b">
        <f t="shared" si="2"/>
        <v>0</v>
      </c>
      <c r="X23" s="315" t="e">
        <v>#VALUE!</v>
      </c>
      <c r="Y23" s="175"/>
      <c r="Z23" s="307" t="e">
        <v>#VALUE!</v>
      </c>
      <c r="AA23" s="175"/>
      <c r="AB23" s="183" t="str">
        <f t="shared" si="3"/>
        <v>HKD3L6L15Y_Quote</v>
      </c>
      <c r="AC23" s="306" t="e">
        <v>#VALUE!</v>
      </c>
      <c r="AD23" s="181" t="e">
        <f>_xll.qlSimpleQuoteSetValue($AB23,ROUND($AC23/10000,6),Trigger)</f>
        <v>#NUM!</v>
      </c>
      <c r="AE23" s="171"/>
      <c r="AF23" s="205"/>
      <c r="AG23" s="205"/>
      <c r="AH23" s="205"/>
      <c r="AI23" s="205"/>
      <c r="AJ23" s="205" t="str">
        <f t="shared" si="4"/>
        <v>15Y</v>
      </c>
      <c r="AK23" s="312" t="e">
        <f>((#REF!-Swap3M!U23)*100-AC23)/10000</f>
        <v>#REF!</v>
      </c>
      <c r="AL23" s="205"/>
    </row>
    <row r="24" spans="1:38" x14ac:dyDescent="0.2">
      <c r="A24" s="28"/>
      <c r="B24" s="27" t="s">
        <v>32</v>
      </c>
      <c r="C24" s="26" t="str">
        <f t="shared" si="5"/>
        <v>3L</v>
      </c>
      <c r="D24" s="25" t="str">
        <f t="shared" si="6"/>
        <v>6L</v>
      </c>
      <c r="E24" s="24" t="str">
        <f t="shared" si="0"/>
        <v>HKD3L6L16Y_Quote</v>
      </c>
      <c r="F24" s="24" t="str">
        <f>_xll.qlSimpleQuote(E24,,RateTickValue,Permanent,Trigger,ObjectOverwrite)</f>
        <v>HKD3L6L16Y_Quote#0003</v>
      </c>
      <c r="G24" s="23" t="str">
        <f>_xll.ohRangeRetrieveError(F24)</f>
        <v/>
      </c>
      <c r="H24" s="22"/>
      <c r="N24" s="180">
        <v>16</v>
      </c>
      <c r="O24" s="218" t="s">
        <v>32</v>
      </c>
      <c r="P24" s="217" t="str">
        <v>3L</v>
      </c>
      <c r="Q24" s="217" t="str">
        <v>6L</v>
      </c>
      <c r="R24" s="215" t="str">
        <f t="shared" si="1"/>
        <v>HKD3L6L16Y</v>
      </c>
      <c r="S24" s="178" t="str">
        <v>HKD3L6L16Y=ICAP</v>
      </c>
      <c r="T24" s="309" t="s">
        <v>151</v>
      </c>
      <c r="U24" s="309" t="s">
        <v>151</v>
      </c>
      <c r="V24" s="309" t="e">
        <f>_xll.qlMidEquivalent(T24,U24)</f>
        <v>#NUM!</v>
      </c>
      <c r="W24" s="182" t="b">
        <f t="shared" si="2"/>
        <v>0</v>
      </c>
      <c r="X24" s="315" t="e">
        <v>#VALUE!</v>
      </c>
      <c r="Y24" s="175"/>
      <c r="Z24" s="307" t="e">
        <v>#VALUE!</v>
      </c>
      <c r="AA24" s="175"/>
      <c r="AB24" s="183" t="str">
        <f t="shared" si="3"/>
        <v>HKD3L6L16Y_Quote</v>
      </c>
      <c r="AC24" s="306" t="e">
        <v>#VALUE!</v>
      </c>
      <c r="AD24" s="181" t="e">
        <f>_xll.qlSimpleQuoteSetValue($AB24,ROUND($AC24/10000,6),Trigger)</f>
        <v>#NUM!</v>
      </c>
      <c r="AE24" s="171"/>
      <c r="AF24" s="205"/>
      <c r="AG24" s="205"/>
      <c r="AH24" s="205"/>
      <c r="AI24" s="205"/>
      <c r="AJ24" s="205" t="str">
        <f t="shared" si="4"/>
        <v>16Y</v>
      </c>
      <c r="AK24" s="312" t="e">
        <f>((#REF!-Swap3M!U24)*100-AC24)/10000</f>
        <v>#REF!</v>
      </c>
      <c r="AL24" s="205"/>
    </row>
    <row r="25" spans="1:38" x14ac:dyDescent="0.2">
      <c r="A25" s="28"/>
      <c r="B25" s="27" t="s">
        <v>31</v>
      </c>
      <c r="C25" s="26" t="str">
        <f t="shared" si="5"/>
        <v>3L</v>
      </c>
      <c r="D25" s="25" t="str">
        <f t="shared" si="6"/>
        <v>6L</v>
      </c>
      <c r="E25" s="24" t="str">
        <f t="shared" si="0"/>
        <v>HKD3L6L17Y_Quote</v>
      </c>
      <c r="F25" s="24" t="str">
        <f>_xll.qlSimpleQuote(E25,,RateTickValue,Permanent,Trigger,ObjectOverwrite)</f>
        <v>HKD3L6L17Y_Quote#0003</v>
      </c>
      <c r="G25" s="23" t="str">
        <f>_xll.ohRangeRetrieveError(F25)</f>
        <v/>
      </c>
      <c r="H25" s="22"/>
      <c r="N25" s="180">
        <v>17</v>
      </c>
      <c r="O25" s="218" t="s">
        <v>31</v>
      </c>
      <c r="P25" s="217" t="str">
        <v>3L</v>
      </c>
      <c r="Q25" s="217" t="str">
        <v>6L</v>
      </c>
      <c r="R25" s="215" t="str">
        <f t="shared" si="1"/>
        <v>HKD3L6L17Y</v>
      </c>
      <c r="S25" s="178" t="str">
        <v>HKD3L6L17Y=ICAP</v>
      </c>
      <c r="T25" s="309" t="s">
        <v>151</v>
      </c>
      <c r="U25" s="309" t="s">
        <v>151</v>
      </c>
      <c r="V25" s="309" t="e">
        <f>_xll.qlMidEquivalent(T25,U25)</f>
        <v>#NUM!</v>
      </c>
      <c r="W25" s="182" t="b">
        <f t="shared" si="2"/>
        <v>0</v>
      </c>
      <c r="X25" s="315" t="e">
        <v>#VALUE!</v>
      </c>
      <c r="Y25" s="175"/>
      <c r="Z25" s="307" t="e">
        <v>#VALUE!</v>
      </c>
      <c r="AA25" s="175"/>
      <c r="AB25" s="183" t="str">
        <f t="shared" si="3"/>
        <v>HKD3L6L17Y_Quote</v>
      </c>
      <c r="AC25" s="306" t="e">
        <v>#VALUE!</v>
      </c>
      <c r="AD25" s="181" t="e">
        <f>_xll.qlSimpleQuoteSetValue($AB25,ROUND($AC25/10000,6),Trigger)</f>
        <v>#NUM!</v>
      </c>
      <c r="AE25" s="171"/>
      <c r="AF25" s="205"/>
      <c r="AG25" s="205"/>
      <c r="AH25" s="205"/>
      <c r="AI25" s="205"/>
      <c r="AJ25" s="205" t="str">
        <f t="shared" si="4"/>
        <v>17Y</v>
      </c>
      <c r="AK25" s="312" t="e">
        <f>((#REF!-Swap3M!U25)*100-AC25)/10000</f>
        <v>#REF!</v>
      </c>
      <c r="AL25" s="205"/>
    </row>
    <row r="26" spans="1:38" x14ac:dyDescent="0.2">
      <c r="A26" s="28"/>
      <c r="B26" s="27" t="s">
        <v>30</v>
      </c>
      <c r="C26" s="26" t="str">
        <f t="shared" si="5"/>
        <v>3L</v>
      </c>
      <c r="D26" s="25" t="str">
        <f t="shared" si="6"/>
        <v>6L</v>
      </c>
      <c r="E26" s="24" t="str">
        <f t="shared" si="0"/>
        <v>HKD3L6L18Y_Quote</v>
      </c>
      <c r="F26" s="24" t="str">
        <f>_xll.qlSimpleQuote(E26,,RateTickValue,Permanent,Trigger,ObjectOverwrite)</f>
        <v>HKD3L6L18Y_Quote#0003</v>
      </c>
      <c r="G26" s="23" t="str">
        <f>_xll.ohRangeRetrieveError(F26)</f>
        <v/>
      </c>
      <c r="H26" s="22"/>
      <c r="N26" s="180">
        <v>18</v>
      </c>
      <c r="O26" s="218" t="s">
        <v>30</v>
      </c>
      <c r="P26" s="217" t="str">
        <v>3L</v>
      </c>
      <c r="Q26" s="217" t="str">
        <v>6L</v>
      </c>
      <c r="R26" s="215" t="str">
        <f t="shared" si="1"/>
        <v>HKD3L6L18Y</v>
      </c>
      <c r="S26" s="178" t="str">
        <v>HKD3L6L18Y=ICAP</v>
      </c>
      <c r="T26" s="309" t="s">
        <v>151</v>
      </c>
      <c r="U26" s="309" t="s">
        <v>151</v>
      </c>
      <c r="V26" s="309" t="e">
        <f>_xll.qlMidEquivalent(T26,U26)</f>
        <v>#NUM!</v>
      </c>
      <c r="W26" s="182" t="b">
        <f t="shared" si="2"/>
        <v>0</v>
      </c>
      <c r="X26" s="315" t="e">
        <v>#VALUE!</v>
      </c>
      <c r="Y26" s="175"/>
      <c r="Z26" s="307" t="e">
        <v>#VALUE!</v>
      </c>
      <c r="AA26" s="175"/>
      <c r="AB26" s="183" t="str">
        <f t="shared" si="3"/>
        <v>HKD3L6L18Y_Quote</v>
      </c>
      <c r="AC26" s="306" t="e">
        <v>#VALUE!</v>
      </c>
      <c r="AD26" s="181" t="e">
        <f>_xll.qlSimpleQuoteSetValue($AB26,ROUND($AC26/10000,6),Trigger)</f>
        <v>#NUM!</v>
      </c>
      <c r="AE26" s="171"/>
      <c r="AF26" s="205"/>
      <c r="AG26" s="205"/>
      <c r="AH26" s="205"/>
      <c r="AI26" s="205"/>
      <c r="AJ26" s="205" t="str">
        <f t="shared" si="4"/>
        <v>18Y</v>
      </c>
      <c r="AK26" s="312" t="e">
        <f>((#REF!-Swap3M!U26)*100-AC26)/10000</f>
        <v>#REF!</v>
      </c>
      <c r="AL26" s="205"/>
    </row>
    <row r="27" spans="1:38" x14ac:dyDescent="0.2">
      <c r="A27" s="28"/>
      <c r="B27" s="27" t="s">
        <v>29</v>
      </c>
      <c r="C27" s="26" t="str">
        <f t="shared" si="5"/>
        <v>3L</v>
      </c>
      <c r="D27" s="25" t="str">
        <f t="shared" si="6"/>
        <v>6L</v>
      </c>
      <c r="E27" s="24" t="str">
        <f t="shared" si="0"/>
        <v>HKD3L6L19Y_Quote</v>
      </c>
      <c r="F27" s="24" t="str">
        <f>_xll.qlSimpleQuote(E27,,RateTickValue,Permanent,Trigger,ObjectOverwrite)</f>
        <v>HKD3L6L19Y_Quote#0003</v>
      </c>
      <c r="G27" s="23" t="str">
        <f>_xll.ohRangeRetrieveError(F27)</f>
        <v/>
      </c>
      <c r="H27" s="22"/>
      <c r="N27" s="180">
        <v>19</v>
      </c>
      <c r="O27" s="218" t="s">
        <v>29</v>
      </c>
      <c r="P27" s="217" t="str">
        <v>3L</v>
      </c>
      <c r="Q27" s="217" t="str">
        <v>6L</v>
      </c>
      <c r="R27" s="215" t="str">
        <f t="shared" si="1"/>
        <v>HKD3L6L19Y</v>
      </c>
      <c r="S27" s="178" t="str">
        <v>HKD3L6L19Y=ICAP</v>
      </c>
      <c r="T27" s="309" t="s">
        <v>151</v>
      </c>
      <c r="U27" s="309" t="s">
        <v>151</v>
      </c>
      <c r="V27" s="309" t="e">
        <f>_xll.qlMidEquivalent(T27,U27)</f>
        <v>#NUM!</v>
      </c>
      <c r="W27" s="182" t="b">
        <f t="shared" si="2"/>
        <v>0</v>
      </c>
      <c r="X27" s="315" t="e">
        <v>#VALUE!</v>
      </c>
      <c r="Y27" s="175"/>
      <c r="Z27" s="307" t="e">
        <v>#VALUE!</v>
      </c>
      <c r="AA27" s="175"/>
      <c r="AB27" s="183" t="str">
        <f t="shared" si="3"/>
        <v>HKD3L6L19Y_Quote</v>
      </c>
      <c r="AC27" s="306" t="e">
        <v>#VALUE!</v>
      </c>
      <c r="AD27" s="181" t="e">
        <f>_xll.qlSimpleQuoteSetValue($AB27,ROUND($AC27/10000,6),Trigger)</f>
        <v>#NUM!</v>
      </c>
      <c r="AE27" s="171"/>
      <c r="AF27" s="205"/>
      <c r="AG27" s="205"/>
      <c r="AH27" s="205"/>
      <c r="AI27" s="205"/>
      <c r="AJ27" s="205" t="str">
        <f t="shared" si="4"/>
        <v>19Y</v>
      </c>
      <c r="AK27" s="312" t="e">
        <f>((#REF!-Swap3M!U27)*100-AC27)/10000</f>
        <v>#REF!</v>
      </c>
      <c r="AL27" s="205"/>
    </row>
    <row r="28" spans="1:38" x14ac:dyDescent="0.2">
      <c r="A28" s="28"/>
      <c r="B28" s="27" t="s">
        <v>28</v>
      </c>
      <c r="C28" s="26" t="str">
        <f t="shared" si="5"/>
        <v>3L</v>
      </c>
      <c r="D28" s="25" t="str">
        <f t="shared" si="6"/>
        <v>6L</v>
      </c>
      <c r="E28" s="24" t="str">
        <f t="shared" si="0"/>
        <v>HKD3L6L20Y_Quote</v>
      </c>
      <c r="F28" s="24" t="str">
        <f>_xll.qlSimpleQuote(E28,,RateTickValue,Permanent,Trigger,ObjectOverwrite)</f>
        <v>HKD3L6L20Y_Quote#0003</v>
      </c>
      <c r="G28" s="23" t="str">
        <f>_xll.ohRangeRetrieveError(F28)</f>
        <v/>
      </c>
      <c r="H28" s="22"/>
      <c r="N28" s="180">
        <v>20</v>
      </c>
      <c r="O28" s="218" t="s">
        <v>28</v>
      </c>
      <c r="P28" s="217" t="str">
        <v>3L</v>
      </c>
      <c r="Q28" s="217" t="str">
        <v>6L</v>
      </c>
      <c r="R28" s="215" t="str">
        <f t="shared" si="1"/>
        <v>HKD3L6L20Y</v>
      </c>
      <c r="S28" s="178" t="str">
        <v>HKD3L6L20Y=ICAP</v>
      </c>
      <c r="T28" s="309" t="s">
        <v>151</v>
      </c>
      <c r="U28" s="309" t="s">
        <v>151</v>
      </c>
      <c r="V28" s="309" t="e">
        <f>_xll.qlMidEquivalent(T28,U28)</f>
        <v>#NUM!</v>
      </c>
      <c r="W28" s="182" t="b">
        <f t="shared" si="2"/>
        <v>0</v>
      </c>
      <c r="X28" s="315" t="e">
        <v>#VALUE!</v>
      </c>
      <c r="Y28" s="175"/>
      <c r="Z28" s="307" t="e">
        <v>#VALUE!</v>
      </c>
      <c r="AA28" s="175"/>
      <c r="AB28" s="183" t="str">
        <f t="shared" si="3"/>
        <v>HKD3L6L20Y_Quote</v>
      </c>
      <c r="AC28" s="306" t="e">
        <v>#VALUE!</v>
      </c>
      <c r="AD28" s="181" t="e">
        <f>_xll.qlSimpleQuoteSetValue($AB28,ROUND($AC28/10000,6),Trigger)</f>
        <v>#NUM!</v>
      </c>
      <c r="AE28" s="171"/>
      <c r="AF28" s="205"/>
      <c r="AG28" s="205"/>
      <c r="AH28" s="205"/>
      <c r="AI28" s="205"/>
      <c r="AJ28" s="205" t="str">
        <f t="shared" si="4"/>
        <v>20Y</v>
      </c>
      <c r="AK28" s="312" t="e">
        <f>((#REF!-Swap3M!U28)*100-AC28)/10000</f>
        <v>#REF!</v>
      </c>
      <c r="AL28" s="205"/>
    </row>
    <row r="29" spans="1:38" x14ac:dyDescent="0.2">
      <c r="A29" s="28"/>
      <c r="B29" s="27" t="s">
        <v>27</v>
      </c>
      <c r="C29" s="26" t="str">
        <f t="shared" si="5"/>
        <v>3L</v>
      </c>
      <c r="D29" s="25" t="str">
        <f t="shared" si="6"/>
        <v>6L</v>
      </c>
      <c r="E29" s="24" t="str">
        <f t="shared" si="0"/>
        <v>HKD3L6L21Y_Quote</v>
      </c>
      <c r="F29" s="24" t="str">
        <f>_xll.qlSimpleQuote(E29,,RateTickValue,Permanent,Trigger,ObjectOverwrite)</f>
        <v>HKD3L6L21Y_Quote#0003</v>
      </c>
      <c r="G29" s="23" t="str">
        <f>_xll.ohRangeRetrieveError(F29)</f>
        <v/>
      </c>
      <c r="H29" s="22"/>
      <c r="N29" s="180">
        <v>21</v>
      </c>
      <c r="O29" s="218" t="s">
        <v>27</v>
      </c>
      <c r="P29" s="217" t="str">
        <v>3L</v>
      </c>
      <c r="Q29" s="217" t="str">
        <v>6L</v>
      </c>
      <c r="R29" s="215" t="str">
        <f t="shared" si="1"/>
        <v>HKD3L6L21Y</v>
      </c>
      <c r="S29" s="178" t="str">
        <v>HKD3L6L21Y=ICAP</v>
      </c>
      <c r="T29" s="309" t="s">
        <v>151</v>
      </c>
      <c r="U29" s="309" t="s">
        <v>151</v>
      </c>
      <c r="V29" s="309" t="e">
        <f>_xll.qlMidEquivalent(T29,U29)</f>
        <v>#NUM!</v>
      </c>
      <c r="W29" s="182" t="b">
        <f t="shared" si="2"/>
        <v>0</v>
      </c>
      <c r="X29" s="315" t="e">
        <v>#VALUE!</v>
      </c>
      <c r="Y29" s="175"/>
      <c r="Z29" s="307" t="e">
        <v>#VALUE!</v>
      </c>
      <c r="AA29" s="175"/>
      <c r="AB29" s="183" t="str">
        <f t="shared" si="3"/>
        <v>HKD3L6L21Y_Quote</v>
      </c>
      <c r="AC29" s="306" t="e">
        <v>#VALUE!</v>
      </c>
      <c r="AD29" s="181" t="e">
        <f>_xll.qlSimpleQuoteSetValue($AB29,ROUND($AC29/10000,6),Trigger)</f>
        <v>#NUM!</v>
      </c>
      <c r="AE29" s="171"/>
      <c r="AF29" s="205"/>
      <c r="AG29" s="205"/>
      <c r="AH29" s="205"/>
      <c r="AI29" s="205"/>
      <c r="AJ29" s="205" t="str">
        <f t="shared" si="4"/>
        <v>21Y</v>
      </c>
      <c r="AK29" s="312" t="e">
        <f>((#REF!-Swap3M!U29)*100-AC29)/10000</f>
        <v>#REF!</v>
      </c>
      <c r="AL29" s="205"/>
    </row>
    <row r="30" spans="1:38" x14ac:dyDescent="0.2">
      <c r="A30" s="28"/>
      <c r="B30" s="27" t="s">
        <v>26</v>
      </c>
      <c r="C30" s="26" t="str">
        <f t="shared" si="5"/>
        <v>3L</v>
      </c>
      <c r="D30" s="25" t="str">
        <f t="shared" si="6"/>
        <v>6L</v>
      </c>
      <c r="E30" s="24" t="str">
        <f t="shared" si="0"/>
        <v>HKD3L6L22Y_Quote</v>
      </c>
      <c r="F30" s="24" t="str">
        <f>_xll.qlSimpleQuote(E30,,RateTickValue,Permanent,Trigger,ObjectOverwrite)</f>
        <v>HKD3L6L22Y_Quote#0003</v>
      </c>
      <c r="G30" s="23" t="str">
        <f>_xll.ohRangeRetrieveError(F30)</f>
        <v/>
      </c>
      <c r="H30" s="22"/>
      <c r="N30" s="180">
        <v>22</v>
      </c>
      <c r="O30" s="218" t="s">
        <v>26</v>
      </c>
      <c r="P30" s="217" t="str">
        <v>3L</v>
      </c>
      <c r="Q30" s="217" t="str">
        <v>6L</v>
      </c>
      <c r="R30" s="215" t="str">
        <f t="shared" si="1"/>
        <v>HKD3L6L22Y</v>
      </c>
      <c r="S30" s="178" t="str">
        <v>HKD3L6L22Y=ICAP</v>
      </c>
      <c r="T30" s="309" t="s">
        <v>151</v>
      </c>
      <c r="U30" s="309" t="s">
        <v>151</v>
      </c>
      <c r="V30" s="309" t="e">
        <f>_xll.qlMidEquivalent(T30,U30)</f>
        <v>#NUM!</v>
      </c>
      <c r="W30" s="182" t="b">
        <f t="shared" si="2"/>
        <v>0</v>
      </c>
      <c r="X30" s="315" t="e">
        <v>#VALUE!</v>
      </c>
      <c r="Y30" s="175"/>
      <c r="Z30" s="307" t="e">
        <v>#VALUE!</v>
      </c>
      <c r="AA30" s="175"/>
      <c r="AB30" s="183" t="str">
        <f t="shared" si="3"/>
        <v>HKD3L6L22Y_Quote</v>
      </c>
      <c r="AC30" s="306" t="e">
        <v>#VALUE!</v>
      </c>
      <c r="AD30" s="181" t="e">
        <f>_xll.qlSimpleQuoteSetValue($AB30,ROUND($AC30/10000,6),Trigger)</f>
        <v>#NUM!</v>
      </c>
      <c r="AE30" s="171"/>
      <c r="AF30" s="205"/>
      <c r="AG30" s="205"/>
      <c r="AH30" s="205"/>
      <c r="AI30" s="205"/>
      <c r="AJ30" s="205" t="str">
        <f t="shared" si="4"/>
        <v>22Y</v>
      </c>
      <c r="AK30" s="312" t="e">
        <f>((#REF!-Swap3M!U30)*100-AC30)/10000</f>
        <v>#REF!</v>
      </c>
      <c r="AL30" s="205"/>
    </row>
    <row r="31" spans="1:38" x14ac:dyDescent="0.2">
      <c r="A31" s="28"/>
      <c r="B31" s="27" t="s">
        <v>25</v>
      </c>
      <c r="C31" s="26" t="str">
        <f t="shared" si="5"/>
        <v>3L</v>
      </c>
      <c r="D31" s="25" t="str">
        <f t="shared" si="6"/>
        <v>6L</v>
      </c>
      <c r="E31" s="24" t="str">
        <f t="shared" si="0"/>
        <v>HKD3L6L23Y_Quote</v>
      </c>
      <c r="F31" s="24" t="str">
        <f>_xll.qlSimpleQuote(E31,,RateTickValue,Permanent,Trigger,ObjectOverwrite)</f>
        <v>HKD3L6L23Y_Quote#0003</v>
      </c>
      <c r="G31" s="23" t="str">
        <f>_xll.ohRangeRetrieveError(F31)</f>
        <v/>
      </c>
      <c r="H31" s="22"/>
      <c r="N31" s="180">
        <v>23</v>
      </c>
      <c r="O31" s="218" t="s">
        <v>25</v>
      </c>
      <c r="P31" s="217" t="str">
        <v>3L</v>
      </c>
      <c r="Q31" s="217" t="str">
        <v>6L</v>
      </c>
      <c r="R31" s="215" t="str">
        <f t="shared" si="1"/>
        <v>HKD3L6L23Y</v>
      </c>
      <c r="S31" s="178" t="str">
        <v>HKD3L6L23Y=ICAP</v>
      </c>
      <c r="T31" s="309" t="s">
        <v>151</v>
      </c>
      <c r="U31" s="309" t="s">
        <v>151</v>
      </c>
      <c r="V31" s="309" t="e">
        <f>_xll.qlMidEquivalent(T31,U31)</f>
        <v>#NUM!</v>
      </c>
      <c r="W31" s="182" t="b">
        <f t="shared" si="2"/>
        <v>0</v>
      </c>
      <c r="X31" s="315" t="e">
        <v>#VALUE!</v>
      </c>
      <c r="Y31" s="175"/>
      <c r="Z31" s="307" t="e">
        <v>#VALUE!</v>
      </c>
      <c r="AA31" s="175"/>
      <c r="AB31" s="183" t="str">
        <f t="shared" si="3"/>
        <v>HKD3L6L23Y_Quote</v>
      </c>
      <c r="AC31" s="306" t="e">
        <v>#VALUE!</v>
      </c>
      <c r="AD31" s="181" t="e">
        <f>_xll.qlSimpleQuoteSetValue($AB31,ROUND($AC31/10000,6),Trigger)</f>
        <v>#NUM!</v>
      </c>
      <c r="AE31" s="171"/>
      <c r="AF31" s="205"/>
      <c r="AG31" s="205"/>
      <c r="AH31" s="205"/>
      <c r="AI31" s="205"/>
      <c r="AJ31" s="205" t="str">
        <f t="shared" si="4"/>
        <v>23Y</v>
      </c>
      <c r="AK31" s="312" t="e">
        <f>((#REF!-Swap3M!U31)*100-AC31)/10000</f>
        <v>#REF!</v>
      </c>
      <c r="AL31" s="205"/>
    </row>
    <row r="32" spans="1:38" x14ac:dyDescent="0.2">
      <c r="A32" s="28"/>
      <c r="B32" s="27" t="s">
        <v>24</v>
      </c>
      <c r="C32" s="26" t="str">
        <f t="shared" si="5"/>
        <v>3L</v>
      </c>
      <c r="D32" s="25" t="str">
        <f t="shared" si="6"/>
        <v>6L</v>
      </c>
      <c r="E32" s="24" t="str">
        <f t="shared" si="0"/>
        <v>HKD3L6L24Y_Quote</v>
      </c>
      <c r="F32" s="24" t="str">
        <f>_xll.qlSimpleQuote(E32,,RateTickValue,Permanent,Trigger,ObjectOverwrite)</f>
        <v>HKD3L6L24Y_Quote#0003</v>
      </c>
      <c r="G32" s="23" t="str">
        <f>_xll.ohRangeRetrieveError(F32)</f>
        <v/>
      </c>
      <c r="H32" s="22"/>
      <c r="N32" s="180">
        <v>24</v>
      </c>
      <c r="O32" s="218" t="s">
        <v>24</v>
      </c>
      <c r="P32" s="217" t="str">
        <v>3L</v>
      </c>
      <c r="Q32" s="217" t="str">
        <v>6L</v>
      </c>
      <c r="R32" s="215" t="str">
        <f t="shared" si="1"/>
        <v>HKD3L6L24Y</v>
      </c>
      <c r="S32" s="178" t="str">
        <v>HKD3L6L24Y=ICAP</v>
      </c>
      <c r="T32" s="309" t="s">
        <v>151</v>
      </c>
      <c r="U32" s="309" t="s">
        <v>151</v>
      </c>
      <c r="V32" s="309" t="e">
        <f>_xll.qlMidEquivalent(T32,U32)</f>
        <v>#NUM!</v>
      </c>
      <c r="W32" s="182" t="b">
        <f t="shared" si="2"/>
        <v>0</v>
      </c>
      <c r="X32" s="315" t="e">
        <v>#VALUE!</v>
      </c>
      <c r="Y32" s="175"/>
      <c r="Z32" s="307" t="e">
        <v>#VALUE!</v>
      </c>
      <c r="AA32" s="175"/>
      <c r="AB32" s="183" t="str">
        <f t="shared" si="3"/>
        <v>HKD3L6L24Y_Quote</v>
      </c>
      <c r="AC32" s="306" t="e">
        <v>#VALUE!</v>
      </c>
      <c r="AD32" s="181" t="e">
        <f>_xll.qlSimpleQuoteSetValue($AB32,ROUND($AC32/10000,6),Trigger)</f>
        <v>#NUM!</v>
      </c>
      <c r="AE32" s="171"/>
      <c r="AF32" s="205"/>
      <c r="AG32" s="205"/>
      <c r="AH32" s="205"/>
      <c r="AI32" s="205"/>
      <c r="AJ32" s="205" t="str">
        <f t="shared" si="4"/>
        <v>24Y</v>
      </c>
      <c r="AK32" s="312" t="e">
        <f>((#REF!-Swap3M!U32)*100-AC32)/10000</f>
        <v>#REF!</v>
      </c>
      <c r="AL32" s="205"/>
    </row>
    <row r="33" spans="1:38" x14ac:dyDescent="0.2">
      <c r="A33" s="28"/>
      <c r="B33" s="27" t="s">
        <v>23</v>
      </c>
      <c r="C33" s="26" t="str">
        <f t="shared" si="5"/>
        <v>3L</v>
      </c>
      <c r="D33" s="25" t="str">
        <f t="shared" si="6"/>
        <v>6L</v>
      </c>
      <c r="E33" s="24" t="str">
        <f t="shared" si="0"/>
        <v>HKD3L6L25Y_Quote</v>
      </c>
      <c r="F33" s="24" t="str">
        <f>_xll.qlSimpleQuote(E33,,RateTickValue,Permanent,Trigger,ObjectOverwrite)</f>
        <v>HKD3L6L25Y_Quote#0003</v>
      </c>
      <c r="G33" s="23" t="str">
        <f>_xll.ohRangeRetrieveError(F33)</f>
        <v/>
      </c>
      <c r="H33" s="22"/>
      <c r="N33" s="180">
        <v>25</v>
      </c>
      <c r="O33" s="218" t="s">
        <v>23</v>
      </c>
      <c r="P33" s="217" t="str">
        <v>3L</v>
      </c>
      <c r="Q33" s="217" t="str">
        <v>6L</v>
      </c>
      <c r="R33" s="215" t="str">
        <f t="shared" si="1"/>
        <v>HKD3L6L25Y</v>
      </c>
      <c r="S33" s="178" t="str">
        <v>HKD3L6L25Y=ICAP</v>
      </c>
      <c r="T33" s="309" t="s">
        <v>151</v>
      </c>
      <c r="U33" s="309" t="s">
        <v>151</v>
      </c>
      <c r="V33" s="309" t="e">
        <f>_xll.qlMidEquivalent(T33,U33)</f>
        <v>#NUM!</v>
      </c>
      <c r="W33" s="182" t="b">
        <f t="shared" si="2"/>
        <v>0</v>
      </c>
      <c r="X33" s="315" t="e">
        <v>#VALUE!</v>
      </c>
      <c r="Y33" s="175"/>
      <c r="Z33" s="307" t="e">
        <v>#VALUE!</v>
      </c>
      <c r="AA33" s="175"/>
      <c r="AB33" s="183" t="str">
        <f t="shared" si="3"/>
        <v>HKD3L6L25Y_Quote</v>
      </c>
      <c r="AC33" s="306" t="e">
        <v>#VALUE!</v>
      </c>
      <c r="AD33" s="181" t="e">
        <f>_xll.qlSimpleQuoteSetValue($AB33,ROUND($AC33/10000,6),Trigger)</f>
        <v>#NUM!</v>
      </c>
      <c r="AE33" s="171"/>
      <c r="AF33" s="205"/>
      <c r="AG33" s="205"/>
      <c r="AH33" s="205"/>
      <c r="AI33" s="205"/>
      <c r="AJ33" s="205" t="str">
        <f t="shared" si="4"/>
        <v>25Y</v>
      </c>
      <c r="AK33" s="312" t="e">
        <f>((#REF!-Swap3M!#REF!)*100-AC33)/10000</f>
        <v>#REF!</v>
      </c>
      <c r="AL33" s="205"/>
    </row>
    <row r="34" spans="1:38" x14ac:dyDescent="0.2">
      <c r="A34" s="28"/>
      <c r="B34" s="27" t="s">
        <v>22</v>
      </c>
      <c r="C34" s="26" t="str">
        <f t="shared" si="5"/>
        <v>3L</v>
      </c>
      <c r="D34" s="25" t="str">
        <f t="shared" si="6"/>
        <v>6L</v>
      </c>
      <c r="E34" s="24" t="str">
        <f t="shared" si="0"/>
        <v>HKD3L6L26Y_Quote</v>
      </c>
      <c r="F34" s="24" t="str">
        <f>_xll.qlSimpleQuote(E34,,RateTickValue,Permanent,Trigger,ObjectOverwrite)</f>
        <v>HKD3L6L26Y_Quote#0003</v>
      </c>
      <c r="G34" s="23" t="str">
        <f>_xll.ohRangeRetrieveError(F34)</f>
        <v/>
      </c>
      <c r="H34" s="22"/>
      <c r="N34" s="180">
        <v>26</v>
      </c>
      <c r="O34" s="218" t="s">
        <v>22</v>
      </c>
      <c r="P34" s="217" t="str">
        <v>3L</v>
      </c>
      <c r="Q34" s="217" t="str">
        <v>6L</v>
      </c>
      <c r="R34" s="215" t="str">
        <f t="shared" si="1"/>
        <v>HKD3L6L26Y</v>
      </c>
      <c r="S34" s="178" t="str">
        <v>HKD3L6L26Y=ICAP</v>
      </c>
      <c r="T34" s="309" t="s">
        <v>151</v>
      </c>
      <c r="U34" s="309" t="s">
        <v>151</v>
      </c>
      <c r="V34" s="309" t="e">
        <f>_xll.qlMidEquivalent(T34,U34)</f>
        <v>#NUM!</v>
      </c>
      <c r="W34" s="182" t="b">
        <f t="shared" si="2"/>
        <v>0</v>
      </c>
      <c r="X34" s="315" t="e">
        <v>#VALUE!</v>
      </c>
      <c r="Y34" s="175"/>
      <c r="Z34" s="307" t="e">
        <v>#VALUE!</v>
      </c>
      <c r="AA34" s="175"/>
      <c r="AB34" s="183" t="str">
        <f t="shared" si="3"/>
        <v>HKD3L6L26Y_Quote</v>
      </c>
      <c r="AC34" s="306" t="e">
        <v>#VALUE!</v>
      </c>
      <c r="AD34" s="181" t="e">
        <f>_xll.qlSimpleQuoteSetValue($AB34,ROUND($AC34/10000,6),Trigger)</f>
        <v>#NUM!</v>
      </c>
      <c r="AE34" s="171"/>
      <c r="AF34" s="205"/>
      <c r="AG34" s="205"/>
      <c r="AH34" s="205"/>
      <c r="AI34" s="205"/>
      <c r="AJ34" s="205" t="str">
        <f t="shared" si="4"/>
        <v>26Y</v>
      </c>
      <c r="AK34" s="312" t="e">
        <f>((#REF!-Swap3M!#REF!)*100-AC34)/10000</f>
        <v>#REF!</v>
      </c>
      <c r="AL34" s="205"/>
    </row>
    <row r="35" spans="1:38" x14ac:dyDescent="0.2">
      <c r="A35" s="28"/>
      <c r="B35" s="27" t="s">
        <v>21</v>
      </c>
      <c r="C35" s="26" t="str">
        <f t="shared" si="5"/>
        <v>3L</v>
      </c>
      <c r="D35" s="25" t="str">
        <f t="shared" si="6"/>
        <v>6L</v>
      </c>
      <c r="E35" s="24" t="str">
        <f t="shared" si="0"/>
        <v>HKD3L6L27Y_Quote</v>
      </c>
      <c r="F35" s="24" t="str">
        <f>_xll.qlSimpleQuote(E35,,RateTickValue,Permanent,Trigger,ObjectOverwrite)</f>
        <v>HKD3L6L27Y_Quote#0003</v>
      </c>
      <c r="G35" s="23" t="str">
        <f>_xll.ohRangeRetrieveError(F35)</f>
        <v/>
      </c>
      <c r="H35" s="22"/>
      <c r="N35" s="180">
        <v>27</v>
      </c>
      <c r="O35" s="218" t="s">
        <v>21</v>
      </c>
      <c r="P35" s="217" t="str">
        <v>3L</v>
      </c>
      <c r="Q35" s="217" t="str">
        <v>6L</v>
      </c>
      <c r="R35" s="215" t="str">
        <f t="shared" si="1"/>
        <v>HKD3L6L27Y</v>
      </c>
      <c r="S35" s="178" t="str">
        <v>HKD3L6L27Y=ICAP</v>
      </c>
      <c r="T35" s="309" t="s">
        <v>151</v>
      </c>
      <c r="U35" s="309" t="s">
        <v>151</v>
      </c>
      <c r="V35" s="309" t="e">
        <f>_xll.qlMidEquivalent(T35,U35)</f>
        <v>#NUM!</v>
      </c>
      <c r="W35" s="182" t="b">
        <f t="shared" si="2"/>
        <v>0</v>
      </c>
      <c r="X35" s="315" t="e">
        <v>#VALUE!</v>
      </c>
      <c r="Y35" s="175"/>
      <c r="Z35" s="307" t="e">
        <v>#VALUE!</v>
      </c>
      <c r="AA35" s="175"/>
      <c r="AB35" s="183" t="str">
        <f t="shared" si="3"/>
        <v>HKD3L6L27Y_Quote</v>
      </c>
      <c r="AC35" s="306" t="e">
        <v>#VALUE!</v>
      </c>
      <c r="AD35" s="181" t="e">
        <f>_xll.qlSimpleQuoteSetValue($AB35,ROUND($AC35/10000,6),Trigger)</f>
        <v>#NUM!</v>
      </c>
      <c r="AE35" s="171"/>
      <c r="AF35" s="205"/>
      <c r="AG35" s="205"/>
      <c r="AH35" s="205"/>
      <c r="AI35" s="205"/>
      <c r="AJ35" s="205" t="str">
        <f t="shared" si="4"/>
        <v>27Y</v>
      </c>
      <c r="AK35" s="312" t="e">
        <f>((#REF!-Swap3M!#REF!)*100-AC35)/10000</f>
        <v>#REF!</v>
      </c>
      <c r="AL35" s="205"/>
    </row>
    <row r="36" spans="1:38" x14ac:dyDescent="0.2">
      <c r="A36" s="28"/>
      <c r="B36" s="27" t="s">
        <v>20</v>
      </c>
      <c r="C36" s="26" t="str">
        <f t="shared" si="5"/>
        <v>3L</v>
      </c>
      <c r="D36" s="25" t="str">
        <f t="shared" si="6"/>
        <v>6L</v>
      </c>
      <c r="E36" s="24" t="str">
        <f t="shared" si="0"/>
        <v>HKD3L6L28Y_Quote</v>
      </c>
      <c r="F36" s="24" t="str">
        <f>_xll.qlSimpleQuote(E36,,RateTickValue,Permanent,Trigger,ObjectOverwrite)</f>
        <v>HKD3L6L28Y_Quote#0003</v>
      </c>
      <c r="G36" s="23" t="str">
        <f>_xll.ohRangeRetrieveError(F36)</f>
        <v/>
      </c>
      <c r="H36" s="22"/>
      <c r="N36" s="180">
        <v>28</v>
      </c>
      <c r="O36" s="218" t="s">
        <v>20</v>
      </c>
      <c r="P36" s="217" t="str">
        <v>3L</v>
      </c>
      <c r="Q36" s="217" t="str">
        <v>6L</v>
      </c>
      <c r="R36" s="215" t="str">
        <f t="shared" si="1"/>
        <v>HKD3L6L28Y</v>
      </c>
      <c r="S36" s="178" t="str">
        <v>HKD3L6L28Y=ICAP</v>
      </c>
      <c r="T36" s="309" t="s">
        <v>151</v>
      </c>
      <c r="U36" s="309" t="s">
        <v>151</v>
      </c>
      <c r="V36" s="309" t="e">
        <f>_xll.qlMidEquivalent(T36,U36)</f>
        <v>#NUM!</v>
      </c>
      <c r="W36" s="182" t="b">
        <f t="shared" si="2"/>
        <v>0</v>
      </c>
      <c r="X36" s="315" t="e">
        <v>#VALUE!</v>
      </c>
      <c r="Y36" s="175"/>
      <c r="Z36" s="307" t="e">
        <v>#VALUE!</v>
      </c>
      <c r="AA36" s="175"/>
      <c r="AB36" s="183" t="str">
        <f t="shared" si="3"/>
        <v>HKD3L6L28Y_Quote</v>
      </c>
      <c r="AC36" s="306" t="e">
        <v>#VALUE!</v>
      </c>
      <c r="AD36" s="181" t="e">
        <f>_xll.qlSimpleQuoteSetValue($AB36,ROUND($AC36/10000,6),Trigger)</f>
        <v>#NUM!</v>
      </c>
      <c r="AE36" s="171"/>
      <c r="AF36" s="205"/>
      <c r="AG36" s="205"/>
      <c r="AH36" s="205"/>
      <c r="AI36" s="205"/>
      <c r="AJ36" s="205" t="str">
        <f t="shared" si="4"/>
        <v>28Y</v>
      </c>
      <c r="AK36" s="312" t="e">
        <f>((#REF!-Swap3M!#REF!)*100-AC36)/10000</f>
        <v>#REF!</v>
      </c>
      <c r="AL36" s="205"/>
    </row>
    <row r="37" spans="1:38" x14ac:dyDescent="0.2">
      <c r="A37" s="28"/>
      <c r="B37" s="27" t="s">
        <v>19</v>
      </c>
      <c r="C37" s="26" t="str">
        <f t="shared" si="5"/>
        <v>3L</v>
      </c>
      <c r="D37" s="25" t="str">
        <f t="shared" si="6"/>
        <v>6L</v>
      </c>
      <c r="E37" s="24" t="str">
        <f t="shared" si="0"/>
        <v>HKD3L6L29Y_Quote</v>
      </c>
      <c r="F37" s="24" t="str">
        <f>_xll.qlSimpleQuote(E37,,RateTickValue,Permanent,Trigger,ObjectOverwrite)</f>
        <v>HKD3L6L29Y_Quote#0003</v>
      </c>
      <c r="G37" s="23" t="str">
        <f>_xll.ohRangeRetrieveError(F37)</f>
        <v/>
      </c>
      <c r="H37" s="22"/>
      <c r="N37" s="180">
        <v>29</v>
      </c>
      <c r="O37" s="218" t="s">
        <v>19</v>
      </c>
      <c r="P37" s="217" t="str">
        <v>3L</v>
      </c>
      <c r="Q37" s="217" t="str">
        <v>6L</v>
      </c>
      <c r="R37" s="215" t="str">
        <f t="shared" si="1"/>
        <v>HKD3L6L29Y</v>
      </c>
      <c r="S37" s="178" t="str">
        <v>HKD3L6L29Y=ICAP</v>
      </c>
      <c r="T37" s="309" t="s">
        <v>151</v>
      </c>
      <c r="U37" s="309" t="s">
        <v>151</v>
      </c>
      <c r="V37" s="309" t="e">
        <f>_xll.qlMidEquivalent(T37,U37)</f>
        <v>#NUM!</v>
      </c>
      <c r="W37" s="182" t="b">
        <f t="shared" si="2"/>
        <v>0</v>
      </c>
      <c r="X37" s="315" t="e">
        <v>#VALUE!</v>
      </c>
      <c r="Y37" s="175"/>
      <c r="Z37" s="307" t="e">
        <v>#VALUE!</v>
      </c>
      <c r="AA37" s="175"/>
      <c r="AB37" s="183" t="str">
        <f t="shared" si="3"/>
        <v>HKD3L6L29Y_Quote</v>
      </c>
      <c r="AC37" s="306" t="e">
        <v>#VALUE!</v>
      </c>
      <c r="AD37" s="181" t="e">
        <f>_xll.qlSimpleQuoteSetValue($AB37,ROUND($AC37/10000,6),Trigger)</f>
        <v>#NUM!</v>
      </c>
      <c r="AE37" s="171"/>
      <c r="AF37" s="205"/>
      <c r="AG37" s="205"/>
      <c r="AH37" s="205"/>
      <c r="AI37" s="205"/>
      <c r="AJ37" s="205" t="str">
        <f t="shared" si="4"/>
        <v>29Y</v>
      </c>
      <c r="AK37" s="312" t="e">
        <f>((#REF!-Swap3M!#REF!)*100-AC37)/10000</f>
        <v>#REF!</v>
      </c>
      <c r="AL37" s="205"/>
    </row>
    <row r="38" spans="1:38" x14ac:dyDescent="0.2">
      <c r="A38" s="28"/>
      <c r="B38" s="27" t="s">
        <v>18</v>
      </c>
      <c r="C38" s="26" t="str">
        <f t="shared" si="5"/>
        <v>3L</v>
      </c>
      <c r="D38" s="25" t="str">
        <f t="shared" si="6"/>
        <v>6L</v>
      </c>
      <c r="E38" s="24" t="str">
        <f t="shared" si="0"/>
        <v>HKD3L6L30Y_Quote</v>
      </c>
      <c r="F38" s="24" t="str">
        <f>_xll.qlSimpleQuote(E38,,RateTickValue,Permanent,Trigger,ObjectOverwrite)</f>
        <v>HKD3L6L30Y_Quote#0003</v>
      </c>
      <c r="G38" s="23" t="str">
        <f>_xll.ohRangeRetrieveError(F38)</f>
        <v/>
      </c>
      <c r="H38" s="22"/>
      <c r="N38" s="180">
        <v>30</v>
      </c>
      <c r="O38" s="218" t="s">
        <v>18</v>
      </c>
      <c r="P38" s="217" t="str">
        <v>3L</v>
      </c>
      <c r="Q38" s="217" t="str">
        <v>6L</v>
      </c>
      <c r="R38" s="215" t="str">
        <f t="shared" si="1"/>
        <v>HKD3L6L30Y</v>
      </c>
      <c r="S38" s="178" t="str">
        <v>HKD3L6L30Y=ICAP</v>
      </c>
      <c r="T38" s="309" t="s">
        <v>151</v>
      </c>
      <c r="U38" s="309" t="s">
        <v>151</v>
      </c>
      <c r="V38" s="309" t="e">
        <f>_xll.qlMidEquivalent(T38,U38)</f>
        <v>#NUM!</v>
      </c>
      <c r="W38" s="182" t="b">
        <f t="shared" si="2"/>
        <v>0</v>
      </c>
      <c r="X38" s="315" t="e">
        <v>#VALUE!</v>
      </c>
      <c r="Y38" s="175"/>
      <c r="Z38" s="307" t="e">
        <v>#VALUE!</v>
      </c>
      <c r="AA38" s="175"/>
      <c r="AB38" s="183" t="str">
        <f t="shared" si="3"/>
        <v>HKD3L6L30Y_Quote</v>
      </c>
      <c r="AC38" s="306" t="e">
        <v>#VALUE!</v>
      </c>
      <c r="AD38" s="181" t="e">
        <f>_xll.qlSimpleQuoteSetValue($AB38,ROUND($AC38/10000,6),Trigger)</f>
        <v>#NUM!</v>
      </c>
      <c r="AE38" s="171"/>
      <c r="AF38" s="205"/>
      <c r="AG38" s="205"/>
      <c r="AH38" s="205"/>
      <c r="AI38" s="205"/>
      <c r="AJ38" s="205" t="str">
        <f t="shared" si="4"/>
        <v>30Y</v>
      </c>
      <c r="AK38" s="312" t="e">
        <f>((#REF!-Swap3M!#REF!)*100-AC38)/10000</f>
        <v>#REF!</v>
      </c>
      <c r="AL38" s="205"/>
    </row>
    <row r="39" spans="1:38" x14ac:dyDescent="0.2">
      <c r="A39" s="28"/>
      <c r="B39" s="27" t="s">
        <v>17</v>
      </c>
      <c r="C39" s="26" t="str">
        <f t="shared" si="5"/>
        <v>3L</v>
      </c>
      <c r="D39" s="25" t="str">
        <f t="shared" si="6"/>
        <v>6L</v>
      </c>
      <c r="E39" s="24" t="str">
        <f t="shared" si="0"/>
        <v>HKD3L6L35Y_Quote</v>
      </c>
      <c r="F39" s="24" t="str">
        <f>_xll.qlSimpleQuote(E39,,RateTickValue,Permanent,Trigger,ObjectOverwrite)</f>
        <v>HKD3L6L35Y_Quote#0003</v>
      </c>
      <c r="G39" s="23" t="str">
        <f>_xll.ohRangeRetrieveError(F39)</f>
        <v/>
      </c>
      <c r="H39" s="22"/>
      <c r="N39" s="180">
        <v>35</v>
      </c>
      <c r="O39" s="218" t="s">
        <v>17</v>
      </c>
      <c r="P39" s="217" t="str">
        <v>3L</v>
      </c>
      <c r="Q39" s="217" t="str">
        <v>6L</v>
      </c>
      <c r="R39" s="215" t="str">
        <f t="shared" si="1"/>
        <v>HKD3L6L35Y</v>
      </c>
      <c r="S39" s="178" t="str">
        <v>HKD3L6L35Y=ICAP</v>
      </c>
      <c r="T39" s="309" t="s">
        <v>151</v>
      </c>
      <c r="U39" s="309" t="s">
        <v>151</v>
      </c>
      <c r="V39" s="309" t="e">
        <f>_xll.qlMidEquivalent(T39,U39)</f>
        <v>#NUM!</v>
      </c>
      <c r="W39" s="182" t="b">
        <f t="shared" si="2"/>
        <v>0</v>
      </c>
      <c r="X39" s="315" t="e">
        <v>#VALUE!</v>
      </c>
      <c r="Y39" s="175"/>
      <c r="Z39" s="307" t="e">
        <v>#VALUE!</v>
      </c>
      <c r="AA39" s="175"/>
      <c r="AB39" s="183" t="str">
        <f t="shared" si="3"/>
        <v>HKD3L6L35Y_Quote</v>
      </c>
      <c r="AC39" s="306" t="e">
        <v>#VALUE!</v>
      </c>
      <c r="AD39" s="181" t="e">
        <f>_xll.qlSimpleQuoteSetValue($AB39,ROUND($AC39/10000,6),Trigger)</f>
        <v>#NUM!</v>
      </c>
      <c r="AE39" s="171"/>
      <c r="AF39" s="205"/>
      <c r="AG39" s="205"/>
      <c r="AH39" s="205"/>
      <c r="AI39" s="205"/>
      <c r="AJ39" s="205" t="str">
        <f t="shared" si="4"/>
        <v>35Y</v>
      </c>
      <c r="AK39" s="312" t="e">
        <f>((#REF!-Swap3M!#REF!)*100-AC39)/10000</f>
        <v>#REF!</v>
      </c>
      <c r="AL39" s="205"/>
    </row>
    <row r="40" spans="1:38" x14ac:dyDescent="0.2">
      <c r="A40" s="28"/>
      <c r="B40" s="27" t="s">
        <v>16</v>
      </c>
      <c r="C40" s="26" t="str">
        <f t="shared" si="5"/>
        <v>3L</v>
      </c>
      <c r="D40" s="25" t="str">
        <f t="shared" si="6"/>
        <v>6L</v>
      </c>
      <c r="E40" s="24" t="str">
        <f t="shared" si="0"/>
        <v>HKD3L6L40Y_Quote</v>
      </c>
      <c r="F40" s="24" t="str">
        <f>_xll.qlSimpleQuote(E40,,RateTickValue,Permanent,Trigger,ObjectOverwrite)</f>
        <v>HKD3L6L40Y_Quote#0003</v>
      </c>
      <c r="G40" s="23" t="str">
        <f>_xll.ohRangeRetrieveError(F40)</f>
        <v/>
      </c>
      <c r="H40" s="22"/>
      <c r="N40" s="180">
        <v>40</v>
      </c>
      <c r="O40" s="218" t="s">
        <v>16</v>
      </c>
      <c r="P40" s="217" t="str">
        <v>3L</v>
      </c>
      <c r="Q40" s="217" t="str">
        <v>6L</v>
      </c>
      <c r="R40" s="215" t="str">
        <f t="shared" si="1"/>
        <v>HKD3L6L40Y</v>
      </c>
      <c r="S40" s="178" t="str">
        <v>HKD3L6L40Y=ICAP</v>
      </c>
      <c r="T40" s="309" t="s">
        <v>151</v>
      </c>
      <c r="U40" s="309" t="s">
        <v>151</v>
      </c>
      <c r="V40" s="309" t="e">
        <f>_xll.qlMidEquivalent(T40,U40)</f>
        <v>#NUM!</v>
      </c>
      <c r="W40" s="182" t="b">
        <f t="shared" si="2"/>
        <v>0</v>
      </c>
      <c r="X40" s="315" t="e">
        <v>#VALUE!</v>
      </c>
      <c r="Y40" s="313" t="e">
        <f>X38-X40</f>
        <v>#VALUE!</v>
      </c>
      <c r="Z40" s="307" t="e">
        <v>#VALUE!</v>
      </c>
      <c r="AA40" s="175"/>
      <c r="AB40" s="183" t="str">
        <f t="shared" si="3"/>
        <v>HKD3L6L40Y_Quote</v>
      </c>
      <c r="AC40" s="306" t="e">
        <v>#VALUE!</v>
      </c>
      <c r="AD40" s="181" t="e">
        <f>_xll.qlSimpleQuoteSetValue($AB40,ROUND($AC40/10000,6),Trigger)</f>
        <v>#NUM!</v>
      </c>
      <c r="AE40" s="171"/>
      <c r="AF40" s="205"/>
      <c r="AG40" s="205"/>
      <c r="AH40" s="205"/>
      <c r="AI40" s="205"/>
      <c r="AJ40" s="205" t="str">
        <f t="shared" si="4"/>
        <v>40Y</v>
      </c>
      <c r="AK40" s="312" t="e">
        <f>((#REF!-Swap3M!#REF!)*100-AC40)/10000</f>
        <v>#REF!</v>
      </c>
      <c r="AL40" s="205"/>
    </row>
    <row r="41" spans="1:38" x14ac:dyDescent="0.2">
      <c r="A41" s="28"/>
      <c r="B41" s="27" t="s">
        <v>15</v>
      </c>
      <c r="C41" s="26" t="str">
        <f t="shared" si="5"/>
        <v>3L</v>
      </c>
      <c r="D41" s="25" t="str">
        <f t="shared" si="6"/>
        <v>6L</v>
      </c>
      <c r="E41" s="24" t="str">
        <f t="shared" si="0"/>
        <v>HKD3L6L50Y_Quote</v>
      </c>
      <c r="F41" s="24" t="str">
        <f>_xll.qlSimpleQuote(E41,,RateTickValue,Permanent,Trigger,ObjectOverwrite)</f>
        <v>HKD3L6L50Y_Quote#0003</v>
      </c>
      <c r="G41" s="23" t="str">
        <f>_xll.ohRangeRetrieveError(F41)</f>
        <v/>
      </c>
      <c r="H41" s="22"/>
      <c r="N41" s="180">
        <v>50</v>
      </c>
      <c r="O41" s="218" t="s">
        <v>15</v>
      </c>
      <c r="P41" s="217" t="str">
        <v>3L</v>
      </c>
      <c r="Q41" s="217" t="str">
        <v>6L</v>
      </c>
      <c r="R41" s="215" t="str">
        <f t="shared" si="1"/>
        <v>HKD3L6L50Y</v>
      </c>
      <c r="S41" s="178" t="str">
        <v>HKD3L6L50Y=ICAP</v>
      </c>
      <c r="T41" s="309" t="s">
        <v>151</v>
      </c>
      <c r="U41" s="309" t="s">
        <v>151</v>
      </c>
      <c r="V41" s="309" t="e">
        <f>_xll.qlMidEquivalent(T41,U41)</f>
        <v>#NUM!</v>
      </c>
      <c r="W41" s="182" t="b">
        <f t="shared" si="2"/>
        <v>0</v>
      </c>
      <c r="X41" s="315" t="e">
        <v>#VALUE!</v>
      </c>
      <c r="Y41" s="313" t="e">
        <f>X40-X41</f>
        <v>#VALUE!</v>
      </c>
      <c r="Z41" s="307" t="e">
        <v>#VALUE!</v>
      </c>
      <c r="AA41" s="175"/>
      <c r="AB41" s="183" t="str">
        <f t="shared" si="3"/>
        <v>HKD3L6L50Y_Quote</v>
      </c>
      <c r="AC41" s="306" t="e">
        <v>#VALUE!</v>
      </c>
      <c r="AD41" s="181" t="e">
        <f>_xll.qlSimpleQuoteSetValue($AB41,ROUND($AC41/10000,6),Trigger)</f>
        <v>#NUM!</v>
      </c>
      <c r="AE41" s="171"/>
      <c r="AF41" s="205"/>
      <c r="AG41" s="205"/>
      <c r="AH41" s="205"/>
      <c r="AI41" s="205"/>
      <c r="AJ41" s="205" t="str">
        <f t="shared" si="4"/>
        <v>50Y</v>
      </c>
      <c r="AK41" s="312" t="e">
        <f>((#REF!-Swap3M!#REF!)*100-AC41)/10000</f>
        <v>#REF!</v>
      </c>
      <c r="AL41" s="205"/>
    </row>
    <row r="42" spans="1:38" x14ac:dyDescent="0.2">
      <c r="A42" s="28"/>
      <c r="B42" s="27" t="s">
        <v>14</v>
      </c>
      <c r="C42" s="26" t="str">
        <f t="shared" si="5"/>
        <v>3L</v>
      </c>
      <c r="D42" s="25" t="str">
        <f t="shared" si="6"/>
        <v>6L</v>
      </c>
      <c r="E42" s="24" t="str">
        <f t="shared" si="0"/>
        <v>HKD3L6L60Y_Quote</v>
      </c>
      <c r="F42" s="24" t="str">
        <f>_xll.qlSimpleQuote(E42,,RateTickValue,Permanent,Trigger,ObjectOverwrite)</f>
        <v>HKD3L6L60Y_Quote#0003</v>
      </c>
      <c r="G42" s="23" t="str">
        <f>_xll.ohRangeRetrieveError(F42)</f>
        <v/>
      </c>
      <c r="H42" s="22"/>
      <c r="N42" s="180">
        <v>60</v>
      </c>
      <c r="O42" s="218" t="s">
        <v>14</v>
      </c>
      <c r="P42" s="217" t="str">
        <v>3L</v>
      </c>
      <c r="Q42" s="217" t="str">
        <v>6L</v>
      </c>
      <c r="R42" s="215" t="str">
        <f t="shared" si="1"/>
        <v>HKD3L6L60Y</v>
      </c>
      <c r="S42" s="178" t="str">
        <v>HKD3L6L60Y=ICAP</v>
      </c>
      <c r="T42" s="309" t="s">
        <v>151</v>
      </c>
      <c r="U42" s="309" t="s">
        <v>151</v>
      </c>
      <c r="V42" s="309" t="e">
        <f>_xll.qlMidEquivalent(T42,U42)</f>
        <v>#NUM!</v>
      </c>
      <c r="W42" s="182" t="b">
        <f t="shared" si="2"/>
        <v>0</v>
      </c>
      <c r="X42" s="314" t="e">
        <f>X41-Y42</f>
        <v>#VALUE!</v>
      </c>
      <c r="Y42" s="313" t="e">
        <f>Y41/Y40*Y41</f>
        <v>#VALUE!</v>
      </c>
      <c r="Z42" s="307" t="e">
        <v>#VALUE!</v>
      </c>
      <c r="AA42" s="175"/>
      <c r="AB42" s="183" t="str">
        <f t="shared" si="3"/>
        <v>HKD3L6L60Y_Quote</v>
      </c>
      <c r="AC42" s="306" t="e">
        <v>#VALUE!</v>
      </c>
      <c r="AD42" s="181" t="e">
        <f>_xll.qlSimpleQuoteSetValue($AB42,ROUND($AC42/10000,6),Trigger)</f>
        <v>#NUM!</v>
      </c>
      <c r="AE42" s="171"/>
      <c r="AF42" s="205"/>
      <c r="AG42" s="205"/>
      <c r="AH42" s="205"/>
      <c r="AI42" s="205"/>
      <c r="AJ42" s="205" t="str">
        <f t="shared" si="4"/>
        <v>60Y</v>
      </c>
      <c r="AK42" s="312" t="e">
        <f>((#REF!-Swap3M!#REF!)*100-AC42)/10000</f>
        <v>#REF!</v>
      </c>
      <c r="AL42" s="205"/>
    </row>
    <row r="43" spans="1:38" ht="13.5" thickBot="1" x14ac:dyDescent="0.25">
      <c r="A43" s="21"/>
      <c r="B43" s="20"/>
      <c r="C43" s="20"/>
      <c r="D43" s="20"/>
      <c r="E43" s="20"/>
      <c r="F43" s="19"/>
      <c r="G43" s="19"/>
      <c r="H43" s="18"/>
      <c r="N43" s="170"/>
      <c r="O43" s="169"/>
      <c r="P43" s="169"/>
      <c r="Q43" s="169"/>
      <c r="R43" s="169"/>
      <c r="S43" s="169"/>
      <c r="T43" s="169"/>
      <c r="U43" s="169"/>
      <c r="V43" s="169"/>
      <c r="W43" s="169"/>
      <c r="X43" s="169"/>
      <c r="Y43" s="168"/>
      <c r="Z43" s="169"/>
      <c r="AA43" s="168"/>
      <c r="AB43" s="169"/>
      <c r="AC43" s="169"/>
      <c r="AD43" s="169"/>
      <c r="AE43" s="290"/>
      <c r="AF43" s="205"/>
      <c r="AG43" s="205"/>
      <c r="AH43" s="205"/>
      <c r="AI43" s="205"/>
      <c r="AJ43" s="205"/>
      <c r="AK43" s="205"/>
      <c r="AL43" s="205"/>
    </row>
    <row r="44" spans="1:38" x14ac:dyDescent="0.2">
      <c r="N44" s="205"/>
      <c r="O44" s="205"/>
      <c r="P44" s="205"/>
      <c r="Q44" s="205"/>
      <c r="R44" s="205"/>
      <c r="S44" s="205"/>
      <c r="T44" s="205"/>
      <c r="U44" s="205"/>
      <c r="V44" s="205"/>
      <c r="W44" s="205"/>
      <c r="X44" s="205"/>
      <c r="Y44" s="205"/>
      <c r="Z44" s="205"/>
      <c r="AA44" s="205"/>
      <c r="AB44" s="205"/>
      <c r="AC44" s="205"/>
      <c r="AD44" s="205"/>
      <c r="AE44" s="205"/>
      <c r="AF44" s="205"/>
      <c r="AG44" s="205"/>
      <c r="AH44" s="205"/>
      <c r="AI44" s="205"/>
      <c r="AJ44" s="205"/>
      <c r="AK44" s="205"/>
      <c r="AL44" s="205"/>
    </row>
    <row r="45" spans="1:38" ht="15" x14ac:dyDescent="0.25">
      <c r="N45" s="205"/>
      <c r="O45" s="205"/>
      <c r="P45" s="205"/>
      <c r="Q45" s="205"/>
      <c r="R45" s="205"/>
      <c r="S45" s="205"/>
      <c r="T45" s="205"/>
      <c r="U45" s="205"/>
      <c r="V45" s="205"/>
      <c r="W45" s="205"/>
      <c r="X45" s="205"/>
      <c r="Y45" s="205"/>
      <c r="Z45" s="205"/>
      <c r="AA45" s="205"/>
      <c r="AB45" s="205"/>
      <c r="AC45" s="205"/>
      <c r="AD45" s="205"/>
      <c r="AE45" s="205"/>
      <c r="AF45" s="205"/>
      <c r="AG45"/>
      <c r="AH45" s="205"/>
      <c r="AI45" s="205"/>
      <c r="AJ45" s="205"/>
      <c r="AK45" s="205"/>
      <c r="AL45" s="205"/>
    </row>
    <row r="46" spans="1:38" x14ac:dyDescent="0.2">
      <c r="N46" s="205"/>
      <c r="O46" s="205"/>
      <c r="P46" s="205"/>
      <c r="Q46" s="205"/>
      <c r="R46" s="205"/>
      <c r="S46" s="205"/>
      <c r="T46" s="205"/>
      <c r="U46" s="205"/>
      <c r="V46" s="205"/>
      <c r="W46" s="205"/>
      <c r="X46" s="205"/>
      <c r="Y46" s="205"/>
      <c r="Z46" s="205"/>
      <c r="AA46" s="205"/>
      <c r="AB46" s="205"/>
      <c r="AC46" s="205"/>
      <c r="AD46" s="205"/>
      <c r="AE46" s="205"/>
      <c r="AF46" s="205"/>
      <c r="AG46" s="205"/>
      <c r="AH46" s="205"/>
      <c r="AI46" s="205"/>
      <c r="AJ46" s="205"/>
      <c r="AK46" s="205"/>
      <c r="AL46" s="205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X42"/>
  <sheetViews>
    <sheetView zoomScale="111" zoomScaleNormal="111" workbookViewId="0"/>
  </sheetViews>
  <sheetFormatPr defaultRowHeight="13.5" x14ac:dyDescent="0.25"/>
  <cols>
    <col min="1" max="2" width="2.7109375" style="108" customWidth="1"/>
    <col min="3" max="3" width="4" style="108" bestFit="1" customWidth="1"/>
    <col min="4" max="4" width="6" style="108" bestFit="1" customWidth="1"/>
    <col min="5" max="5" width="21.42578125" style="108" bestFit="1" customWidth="1"/>
    <col min="6" max="6" width="26.5703125" style="109" bestFit="1" customWidth="1"/>
    <col min="7" max="7" width="38.28515625" style="108" customWidth="1"/>
    <col min="8" max="10" width="2.7109375" style="108" customWidth="1"/>
    <col min="11" max="11" width="10" style="108" bestFit="1" customWidth="1"/>
    <col min="12" max="12" width="14.7109375" style="108" bestFit="1" customWidth="1"/>
    <col min="13" max="15" width="9.140625" style="108"/>
    <col min="16" max="16" width="23.28515625" style="108" bestFit="1" customWidth="1"/>
    <col min="17" max="17" width="9.140625" style="108"/>
    <col min="18" max="18" width="2.7109375" style="108" customWidth="1"/>
    <col min="19" max="19" width="9.140625" style="108"/>
    <col min="20" max="20" width="2.7109375" style="108" customWidth="1"/>
    <col min="21" max="22" width="9.140625" style="108"/>
    <col min="23" max="23" width="2.7109375" style="108" customWidth="1"/>
    <col min="24" max="16384" width="9.140625" style="108"/>
  </cols>
  <sheetData>
    <row r="1" spans="1:24" ht="15" x14ac:dyDescent="0.25">
      <c r="A1" s="108" t="s">
        <v>210</v>
      </c>
      <c r="J1" s="237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  <c r="V1" s="202"/>
      <c r="W1" s="201"/>
      <c r="X1"/>
    </row>
    <row r="2" spans="1:24" ht="15.75" thickBot="1" x14ac:dyDescent="0.3">
      <c r="J2" s="200"/>
      <c r="K2" s="235"/>
      <c r="L2" s="199" t="s">
        <v>190</v>
      </c>
      <c r="M2" s="235"/>
      <c r="N2" s="235"/>
      <c r="O2" s="235"/>
      <c r="P2" s="235"/>
      <c r="Q2" s="235"/>
      <c r="R2" s="175"/>
      <c r="S2" s="175"/>
      <c r="T2" s="175"/>
      <c r="U2" s="175"/>
      <c r="V2" s="235"/>
      <c r="W2" s="198"/>
      <c r="X2"/>
    </row>
    <row r="3" spans="1:24" ht="15" x14ac:dyDescent="0.25">
      <c r="A3" s="129"/>
      <c r="B3" s="128"/>
      <c r="C3" s="128"/>
      <c r="D3" s="128"/>
      <c r="E3" s="126"/>
      <c r="F3" s="127"/>
      <c r="G3" s="126"/>
      <c r="H3" s="125"/>
      <c r="J3" s="180"/>
      <c r="K3" s="235"/>
      <c r="L3" s="235"/>
      <c r="M3" s="235"/>
      <c r="N3" s="235"/>
      <c r="O3" s="235"/>
      <c r="P3" s="235"/>
      <c r="Q3" s="235"/>
      <c r="R3" s="175"/>
      <c r="S3" s="175"/>
      <c r="T3" s="175"/>
      <c r="U3" s="235"/>
      <c r="V3" s="196">
        <f>_xll.ohTrigger(V5:V23)</f>
        <v>3</v>
      </c>
      <c r="W3" s="171"/>
      <c r="X3"/>
    </row>
    <row r="4" spans="1:24" ht="15" x14ac:dyDescent="0.25">
      <c r="A4" s="118"/>
      <c r="B4" s="124"/>
      <c r="C4" s="124"/>
      <c r="D4" s="123"/>
      <c r="E4" s="122" t="str">
        <f>Currency&amp;"_010_"&amp;"OIS.xml"</f>
        <v>HKD_010_OIS.xml</v>
      </c>
      <c r="F4" s="121" t="e">
        <f ca="1">IF(Serialize,_xll.ohObjectSave(_xll.ohPack(F5:F23),SerializationPath&amp;E4,FileOverwrite,,Serialize),"---")</f>
        <v>#NUM!</v>
      </c>
      <c r="G4" s="120" t="str">
        <f ca="1">_xll.ohRangeRetrieveError(F4)</f>
        <v>ohObjectSave - ObjectHandler error: attempt to retrieve object with unknown ID 'HKDOISSW_Quote'</v>
      </c>
      <c r="H4" s="390" t="s">
        <v>211</v>
      </c>
      <c r="J4" s="180"/>
      <c r="K4" s="234"/>
      <c r="L4" s="195" t="str">
        <f>_xll.RData(L5:L23,M4:P4,,ReutersRtMode,,M5)</f>
        <v>On Pause</v>
      </c>
      <c r="M4" s="231" t="s">
        <v>176</v>
      </c>
      <c r="N4" s="231" t="s">
        <v>161</v>
      </c>
      <c r="O4" s="231" t="s">
        <v>160</v>
      </c>
      <c r="P4" s="231" t="s">
        <v>175</v>
      </c>
      <c r="Q4" s="191" t="s">
        <v>174</v>
      </c>
      <c r="R4" s="175"/>
      <c r="S4" s="193" t="s">
        <v>155</v>
      </c>
      <c r="T4" s="175"/>
      <c r="U4" s="376" t="s">
        <v>153</v>
      </c>
      <c r="V4" s="294" t="s">
        <v>152</v>
      </c>
      <c r="W4" s="171"/>
      <c r="X4"/>
    </row>
    <row r="5" spans="1:24" ht="15" x14ac:dyDescent="0.25">
      <c r="A5" s="118"/>
      <c r="B5" s="117"/>
      <c r="C5" s="117" t="s">
        <v>107</v>
      </c>
      <c r="D5" s="119" t="s">
        <v>118</v>
      </c>
      <c r="E5" s="116" t="str">
        <f t="shared" ref="E5:E23" si="0">Currency&amp;$B5&amp;$C5&amp;$D5&amp;QuoteSuffix</f>
        <v>HKDOISSW_Quote</v>
      </c>
      <c r="F5" s="116" t="str">
        <f>_xll.qlSimpleQuote(Currency&amp;$B5&amp;$C5&amp;$D5&amp;QuoteSuffix,,RateTickValue,Permanent,Trigger,ObjectOverwrite)</f>
        <v>HKDOISSW_Quote#0009</v>
      </c>
      <c r="G5" s="115" t="str">
        <f>_xll.ohRangeRetrieveError(F5)</f>
        <v/>
      </c>
      <c r="H5" s="114"/>
      <c r="J5" s="180"/>
      <c r="K5" s="179" t="str">
        <f t="shared" ref="K5:K23" si="1">Currency&amp;D5&amp;C5</f>
        <v>HKDSWOIS</v>
      </c>
      <c r="L5" s="215" t="str">
        <f t="shared" ref="L5:L23" si="2">K5&amp;"="&amp;VLOOKUP(Contributor,ContributorTable,2,FALSE)</f>
        <v>HKDSWOIS=ICHK</v>
      </c>
      <c r="M5" s="182" t="s">
        <v>151</v>
      </c>
      <c r="N5" s="182" t="s">
        <v>151</v>
      </c>
      <c r="O5" s="182" t="s">
        <v>151</v>
      </c>
      <c r="P5" s="182" t="s">
        <v>151</v>
      </c>
      <c r="Q5" s="177" t="e">
        <f t="shared" ref="Q5:Q23" si="3">AVERAGE($M5,$N5)</f>
        <v>#DIV/0!</v>
      </c>
      <c r="R5" s="175"/>
      <c r="S5" s="188" t="e">
        <v>#DIV/0!</v>
      </c>
      <c r="T5" s="175"/>
      <c r="U5" s="257" t="e">
        <f t="array" ref="U5:U23">QuoteLive</f>
        <v>#DIV/0!</v>
      </c>
      <c r="V5" s="185" t="e">
        <f>_xll.qlSimpleQuoteSetValue(E5,$U5/100,ISERROR(F5))</f>
        <v>#NUM!</v>
      </c>
      <c r="W5" s="171"/>
      <c r="X5"/>
    </row>
    <row r="6" spans="1:24" ht="15" x14ac:dyDescent="0.25">
      <c r="A6" s="118"/>
      <c r="B6" s="117"/>
      <c r="C6" s="117" t="s">
        <v>107</v>
      </c>
      <c r="D6" s="119" t="s">
        <v>117</v>
      </c>
      <c r="E6" s="116" t="str">
        <f t="shared" si="0"/>
        <v>HKDOIS2W_Quote</v>
      </c>
      <c r="F6" s="116" t="str">
        <f>_xll.qlSimpleQuote(Currency&amp;$B6&amp;$C6&amp;$D6&amp;QuoteSuffix,,RateTickValue,Permanent,Trigger,ObjectOverwrite)</f>
        <v>HKDOIS2W_Quote#0009</v>
      </c>
      <c r="G6" s="115" t="str">
        <f>_xll.ohRangeRetrieveError(F6)</f>
        <v/>
      </c>
      <c r="H6" s="114"/>
      <c r="J6" s="180"/>
      <c r="K6" s="179" t="str">
        <f t="shared" si="1"/>
        <v>HKD2WOIS</v>
      </c>
      <c r="L6" s="215" t="str">
        <f t="shared" si="2"/>
        <v>HKD2WOIS=ICHK</v>
      </c>
      <c r="M6" s="182" t="s">
        <v>151</v>
      </c>
      <c r="N6" s="182" t="s">
        <v>151</v>
      </c>
      <c r="O6" s="182" t="s">
        <v>151</v>
      </c>
      <c r="P6" s="182" t="s">
        <v>151</v>
      </c>
      <c r="Q6" s="177" t="e">
        <f t="shared" si="3"/>
        <v>#DIV/0!</v>
      </c>
      <c r="R6" s="175"/>
      <c r="S6" s="184" t="e">
        <v>#DIV/0!</v>
      </c>
      <c r="T6" s="175"/>
      <c r="U6" s="246" t="e">
        <v>#DIV/0!</v>
      </c>
      <c r="V6" s="181" t="e">
        <f>_xll.qlSimpleQuoteSetValue(E6,$U6/100,ISERROR(F6))</f>
        <v>#NUM!</v>
      </c>
      <c r="W6" s="171"/>
      <c r="X6"/>
    </row>
    <row r="7" spans="1:24" ht="15" x14ac:dyDescent="0.25">
      <c r="A7" s="118"/>
      <c r="B7" s="117"/>
      <c r="C7" s="117" t="s">
        <v>107</v>
      </c>
      <c r="D7" s="119" t="s">
        <v>116</v>
      </c>
      <c r="E7" s="116" t="str">
        <f t="shared" si="0"/>
        <v>HKDOIS3W_Quote</v>
      </c>
      <c r="F7" s="116" t="str">
        <f>_xll.qlSimpleQuote(Currency&amp;$B7&amp;$C7&amp;$D7&amp;QuoteSuffix,,RateTickValue,Permanent,Trigger,ObjectOverwrite)</f>
        <v>HKDOIS3W_Quote#0009</v>
      </c>
      <c r="G7" s="115" t="str">
        <f>_xll.ohRangeRetrieveError(F7)</f>
        <v/>
      </c>
      <c r="H7" s="114"/>
      <c r="J7" s="180"/>
      <c r="K7" s="179" t="str">
        <f t="shared" si="1"/>
        <v>HKD3WOIS</v>
      </c>
      <c r="L7" s="215" t="str">
        <f t="shared" si="2"/>
        <v>HKD3WOIS=ICHK</v>
      </c>
      <c r="M7" s="182" t="s">
        <v>151</v>
      </c>
      <c r="N7" s="182" t="s">
        <v>151</v>
      </c>
      <c r="O7" s="182" t="s">
        <v>151</v>
      </c>
      <c r="P7" s="182" t="s">
        <v>151</v>
      </c>
      <c r="Q7" s="177" t="e">
        <f t="shared" si="3"/>
        <v>#DIV/0!</v>
      </c>
      <c r="R7" s="175"/>
      <c r="S7" s="184" t="e">
        <v>#DIV/0!</v>
      </c>
      <c r="T7" s="175"/>
      <c r="U7" s="246" t="e">
        <v>#DIV/0!</v>
      </c>
      <c r="V7" s="181" t="e">
        <f>_xll.qlSimpleQuoteSetValue(E7,$U7/100,ISERROR(F7))</f>
        <v>#NUM!</v>
      </c>
      <c r="W7" s="171"/>
      <c r="X7"/>
    </row>
    <row r="8" spans="1:24" ht="15" x14ac:dyDescent="0.25">
      <c r="A8" s="118"/>
      <c r="B8" s="117"/>
      <c r="C8" s="117" t="s">
        <v>107</v>
      </c>
      <c r="D8" s="119" t="s">
        <v>104</v>
      </c>
      <c r="E8" s="116" t="str">
        <f t="shared" si="0"/>
        <v>HKDOIS1M_Quote</v>
      </c>
      <c r="F8" s="116" t="str">
        <f>_xll.qlSimpleQuote(Currency&amp;$B8&amp;$C8&amp;$D8&amp;QuoteSuffix,,RateTickValue,Permanent,Trigger,ObjectOverwrite)</f>
        <v>HKDOIS1M_Quote#0009</v>
      </c>
      <c r="G8" s="115" t="str">
        <f>_xll.ohRangeRetrieveError(F8)</f>
        <v/>
      </c>
      <c r="H8" s="114"/>
      <c r="J8" s="180"/>
      <c r="K8" s="179" t="str">
        <f t="shared" si="1"/>
        <v>HKD1MOIS</v>
      </c>
      <c r="L8" s="215" t="str">
        <f t="shared" si="2"/>
        <v>HKD1MOIS=ICHK</v>
      </c>
      <c r="M8" s="182">
        <v>0</v>
      </c>
      <c r="N8" s="182">
        <v>0.1</v>
      </c>
      <c r="O8" s="182">
        <v>0</v>
      </c>
      <c r="P8" s="182">
        <v>0</v>
      </c>
      <c r="Q8" s="177">
        <f t="shared" si="3"/>
        <v>0.05</v>
      </c>
      <c r="R8" s="175"/>
      <c r="S8" s="184">
        <v>0.05</v>
      </c>
      <c r="T8" s="175"/>
      <c r="U8" s="246">
        <v>0.05</v>
      </c>
      <c r="V8" s="181">
        <f>_xll.qlSimpleQuoteSetValue(E8,$U8/100,ISERROR(F8))</f>
        <v>0</v>
      </c>
      <c r="W8" s="171"/>
      <c r="X8"/>
    </row>
    <row r="9" spans="1:24" ht="15" x14ac:dyDescent="0.25">
      <c r="A9" s="118"/>
      <c r="B9" s="117"/>
      <c r="C9" s="117" t="s">
        <v>107</v>
      </c>
      <c r="D9" s="119" t="s">
        <v>115</v>
      </c>
      <c r="E9" s="116" t="str">
        <f t="shared" si="0"/>
        <v>HKDOIS2M_Quote</v>
      </c>
      <c r="F9" s="116" t="str">
        <f>_xll.qlSimpleQuote(Currency&amp;$B9&amp;$C9&amp;$D9&amp;QuoteSuffix,,RateTickValue,Permanent,Trigger,ObjectOverwrite)</f>
        <v>HKDOIS2M_Quote#0009</v>
      </c>
      <c r="G9" s="115" t="str">
        <f>_xll.ohRangeRetrieveError(F9)</f>
        <v/>
      </c>
      <c r="H9" s="114"/>
      <c r="J9" s="180"/>
      <c r="K9" s="179" t="str">
        <f t="shared" si="1"/>
        <v>HKD2MOIS</v>
      </c>
      <c r="L9" s="215" t="str">
        <f t="shared" si="2"/>
        <v>HKD2MOIS=ICHK</v>
      </c>
      <c r="M9" s="182">
        <v>0.02</v>
      </c>
      <c r="N9" s="182">
        <v>0.12</v>
      </c>
      <c r="O9" s="182">
        <v>0</v>
      </c>
      <c r="P9" s="182">
        <v>0</v>
      </c>
      <c r="Q9" s="177">
        <f t="shared" si="3"/>
        <v>6.9999999999999993E-2</v>
      </c>
      <c r="R9" s="175"/>
      <c r="S9" s="184">
        <v>6.9999999999999993E-2</v>
      </c>
      <c r="T9" s="175"/>
      <c r="U9" s="246">
        <v>6.9999999999999993E-2</v>
      </c>
      <c r="V9" s="181">
        <f>_xll.qlSimpleQuoteSetValue(E9,$U9/100,ISERROR(F9))</f>
        <v>0</v>
      </c>
      <c r="W9" s="171"/>
      <c r="X9"/>
    </row>
    <row r="10" spans="1:24" ht="15" x14ac:dyDescent="0.25">
      <c r="A10" s="118"/>
      <c r="B10" s="117"/>
      <c r="C10" s="117" t="s">
        <v>107</v>
      </c>
      <c r="D10" s="119" t="s">
        <v>106</v>
      </c>
      <c r="E10" s="116" t="str">
        <f t="shared" si="0"/>
        <v>HKDOIS3M_Quote</v>
      </c>
      <c r="F10" s="116" t="str">
        <f>_xll.qlSimpleQuote(Currency&amp;$B10&amp;$C10&amp;$D10&amp;QuoteSuffix,,RateTickValue,Permanent,Trigger,ObjectOverwrite)</f>
        <v>HKDOIS3M_Quote#0009</v>
      </c>
      <c r="G10" s="115" t="str">
        <f>_xll.ohRangeRetrieveError(F10)</f>
        <v/>
      </c>
      <c r="H10" s="114"/>
      <c r="J10" s="180"/>
      <c r="K10" s="179" t="str">
        <f t="shared" si="1"/>
        <v>HKD3MOIS</v>
      </c>
      <c r="L10" s="215" t="str">
        <f t="shared" si="2"/>
        <v>HKD3MOIS=ICHK</v>
      </c>
      <c r="M10" s="182">
        <v>0.04</v>
      </c>
      <c r="N10" s="182">
        <v>0.14000000000000001</v>
      </c>
      <c r="O10" s="182">
        <v>0</v>
      </c>
      <c r="P10" s="182">
        <v>0</v>
      </c>
      <c r="Q10" s="177">
        <f t="shared" si="3"/>
        <v>9.0000000000000011E-2</v>
      </c>
      <c r="R10" s="175"/>
      <c r="S10" s="184">
        <v>9.0000000000000011E-2</v>
      </c>
      <c r="T10" s="175"/>
      <c r="U10" s="246">
        <v>9.0000000000000011E-2</v>
      </c>
      <c r="V10" s="181">
        <f>_xll.qlSimpleQuoteSetValue(E10,$U10/100,ISERROR(F10))</f>
        <v>0</v>
      </c>
      <c r="W10" s="171"/>
      <c r="X10"/>
    </row>
    <row r="11" spans="1:24" ht="15" x14ac:dyDescent="0.25">
      <c r="A11" s="118"/>
      <c r="B11" s="117"/>
      <c r="C11" s="117" t="s">
        <v>107</v>
      </c>
      <c r="D11" s="119" t="s">
        <v>114</v>
      </c>
      <c r="E11" s="116" t="str">
        <f t="shared" si="0"/>
        <v>HKDOIS4M_Quote</v>
      </c>
      <c r="F11" s="116" t="str">
        <f>_xll.qlSimpleQuote(Currency&amp;$B11&amp;$C11&amp;$D11&amp;QuoteSuffix,,RateTickValue,Permanent,Trigger,ObjectOverwrite)</f>
        <v>HKDOIS4M_Quote#0009</v>
      </c>
      <c r="G11" s="115" t="str">
        <f>_xll.ohRangeRetrieveError(F11)</f>
        <v/>
      </c>
      <c r="H11" s="114"/>
      <c r="J11" s="180"/>
      <c r="K11" s="179" t="str">
        <f t="shared" si="1"/>
        <v>HKD4MOIS</v>
      </c>
      <c r="L11" s="215" t="str">
        <f t="shared" si="2"/>
        <v>HKD4MOIS=ICHK</v>
      </c>
      <c r="M11" s="182">
        <v>7.0000000000000007E-2</v>
      </c>
      <c r="N11" s="182">
        <v>0.17</v>
      </c>
      <c r="O11" s="182">
        <v>0</v>
      </c>
      <c r="P11" s="182">
        <v>0</v>
      </c>
      <c r="Q11" s="177">
        <f t="shared" si="3"/>
        <v>0.12000000000000001</v>
      </c>
      <c r="R11" s="175"/>
      <c r="S11" s="184">
        <v>0.12000000000000001</v>
      </c>
      <c r="T11" s="175"/>
      <c r="U11" s="246">
        <v>0.12000000000000001</v>
      </c>
      <c r="V11" s="181">
        <f>_xll.qlSimpleQuoteSetValue(E11,$U11/100,ISERROR(F11))</f>
        <v>0</v>
      </c>
      <c r="W11" s="171"/>
      <c r="X11"/>
    </row>
    <row r="12" spans="1:24" ht="15" x14ac:dyDescent="0.25">
      <c r="A12" s="118"/>
      <c r="B12" s="117"/>
      <c r="C12" s="117" t="s">
        <v>107</v>
      </c>
      <c r="D12" s="119" t="s">
        <v>113</v>
      </c>
      <c r="E12" s="116" t="str">
        <f t="shared" si="0"/>
        <v>HKDOIS5M_Quote</v>
      </c>
      <c r="F12" s="116" t="str">
        <f>_xll.qlSimpleQuote(Currency&amp;$B12&amp;$C12&amp;$D12&amp;QuoteSuffix,,RateTickValue,Permanent,Trigger,ObjectOverwrite)</f>
        <v>HKDOIS5M_Quote#0009</v>
      </c>
      <c r="G12" s="115" t="str">
        <f>_xll.ohRangeRetrieveError(F12)</f>
        <v/>
      </c>
      <c r="H12" s="114"/>
      <c r="J12" s="180"/>
      <c r="K12" s="179" t="str">
        <f t="shared" si="1"/>
        <v>HKD5MOIS</v>
      </c>
      <c r="L12" s="215" t="str">
        <f t="shared" si="2"/>
        <v>HKD5MOIS=ICHK</v>
      </c>
      <c r="M12" s="182">
        <v>0.05</v>
      </c>
      <c r="N12" s="182">
        <v>0.15</v>
      </c>
      <c r="O12" s="182">
        <v>0</v>
      </c>
      <c r="P12" s="182">
        <v>0</v>
      </c>
      <c r="Q12" s="177">
        <f t="shared" si="3"/>
        <v>0.1</v>
      </c>
      <c r="R12" s="175"/>
      <c r="S12" s="184">
        <v>0.1</v>
      </c>
      <c r="T12" s="175"/>
      <c r="U12" s="246">
        <v>0.1</v>
      </c>
      <c r="V12" s="181">
        <f>_xll.qlSimpleQuoteSetValue(E12,$U12/100,ISERROR(F12))</f>
        <v>0</v>
      </c>
      <c r="W12" s="171"/>
      <c r="X12"/>
    </row>
    <row r="13" spans="1:24" ht="15" x14ac:dyDescent="0.25">
      <c r="A13" s="118"/>
      <c r="B13" s="117"/>
      <c r="C13" s="117" t="s">
        <v>107</v>
      </c>
      <c r="D13" s="119" t="s">
        <v>61</v>
      </c>
      <c r="E13" s="116" t="str">
        <f t="shared" si="0"/>
        <v>HKDOIS6M_Quote</v>
      </c>
      <c r="F13" s="116" t="str">
        <f>_xll.qlSimpleQuote(Currency&amp;$B13&amp;$C13&amp;$D13&amp;QuoteSuffix,,RateTickValue,Permanent,Trigger,ObjectOverwrite)</f>
        <v>HKDOIS6M_Quote#0009</v>
      </c>
      <c r="G13" s="115" t="str">
        <f>_xll.ohRangeRetrieveError(F13)</f>
        <v/>
      </c>
      <c r="H13" s="114"/>
      <c r="J13" s="180"/>
      <c r="K13" s="179" t="str">
        <f t="shared" si="1"/>
        <v>HKD6MOIS</v>
      </c>
      <c r="L13" s="215" t="str">
        <f t="shared" si="2"/>
        <v>HKD6MOIS=ICHK</v>
      </c>
      <c r="M13" s="182">
        <v>0.06</v>
      </c>
      <c r="N13" s="182">
        <v>0.16</v>
      </c>
      <c r="O13" s="182">
        <v>0</v>
      </c>
      <c r="P13" s="182">
        <v>0</v>
      </c>
      <c r="Q13" s="177">
        <f t="shared" si="3"/>
        <v>0.11</v>
      </c>
      <c r="R13" s="175"/>
      <c r="S13" s="184">
        <v>0.11</v>
      </c>
      <c r="T13" s="175"/>
      <c r="U13" s="246">
        <v>0.11</v>
      </c>
      <c r="V13" s="181">
        <f>_xll.qlSimpleQuoteSetValue(E13,$U13/100,ISERROR(F13))</f>
        <v>0</v>
      </c>
      <c r="W13" s="171"/>
      <c r="X13"/>
    </row>
    <row r="14" spans="1:24" ht="15" x14ac:dyDescent="0.25">
      <c r="A14" s="118"/>
      <c r="B14" s="117"/>
      <c r="C14" s="117" t="s">
        <v>107</v>
      </c>
      <c r="D14" s="119" t="s">
        <v>112</v>
      </c>
      <c r="E14" s="116" t="str">
        <f t="shared" si="0"/>
        <v>HKDOIS7M_Quote</v>
      </c>
      <c r="F14" s="116" t="str">
        <f>_xll.qlSimpleQuote(Currency&amp;$B14&amp;$C14&amp;$D14&amp;QuoteSuffix,,RateTickValue,Permanent,Trigger,ObjectOverwrite)</f>
        <v>HKDOIS7M_Quote#0009</v>
      </c>
      <c r="G14" s="115" t="str">
        <f>_xll.ohRangeRetrieveError(F14)</f>
        <v/>
      </c>
      <c r="H14" s="114"/>
      <c r="J14" s="180"/>
      <c r="K14" s="179" t="str">
        <f t="shared" si="1"/>
        <v>HKD7MOIS</v>
      </c>
      <c r="L14" s="215" t="str">
        <f t="shared" si="2"/>
        <v>HKD7MOIS=ICHK</v>
      </c>
      <c r="M14" s="182" t="s">
        <v>151</v>
      </c>
      <c r="N14" s="182" t="s">
        <v>151</v>
      </c>
      <c r="O14" s="182" t="s">
        <v>151</v>
      </c>
      <c r="P14" s="182" t="s">
        <v>151</v>
      </c>
      <c r="Q14" s="177" t="e">
        <f t="shared" si="3"/>
        <v>#DIV/0!</v>
      </c>
      <c r="R14" s="175"/>
      <c r="S14" s="184" t="e">
        <v>#DIV/0!</v>
      </c>
      <c r="T14" s="175"/>
      <c r="U14" s="246" t="e">
        <v>#DIV/0!</v>
      </c>
      <c r="V14" s="181" t="e">
        <f>_xll.qlSimpleQuoteSetValue(E14,$U14/100,ISERROR(F14))</f>
        <v>#NUM!</v>
      </c>
      <c r="W14" s="171"/>
      <c r="X14"/>
    </row>
    <row r="15" spans="1:24" ht="15" x14ac:dyDescent="0.25">
      <c r="A15" s="118"/>
      <c r="B15" s="117"/>
      <c r="C15" s="117" t="s">
        <v>107</v>
      </c>
      <c r="D15" s="119" t="s">
        <v>111</v>
      </c>
      <c r="E15" s="116" t="str">
        <f t="shared" si="0"/>
        <v>HKDOIS8M_Quote</v>
      </c>
      <c r="F15" s="116" t="str">
        <f>_xll.qlSimpleQuote(Currency&amp;$B15&amp;$C15&amp;$D15&amp;QuoteSuffix,,RateTickValue,Permanent,Trigger,ObjectOverwrite)</f>
        <v>HKDOIS8M_Quote#0009</v>
      </c>
      <c r="G15" s="115" t="str">
        <f>_xll.ohRangeRetrieveError(F15)</f>
        <v/>
      </c>
      <c r="H15" s="114"/>
      <c r="J15" s="180"/>
      <c r="K15" s="179" t="str">
        <f t="shared" si="1"/>
        <v>HKD8MOIS</v>
      </c>
      <c r="L15" s="215" t="str">
        <f t="shared" si="2"/>
        <v>HKD8MOIS=ICHK</v>
      </c>
      <c r="M15" s="182" t="s">
        <v>151</v>
      </c>
      <c r="N15" s="182" t="s">
        <v>151</v>
      </c>
      <c r="O15" s="182" t="s">
        <v>151</v>
      </c>
      <c r="P15" s="182" t="s">
        <v>151</v>
      </c>
      <c r="Q15" s="177" t="e">
        <f t="shared" si="3"/>
        <v>#DIV/0!</v>
      </c>
      <c r="R15" s="175"/>
      <c r="S15" s="184" t="e">
        <v>#DIV/0!</v>
      </c>
      <c r="T15" s="175"/>
      <c r="U15" s="246" t="e">
        <v>#DIV/0!</v>
      </c>
      <c r="V15" s="181" t="e">
        <f>_xll.qlSimpleQuoteSetValue(E15,$U15/100,ISERROR(F15))</f>
        <v>#NUM!</v>
      </c>
      <c r="W15" s="171"/>
      <c r="X15"/>
    </row>
    <row r="16" spans="1:24" ht="15" x14ac:dyDescent="0.25">
      <c r="A16" s="118"/>
      <c r="B16" s="117"/>
      <c r="C16" s="117" t="s">
        <v>107</v>
      </c>
      <c r="D16" s="119" t="s">
        <v>110</v>
      </c>
      <c r="E16" s="116" t="str">
        <f t="shared" si="0"/>
        <v>HKDOIS9M_Quote</v>
      </c>
      <c r="F16" s="116" t="str">
        <f>_xll.qlSimpleQuote(Currency&amp;$B16&amp;$C16&amp;$D16&amp;QuoteSuffix,,RateTickValue,Permanent,Trigger,ObjectOverwrite)</f>
        <v>HKDOIS9M_Quote#0009</v>
      </c>
      <c r="G16" s="115" t="str">
        <f>_xll.ohRangeRetrieveError(F16)</f>
        <v/>
      </c>
      <c r="H16" s="114"/>
      <c r="J16" s="180"/>
      <c r="K16" s="179" t="str">
        <f t="shared" si="1"/>
        <v>HKD9MOIS</v>
      </c>
      <c r="L16" s="215" t="str">
        <f t="shared" si="2"/>
        <v>HKD9MOIS=ICHK</v>
      </c>
      <c r="M16" s="182">
        <v>0.12</v>
      </c>
      <c r="N16" s="182">
        <v>0.22</v>
      </c>
      <c r="O16" s="182">
        <v>0</v>
      </c>
      <c r="P16" s="182">
        <v>0</v>
      </c>
      <c r="Q16" s="177">
        <f t="shared" si="3"/>
        <v>0.16999999999999998</v>
      </c>
      <c r="R16" s="175"/>
      <c r="S16" s="184">
        <v>0.16999999999999998</v>
      </c>
      <c r="T16" s="175"/>
      <c r="U16" s="246">
        <v>0.16999999999999998</v>
      </c>
      <c r="V16" s="181">
        <f>_xll.qlSimpleQuoteSetValue(E16,$U16/100,ISERROR(F16))</f>
        <v>0</v>
      </c>
      <c r="W16" s="171"/>
      <c r="X16"/>
    </row>
    <row r="17" spans="1:24" ht="15" x14ac:dyDescent="0.25">
      <c r="A17" s="118"/>
      <c r="B17" s="117"/>
      <c r="C17" s="117" t="s">
        <v>107</v>
      </c>
      <c r="D17" s="119" t="s">
        <v>109</v>
      </c>
      <c r="E17" s="116" t="str">
        <f t="shared" si="0"/>
        <v>HKDOIS10M_Quote</v>
      </c>
      <c r="F17" s="116" t="str">
        <f>_xll.qlSimpleQuote(Currency&amp;$B17&amp;$C17&amp;$D17&amp;QuoteSuffix,,RateTickValue,Permanent,Trigger,ObjectOverwrite)</f>
        <v>HKDOIS10M_Quote#0009</v>
      </c>
      <c r="G17" s="115" t="str">
        <f>_xll.ohRangeRetrieveError(F17)</f>
        <v/>
      </c>
      <c r="H17" s="114"/>
      <c r="J17" s="180"/>
      <c r="K17" s="179" t="str">
        <f t="shared" si="1"/>
        <v>HKD10MOIS</v>
      </c>
      <c r="L17" s="215" t="str">
        <f t="shared" si="2"/>
        <v>HKD10MOIS=ICHK</v>
      </c>
      <c r="M17" s="182" t="s">
        <v>151</v>
      </c>
      <c r="N17" s="182" t="s">
        <v>151</v>
      </c>
      <c r="O17" s="182" t="s">
        <v>151</v>
      </c>
      <c r="P17" s="182" t="s">
        <v>151</v>
      </c>
      <c r="Q17" s="177" t="e">
        <f t="shared" si="3"/>
        <v>#DIV/0!</v>
      </c>
      <c r="R17" s="175"/>
      <c r="S17" s="184" t="e">
        <v>#DIV/0!</v>
      </c>
      <c r="T17" s="175"/>
      <c r="U17" s="246" t="e">
        <v>#DIV/0!</v>
      </c>
      <c r="V17" s="181" t="e">
        <f>_xll.qlSimpleQuoteSetValue(E17,$U17/100,ISERROR(F17))</f>
        <v>#NUM!</v>
      </c>
      <c r="W17" s="171"/>
      <c r="X17"/>
    </row>
    <row r="18" spans="1:24" ht="15" x14ac:dyDescent="0.25">
      <c r="A18" s="118"/>
      <c r="B18" s="117"/>
      <c r="C18" s="117" t="s">
        <v>107</v>
      </c>
      <c r="D18" s="119" t="s">
        <v>108</v>
      </c>
      <c r="E18" s="116" t="str">
        <f t="shared" si="0"/>
        <v>HKDOIS11M_Quote</v>
      </c>
      <c r="F18" s="116" t="str">
        <f>_xll.qlSimpleQuote(Currency&amp;$B18&amp;$C18&amp;$D18&amp;QuoteSuffix,,RateTickValue,Permanent,Trigger,ObjectOverwrite)</f>
        <v>HKDOIS11M_Quote#0009</v>
      </c>
      <c r="G18" s="115" t="str">
        <f>_xll.ohRangeRetrieveError(F18)</f>
        <v/>
      </c>
      <c r="H18" s="114"/>
      <c r="J18" s="180"/>
      <c r="K18" s="179" t="str">
        <f t="shared" si="1"/>
        <v>HKD11MOIS</v>
      </c>
      <c r="L18" s="215" t="str">
        <f t="shared" si="2"/>
        <v>HKD11MOIS=ICHK</v>
      </c>
      <c r="M18" s="182" t="s">
        <v>151</v>
      </c>
      <c r="N18" s="182" t="s">
        <v>151</v>
      </c>
      <c r="O18" s="182" t="s">
        <v>151</v>
      </c>
      <c r="P18" s="182" t="s">
        <v>151</v>
      </c>
      <c r="Q18" s="177" t="e">
        <f t="shared" si="3"/>
        <v>#DIV/0!</v>
      </c>
      <c r="R18" s="175"/>
      <c r="S18" s="184" t="e">
        <v>#DIV/0!</v>
      </c>
      <c r="T18" s="175"/>
      <c r="U18" s="246" t="e">
        <v>#DIV/0!</v>
      </c>
      <c r="V18" s="181" t="e">
        <f>_xll.qlSimpleQuoteSetValue(E18,$U18/100,ISERROR(F18))</f>
        <v>#NUM!</v>
      </c>
      <c r="W18" s="171"/>
      <c r="X18"/>
    </row>
    <row r="19" spans="1:24" ht="15" x14ac:dyDescent="0.25">
      <c r="A19" s="118"/>
      <c r="B19" s="117"/>
      <c r="C19" s="117" t="s">
        <v>107</v>
      </c>
      <c r="D19" s="119" t="s">
        <v>60</v>
      </c>
      <c r="E19" s="116" t="str">
        <f t="shared" si="0"/>
        <v>HKDOIS1Y_Quote</v>
      </c>
      <c r="F19" s="116" t="str">
        <f>_xll.qlSimpleQuote(Currency&amp;$B19&amp;$C19&amp;$D19&amp;QuoteSuffix,,RateTickValue,Permanent,Trigger,ObjectOverwrite)</f>
        <v>HKDOIS1Y_Quote#0009</v>
      </c>
      <c r="G19" s="115" t="str">
        <f>_xll.ohRangeRetrieveError(F19)</f>
        <v/>
      </c>
      <c r="H19" s="114"/>
      <c r="J19" s="180"/>
      <c r="K19" s="179" t="str">
        <f t="shared" si="1"/>
        <v>HKD1YOIS</v>
      </c>
      <c r="L19" s="215" t="str">
        <f t="shared" si="2"/>
        <v>HKD1YOIS=ICHK</v>
      </c>
      <c r="M19" s="182">
        <v>0.15</v>
      </c>
      <c r="N19" s="182">
        <v>0.25</v>
      </c>
      <c r="O19" s="182">
        <v>0</v>
      </c>
      <c r="P19" s="182">
        <v>0</v>
      </c>
      <c r="Q19" s="177">
        <f t="shared" si="3"/>
        <v>0.2</v>
      </c>
      <c r="R19" s="175"/>
      <c r="S19" s="184">
        <v>0.2</v>
      </c>
      <c r="T19" s="175"/>
      <c r="U19" s="246">
        <v>0.2</v>
      </c>
      <c r="V19" s="181">
        <f>_xll.qlSimpleQuoteSetValue(E19,$U19/100,ISERROR(F19))</f>
        <v>0</v>
      </c>
      <c r="W19" s="171"/>
      <c r="X19"/>
    </row>
    <row r="20" spans="1:24" ht="15" x14ac:dyDescent="0.25">
      <c r="A20" s="118"/>
      <c r="B20" s="117"/>
      <c r="C20" s="117" t="s">
        <v>107</v>
      </c>
      <c r="D20" s="119" t="s">
        <v>59</v>
      </c>
      <c r="E20" s="116" t="str">
        <f t="shared" si="0"/>
        <v>HKDOIS15M_Quote</v>
      </c>
      <c r="F20" s="116" t="str">
        <f>_xll.qlSimpleQuote(Currency&amp;$B20&amp;$C20&amp;$D20&amp;QuoteSuffix,,RateTickValue,Permanent,Trigger,ObjectOverwrite)</f>
        <v>HKDOIS15M_Quote#0009</v>
      </c>
      <c r="G20" s="115" t="str">
        <f>_xll.ohRangeRetrieveError(F20)</f>
        <v/>
      </c>
      <c r="H20" s="114"/>
      <c r="J20" s="180"/>
      <c r="K20" s="179" t="str">
        <f t="shared" si="1"/>
        <v>HKD15MOIS</v>
      </c>
      <c r="L20" s="215" t="str">
        <f t="shared" si="2"/>
        <v>HKD15MOIS=ICHK</v>
      </c>
      <c r="M20" s="182" t="s">
        <v>151</v>
      </c>
      <c r="N20" s="182" t="s">
        <v>151</v>
      </c>
      <c r="O20" s="182" t="s">
        <v>151</v>
      </c>
      <c r="P20" s="182" t="s">
        <v>151</v>
      </c>
      <c r="Q20" s="177" t="e">
        <f t="shared" si="3"/>
        <v>#DIV/0!</v>
      </c>
      <c r="R20" s="175"/>
      <c r="S20" s="184" t="e">
        <v>#DIV/0!</v>
      </c>
      <c r="T20" s="175"/>
      <c r="U20" s="246" t="e">
        <v>#DIV/0!</v>
      </c>
      <c r="V20" s="181" t="e">
        <f>_xll.qlSimpleQuoteSetValue(E20,$U20/100,ISERROR(F20))</f>
        <v>#NUM!</v>
      </c>
      <c r="W20" s="171"/>
      <c r="X20"/>
    </row>
    <row r="21" spans="1:24" ht="15" x14ac:dyDescent="0.25">
      <c r="A21" s="118"/>
      <c r="B21" s="117"/>
      <c r="C21" s="117" t="s">
        <v>107</v>
      </c>
      <c r="D21" s="119" t="s">
        <v>58</v>
      </c>
      <c r="E21" s="116" t="str">
        <f t="shared" si="0"/>
        <v>HKDOIS18M_Quote</v>
      </c>
      <c r="F21" s="116" t="str">
        <f>_xll.qlSimpleQuote(Currency&amp;$B21&amp;$C21&amp;$D21&amp;QuoteSuffix,,RateTickValue,Permanent,Trigger,ObjectOverwrite)</f>
        <v>HKDOIS18M_Quote#0009</v>
      </c>
      <c r="G21" s="115" t="str">
        <f>_xll.ohRangeRetrieveError(F21)</f>
        <v/>
      </c>
      <c r="H21" s="114"/>
      <c r="J21" s="180"/>
      <c r="K21" s="179" t="str">
        <f t="shared" si="1"/>
        <v>HKD18MOIS</v>
      </c>
      <c r="L21" s="215" t="str">
        <f t="shared" si="2"/>
        <v>HKD18MOIS=ICHK</v>
      </c>
      <c r="M21" s="182" t="s">
        <v>151</v>
      </c>
      <c r="N21" s="182" t="s">
        <v>151</v>
      </c>
      <c r="O21" s="182" t="s">
        <v>151</v>
      </c>
      <c r="P21" s="182" t="s">
        <v>151</v>
      </c>
      <c r="Q21" s="177" t="e">
        <f t="shared" si="3"/>
        <v>#DIV/0!</v>
      </c>
      <c r="R21" s="175"/>
      <c r="S21" s="184" t="e">
        <v>#DIV/0!</v>
      </c>
      <c r="T21" s="175"/>
      <c r="U21" s="246" t="e">
        <v>#DIV/0!</v>
      </c>
      <c r="V21" s="181" t="e">
        <f>_xll.qlSimpleQuoteSetValue(E21,$U21/100,ISERROR(F21))</f>
        <v>#NUM!</v>
      </c>
      <c r="W21" s="171"/>
      <c r="X21"/>
    </row>
    <row r="22" spans="1:24" ht="15" x14ac:dyDescent="0.25">
      <c r="A22" s="118"/>
      <c r="B22" s="117"/>
      <c r="C22" s="117" t="s">
        <v>107</v>
      </c>
      <c r="D22" s="119" t="s">
        <v>57</v>
      </c>
      <c r="E22" s="116" t="str">
        <f t="shared" si="0"/>
        <v>HKDOIS21M_Quote</v>
      </c>
      <c r="F22" s="116" t="str">
        <f>_xll.qlSimpleQuote(Currency&amp;$B22&amp;$C22&amp;$D22&amp;QuoteSuffix,,RateTickValue,Permanent,Trigger,ObjectOverwrite)</f>
        <v>HKDOIS21M_Quote#0009</v>
      </c>
      <c r="G22" s="115" t="str">
        <f>_xll.ohRangeRetrieveError(F22)</f>
        <v/>
      </c>
      <c r="H22" s="114"/>
      <c r="J22" s="180"/>
      <c r="K22" s="179" t="str">
        <f t="shared" si="1"/>
        <v>HKD21MOIS</v>
      </c>
      <c r="L22" s="215" t="str">
        <f t="shared" si="2"/>
        <v>HKD21MOIS=ICHK</v>
      </c>
      <c r="M22" s="182" t="s">
        <v>151</v>
      </c>
      <c r="N22" s="182" t="s">
        <v>151</v>
      </c>
      <c r="O22" s="182" t="s">
        <v>151</v>
      </c>
      <c r="P22" s="182" t="s">
        <v>151</v>
      </c>
      <c r="Q22" s="177" t="e">
        <f t="shared" si="3"/>
        <v>#DIV/0!</v>
      </c>
      <c r="R22" s="175"/>
      <c r="S22" s="184" t="e">
        <v>#DIV/0!</v>
      </c>
      <c r="T22" s="175"/>
      <c r="U22" s="246" t="e">
        <v>#DIV/0!</v>
      </c>
      <c r="V22" s="181" t="e">
        <f>_xll.qlSimpleQuoteSetValue(E22,$U22/100,ISERROR(F22))</f>
        <v>#NUM!</v>
      </c>
      <c r="W22" s="171"/>
      <c r="X22"/>
    </row>
    <row r="23" spans="1:24" ht="15" x14ac:dyDescent="0.25">
      <c r="A23" s="118"/>
      <c r="B23" s="117"/>
      <c r="C23" s="117" t="s">
        <v>107</v>
      </c>
      <c r="D23" s="119" t="s">
        <v>56</v>
      </c>
      <c r="E23" s="116" t="str">
        <f t="shared" si="0"/>
        <v>HKDOIS2Y_Quote</v>
      </c>
      <c r="F23" s="116" t="str">
        <f>_xll.qlSimpleQuote(Currency&amp;$B23&amp;$C23&amp;$D23&amp;QuoteSuffix,,RateTickValue,Permanent,Trigger,ObjectOverwrite)</f>
        <v>HKDOIS2Y_Quote#0009</v>
      </c>
      <c r="G23" s="115" t="str">
        <f>_xll.ohRangeRetrieveError(F23)</f>
        <v/>
      </c>
      <c r="H23" s="114"/>
      <c r="J23" s="180"/>
      <c r="K23" s="299" t="str">
        <f t="shared" si="1"/>
        <v>HKD2YOIS</v>
      </c>
      <c r="L23" s="221" t="str">
        <f t="shared" si="2"/>
        <v>HKD2YOIS=ICHK</v>
      </c>
      <c r="M23" s="173" t="s">
        <v>151</v>
      </c>
      <c r="N23" s="173" t="s">
        <v>151</v>
      </c>
      <c r="O23" s="173" t="s">
        <v>151</v>
      </c>
      <c r="P23" s="173" t="s">
        <v>151</v>
      </c>
      <c r="Q23" s="220" t="e">
        <f t="shared" si="3"/>
        <v>#DIV/0!</v>
      </c>
      <c r="R23" s="175"/>
      <c r="S23" s="184" t="e">
        <v>#DIV/0!</v>
      </c>
      <c r="T23" s="175"/>
      <c r="U23" s="239" t="e">
        <v>#DIV/0!</v>
      </c>
      <c r="V23" s="172" t="e">
        <f>_xll.qlSimpleQuoteSetValue(E23,$U23/100,ISERROR(F23))</f>
        <v>#NUM!</v>
      </c>
      <c r="W23" s="171"/>
      <c r="X23"/>
    </row>
    <row r="24" spans="1:24" ht="15.75" thickBot="1" x14ac:dyDescent="0.3">
      <c r="A24" s="113"/>
      <c r="B24" s="112"/>
      <c r="C24" s="112"/>
      <c r="D24" s="112"/>
      <c r="E24" s="112"/>
      <c r="F24" s="111"/>
      <c r="G24" s="111"/>
      <c r="H24" s="110"/>
      <c r="J24" s="170"/>
      <c r="K24" s="169"/>
      <c r="L24" s="169"/>
      <c r="M24" s="169"/>
      <c r="N24" s="169"/>
      <c r="O24" s="169"/>
      <c r="P24" s="169"/>
      <c r="Q24" s="169"/>
      <c r="R24" s="168"/>
      <c r="S24" s="169"/>
      <c r="T24" s="168"/>
      <c r="U24" s="169"/>
      <c r="V24" s="169"/>
      <c r="W24" s="290"/>
      <c r="X24"/>
    </row>
    <row r="25" spans="1:24" ht="15" x14ac:dyDescent="0.25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ht="15" x14ac:dyDescent="0.25">
      <c r="X26"/>
    </row>
    <row r="27" spans="1:24" ht="15" x14ac:dyDescent="0.25">
      <c r="X27"/>
    </row>
    <row r="28" spans="1:24" ht="15" x14ac:dyDescent="0.25">
      <c r="X28"/>
    </row>
    <row r="29" spans="1:24" ht="15" x14ac:dyDescent="0.25">
      <c r="X29"/>
    </row>
    <row r="30" spans="1:24" ht="15" x14ac:dyDescent="0.25">
      <c r="X30"/>
    </row>
    <row r="31" spans="1:24" ht="15" x14ac:dyDescent="0.25">
      <c r="X31"/>
    </row>
    <row r="32" spans="1:24" ht="15" x14ac:dyDescent="0.25">
      <c r="X32"/>
    </row>
    <row r="33" spans="24:24" ht="15" x14ac:dyDescent="0.25">
      <c r="X33"/>
    </row>
    <row r="34" spans="24:24" ht="15" x14ac:dyDescent="0.25">
      <c r="X34"/>
    </row>
    <row r="35" spans="24:24" ht="15" x14ac:dyDescent="0.25">
      <c r="X35"/>
    </row>
    <row r="36" spans="24:24" ht="15" x14ac:dyDescent="0.25">
      <c r="X36"/>
    </row>
    <row r="37" spans="24:24" ht="15" x14ac:dyDescent="0.25">
      <c r="X37"/>
    </row>
    <row r="38" spans="24:24" ht="15" x14ac:dyDescent="0.25">
      <c r="X38"/>
    </row>
    <row r="39" spans="24:24" ht="15" x14ac:dyDescent="0.25">
      <c r="X39"/>
    </row>
    <row r="40" spans="24:24" ht="15" x14ac:dyDescent="0.25">
      <c r="X40"/>
    </row>
    <row r="41" spans="24:24" ht="15" x14ac:dyDescent="0.25">
      <c r="X41"/>
    </row>
    <row r="42" spans="24:24" ht="15" x14ac:dyDescent="0.25">
      <c r="X42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2"/>
  <sheetViews>
    <sheetView zoomScaleNormal="100" workbookViewId="0"/>
  </sheetViews>
  <sheetFormatPr defaultRowHeight="11.25" x14ac:dyDescent="0.2"/>
  <cols>
    <col min="1" max="1" width="2.7109375" style="16" customWidth="1"/>
    <col min="2" max="2" width="5.140625" style="16" bestFit="1" customWidth="1"/>
    <col min="3" max="3" width="17.85546875" style="16" bestFit="1" customWidth="1"/>
    <col min="4" max="4" width="17.42578125" style="16" bestFit="1" customWidth="1"/>
    <col min="5" max="5" width="36.85546875" style="16" bestFit="1" customWidth="1"/>
    <col min="6" max="8" width="2.7109375" style="16" customWidth="1"/>
    <col min="9" max="9" width="9.7109375" style="16" customWidth="1"/>
    <col min="10" max="10" width="10.28515625" style="16" customWidth="1"/>
    <col min="11" max="11" width="2.7109375" style="16" customWidth="1"/>
    <col min="12" max="12" width="8.140625" style="16" customWidth="1"/>
    <col min="13" max="13" width="2.7109375" style="16" customWidth="1"/>
    <col min="14" max="14" width="9" style="16" customWidth="1"/>
    <col min="15" max="15" width="8.140625" style="16" customWidth="1"/>
    <col min="16" max="16" width="2.7109375" style="16" customWidth="1"/>
    <col min="17" max="16384" width="9.140625" style="16"/>
  </cols>
  <sheetData>
    <row r="1" spans="1:16" s="144" customFormat="1" x14ac:dyDescent="0.2">
      <c r="A1" s="144" t="s">
        <v>209</v>
      </c>
      <c r="H1" s="203"/>
      <c r="I1" s="202"/>
      <c r="J1" s="202"/>
      <c r="K1" s="202"/>
      <c r="L1" s="202"/>
      <c r="M1" s="202"/>
      <c r="N1" s="202"/>
      <c r="O1" s="202"/>
      <c r="P1" s="201"/>
    </row>
    <row r="2" spans="1:16" x14ac:dyDescent="0.2">
      <c r="A2" s="58"/>
      <c r="B2" s="47"/>
      <c r="C2" s="47"/>
      <c r="D2" s="47"/>
      <c r="E2" s="47"/>
      <c r="F2" s="44"/>
      <c r="H2" s="180"/>
      <c r="I2" s="197"/>
      <c r="J2" s="197"/>
      <c r="K2" s="175"/>
      <c r="L2" s="175"/>
      <c r="M2" s="175"/>
      <c r="N2" s="197"/>
      <c r="O2" s="196">
        <f>_xll.ohTrigger(O4:O21)</f>
        <v>0</v>
      </c>
      <c r="P2" s="171"/>
    </row>
    <row r="3" spans="1:16" x14ac:dyDescent="0.2">
      <c r="A3" s="28"/>
      <c r="B3" s="57"/>
      <c r="C3" s="41" t="str">
        <f>Currency&amp;"_010_"&amp;"Deposits.xml"</f>
        <v>HKD_010_Deposits.xml</v>
      </c>
      <c r="D3" s="56" t="e">
        <f ca="1">IF(Serialize,_xll.ohObjectSave(D4:D21,SerializationPath&amp;C3,FileOverwrite,,Serialize),"---")</f>
        <v>#NUM!</v>
      </c>
      <c r="E3" s="55" t="str">
        <f ca="1">_xll.ohRangeRetrieveError(D3)</f>
        <v>ohObjectSave - ObjectHandler error: attempt to retrieve object with unknown ID 'HKDOND_Quote'</v>
      </c>
      <c r="F3" s="389" t="s">
        <v>211</v>
      </c>
      <c r="H3" s="180"/>
      <c r="I3" s="372" t="str">
        <f>_xll.RData(I4:I21,J3:J3,,ReutersRtMode,,J4)</f>
        <v>On Pause</v>
      </c>
      <c r="J3" s="194" t="s">
        <v>156</v>
      </c>
      <c r="K3" s="175"/>
      <c r="L3" s="193" t="s">
        <v>155</v>
      </c>
      <c r="M3" s="175"/>
      <c r="N3" s="192" t="s">
        <v>153</v>
      </c>
      <c r="O3" s="191" t="s">
        <v>152</v>
      </c>
      <c r="P3" s="171"/>
    </row>
    <row r="4" spans="1:16" x14ac:dyDescent="0.2">
      <c r="A4" s="28"/>
      <c r="B4" s="54" t="s">
        <v>81</v>
      </c>
      <c r="C4" s="53" t="str">
        <f t="shared" ref="C4:C21" si="0">Currency&amp;$B4&amp;QuoteSuffix</f>
        <v>HKDOND_Quote</v>
      </c>
      <c r="D4" s="53" t="str">
        <f>_xll.qlSimpleQuote(C4,,RateTickValue,Permanent,Trigger,ObjectOverwrite)</f>
        <v>HKDOND_Quote#0007</v>
      </c>
      <c r="E4" s="52" t="str">
        <f>_xll.ohRangeRetrieveError(D4)</f>
        <v/>
      </c>
      <c r="F4" s="51"/>
      <c r="H4" s="180"/>
      <c r="I4" s="183" t="str">
        <f>"HIHKD"&amp;B4&amp;"="</f>
        <v>HIHKDOND=</v>
      </c>
      <c r="J4" s="189">
        <v>6.4810000000000006E-2</v>
      </c>
      <c r="K4" s="175" t="s">
        <v>211</v>
      </c>
      <c r="L4" s="188"/>
      <c r="M4" s="175" t="s">
        <v>211</v>
      </c>
      <c r="N4" s="257">
        <f t="array" ref="N4:N21">QuoteLive</f>
        <v>6.4810000000000006E-2</v>
      </c>
      <c r="O4" s="185" t="e">
        <f>_xll.qlSimpleQuoteSetValue(C4,N4/100,ISERROR(D4))</f>
        <v>#N/A</v>
      </c>
      <c r="P4" s="171"/>
    </row>
    <row r="5" spans="1:16" x14ac:dyDescent="0.2">
      <c r="A5" s="28"/>
      <c r="B5" s="54" t="s">
        <v>80</v>
      </c>
      <c r="C5" s="53" t="str">
        <f t="shared" si="0"/>
        <v>HKDTND_Quote</v>
      </c>
      <c r="D5" s="53" t="str">
        <f>_xll.qlSimpleQuote(C5,,RateTickValue,Permanent,Trigger,ObjectOverwrite)</f>
        <v>HKDTND_Quote#0007</v>
      </c>
      <c r="E5" s="52" t="str">
        <f>_xll.ohRangeRetrieveError(D5)</f>
        <v/>
      </c>
      <c r="F5" s="51"/>
      <c r="H5" s="180"/>
      <c r="I5" s="183" t="str">
        <f t="shared" ref="I5:I21" si="1">"HIHKD"&amp;B5&amp;"="</f>
        <v>HIHKDTND=</v>
      </c>
      <c r="J5" s="177" t="s">
        <v>151</v>
      </c>
      <c r="K5" s="377" t="s">
        <v>211</v>
      </c>
      <c r="L5" s="184" t="s">
        <v>151</v>
      </c>
      <c r="M5" s="377" t="s">
        <v>211</v>
      </c>
      <c r="N5" s="246" t="str">
        <v>The record could not be found</v>
      </c>
      <c r="O5" s="181" t="e">
        <f>_xll.qlSimpleQuoteSetValue(C5,N5/100,ISERROR(D5))</f>
        <v>#NUM!</v>
      </c>
      <c r="P5" s="171"/>
    </row>
    <row r="6" spans="1:16" x14ac:dyDescent="0.2">
      <c r="A6" s="28"/>
      <c r="B6" s="54" t="s">
        <v>79</v>
      </c>
      <c r="C6" s="53" t="str">
        <f t="shared" si="0"/>
        <v>HKDSND_Quote</v>
      </c>
      <c r="D6" s="53" t="str">
        <f>_xll.qlSimpleQuote(C6,,RateTickValue,Permanent,Trigger,ObjectOverwrite)</f>
        <v>HKDSND_Quote#0007</v>
      </c>
      <c r="E6" s="52" t="str">
        <f>_xll.ohRangeRetrieveError(D6)</f>
        <v/>
      </c>
      <c r="F6" s="51"/>
      <c r="H6" s="180"/>
      <c r="I6" s="183" t="str">
        <f t="shared" si="1"/>
        <v>HIHKDSND=</v>
      </c>
      <c r="J6" s="177" t="s">
        <v>151</v>
      </c>
      <c r="K6" s="175" t="s">
        <v>211</v>
      </c>
      <c r="L6" s="184" t="s">
        <v>151</v>
      </c>
      <c r="M6" s="175" t="s">
        <v>211</v>
      </c>
      <c r="N6" s="246" t="str">
        <v>The record could not be found</v>
      </c>
      <c r="O6" s="181" t="e">
        <f>_xll.qlSimpleQuoteSetValue(C6,N6/100,ISERROR(D6))</f>
        <v>#NUM!</v>
      </c>
      <c r="P6" s="171"/>
    </row>
    <row r="7" spans="1:16" x14ac:dyDescent="0.2">
      <c r="A7" s="28"/>
      <c r="B7" s="54" t="s">
        <v>78</v>
      </c>
      <c r="C7" s="53" t="str">
        <f t="shared" si="0"/>
        <v>HKDSWD_Quote</v>
      </c>
      <c r="D7" s="53" t="str">
        <f>_xll.qlSimpleQuote(C7,,RateTickValue,Permanent,Trigger,ObjectOverwrite)</f>
        <v>HKDSWD_Quote#0007</v>
      </c>
      <c r="E7" s="52" t="str">
        <f>_xll.ohRangeRetrieveError(D7)</f>
        <v/>
      </c>
      <c r="F7" s="51"/>
      <c r="H7" s="180"/>
      <c r="I7" s="183" t="str">
        <f t="shared" si="1"/>
        <v>HIHKDSWD=</v>
      </c>
      <c r="J7" s="177">
        <v>0.12179</v>
      </c>
      <c r="K7" s="175" t="s">
        <v>211</v>
      </c>
      <c r="L7" s="184">
        <v>0.13428999999999999</v>
      </c>
      <c r="M7" s="175" t="s">
        <v>211</v>
      </c>
      <c r="N7" s="246">
        <v>0.12179</v>
      </c>
      <c r="O7" s="181" t="e">
        <f>_xll.qlSimpleQuoteSetValue(C7,N7/100,ISERROR(D7))</f>
        <v>#N/A</v>
      </c>
      <c r="P7" s="171"/>
    </row>
    <row r="8" spans="1:16" x14ac:dyDescent="0.2">
      <c r="A8" s="28"/>
      <c r="B8" s="54" t="s">
        <v>77</v>
      </c>
      <c r="C8" s="53" t="str">
        <f t="shared" si="0"/>
        <v>HKD2WD_Quote</v>
      </c>
      <c r="D8" s="53" t="str">
        <f>_xll.qlSimpleQuote(C8,,RateTickValue,Permanent,Trigger,ObjectOverwrite)</f>
        <v>HKD2WD_Quote#0007</v>
      </c>
      <c r="E8" s="52" t="str">
        <f>_xll.ohRangeRetrieveError(D8)</f>
        <v/>
      </c>
      <c r="F8" s="51"/>
      <c r="H8" s="180"/>
      <c r="I8" s="183" t="str">
        <f t="shared" si="1"/>
        <v>HIHKD2WD=</v>
      </c>
      <c r="J8" s="177">
        <v>0.15643000000000001</v>
      </c>
      <c r="K8" s="175" t="s">
        <v>211</v>
      </c>
      <c r="L8" s="184">
        <v>0.16070999999999999</v>
      </c>
      <c r="M8" s="175" t="s">
        <v>211</v>
      </c>
      <c r="N8" s="246">
        <v>0.15643000000000001</v>
      </c>
      <c r="O8" s="181" t="e">
        <f>_xll.qlSimpleQuoteSetValue(C8,N8/100,ISERROR(D8))</f>
        <v>#N/A</v>
      </c>
      <c r="P8" s="171"/>
    </row>
    <row r="9" spans="1:16" x14ac:dyDescent="0.2">
      <c r="A9" s="28"/>
      <c r="B9" s="54" t="s">
        <v>76</v>
      </c>
      <c r="C9" s="53" t="str">
        <f t="shared" si="0"/>
        <v>HKD3WD_Quote</v>
      </c>
      <c r="D9" s="53" t="str">
        <f>_xll.qlSimpleQuote(C9,,RateTickValue,Permanent,Trigger,ObjectOverwrite)</f>
        <v>HKD3WD_Quote#0007</v>
      </c>
      <c r="E9" s="52" t="str">
        <f>_xll.ohRangeRetrieveError(D9)</f>
        <v/>
      </c>
      <c r="F9" s="51"/>
      <c r="H9" s="180"/>
      <c r="I9" s="183" t="str">
        <f t="shared" si="1"/>
        <v>HIHKD3WD=</v>
      </c>
      <c r="J9" s="177" t="s">
        <v>151</v>
      </c>
      <c r="K9" s="175" t="s">
        <v>211</v>
      </c>
      <c r="L9" s="184" t="s">
        <v>151</v>
      </c>
      <c r="M9" s="175" t="s">
        <v>211</v>
      </c>
      <c r="N9" s="246" t="str">
        <v>The record could not be found</v>
      </c>
      <c r="O9" s="181" t="e">
        <f>_xll.qlSimpleQuoteSetValue(C9,N9/100,ISERROR(D9))</f>
        <v>#NUM!</v>
      </c>
      <c r="P9" s="171"/>
    </row>
    <row r="10" spans="1:16" x14ac:dyDescent="0.2">
      <c r="A10" s="28"/>
      <c r="B10" s="54" t="s">
        <v>75</v>
      </c>
      <c r="C10" s="53" t="str">
        <f t="shared" si="0"/>
        <v>HKD1MD_Quote</v>
      </c>
      <c r="D10" s="53" t="str">
        <f>_xll.qlSimpleQuote(C10,,RateTickValue,Permanent,Trigger,ObjectOverwrite)</f>
        <v>HKD1MD_Quote#0007</v>
      </c>
      <c r="E10" s="52" t="str">
        <f>_xll.ohRangeRetrieveError(D10)</f>
        <v/>
      </c>
      <c r="F10" s="51"/>
      <c r="H10" s="180"/>
      <c r="I10" s="183" t="str">
        <f t="shared" si="1"/>
        <v>HIHKD1MD=</v>
      </c>
      <c r="J10" s="177">
        <v>0.21357000000000001</v>
      </c>
      <c r="K10" s="175" t="s">
        <v>211</v>
      </c>
      <c r="L10" s="184">
        <v>0.215</v>
      </c>
      <c r="M10" s="175" t="s">
        <v>211</v>
      </c>
      <c r="N10" s="246">
        <v>0.21357000000000001</v>
      </c>
      <c r="O10" s="181" t="e">
        <f>_xll.qlSimpleQuoteSetValue(C10,N10/100,ISERROR(D10))</f>
        <v>#N/A</v>
      </c>
      <c r="P10" s="171"/>
    </row>
    <row r="11" spans="1:16" x14ac:dyDescent="0.2">
      <c r="A11" s="28"/>
      <c r="B11" s="54" t="s">
        <v>74</v>
      </c>
      <c r="C11" s="53" t="str">
        <f t="shared" si="0"/>
        <v>HKD2MD_Quote</v>
      </c>
      <c r="D11" s="53" t="str">
        <f>_xll.qlSimpleQuote(C11,,RateTickValue,Permanent,Trigger,ObjectOverwrite)</f>
        <v>HKD2MD_Quote#0007</v>
      </c>
      <c r="E11" s="52" t="str">
        <f>_xll.ohRangeRetrieveError(D11)</f>
        <v/>
      </c>
      <c r="F11" s="51"/>
      <c r="H11" s="180"/>
      <c r="I11" s="183" t="str">
        <f t="shared" si="1"/>
        <v>HIHKD2MD=</v>
      </c>
      <c r="J11" s="177">
        <v>0.31470999999999999</v>
      </c>
      <c r="K11" s="175" t="s">
        <v>211</v>
      </c>
      <c r="L11" s="184">
        <v>0.32500000000000001</v>
      </c>
      <c r="M11" s="175" t="s">
        <v>211</v>
      </c>
      <c r="N11" s="246">
        <v>0.31470999999999999</v>
      </c>
      <c r="O11" s="181" t="e">
        <f>_xll.qlSimpleQuoteSetValue(C11,N11/100,ISERROR(D11))</f>
        <v>#N/A</v>
      </c>
      <c r="P11" s="171"/>
    </row>
    <row r="12" spans="1:16" x14ac:dyDescent="0.2">
      <c r="A12" s="28"/>
      <c r="B12" s="54" t="s">
        <v>73</v>
      </c>
      <c r="C12" s="53" t="str">
        <f t="shared" si="0"/>
        <v>HKD3MD_Quote</v>
      </c>
      <c r="D12" s="53" t="str">
        <f>_xll.qlSimpleQuote(C12,,RateTickValue,Permanent,Trigger,ObjectOverwrite)</f>
        <v>HKD3MD_Quote#0007</v>
      </c>
      <c r="E12" s="52" t="str">
        <f>_xll.ohRangeRetrieveError(D12)</f>
        <v/>
      </c>
      <c r="F12" s="51"/>
      <c r="H12" s="180"/>
      <c r="I12" s="183" t="str">
        <f t="shared" si="1"/>
        <v>HIHKD3MD=</v>
      </c>
      <c r="J12" s="177">
        <v>0.37785999999999997</v>
      </c>
      <c r="K12" s="175" t="s">
        <v>211</v>
      </c>
      <c r="L12" s="184">
        <v>0.38429000000000002</v>
      </c>
      <c r="M12" s="175" t="s">
        <v>211</v>
      </c>
      <c r="N12" s="246">
        <v>0.37785999999999997</v>
      </c>
      <c r="O12" s="181" t="e">
        <f>_xll.qlSimpleQuoteSetValue(C12,N12/100,ISERROR(D12))</f>
        <v>#N/A</v>
      </c>
      <c r="P12" s="171"/>
    </row>
    <row r="13" spans="1:16" x14ac:dyDescent="0.2">
      <c r="A13" s="28"/>
      <c r="B13" s="54" t="s">
        <v>72</v>
      </c>
      <c r="C13" s="53" t="str">
        <f t="shared" si="0"/>
        <v>HKD4MD_Quote</v>
      </c>
      <c r="D13" s="53" t="str">
        <f>_xll.qlSimpleQuote(C13,,RateTickValue,Permanent,Trigger,ObjectOverwrite)</f>
        <v>HKD4MD_Quote#0007</v>
      </c>
      <c r="E13" s="52" t="str">
        <f>_xll.ohRangeRetrieveError(D13)</f>
        <v/>
      </c>
      <c r="F13" s="51"/>
      <c r="H13" s="180"/>
      <c r="I13" s="183" t="str">
        <f t="shared" si="1"/>
        <v>HIHKD4MD=</v>
      </c>
      <c r="J13" s="177">
        <v>0.41214000000000001</v>
      </c>
      <c r="K13" s="175" t="s">
        <v>211</v>
      </c>
      <c r="L13" s="184">
        <v>0.41143000000000002</v>
      </c>
      <c r="M13" s="175" t="s">
        <v>211</v>
      </c>
      <c r="N13" s="246">
        <v>0.41214000000000001</v>
      </c>
      <c r="O13" s="181" t="e">
        <f>_xll.qlSimpleQuoteSetValue(C13,N13/100,ISERROR(D13))</f>
        <v>#N/A</v>
      </c>
      <c r="P13" s="171"/>
    </row>
    <row r="14" spans="1:16" x14ac:dyDescent="0.2">
      <c r="A14" s="28"/>
      <c r="B14" s="54" t="s">
        <v>71</v>
      </c>
      <c r="C14" s="53" t="str">
        <f t="shared" si="0"/>
        <v>HKD5MD_Quote</v>
      </c>
      <c r="D14" s="53" t="str">
        <f>_xll.qlSimpleQuote(C14,,RateTickValue,Permanent,Trigger,ObjectOverwrite)</f>
        <v>HKD5MD_Quote#0007</v>
      </c>
      <c r="E14" s="52" t="str">
        <f>_xll.ohRangeRetrieveError(D14)</f>
        <v/>
      </c>
      <c r="F14" s="51"/>
      <c r="H14" s="180"/>
      <c r="I14" s="183" t="str">
        <f t="shared" si="1"/>
        <v>HIHKD5MD=</v>
      </c>
      <c r="J14" s="177">
        <v>0.45918999999999999</v>
      </c>
      <c r="K14" s="175" t="s">
        <v>211</v>
      </c>
      <c r="L14" s="184">
        <v>0.45213999999999999</v>
      </c>
      <c r="M14" s="175" t="s">
        <v>211</v>
      </c>
      <c r="N14" s="246">
        <v>0.45918999999999999</v>
      </c>
      <c r="O14" s="181" t="e">
        <f>_xll.qlSimpleQuoteSetValue(C14,N14/100,ISERROR(D14))</f>
        <v>#N/A</v>
      </c>
      <c r="P14" s="171"/>
    </row>
    <row r="15" spans="1:16" x14ac:dyDescent="0.2">
      <c r="A15" s="28"/>
      <c r="B15" s="54" t="s">
        <v>70</v>
      </c>
      <c r="C15" s="53" t="str">
        <f t="shared" si="0"/>
        <v>HKD6MD_Quote</v>
      </c>
      <c r="D15" s="53" t="str">
        <f>_xll.qlSimpleQuote(C15,,RateTickValue,Permanent,Trigger,ObjectOverwrite)</f>
        <v>HKD6MD_Quote#0007</v>
      </c>
      <c r="E15" s="52" t="str">
        <f>_xll.ohRangeRetrieveError(D15)</f>
        <v/>
      </c>
      <c r="F15" s="51"/>
      <c r="H15" s="180"/>
      <c r="I15" s="183" t="str">
        <f t="shared" si="1"/>
        <v>HIHKD6MD=</v>
      </c>
      <c r="J15" s="177">
        <v>0.54786000000000001</v>
      </c>
      <c r="K15" s="175" t="s">
        <v>211</v>
      </c>
      <c r="L15" s="184">
        <v>0.54571000000000003</v>
      </c>
      <c r="M15" s="175" t="s">
        <v>211</v>
      </c>
      <c r="N15" s="246">
        <v>0.54786000000000001</v>
      </c>
      <c r="O15" s="181" t="e">
        <f>_xll.qlSimpleQuoteSetValue(C15,N15/100,ISERROR(D15))</f>
        <v>#N/A</v>
      </c>
      <c r="P15" s="171"/>
    </row>
    <row r="16" spans="1:16" x14ac:dyDescent="0.2">
      <c r="A16" s="28"/>
      <c r="B16" s="54" t="s">
        <v>69</v>
      </c>
      <c r="C16" s="53" t="str">
        <f t="shared" si="0"/>
        <v>HKD7MD_Quote</v>
      </c>
      <c r="D16" s="53" t="str">
        <f>_xll.qlSimpleQuote(C16,,RateTickValue,Permanent,Trigger,ObjectOverwrite)</f>
        <v>HKD7MD_Quote#0007</v>
      </c>
      <c r="E16" s="52" t="str">
        <f>_xll.ohRangeRetrieveError(D16)</f>
        <v/>
      </c>
      <c r="F16" s="51"/>
      <c r="H16" s="180"/>
      <c r="I16" s="183" t="str">
        <f t="shared" si="1"/>
        <v>HIHKD7MD=</v>
      </c>
      <c r="J16" s="177">
        <v>0.57786000000000004</v>
      </c>
      <c r="K16" s="175" t="s">
        <v>211</v>
      </c>
      <c r="L16" s="184">
        <v>0.57071000000000005</v>
      </c>
      <c r="M16" s="175" t="s">
        <v>211</v>
      </c>
      <c r="N16" s="246">
        <v>0.57786000000000004</v>
      </c>
      <c r="O16" s="181" t="e">
        <f>_xll.qlSimpleQuoteSetValue(C16,N16/100,ISERROR(D16))</f>
        <v>#N/A</v>
      </c>
      <c r="P16" s="171"/>
    </row>
    <row r="17" spans="1:16" x14ac:dyDescent="0.2">
      <c r="A17" s="28"/>
      <c r="B17" s="54" t="s">
        <v>68</v>
      </c>
      <c r="C17" s="53" t="str">
        <f t="shared" si="0"/>
        <v>HKD8MD_Quote</v>
      </c>
      <c r="D17" s="53" t="str">
        <f>_xll.qlSimpleQuote(C17,,RateTickValue,Permanent,Trigger,ObjectOverwrite)</f>
        <v>HKD8MD_Quote#0007</v>
      </c>
      <c r="E17" s="52" t="str">
        <f>_xll.ohRangeRetrieveError(D17)</f>
        <v/>
      </c>
      <c r="F17" s="51"/>
      <c r="H17" s="180"/>
      <c r="I17" s="183" t="str">
        <f t="shared" si="1"/>
        <v>HIHKD8MD=</v>
      </c>
      <c r="J17" s="177">
        <v>0.6089</v>
      </c>
      <c r="K17" s="175" t="s">
        <v>211</v>
      </c>
      <c r="L17" s="184">
        <v>0.59214</v>
      </c>
      <c r="M17" s="175" t="s">
        <v>211</v>
      </c>
      <c r="N17" s="246">
        <v>0.6089</v>
      </c>
      <c r="O17" s="181" t="e">
        <f>_xll.qlSimpleQuoteSetValue(C17,N17/100,ISERROR(D17))</f>
        <v>#N/A</v>
      </c>
      <c r="P17" s="171"/>
    </row>
    <row r="18" spans="1:16" x14ac:dyDescent="0.2">
      <c r="A18" s="28"/>
      <c r="B18" s="54" t="s">
        <v>67</v>
      </c>
      <c r="C18" s="53" t="str">
        <f t="shared" si="0"/>
        <v>HKD9MD_Quote</v>
      </c>
      <c r="D18" s="53" t="str">
        <f>_xll.qlSimpleQuote(C18,,RateTickValue,Permanent,Trigger,ObjectOverwrite)</f>
        <v>HKD9MD_Quote#0007</v>
      </c>
      <c r="E18" s="52" t="str">
        <f>_xll.ohRangeRetrieveError(D18)</f>
        <v/>
      </c>
      <c r="F18" s="51"/>
      <c r="H18" s="180"/>
      <c r="I18" s="183" t="str">
        <f t="shared" si="1"/>
        <v>HIHKD9MD=</v>
      </c>
      <c r="J18" s="177">
        <v>0.63871</v>
      </c>
      <c r="K18" s="175" t="s">
        <v>211</v>
      </c>
      <c r="L18" s="184">
        <v>0.62070999999999998</v>
      </c>
      <c r="M18" s="175" t="s">
        <v>211</v>
      </c>
      <c r="N18" s="246">
        <v>0.63871</v>
      </c>
      <c r="O18" s="181" t="e">
        <f>_xll.qlSimpleQuoteSetValue(C18,N18/100,ISERROR(D18))</f>
        <v>#N/A</v>
      </c>
      <c r="P18" s="171"/>
    </row>
    <row r="19" spans="1:16" x14ac:dyDescent="0.2">
      <c r="A19" s="28"/>
      <c r="B19" s="54" t="s">
        <v>66</v>
      </c>
      <c r="C19" s="53" t="str">
        <f t="shared" si="0"/>
        <v>HKD10MD_Quote</v>
      </c>
      <c r="D19" s="53" t="str">
        <f>_xll.qlSimpleQuote(C19,,RateTickValue,Permanent,Trigger,ObjectOverwrite)</f>
        <v>HKD10MD_Quote#0007</v>
      </c>
      <c r="E19" s="52" t="str">
        <f>_xll.ohRangeRetrieveError(D19)</f>
        <v/>
      </c>
      <c r="F19" s="51"/>
      <c r="H19" s="180"/>
      <c r="I19" s="183" t="str">
        <f t="shared" si="1"/>
        <v>HIHKD10MD=</v>
      </c>
      <c r="J19" s="177">
        <v>0.71421000000000001</v>
      </c>
      <c r="K19" s="175" t="s">
        <v>211</v>
      </c>
      <c r="L19" s="184">
        <v>0.70143</v>
      </c>
      <c r="M19" s="175" t="s">
        <v>211</v>
      </c>
      <c r="N19" s="246">
        <v>0.71421000000000001</v>
      </c>
      <c r="O19" s="181" t="e">
        <f>_xll.qlSimpleQuoteSetValue(C19,N19/100,ISERROR(D19))</f>
        <v>#N/A</v>
      </c>
      <c r="P19" s="171"/>
    </row>
    <row r="20" spans="1:16" x14ac:dyDescent="0.2">
      <c r="A20" s="28"/>
      <c r="B20" s="54" t="s">
        <v>65</v>
      </c>
      <c r="C20" s="53" t="str">
        <f t="shared" si="0"/>
        <v>HKD11MD_Quote</v>
      </c>
      <c r="D20" s="53" t="str">
        <f>_xll.qlSimpleQuote(C20,,RateTickValue,Permanent,Trigger,ObjectOverwrite)</f>
        <v>HKD11MD_Quote#0007</v>
      </c>
      <c r="E20" s="52" t="str">
        <f>_xll.ohRangeRetrieveError(D20)</f>
        <v/>
      </c>
      <c r="F20" s="51"/>
      <c r="H20" s="180"/>
      <c r="I20" s="183" t="str">
        <f t="shared" si="1"/>
        <v>HIHKD11MD=</v>
      </c>
      <c r="J20" s="177">
        <v>0.79049999999999998</v>
      </c>
      <c r="K20" s="175" t="s">
        <v>211</v>
      </c>
      <c r="L20" s="184">
        <v>0.78571000000000002</v>
      </c>
      <c r="M20" s="175" t="s">
        <v>211</v>
      </c>
      <c r="N20" s="246">
        <v>0.79049999999999998</v>
      </c>
      <c r="O20" s="181" t="e">
        <f>_xll.qlSimpleQuoteSetValue(C20,N20/100,ISERROR(D20))</f>
        <v>#N/A</v>
      </c>
      <c r="P20" s="171"/>
    </row>
    <row r="21" spans="1:16" x14ac:dyDescent="0.2">
      <c r="A21" s="28"/>
      <c r="B21" s="54" t="s">
        <v>64</v>
      </c>
      <c r="C21" s="53" t="str">
        <f t="shared" si="0"/>
        <v>HKD1YD_Quote</v>
      </c>
      <c r="D21" s="53" t="str">
        <f>_xll.qlSimpleQuote(C21,,RateTickValue,Permanent,Trigger,ObjectOverwrite)</f>
        <v>HKD1YD_Quote#0007</v>
      </c>
      <c r="E21" s="52" t="str">
        <f>_xll.ohRangeRetrieveError(D21)</f>
        <v/>
      </c>
      <c r="F21" s="51"/>
      <c r="H21" s="180"/>
      <c r="I21" s="174" t="str">
        <f t="shared" si="1"/>
        <v>HIHKD1YD=</v>
      </c>
      <c r="J21" s="177">
        <v>0.86643000000000003</v>
      </c>
      <c r="K21" s="175" t="s">
        <v>211</v>
      </c>
      <c r="L21" s="176">
        <v>0.87070999999999998</v>
      </c>
      <c r="M21" s="175" t="s">
        <v>211</v>
      </c>
      <c r="N21" s="239">
        <v>0.86643000000000003</v>
      </c>
      <c r="O21" s="172" t="e">
        <f>_xll.qlSimpleQuoteSetValue(C21,N21/100,ISERROR(D21))</f>
        <v>#N/A</v>
      </c>
      <c r="P21" s="171"/>
    </row>
    <row r="22" spans="1:16" ht="12" thickBot="1" x14ac:dyDescent="0.25">
      <c r="A22" s="21"/>
      <c r="B22" s="20"/>
      <c r="C22" s="20"/>
      <c r="D22" s="20"/>
      <c r="E22" s="20"/>
      <c r="F22" s="18"/>
      <c r="H22" s="170"/>
      <c r="I22" s="169"/>
      <c r="J22" s="169"/>
      <c r="K22" s="168"/>
      <c r="L22" s="168"/>
      <c r="M22" s="168"/>
      <c r="N22" s="168"/>
      <c r="O22" s="168"/>
      <c r="P22" s="167"/>
    </row>
  </sheetData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5"/>
  <sheetViews>
    <sheetView zoomScale="101" zoomScaleNormal="101" workbookViewId="0"/>
  </sheetViews>
  <sheetFormatPr defaultRowHeight="12.75" x14ac:dyDescent="0.2"/>
  <cols>
    <col min="1" max="1" width="2.7109375" style="38" customWidth="1"/>
    <col min="2" max="2" width="5.85546875" style="38" bestFit="1" customWidth="1"/>
    <col min="3" max="3" width="4.42578125" style="38" bestFit="1" customWidth="1"/>
    <col min="4" max="4" width="15.5703125" style="60" bestFit="1" customWidth="1"/>
    <col min="5" max="5" width="21.7109375" style="38" bestFit="1" customWidth="1"/>
    <col min="6" max="6" width="57.42578125" style="59" customWidth="1"/>
    <col min="7" max="9" width="2.7109375" style="38" customWidth="1"/>
    <col min="10" max="10" width="5.5703125" style="38" bestFit="1" customWidth="1"/>
    <col min="11" max="11" width="4.7109375" style="38" bestFit="1" customWidth="1"/>
    <col min="12" max="12" width="9.140625" style="38"/>
    <col min="13" max="13" width="14.5703125" style="38" bestFit="1" customWidth="1"/>
    <col min="14" max="16" width="9.140625" style="38"/>
    <col min="17" max="17" width="15.28515625" style="38" customWidth="1"/>
    <col min="18" max="18" width="9.140625" style="38"/>
    <col min="19" max="19" width="2.7109375" style="38" customWidth="1"/>
    <col min="20" max="20" width="9.140625" style="38"/>
    <col min="21" max="21" width="2.7109375" style="38" customWidth="1"/>
    <col min="22" max="23" width="9.140625" style="38"/>
    <col min="24" max="24" width="2.7109375" style="38" customWidth="1"/>
    <col min="25" max="16384" width="9.140625" style="38"/>
  </cols>
  <sheetData>
    <row r="1" spans="1:27" x14ac:dyDescent="0.2">
      <c r="A1" s="371" t="s">
        <v>209</v>
      </c>
      <c r="B1" s="86"/>
      <c r="C1" s="86"/>
      <c r="D1" s="86"/>
      <c r="E1" s="86"/>
      <c r="F1" s="86"/>
      <c r="G1" s="65"/>
      <c r="I1" s="180"/>
      <c r="J1" s="202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  <c r="V1" s="202"/>
      <c r="W1" s="202"/>
      <c r="X1" s="201"/>
      <c r="Y1" s="205"/>
      <c r="Z1" s="205"/>
      <c r="AA1" s="205"/>
    </row>
    <row r="2" spans="1:27" x14ac:dyDescent="0.2">
      <c r="A2" s="371"/>
      <c r="B2" s="86"/>
      <c r="C2" s="86"/>
      <c r="D2" s="86"/>
      <c r="E2" s="86"/>
      <c r="F2" s="86"/>
      <c r="G2" s="65"/>
      <c r="I2" s="180"/>
      <c r="J2" s="235"/>
      <c r="K2" s="235"/>
      <c r="L2" s="235"/>
      <c r="M2" s="199" t="s">
        <v>170</v>
      </c>
      <c r="N2" s="235"/>
      <c r="O2" s="235"/>
      <c r="P2" s="235"/>
      <c r="Q2" s="235"/>
      <c r="R2" s="235"/>
      <c r="S2" s="235"/>
      <c r="T2" s="235"/>
      <c r="U2" s="235"/>
      <c r="V2" s="235"/>
      <c r="W2" s="235"/>
      <c r="X2" s="198"/>
      <c r="Y2" s="205"/>
      <c r="Z2" s="205"/>
      <c r="AA2" s="205"/>
    </row>
    <row r="3" spans="1:27" x14ac:dyDescent="0.2">
      <c r="A3" s="371"/>
      <c r="B3" s="86"/>
      <c r="C3" s="86"/>
      <c r="D3" s="86"/>
      <c r="E3" s="86"/>
      <c r="F3" s="86"/>
      <c r="G3" s="65"/>
      <c r="I3" s="180"/>
      <c r="J3" s="235"/>
      <c r="K3" s="175"/>
      <c r="L3" s="235"/>
      <c r="M3" s="235"/>
      <c r="N3" s="235"/>
      <c r="O3" s="235"/>
      <c r="P3" s="235"/>
      <c r="Q3" s="235"/>
      <c r="R3" s="235"/>
      <c r="S3" s="175"/>
      <c r="T3" s="175"/>
      <c r="U3" s="175"/>
      <c r="V3" s="235"/>
      <c r="W3" s="196">
        <f>_xll.ohTrigger(W7:W28)</f>
        <v>0</v>
      </c>
      <c r="X3" s="198"/>
      <c r="Y3" s="205"/>
      <c r="Z3" s="205"/>
      <c r="AA3" s="205"/>
    </row>
    <row r="4" spans="1:27" ht="24" customHeight="1" x14ac:dyDescent="0.2">
      <c r="A4" s="71"/>
      <c r="B4" s="85"/>
      <c r="C4" s="84"/>
      <c r="D4" s="83" t="str">
        <f>Currency&amp;"_010_"&amp;"FRA.xml"</f>
        <v>HKD_010_FRA.xml</v>
      </c>
      <c r="E4" s="82" t="e">
        <f ca="1">IF(Serialize,_xll.ohObjectSave(E5:E40,SerializationPath&amp;D4,FileOverwrite,,Serialize),"---")</f>
        <v>#NUM!</v>
      </c>
      <c r="F4" s="81" t="str">
        <f ca="1">_xll.ohRangeRetrieveError(E4)</f>
        <v>ohObjectSave - ObjectHandler error: attempt to retrieve object with unknown ID 'HKDT1F1_Quote'</v>
      </c>
      <c r="G4" s="387" t="s">
        <v>211</v>
      </c>
      <c r="I4" s="200"/>
      <c r="J4" s="234"/>
      <c r="K4" s="233"/>
      <c r="L4" s="232"/>
      <c r="M4" s="195" t="str">
        <f>_xll.RData(M7:M38,N4:Q4,,ReutersRtMode,,N7)</f>
        <v>On Pause</v>
      </c>
      <c r="N4" s="231" t="s">
        <v>176</v>
      </c>
      <c r="O4" s="231" t="s">
        <v>161</v>
      </c>
      <c r="P4" s="231" t="s">
        <v>160</v>
      </c>
      <c r="Q4" s="231" t="s">
        <v>175</v>
      </c>
      <c r="R4" s="191" t="s">
        <v>174</v>
      </c>
      <c r="S4" s="175"/>
      <c r="T4" s="193" t="s">
        <v>155</v>
      </c>
      <c r="U4" s="175"/>
      <c r="V4" s="376" t="s">
        <v>153</v>
      </c>
      <c r="W4" s="294" t="s">
        <v>152</v>
      </c>
      <c r="X4" s="198"/>
      <c r="Y4" s="205"/>
      <c r="Z4" s="205"/>
      <c r="AA4" s="205"/>
    </row>
    <row r="5" spans="1:27" x14ac:dyDescent="0.2">
      <c r="A5" s="71"/>
      <c r="B5" s="75" t="s">
        <v>100</v>
      </c>
      <c r="C5" s="76" t="s">
        <v>83</v>
      </c>
      <c r="D5" s="75" t="str">
        <f t="shared" ref="D5:D40" si="0">Currency&amp;$B5&amp;$C5&amp;QuoteSuffix</f>
        <v>HKDT1F1_Quote</v>
      </c>
      <c r="E5" s="74" t="str">
        <f>_xll.qlSimpleQuote(D5,,RateTickValue,Permanent,Trigger,ObjectOverwrite)</f>
        <v>HKDT1F1_Quote#0004</v>
      </c>
      <c r="F5" s="73" t="str">
        <f>_xll.ohRangeRetrieveError(E5)</f>
        <v/>
      </c>
      <c r="G5" s="65"/>
      <c r="I5" s="180"/>
      <c r="J5" s="235"/>
      <c r="K5" s="235"/>
      <c r="L5" s="235"/>
      <c r="M5" s="235"/>
      <c r="N5" s="235"/>
      <c r="O5" s="235"/>
      <c r="P5" s="235"/>
      <c r="Q5" s="235"/>
      <c r="R5" s="235"/>
      <c r="S5" s="235"/>
      <c r="T5" s="235"/>
      <c r="U5" s="235"/>
      <c r="V5" s="235"/>
      <c r="W5" s="235"/>
      <c r="X5" s="171"/>
      <c r="Y5" s="205"/>
      <c r="Z5" s="205"/>
      <c r="AA5" s="205"/>
    </row>
    <row r="6" spans="1:27" x14ac:dyDescent="0.2">
      <c r="A6" s="71"/>
      <c r="B6" s="68" t="s">
        <v>99</v>
      </c>
      <c r="C6" s="72" t="s">
        <v>83</v>
      </c>
      <c r="D6" s="68" t="str">
        <f t="shared" si="0"/>
        <v>HKDTOM1F1_Quote</v>
      </c>
      <c r="E6" s="67" t="str">
        <f>_xll.qlSimpleQuote(D6,,RateTickValue,Permanent,Trigger,ObjectOverwrite)</f>
        <v>HKDTOM1F1_Quote#0004</v>
      </c>
      <c r="F6" s="66" t="str">
        <f>_xll.ohRangeRetrieveError(E6)</f>
        <v/>
      </c>
      <c r="G6" s="65"/>
      <c r="I6" s="180"/>
      <c r="J6" s="235"/>
      <c r="K6" s="235"/>
      <c r="L6" s="235"/>
      <c r="M6" s="235"/>
      <c r="N6" s="235"/>
      <c r="O6" s="235"/>
      <c r="P6" s="235"/>
      <c r="Q6" s="235"/>
      <c r="R6" s="235"/>
      <c r="S6" s="235"/>
      <c r="T6" s="235"/>
      <c r="U6" s="235"/>
      <c r="V6" s="235"/>
      <c r="W6" s="235"/>
      <c r="X6" s="171"/>
      <c r="Y6" s="205"/>
      <c r="Z6" s="379" t="s">
        <v>173</v>
      </c>
      <c r="AA6" s="205"/>
    </row>
    <row r="7" spans="1:27" x14ac:dyDescent="0.2">
      <c r="A7" s="71"/>
      <c r="B7" s="75" t="s">
        <v>98</v>
      </c>
      <c r="C7" s="76" t="s">
        <v>83</v>
      </c>
      <c r="D7" s="75" t="str">
        <f t="shared" si="0"/>
        <v>HKDT3F1_Quote</v>
      </c>
      <c r="E7" s="74" t="str">
        <f>_xll.qlSimpleQuote(D7,,RateTickValue,Permanent,Trigger,ObjectOverwrite)</f>
        <v>HKDT3F1_Quote#0004</v>
      </c>
      <c r="F7" s="73" t="str">
        <f>_xll.ohRangeRetrieveError(E7)</f>
        <v/>
      </c>
      <c r="G7" s="65"/>
      <c r="I7" s="180"/>
      <c r="J7" s="229" t="s">
        <v>98</v>
      </c>
      <c r="K7" s="228" t="s">
        <v>83</v>
      </c>
      <c r="L7" s="226" t="str">
        <f t="shared" ref="L7:L38" si="1">Currency&amp;$J7&amp;$K7</f>
        <v>HKDT3F1</v>
      </c>
      <c r="M7" s="226" t="str">
        <f t="array" ref="M7:M38">UPPER(Instruments)&amp;"="&amp;VLOOKUP(Contributor,ContributorTable,2,FALSE)</f>
        <v>HKDT3F1=PREA</v>
      </c>
      <c r="N7" s="227" t="s">
        <v>151</v>
      </c>
      <c r="O7" s="227" t="s">
        <v>151</v>
      </c>
      <c r="P7" s="226" t="s">
        <v>151</v>
      </c>
      <c r="Q7" s="226" t="s">
        <v>151</v>
      </c>
      <c r="R7" s="189" t="e">
        <f>_xll.qlMidSafe($N7,$O7)</f>
        <v>#NUM!</v>
      </c>
      <c r="S7" s="175"/>
      <c r="T7" s="225" t="e">
        <v>#NUM!</v>
      </c>
      <c r="U7" s="175"/>
      <c r="V7" s="257" t="e">
        <f t="array" ref="V7:V38">QuoteLive</f>
        <v>#NUM!</v>
      </c>
      <c r="W7" s="185" t="e">
        <f>_xll.qlSimpleQuoteSetValue(D7,V7/100,ISERROR(E7))</f>
        <v>#NUM!</v>
      </c>
      <c r="X7" s="171"/>
      <c r="Y7" s="205"/>
      <c r="Z7" s="206" t="e">
        <f t="shared" ref="Z7:Z17" si="2">(O7-R7)/50</f>
        <v>#VALUE!</v>
      </c>
      <c r="AA7" s="205"/>
    </row>
    <row r="8" spans="1:27" x14ac:dyDescent="0.2">
      <c r="A8" s="71"/>
      <c r="B8" s="68" t="s">
        <v>97</v>
      </c>
      <c r="C8" s="72" t="s">
        <v>83</v>
      </c>
      <c r="D8" s="68" t="str">
        <f t="shared" si="0"/>
        <v>HKDTOM3F1_Quote</v>
      </c>
      <c r="E8" s="67" t="str">
        <f>_xll.qlSimpleQuote(D8,,RateTickValue,Permanent,Trigger,ObjectOverwrite)</f>
        <v>HKDTOM3F1_Quote#0004</v>
      </c>
      <c r="F8" s="66" t="str">
        <f>_xll.ohRangeRetrieveError(E8)</f>
        <v/>
      </c>
      <c r="G8" s="65"/>
      <c r="I8" s="180"/>
      <c r="J8" s="224" t="s">
        <v>97</v>
      </c>
      <c r="K8" s="223" t="s">
        <v>83</v>
      </c>
      <c r="L8" s="221" t="str">
        <f t="shared" si="1"/>
        <v>HKDTOM3F1</v>
      </c>
      <c r="M8" s="221" t="str">
        <v>HKDTOM3F1=PREA</v>
      </c>
      <c r="N8" s="222" t="s">
        <v>151</v>
      </c>
      <c r="O8" s="222" t="s">
        <v>151</v>
      </c>
      <c r="P8" s="221" t="s">
        <v>151</v>
      </c>
      <c r="Q8" s="221" t="s">
        <v>151</v>
      </c>
      <c r="R8" s="220" t="e">
        <f>_xll.qlMidSafe($N8,$O8)</f>
        <v>#NUM!</v>
      </c>
      <c r="S8" s="175"/>
      <c r="T8" s="219" t="e">
        <v>#NUM!</v>
      </c>
      <c r="U8" s="175"/>
      <c r="V8" s="239" t="e">
        <v>#NUM!</v>
      </c>
      <c r="W8" s="172" t="e">
        <f>_xll.qlSimpleQuoteSetValue(D8,V8/100,ISERROR(E8))</f>
        <v>#NUM!</v>
      </c>
      <c r="X8" s="171"/>
      <c r="Y8" s="205"/>
      <c r="Z8" s="206" t="e">
        <f t="shared" si="2"/>
        <v>#VALUE!</v>
      </c>
      <c r="AA8" s="205"/>
    </row>
    <row r="9" spans="1:27" x14ac:dyDescent="0.2">
      <c r="A9" s="71"/>
      <c r="B9" s="75">
        <v>1</v>
      </c>
      <c r="C9" s="76" t="s">
        <v>96</v>
      </c>
      <c r="D9" s="75" t="str">
        <f t="shared" si="0"/>
        <v>HKD1x4F_Quote</v>
      </c>
      <c r="E9" s="74" t="str">
        <f>_xll.qlSimpleQuote(D9,,RateTickValue,Permanent,Trigger,ObjectOverwrite)</f>
        <v>HKD1x4F_Quote#0004</v>
      </c>
      <c r="F9" s="73" t="str">
        <f>_xll.ohRangeRetrieveError(E9)</f>
        <v/>
      </c>
      <c r="G9" s="65"/>
      <c r="I9" s="180"/>
      <c r="J9" s="229">
        <v>1</v>
      </c>
      <c r="K9" s="228" t="s">
        <v>96</v>
      </c>
      <c r="L9" s="226" t="str">
        <f t="shared" si="1"/>
        <v>HKD1x4F</v>
      </c>
      <c r="M9" s="226" t="str">
        <v>HKD1X4F=PREA</v>
      </c>
      <c r="N9" s="227">
        <v>0.36</v>
      </c>
      <c r="O9" s="227">
        <v>0.46</v>
      </c>
      <c r="P9" s="226">
        <v>0</v>
      </c>
      <c r="Q9" s="226">
        <v>0</v>
      </c>
      <c r="R9" s="189">
        <f>_xll.qlMidSafe($N9,$O9)</f>
        <v>0.41000000000000003</v>
      </c>
      <c r="S9" s="175"/>
      <c r="T9" s="214">
        <v>0.41000000000000003</v>
      </c>
      <c r="U9" s="175"/>
      <c r="V9" s="246">
        <v>0.41000000000000003</v>
      </c>
      <c r="W9" s="181" t="e">
        <f>_xll.qlSimpleQuoteSetValue(D9,V9/100,ISERROR(E9))</f>
        <v>#N/A</v>
      </c>
      <c r="X9" s="171"/>
      <c r="Y9" s="205"/>
      <c r="Z9" s="206">
        <f t="shared" si="2"/>
        <v>9.999999999999998E-4</v>
      </c>
      <c r="AA9" s="205"/>
    </row>
    <row r="10" spans="1:27" x14ac:dyDescent="0.2">
      <c r="A10" s="71"/>
      <c r="B10" s="79">
        <v>2</v>
      </c>
      <c r="C10" s="80" t="s">
        <v>95</v>
      </c>
      <c r="D10" s="79" t="str">
        <f t="shared" si="0"/>
        <v>HKD2x5F_Quote</v>
      </c>
      <c r="E10" s="78" t="str">
        <f>_xll.qlSimpleQuote(D10,,RateTickValue,Permanent,Trigger,ObjectOverwrite)</f>
        <v>HKD2x5F_Quote#0004</v>
      </c>
      <c r="F10" s="77" t="str">
        <f>_xll.ohRangeRetrieveError(E10)</f>
        <v/>
      </c>
      <c r="G10" s="65"/>
      <c r="I10" s="180"/>
      <c r="J10" s="218">
        <v>2</v>
      </c>
      <c r="K10" s="217" t="s">
        <v>95</v>
      </c>
      <c r="L10" s="215" t="str">
        <f t="shared" si="1"/>
        <v>HKD2x5F</v>
      </c>
      <c r="M10" s="215" t="str">
        <v>HKD2X5F=PREA</v>
      </c>
      <c r="N10" s="216">
        <v>0.36</v>
      </c>
      <c r="O10" s="216">
        <v>0.46</v>
      </c>
      <c r="P10" s="215">
        <v>0</v>
      </c>
      <c r="Q10" s="215">
        <v>0</v>
      </c>
      <c r="R10" s="177">
        <f>_xll.qlMidSafe($N10,$O10)</f>
        <v>0.41000000000000003</v>
      </c>
      <c r="S10" s="175"/>
      <c r="T10" s="214">
        <v>0.41000000000000003</v>
      </c>
      <c r="U10" s="175"/>
      <c r="V10" s="246">
        <v>0.41000000000000003</v>
      </c>
      <c r="W10" s="181" t="e">
        <f>_xll.qlSimpleQuoteSetValue(D10,V10/100,ISERROR(E10))</f>
        <v>#N/A</v>
      </c>
      <c r="X10" s="171"/>
      <c r="Y10" s="205"/>
      <c r="Z10" s="206">
        <f t="shared" si="2"/>
        <v>9.999999999999998E-4</v>
      </c>
      <c r="AA10" s="205"/>
    </row>
    <row r="11" spans="1:27" x14ac:dyDescent="0.2">
      <c r="A11" s="71"/>
      <c r="B11" s="79">
        <v>3</v>
      </c>
      <c r="C11" s="80" t="s">
        <v>94</v>
      </c>
      <c r="D11" s="79" t="str">
        <f t="shared" si="0"/>
        <v>HKD3x6F_Quote</v>
      </c>
      <c r="E11" s="78" t="str">
        <f>_xll.qlSimpleQuote(D11,,RateTickValue,Permanent,Trigger,ObjectOverwrite)</f>
        <v>HKD3x6F_Quote#0004</v>
      </c>
      <c r="F11" s="77" t="str">
        <f>_xll.ohRangeRetrieveError(E11)</f>
        <v/>
      </c>
      <c r="G11" s="65"/>
      <c r="I11" s="180"/>
      <c r="J11" s="218">
        <v>3</v>
      </c>
      <c r="K11" s="217" t="s">
        <v>94</v>
      </c>
      <c r="L11" s="215" t="str">
        <f t="shared" si="1"/>
        <v>HKD3x6F</v>
      </c>
      <c r="M11" s="215" t="str">
        <v>HKD3X6F=PREA</v>
      </c>
      <c r="N11" s="216">
        <v>0.36</v>
      </c>
      <c r="O11" s="216">
        <v>0.46</v>
      </c>
      <c r="P11" s="215">
        <v>0</v>
      </c>
      <c r="Q11" s="215">
        <v>0</v>
      </c>
      <c r="R11" s="177">
        <f>_xll.qlMidSafe($N11,$O11)</f>
        <v>0.41000000000000003</v>
      </c>
      <c r="S11" s="175"/>
      <c r="T11" s="214">
        <v>0.41000000000000003</v>
      </c>
      <c r="U11" s="175"/>
      <c r="V11" s="246">
        <v>0.41000000000000003</v>
      </c>
      <c r="W11" s="181" t="e">
        <f>_xll.qlSimpleQuoteSetValue(D11,V11/100,ISERROR(E11))</f>
        <v>#N/A</v>
      </c>
      <c r="X11" s="171"/>
      <c r="Y11" s="205"/>
      <c r="Z11" s="206">
        <f t="shared" si="2"/>
        <v>9.999999999999998E-4</v>
      </c>
      <c r="AA11" s="205"/>
    </row>
    <row r="12" spans="1:27" x14ac:dyDescent="0.2">
      <c r="A12" s="71"/>
      <c r="B12" s="79">
        <v>4</v>
      </c>
      <c r="C12" s="80" t="s">
        <v>93</v>
      </c>
      <c r="D12" s="79" t="str">
        <f t="shared" si="0"/>
        <v>HKD4x7F_Quote</v>
      </c>
      <c r="E12" s="78" t="str">
        <f>_xll.qlSimpleQuote(D12,,RateTickValue,Permanent,Trigger,ObjectOverwrite)</f>
        <v>HKD4x7F_Quote#0004</v>
      </c>
      <c r="F12" s="77" t="str">
        <f>_xll.ohRangeRetrieveError(E12)</f>
        <v/>
      </c>
      <c r="G12" s="65"/>
      <c r="I12" s="180"/>
      <c r="J12" s="218">
        <v>4</v>
      </c>
      <c r="K12" s="217" t="s">
        <v>93</v>
      </c>
      <c r="L12" s="215" t="str">
        <f t="shared" si="1"/>
        <v>HKD4x7F</v>
      </c>
      <c r="M12" s="215" t="str">
        <v>HKD4X7F=PREA</v>
      </c>
      <c r="N12" s="216">
        <v>0.37</v>
      </c>
      <c r="O12" s="216">
        <v>0.47</v>
      </c>
      <c r="P12" s="215">
        <v>0</v>
      </c>
      <c r="Q12" s="215">
        <v>0</v>
      </c>
      <c r="R12" s="177">
        <f>_xll.qlMidSafe($N12,$O12)</f>
        <v>0.42</v>
      </c>
      <c r="S12" s="175"/>
      <c r="T12" s="214">
        <v>0.43</v>
      </c>
      <c r="U12" s="175"/>
      <c r="V12" s="246">
        <v>0.42</v>
      </c>
      <c r="W12" s="181" t="e">
        <f>_xll.qlSimpleQuoteSetValue(D12,V12/100,ISERROR(E12))</f>
        <v>#N/A</v>
      </c>
      <c r="X12" s="171"/>
      <c r="Y12" s="205"/>
      <c r="Z12" s="206">
        <f t="shared" si="2"/>
        <v>9.999999999999998E-4</v>
      </c>
      <c r="AA12" s="205"/>
    </row>
    <row r="13" spans="1:27" x14ac:dyDescent="0.2">
      <c r="A13" s="71"/>
      <c r="B13" s="79">
        <v>5</v>
      </c>
      <c r="C13" s="80" t="s">
        <v>92</v>
      </c>
      <c r="D13" s="79" t="str">
        <f t="shared" si="0"/>
        <v>HKD5x8F_Quote</v>
      </c>
      <c r="E13" s="78" t="str">
        <f>_xll.qlSimpleQuote(D13,,RateTickValue,Permanent,Trigger,ObjectOverwrite)</f>
        <v>HKD5x8F_Quote#0004</v>
      </c>
      <c r="F13" s="77" t="str">
        <f>_xll.ohRangeRetrieveError(E13)</f>
        <v/>
      </c>
      <c r="G13" s="65"/>
      <c r="I13" s="180"/>
      <c r="J13" s="218">
        <v>5</v>
      </c>
      <c r="K13" s="217" t="s">
        <v>92</v>
      </c>
      <c r="L13" s="215" t="str">
        <f t="shared" si="1"/>
        <v>HKD5x8F</v>
      </c>
      <c r="M13" s="215" t="str">
        <v>HKD5X8F=PREA</v>
      </c>
      <c r="N13" s="216">
        <v>0.39</v>
      </c>
      <c r="O13" s="216">
        <v>0.49</v>
      </c>
      <c r="P13" s="215">
        <v>0</v>
      </c>
      <c r="Q13" s="215">
        <v>0</v>
      </c>
      <c r="R13" s="177">
        <f>_xll.qlMidSafe($N13,$O13)</f>
        <v>0.44</v>
      </c>
      <c r="S13" s="175"/>
      <c r="T13" s="214">
        <v>0.44</v>
      </c>
      <c r="U13" s="175"/>
      <c r="V13" s="246">
        <v>0.44</v>
      </c>
      <c r="W13" s="181" t="e">
        <f>_xll.qlSimpleQuoteSetValue(D13,V13/100,ISERROR(E13))</f>
        <v>#N/A</v>
      </c>
      <c r="X13" s="171"/>
      <c r="Y13" s="205"/>
      <c r="Z13" s="206">
        <f t="shared" si="2"/>
        <v>9.999999999999998E-4</v>
      </c>
      <c r="AA13" s="205"/>
    </row>
    <row r="14" spans="1:27" x14ac:dyDescent="0.2">
      <c r="A14" s="71"/>
      <c r="B14" s="79">
        <v>6</v>
      </c>
      <c r="C14" s="80" t="s">
        <v>91</v>
      </c>
      <c r="D14" s="79" t="str">
        <f t="shared" si="0"/>
        <v>HKD6x9F_Quote</v>
      </c>
      <c r="E14" s="78" t="str">
        <f>_xll.qlSimpleQuote(D14,,RateTickValue,Permanent,Trigger,ObjectOverwrite)</f>
        <v>HKD6x9F_Quote#0004</v>
      </c>
      <c r="F14" s="77" t="str">
        <f>_xll.ohRangeRetrieveError(E14)</f>
        <v/>
      </c>
      <c r="G14" s="65"/>
      <c r="I14" s="180"/>
      <c r="J14" s="218">
        <v>6</v>
      </c>
      <c r="K14" s="217" t="s">
        <v>91</v>
      </c>
      <c r="L14" s="215" t="str">
        <f t="shared" si="1"/>
        <v>HKD6x9F</v>
      </c>
      <c r="M14" s="215" t="str">
        <v>HKD6X9F=PREA</v>
      </c>
      <c r="N14" s="216">
        <v>0.4</v>
      </c>
      <c r="O14" s="216">
        <v>0.5</v>
      </c>
      <c r="P14" s="215">
        <v>0</v>
      </c>
      <c r="Q14" s="215">
        <v>0</v>
      </c>
      <c r="R14" s="177">
        <f>_xll.qlMidSafe($N14,$O14)</f>
        <v>0.45</v>
      </c>
      <c r="S14" s="175"/>
      <c r="T14" s="214">
        <v>0.45</v>
      </c>
      <c r="U14" s="175"/>
      <c r="V14" s="246">
        <v>0.45</v>
      </c>
      <c r="W14" s="181" t="e">
        <f>_xll.qlSimpleQuoteSetValue(D14,V14/100,ISERROR(E14))</f>
        <v>#N/A</v>
      </c>
      <c r="X14" s="171"/>
      <c r="Y14" s="205"/>
      <c r="Z14" s="206">
        <f t="shared" si="2"/>
        <v>9.999999999999998E-4</v>
      </c>
      <c r="AA14" s="205"/>
    </row>
    <row r="15" spans="1:27" x14ac:dyDescent="0.2">
      <c r="A15" s="71"/>
      <c r="B15" s="79">
        <v>7</v>
      </c>
      <c r="C15" s="80" t="s">
        <v>90</v>
      </c>
      <c r="D15" s="79" t="str">
        <f t="shared" si="0"/>
        <v>HKD7x10F_Quote</v>
      </c>
      <c r="E15" s="78" t="str">
        <f>_xll.qlSimpleQuote(D15,,RateTickValue,Permanent,Trigger,ObjectOverwrite)</f>
        <v>HKD7x10F_Quote#0004</v>
      </c>
      <c r="F15" s="77" t="str">
        <f>_xll.ohRangeRetrieveError(E15)</f>
        <v/>
      </c>
      <c r="G15" s="65"/>
      <c r="I15" s="180"/>
      <c r="J15" s="218">
        <v>7</v>
      </c>
      <c r="K15" s="217" t="s">
        <v>90</v>
      </c>
      <c r="L15" s="215" t="str">
        <f t="shared" si="1"/>
        <v>HKD7x10F</v>
      </c>
      <c r="M15" s="215" t="str">
        <v>HKD7X10F=PREA</v>
      </c>
      <c r="N15" s="216">
        <v>0.41</v>
      </c>
      <c r="O15" s="216">
        <v>0.51</v>
      </c>
      <c r="P15" s="215">
        <v>0</v>
      </c>
      <c r="Q15" s="215">
        <v>0</v>
      </c>
      <c r="R15" s="177">
        <f>_xll.qlMidSafe($N15,$O15)</f>
        <v>0.45999999999999996</v>
      </c>
      <c r="S15" s="175"/>
      <c r="T15" s="214">
        <v>0.47</v>
      </c>
      <c r="U15" s="175"/>
      <c r="V15" s="246">
        <v>0.45999999999999996</v>
      </c>
      <c r="W15" s="181" t="e">
        <f>_xll.qlSimpleQuoteSetValue(D15,V15/100,ISERROR(E15))</f>
        <v>#N/A</v>
      </c>
      <c r="X15" s="171"/>
      <c r="Y15" s="205"/>
      <c r="Z15" s="206">
        <f t="shared" si="2"/>
        <v>1.0000000000000009E-3</v>
      </c>
      <c r="AA15" s="205"/>
    </row>
    <row r="16" spans="1:27" x14ac:dyDescent="0.2">
      <c r="A16" s="71"/>
      <c r="B16" s="79">
        <v>8</v>
      </c>
      <c r="C16" s="80" t="s">
        <v>89</v>
      </c>
      <c r="D16" s="79" t="str">
        <f t="shared" si="0"/>
        <v>HKD8x11F_Quote</v>
      </c>
      <c r="E16" s="78" t="str">
        <f>_xll.qlSimpleQuote(D16,,RateTickValue,Permanent,Trigger,ObjectOverwrite)</f>
        <v>HKD8x11F_Quote#0004</v>
      </c>
      <c r="F16" s="77" t="str">
        <f>_xll.ohRangeRetrieveError(E16)</f>
        <v/>
      </c>
      <c r="G16" s="65"/>
      <c r="I16" s="180"/>
      <c r="J16" s="218">
        <v>8</v>
      </c>
      <c r="K16" s="217" t="s">
        <v>89</v>
      </c>
      <c r="L16" s="215" t="str">
        <f t="shared" si="1"/>
        <v>HKD8x11F</v>
      </c>
      <c r="M16" s="215" t="str">
        <v>HKD8X11F=PREA</v>
      </c>
      <c r="N16" s="216">
        <v>0.42</v>
      </c>
      <c r="O16" s="216">
        <v>0.52</v>
      </c>
      <c r="P16" s="215">
        <v>0</v>
      </c>
      <c r="Q16" s="215">
        <v>0</v>
      </c>
      <c r="R16" s="177">
        <f>_xll.qlMidSafe($N16,$O16)</f>
        <v>0.47</v>
      </c>
      <c r="S16" s="175"/>
      <c r="T16" s="214">
        <v>0.48</v>
      </c>
      <c r="U16" s="175"/>
      <c r="V16" s="246">
        <v>0.47</v>
      </c>
      <c r="W16" s="181" t="e">
        <f>_xll.qlSimpleQuoteSetValue(D16,V16/100,ISERROR(E16))</f>
        <v>#N/A</v>
      </c>
      <c r="X16" s="171"/>
      <c r="Y16" s="205"/>
      <c r="Z16" s="206">
        <f t="shared" si="2"/>
        <v>1.0000000000000009E-3</v>
      </c>
      <c r="AA16" s="205"/>
    </row>
    <row r="17" spans="1:27" x14ac:dyDescent="0.2">
      <c r="A17" s="71"/>
      <c r="B17" s="68">
        <v>9</v>
      </c>
      <c r="C17" s="72" t="s">
        <v>88</v>
      </c>
      <c r="D17" s="68" t="str">
        <f t="shared" si="0"/>
        <v>HKD9x12F_Quote</v>
      </c>
      <c r="E17" s="67" t="str">
        <f>_xll.qlSimpleQuote(D17,,RateTickValue,Permanent,Trigger,ObjectOverwrite)</f>
        <v>HKD9x12F_Quote#0004</v>
      </c>
      <c r="F17" s="66" t="str">
        <f>_xll.ohRangeRetrieveError(E17)</f>
        <v/>
      </c>
      <c r="G17" s="65"/>
      <c r="I17" s="180"/>
      <c r="J17" s="224">
        <v>9</v>
      </c>
      <c r="K17" s="223" t="s">
        <v>88</v>
      </c>
      <c r="L17" s="221" t="str">
        <f t="shared" si="1"/>
        <v>HKD9x12F</v>
      </c>
      <c r="M17" s="221" t="str">
        <v>HKD9X12F=PREA</v>
      </c>
      <c r="N17" s="222">
        <v>0.43</v>
      </c>
      <c r="O17" s="222">
        <v>0.53</v>
      </c>
      <c r="P17" s="221">
        <v>0</v>
      </c>
      <c r="Q17" s="221">
        <v>0</v>
      </c>
      <c r="R17" s="220">
        <f>_xll.qlMidSafe($N17,$O17)</f>
        <v>0.48</v>
      </c>
      <c r="S17" s="175"/>
      <c r="T17" s="219">
        <v>0.5</v>
      </c>
      <c r="U17" s="175"/>
      <c r="V17" s="246">
        <v>0.48</v>
      </c>
      <c r="W17" s="181" t="e">
        <f>_xll.qlSimpleQuoteSetValue(D17,V17/100,ISERROR(E17))</f>
        <v>#N/A</v>
      </c>
      <c r="X17" s="171"/>
      <c r="Y17" s="205"/>
      <c r="Z17" s="206">
        <f t="shared" si="2"/>
        <v>1.0000000000000009E-3</v>
      </c>
      <c r="AA17" s="205"/>
    </row>
    <row r="18" spans="1:27" x14ac:dyDescent="0.2">
      <c r="A18" s="71"/>
      <c r="B18" s="75" t="s">
        <v>87</v>
      </c>
      <c r="C18" s="76" t="s">
        <v>83</v>
      </c>
      <c r="D18" s="75" t="str">
        <f t="shared" si="0"/>
        <v>HKDT6F1_Quote</v>
      </c>
      <c r="E18" s="74" t="str">
        <f>_xll.qlSimpleQuote(D18,,RateTickValue,Permanent,Trigger,ObjectOverwrite)</f>
        <v>HKDT6F1_Quote#0004</v>
      </c>
      <c r="F18" s="73" t="str">
        <f>_xll.ohRangeRetrieveError(E18)</f>
        <v/>
      </c>
      <c r="G18" s="65"/>
      <c r="I18" s="180"/>
      <c r="J18" s="229" t="s">
        <v>87</v>
      </c>
      <c r="K18" s="228" t="s">
        <v>83</v>
      </c>
      <c r="L18" s="226" t="str">
        <f t="shared" si="1"/>
        <v>HKDT6F1</v>
      </c>
      <c r="M18" s="226" t="str">
        <v>HKDT6F1=PREA</v>
      </c>
      <c r="N18" s="227" t="s">
        <v>151</v>
      </c>
      <c r="O18" s="227" t="s">
        <v>151</v>
      </c>
      <c r="P18" s="226" t="s">
        <v>151</v>
      </c>
      <c r="Q18" s="226" t="s">
        <v>151</v>
      </c>
      <c r="R18" s="189" t="e">
        <f>_xll.qlMidSafe($N18,$O18)</f>
        <v>#NUM!</v>
      </c>
      <c r="S18" s="175"/>
      <c r="T18" s="225" t="e">
        <v>#NUM!</v>
      </c>
      <c r="U18" s="175"/>
      <c r="V18" s="257" t="e">
        <v>#NUM!</v>
      </c>
      <c r="W18" s="185" t="e">
        <f>_xll.qlSimpleQuoteSetValue(D18,V18/100,ISERROR(E18))</f>
        <v>#NUM!</v>
      </c>
      <c r="X18" s="171"/>
      <c r="Y18" s="205"/>
      <c r="Z18" s="206" t="e">
        <f t="shared" ref="Z18:Z38" si="3">(O18-R18)/50</f>
        <v>#VALUE!</v>
      </c>
      <c r="AA18" s="205"/>
    </row>
    <row r="19" spans="1:27" x14ac:dyDescent="0.2">
      <c r="A19" s="71"/>
      <c r="B19" s="68" t="s">
        <v>86</v>
      </c>
      <c r="C19" s="72" t="s">
        <v>83</v>
      </c>
      <c r="D19" s="68" t="str">
        <f t="shared" si="0"/>
        <v>HKDTOM6F1_Quote</v>
      </c>
      <c r="E19" s="67" t="str">
        <f>_xll.qlSimpleQuote(D19,,RateTickValue,Permanent,Trigger,ObjectOverwrite)</f>
        <v>HKDTOM6F1_Quote#0004</v>
      </c>
      <c r="F19" s="66" t="str">
        <f>_xll.ohRangeRetrieveError(E19)</f>
        <v/>
      </c>
      <c r="G19" s="65"/>
      <c r="I19" s="180"/>
      <c r="J19" s="224" t="s">
        <v>86</v>
      </c>
      <c r="K19" s="223" t="s">
        <v>83</v>
      </c>
      <c r="L19" s="221" t="str">
        <f t="shared" si="1"/>
        <v>HKDTOM6F1</v>
      </c>
      <c r="M19" s="221" t="str">
        <v>HKDTOM6F1=PREA</v>
      </c>
      <c r="N19" s="222" t="s">
        <v>151</v>
      </c>
      <c r="O19" s="222" t="s">
        <v>151</v>
      </c>
      <c r="P19" s="221" t="s">
        <v>151</v>
      </c>
      <c r="Q19" s="221" t="s">
        <v>151</v>
      </c>
      <c r="R19" s="220" t="e">
        <f>_xll.qlMidSafe($N19,$O19)</f>
        <v>#NUM!</v>
      </c>
      <c r="S19" s="175"/>
      <c r="T19" s="219" t="e">
        <v>#NUM!</v>
      </c>
      <c r="U19" s="175"/>
      <c r="V19" s="239" t="e">
        <v>#NUM!</v>
      </c>
      <c r="W19" s="172" t="e">
        <f>_xll.qlSimpleQuoteSetValue(D19,V19/100,ISERROR(E19))</f>
        <v>#NUM!</v>
      </c>
      <c r="X19" s="171"/>
      <c r="Y19" s="205"/>
      <c r="Z19" s="206" t="e">
        <f t="shared" si="3"/>
        <v>#VALUE!</v>
      </c>
      <c r="AA19" s="205"/>
    </row>
    <row r="20" spans="1:27" x14ac:dyDescent="0.2">
      <c r="A20" s="71"/>
      <c r="B20" s="75">
        <v>1</v>
      </c>
      <c r="C20" s="76" t="str">
        <f t="shared" ref="C20:C37" si="4">"x"&amp;B20+6&amp;"F"</f>
        <v>x7F</v>
      </c>
      <c r="D20" s="75" t="str">
        <f t="shared" si="0"/>
        <v>HKD1x7F_Quote</v>
      </c>
      <c r="E20" s="74" t="str">
        <f>_xll.qlSimpleQuote(D20,,RateTickValue,Permanent,Trigger,ObjectOverwrite)</f>
        <v>HKD1x7F_Quote#0004</v>
      </c>
      <c r="F20" s="73" t="str">
        <f>_xll.ohRangeRetrieveError(E20)</f>
        <v/>
      </c>
      <c r="G20" s="65"/>
      <c r="I20" s="180"/>
      <c r="J20" s="218">
        <v>1</v>
      </c>
      <c r="K20" s="217" t="str">
        <f t="shared" ref="K20:K37" si="5">"x"&amp;J20+6&amp;"F"</f>
        <v>x7F</v>
      </c>
      <c r="L20" s="215" t="str">
        <f t="shared" si="1"/>
        <v>HKD1x7F</v>
      </c>
      <c r="M20" s="215" t="str">
        <v>HKD1X7F=PREA</v>
      </c>
      <c r="N20" s="216">
        <v>0.44</v>
      </c>
      <c r="O20" s="216">
        <v>0.54</v>
      </c>
      <c r="P20" s="215">
        <v>0</v>
      </c>
      <c r="Q20" s="215">
        <v>0</v>
      </c>
      <c r="R20" s="177">
        <f>_xll.qlMidSafe($N20,$O20)</f>
        <v>0.49</v>
      </c>
      <c r="S20" s="175"/>
      <c r="T20" s="214">
        <v>0.49</v>
      </c>
      <c r="U20" s="175"/>
      <c r="V20" s="246">
        <v>0.49</v>
      </c>
      <c r="W20" s="181" t="e">
        <f>_xll.qlSimpleQuoteSetValue(D20,V20/100,ISERROR(E20))</f>
        <v>#N/A</v>
      </c>
      <c r="X20" s="171"/>
      <c r="Y20" s="205"/>
      <c r="Z20" s="206">
        <f t="shared" si="3"/>
        <v>1.0000000000000009E-3</v>
      </c>
      <c r="AA20" s="205"/>
    </row>
    <row r="21" spans="1:27" x14ac:dyDescent="0.2">
      <c r="A21" s="71"/>
      <c r="B21" s="79">
        <v>2</v>
      </c>
      <c r="C21" s="80" t="str">
        <f t="shared" si="4"/>
        <v>x8F</v>
      </c>
      <c r="D21" s="79" t="str">
        <f t="shared" si="0"/>
        <v>HKD2x8F_Quote</v>
      </c>
      <c r="E21" s="78" t="str">
        <f>_xll.qlSimpleQuote(D21,,RateTickValue,Permanent,Trigger,ObjectOverwrite)</f>
        <v>HKD2x8F_Quote#0004</v>
      </c>
      <c r="F21" s="77" t="str">
        <f>_xll.ohRangeRetrieveError(E21)</f>
        <v/>
      </c>
      <c r="G21" s="65"/>
      <c r="I21" s="180"/>
      <c r="J21" s="218">
        <v>2</v>
      </c>
      <c r="K21" s="217" t="str">
        <f t="shared" si="5"/>
        <v>x8F</v>
      </c>
      <c r="L21" s="215" t="str">
        <f t="shared" si="1"/>
        <v>HKD2x8F</v>
      </c>
      <c r="M21" s="215" t="str">
        <v>HKD2X8F=PREA</v>
      </c>
      <c r="N21" s="216">
        <v>0.44</v>
      </c>
      <c r="O21" s="216">
        <v>0.54</v>
      </c>
      <c r="P21" s="215">
        <v>0</v>
      </c>
      <c r="Q21" s="215">
        <v>0</v>
      </c>
      <c r="R21" s="177">
        <f>_xll.qlMidSafe($N21,$O21)</f>
        <v>0.49</v>
      </c>
      <c r="S21" s="175"/>
      <c r="T21" s="214">
        <v>0.49</v>
      </c>
      <c r="U21" s="175"/>
      <c r="V21" s="246">
        <v>0.49</v>
      </c>
      <c r="W21" s="181" t="e">
        <f>_xll.qlSimpleQuoteSetValue(D21,V21/100,ISERROR(E21))</f>
        <v>#N/A</v>
      </c>
      <c r="X21" s="171"/>
      <c r="Y21" s="205"/>
      <c r="Z21" s="206">
        <f t="shared" si="3"/>
        <v>1.0000000000000009E-3</v>
      </c>
      <c r="AA21" s="205"/>
    </row>
    <row r="22" spans="1:27" x14ac:dyDescent="0.2">
      <c r="A22" s="71"/>
      <c r="B22" s="79">
        <v>3</v>
      </c>
      <c r="C22" s="80" t="str">
        <f t="shared" si="4"/>
        <v>x9F</v>
      </c>
      <c r="D22" s="79" t="str">
        <f t="shared" si="0"/>
        <v>HKD3x9F_Quote</v>
      </c>
      <c r="E22" s="78" t="str">
        <f>_xll.qlSimpleQuote(D22,,RateTickValue,Permanent,Trigger,ObjectOverwrite)</f>
        <v>HKD3x9F_Quote#0004</v>
      </c>
      <c r="F22" s="77" t="str">
        <f>_xll.ohRangeRetrieveError(E22)</f>
        <v/>
      </c>
      <c r="G22" s="65"/>
      <c r="I22" s="180"/>
      <c r="J22" s="218">
        <v>3</v>
      </c>
      <c r="K22" s="217" t="str">
        <f t="shared" si="5"/>
        <v>x9F</v>
      </c>
      <c r="L22" s="215" t="str">
        <f t="shared" si="1"/>
        <v>HKD3x9F</v>
      </c>
      <c r="M22" s="215" t="str">
        <v>HKD3X9F=PREA</v>
      </c>
      <c r="N22" s="216">
        <v>0.45</v>
      </c>
      <c r="O22" s="216">
        <v>0.55000000000000004</v>
      </c>
      <c r="P22" s="215">
        <v>0</v>
      </c>
      <c r="Q22" s="215">
        <v>0</v>
      </c>
      <c r="R22" s="177">
        <f>_xll.qlMidSafe($N22,$O22)</f>
        <v>0.5</v>
      </c>
      <c r="S22" s="175"/>
      <c r="T22" s="214">
        <v>0.5</v>
      </c>
      <c r="U22" s="175"/>
      <c r="V22" s="246">
        <v>0.5</v>
      </c>
      <c r="W22" s="181" t="e">
        <f>_xll.qlSimpleQuoteSetValue(D22,V22/100,ISERROR(E22))</f>
        <v>#N/A</v>
      </c>
      <c r="X22" s="171"/>
      <c r="Y22" s="205"/>
      <c r="Z22" s="206">
        <f t="shared" si="3"/>
        <v>1.0000000000000009E-3</v>
      </c>
      <c r="AA22" s="205"/>
    </row>
    <row r="23" spans="1:27" x14ac:dyDescent="0.2">
      <c r="A23" s="71"/>
      <c r="B23" s="79">
        <v>4</v>
      </c>
      <c r="C23" s="80" t="str">
        <f t="shared" si="4"/>
        <v>x10F</v>
      </c>
      <c r="D23" s="79" t="str">
        <f t="shared" si="0"/>
        <v>HKD4x10F_Quote</v>
      </c>
      <c r="E23" s="78" t="str">
        <f>_xll.qlSimpleQuote(D23,,RateTickValue,Permanent,Trigger,ObjectOverwrite)</f>
        <v>HKD4x10F_Quote#0004</v>
      </c>
      <c r="F23" s="77" t="str">
        <f>_xll.ohRangeRetrieveError(E23)</f>
        <v/>
      </c>
      <c r="G23" s="65"/>
      <c r="I23" s="180"/>
      <c r="J23" s="218">
        <v>4</v>
      </c>
      <c r="K23" s="217" t="str">
        <f t="shared" si="5"/>
        <v>x10F</v>
      </c>
      <c r="L23" s="215" t="str">
        <f t="shared" si="1"/>
        <v>HKD4x10F</v>
      </c>
      <c r="M23" s="215" t="str">
        <v>HKD4X10F=PREA</v>
      </c>
      <c r="N23" s="216">
        <v>0.46</v>
      </c>
      <c r="O23" s="216">
        <v>0.56000000000000005</v>
      </c>
      <c r="P23" s="215">
        <v>0</v>
      </c>
      <c r="Q23" s="215">
        <v>0</v>
      </c>
      <c r="R23" s="177">
        <f>_xll.qlMidSafe($N23,$O23)</f>
        <v>0.51</v>
      </c>
      <c r="S23" s="175"/>
      <c r="T23" s="214">
        <v>0.52</v>
      </c>
      <c r="U23" s="175"/>
      <c r="V23" s="246">
        <v>0.51</v>
      </c>
      <c r="W23" s="181" t="e">
        <f>_xll.qlSimpleQuoteSetValue(D23,V23/100,ISERROR(E23))</f>
        <v>#N/A</v>
      </c>
      <c r="X23" s="171"/>
      <c r="Y23" s="205"/>
      <c r="Z23" s="206">
        <f t="shared" si="3"/>
        <v>1.0000000000000009E-3</v>
      </c>
      <c r="AA23" s="205"/>
    </row>
    <row r="24" spans="1:27" x14ac:dyDescent="0.2">
      <c r="A24" s="71"/>
      <c r="B24" s="79">
        <v>5</v>
      </c>
      <c r="C24" s="80" t="str">
        <f t="shared" si="4"/>
        <v>x11F</v>
      </c>
      <c r="D24" s="79" t="str">
        <f t="shared" si="0"/>
        <v>HKD5x11F_Quote</v>
      </c>
      <c r="E24" s="78" t="str">
        <f>_xll.qlSimpleQuote(D24,,RateTickValue,Permanent,Trigger,ObjectOverwrite)</f>
        <v>HKD5x11F_Quote#0004</v>
      </c>
      <c r="F24" s="77" t="str">
        <f>_xll.ohRangeRetrieveError(E24)</f>
        <v/>
      </c>
      <c r="G24" s="65"/>
      <c r="I24" s="180"/>
      <c r="J24" s="218">
        <v>5</v>
      </c>
      <c r="K24" s="217" t="str">
        <f t="shared" si="5"/>
        <v>x11F</v>
      </c>
      <c r="L24" s="215" t="str">
        <f t="shared" si="1"/>
        <v>HKD5x11F</v>
      </c>
      <c r="M24" s="215" t="str">
        <v>HKD5X11F=PREA</v>
      </c>
      <c r="N24" s="216">
        <v>0.47</v>
      </c>
      <c r="O24" s="216">
        <v>0.56999999999999995</v>
      </c>
      <c r="P24" s="215">
        <v>0</v>
      </c>
      <c r="Q24" s="215">
        <v>0</v>
      </c>
      <c r="R24" s="177">
        <f>_xll.qlMidSafe($N24,$O24)</f>
        <v>0.52</v>
      </c>
      <c r="S24" s="175"/>
      <c r="T24" s="214">
        <v>0.53</v>
      </c>
      <c r="U24" s="175"/>
      <c r="V24" s="246">
        <v>0.52</v>
      </c>
      <c r="W24" s="181" t="e">
        <f>_xll.qlSimpleQuoteSetValue(D24,V24/100,ISERROR(E24))</f>
        <v>#N/A</v>
      </c>
      <c r="X24" s="171"/>
      <c r="Y24" s="205"/>
      <c r="Z24" s="206">
        <f t="shared" si="3"/>
        <v>9.9999999999999872E-4</v>
      </c>
      <c r="AA24" s="205"/>
    </row>
    <row r="25" spans="1:27" x14ac:dyDescent="0.2">
      <c r="A25" s="71"/>
      <c r="B25" s="79">
        <v>6</v>
      </c>
      <c r="C25" s="80" t="str">
        <f t="shared" si="4"/>
        <v>x12F</v>
      </c>
      <c r="D25" s="79" t="str">
        <f t="shared" si="0"/>
        <v>HKD6x12F_Quote</v>
      </c>
      <c r="E25" s="78" t="str">
        <f>_xll.qlSimpleQuote(D25,,RateTickValue,Permanent,Trigger,ObjectOverwrite)</f>
        <v>HKD6x12F_Quote#0004</v>
      </c>
      <c r="F25" s="77" t="str">
        <f>_xll.ohRangeRetrieveError(E25)</f>
        <v/>
      </c>
      <c r="G25" s="65"/>
      <c r="I25" s="180"/>
      <c r="J25" s="218">
        <v>6</v>
      </c>
      <c r="K25" s="217" t="str">
        <f t="shared" si="5"/>
        <v>x12F</v>
      </c>
      <c r="L25" s="215" t="str">
        <f t="shared" si="1"/>
        <v>HKD6x12F</v>
      </c>
      <c r="M25" s="215" t="str">
        <v>HKD6X12F=PREA</v>
      </c>
      <c r="N25" s="216">
        <v>0.49</v>
      </c>
      <c r="O25" s="216">
        <v>0.59</v>
      </c>
      <c r="P25" s="215">
        <v>0</v>
      </c>
      <c r="Q25" s="215">
        <v>0</v>
      </c>
      <c r="R25" s="177">
        <f>_xll.qlMidSafe($N25,$O25)</f>
        <v>0.54</v>
      </c>
      <c r="S25" s="175"/>
      <c r="T25" s="214">
        <v>0.54</v>
      </c>
      <c r="U25" s="175"/>
      <c r="V25" s="246">
        <v>0.54</v>
      </c>
      <c r="W25" s="181" t="e">
        <f>_xll.qlSimpleQuoteSetValue(D25,V25/100,ISERROR(E25))</f>
        <v>#N/A</v>
      </c>
      <c r="X25" s="171"/>
      <c r="Y25" s="205"/>
      <c r="Z25" s="206">
        <f t="shared" si="3"/>
        <v>9.9999999999999872E-4</v>
      </c>
      <c r="AA25" s="205"/>
    </row>
    <row r="26" spans="1:27" x14ac:dyDescent="0.2">
      <c r="A26" s="71"/>
      <c r="B26" s="79">
        <v>7</v>
      </c>
      <c r="C26" s="80" t="str">
        <f t="shared" si="4"/>
        <v>x13F</v>
      </c>
      <c r="D26" s="79" t="str">
        <f t="shared" si="0"/>
        <v>HKD7x13F_Quote</v>
      </c>
      <c r="E26" s="78" t="str">
        <f>_xll.qlSimpleQuote(D26,,RateTickValue,Permanent,Trigger,ObjectOverwrite)</f>
        <v>HKD7x13F_Quote#0004</v>
      </c>
      <c r="F26" s="77" t="str">
        <f>_xll.ohRangeRetrieveError(E26)</f>
        <v/>
      </c>
      <c r="G26" s="65"/>
      <c r="I26" s="180"/>
      <c r="J26" s="218">
        <v>7</v>
      </c>
      <c r="K26" s="217" t="str">
        <f t="shared" si="5"/>
        <v>x13F</v>
      </c>
      <c r="L26" s="215" t="str">
        <f t="shared" si="1"/>
        <v>HKD7x13F</v>
      </c>
      <c r="M26" s="215" t="str">
        <v>HKD7X13F=PREA</v>
      </c>
      <c r="N26" s="216" t="s">
        <v>151</v>
      </c>
      <c r="O26" s="216" t="s">
        <v>151</v>
      </c>
      <c r="P26" s="215" t="s">
        <v>151</v>
      </c>
      <c r="Q26" s="215" t="s">
        <v>151</v>
      </c>
      <c r="R26" s="177" t="e">
        <f>_xll.qlMidSafe($N26,$O26)</f>
        <v>#NUM!</v>
      </c>
      <c r="S26" s="175"/>
      <c r="T26" s="214" t="e">
        <v>#NUM!</v>
      </c>
      <c r="U26" s="175"/>
      <c r="V26" s="246" t="e">
        <v>#NUM!</v>
      </c>
      <c r="W26" s="181" t="e">
        <f>_xll.qlSimpleQuoteSetValue(D26,V26/100,ISERROR(E26))</f>
        <v>#NUM!</v>
      </c>
      <c r="X26" s="171"/>
      <c r="Y26" s="205"/>
      <c r="Z26" s="206" t="e">
        <f t="shared" si="3"/>
        <v>#VALUE!</v>
      </c>
      <c r="AA26" s="205"/>
    </row>
    <row r="27" spans="1:27" x14ac:dyDescent="0.2">
      <c r="A27" s="71"/>
      <c r="B27" s="79">
        <v>8</v>
      </c>
      <c r="C27" s="80" t="str">
        <f t="shared" si="4"/>
        <v>x14F</v>
      </c>
      <c r="D27" s="79" t="str">
        <f t="shared" si="0"/>
        <v>HKD8x14F_Quote</v>
      </c>
      <c r="E27" s="78" t="str">
        <f>_xll.qlSimpleQuote(D27,,RateTickValue,Permanent,Trigger,ObjectOverwrite)</f>
        <v>HKD8x14F_Quote#0004</v>
      </c>
      <c r="F27" s="77" t="str">
        <f>_xll.ohRangeRetrieveError(E27)</f>
        <v/>
      </c>
      <c r="G27" s="65"/>
      <c r="I27" s="180"/>
      <c r="J27" s="218">
        <v>8</v>
      </c>
      <c r="K27" s="217" t="str">
        <f t="shared" si="5"/>
        <v>x14F</v>
      </c>
      <c r="L27" s="215" t="str">
        <f t="shared" si="1"/>
        <v>HKD8x14F</v>
      </c>
      <c r="M27" s="215" t="str">
        <v>HKD8X14F=PREA</v>
      </c>
      <c r="N27" s="216" t="s">
        <v>151</v>
      </c>
      <c r="O27" s="216" t="s">
        <v>151</v>
      </c>
      <c r="P27" s="215" t="s">
        <v>151</v>
      </c>
      <c r="Q27" s="215" t="s">
        <v>151</v>
      </c>
      <c r="R27" s="177" t="e">
        <f>_xll.qlMidSafe($N27,$O27)</f>
        <v>#NUM!</v>
      </c>
      <c r="S27" s="175"/>
      <c r="T27" s="214" t="e">
        <v>#NUM!</v>
      </c>
      <c r="U27" s="175"/>
      <c r="V27" s="246" t="e">
        <v>#NUM!</v>
      </c>
      <c r="W27" s="181" t="e">
        <f>_xll.qlSimpleQuoteSetValue(D27,V27/100,ISERROR(E27))</f>
        <v>#NUM!</v>
      </c>
      <c r="X27" s="171"/>
      <c r="Y27" s="205"/>
      <c r="Z27" s="206" t="e">
        <f t="shared" si="3"/>
        <v>#VALUE!</v>
      </c>
      <c r="AA27" s="205"/>
    </row>
    <row r="28" spans="1:27" x14ac:dyDescent="0.2">
      <c r="A28" s="71"/>
      <c r="B28" s="79">
        <v>9</v>
      </c>
      <c r="C28" s="80" t="str">
        <f t="shared" si="4"/>
        <v>x15F</v>
      </c>
      <c r="D28" s="79" t="str">
        <f t="shared" si="0"/>
        <v>HKD9x15F_Quote</v>
      </c>
      <c r="E28" s="78" t="str">
        <f>_xll.qlSimpleQuote(D28,,RateTickValue,Permanent,Trigger,ObjectOverwrite)</f>
        <v>HKD9x15F_Quote#0004</v>
      </c>
      <c r="F28" s="77" t="str">
        <f>_xll.ohRangeRetrieveError(E28)</f>
        <v/>
      </c>
      <c r="G28" s="65"/>
      <c r="I28" s="180"/>
      <c r="J28" s="218">
        <v>9</v>
      </c>
      <c r="K28" s="217" t="str">
        <f t="shared" si="5"/>
        <v>x15F</v>
      </c>
      <c r="L28" s="215" t="str">
        <f t="shared" si="1"/>
        <v>HKD9x15F</v>
      </c>
      <c r="M28" s="215" t="str">
        <v>HKD9X15F=PREA</v>
      </c>
      <c r="N28" s="216" t="s">
        <v>151</v>
      </c>
      <c r="O28" s="216" t="s">
        <v>151</v>
      </c>
      <c r="P28" s="215" t="s">
        <v>151</v>
      </c>
      <c r="Q28" s="215" t="s">
        <v>151</v>
      </c>
      <c r="R28" s="177" t="e">
        <f>_xll.qlMidSafe($N28,$O28)</f>
        <v>#NUM!</v>
      </c>
      <c r="S28" s="175"/>
      <c r="T28" s="214" t="e">
        <v>#NUM!</v>
      </c>
      <c r="U28" s="175"/>
      <c r="V28" s="246" t="e">
        <v>#NUM!</v>
      </c>
      <c r="W28" s="181" t="e">
        <f>_xll.qlSimpleQuoteSetValue(D28,V28/100,ISERROR(E28))</f>
        <v>#NUM!</v>
      </c>
      <c r="X28" s="171"/>
      <c r="Y28" s="205"/>
      <c r="Z28" s="206" t="e">
        <f t="shared" si="3"/>
        <v>#VALUE!</v>
      </c>
      <c r="AA28" s="205"/>
    </row>
    <row r="29" spans="1:27" x14ac:dyDescent="0.2">
      <c r="A29" s="71"/>
      <c r="B29" s="79">
        <v>10</v>
      </c>
      <c r="C29" s="80" t="str">
        <f t="shared" si="4"/>
        <v>x16F</v>
      </c>
      <c r="D29" s="79" t="str">
        <f t="shared" si="0"/>
        <v>HKD10x16F_Quote</v>
      </c>
      <c r="E29" s="78" t="str">
        <f>_xll.qlSimpleQuote(D29,,RateTickValue,Permanent,Trigger,ObjectOverwrite)</f>
        <v>HKD10x16F_Quote#0004</v>
      </c>
      <c r="F29" s="77" t="str">
        <f>_xll.ohRangeRetrieveError(E29)</f>
        <v/>
      </c>
      <c r="G29" s="65"/>
      <c r="I29" s="180"/>
      <c r="J29" s="218">
        <v>10</v>
      </c>
      <c r="K29" s="217" t="str">
        <f t="shared" si="5"/>
        <v>x16F</v>
      </c>
      <c r="L29" s="215" t="str">
        <f t="shared" si="1"/>
        <v>HKD10x16F</v>
      </c>
      <c r="M29" s="215" t="str">
        <v>HKD10X16F=PREA</v>
      </c>
      <c r="N29" s="216" t="s">
        <v>151</v>
      </c>
      <c r="O29" s="216" t="s">
        <v>151</v>
      </c>
      <c r="P29" s="215" t="s">
        <v>151</v>
      </c>
      <c r="Q29" s="215" t="s">
        <v>151</v>
      </c>
      <c r="R29" s="177" t="e">
        <f>_xll.qlMidSafe($N29,$O29)</f>
        <v>#NUM!</v>
      </c>
      <c r="S29" s="175"/>
      <c r="T29" s="214" t="e">
        <v>#NUM!</v>
      </c>
      <c r="U29" s="175"/>
      <c r="V29" s="246" t="e">
        <v>#NUM!</v>
      </c>
      <c r="W29" s="181" t="e">
        <f>_xll.qlSimpleQuoteSetValue(D29,V29/100,ISERROR(E29))</f>
        <v>#NUM!</v>
      </c>
      <c r="X29" s="171"/>
      <c r="Y29" s="205"/>
      <c r="Z29" s="206" t="e">
        <f t="shared" si="3"/>
        <v>#VALUE!</v>
      </c>
      <c r="AA29" s="205"/>
    </row>
    <row r="30" spans="1:27" x14ac:dyDescent="0.2">
      <c r="A30" s="71"/>
      <c r="B30" s="79">
        <v>11</v>
      </c>
      <c r="C30" s="80" t="str">
        <f t="shared" si="4"/>
        <v>x17F</v>
      </c>
      <c r="D30" s="79" t="str">
        <f t="shared" si="0"/>
        <v>HKD11x17F_Quote</v>
      </c>
      <c r="E30" s="78" t="str">
        <f>_xll.qlSimpleQuote(D30,,RateTickValue,Permanent,Trigger,ObjectOverwrite)</f>
        <v>HKD11x17F_Quote#0004</v>
      </c>
      <c r="F30" s="77" t="str">
        <f>_xll.ohRangeRetrieveError(E30)</f>
        <v/>
      </c>
      <c r="G30" s="65"/>
      <c r="I30" s="180"/>
      <c r="J30" s="218">
        <v>11</v>
      </c>
      <c r="K30" s="217" t="str">
        <f t="shared" si="5"/>
        <v>x17F</v>
      </c>
      <c r="L30" s="215" t="str">
        <f t="shared" si="1"/>
        <v>HKD11x17F</v>
      </c>
      <c r="M30" s="215" t="str">
        <v>HKD11X17F=PREA</v>
      </c>
      <c r="N30" s="216" t="s">
        <v>151</v>
      </c>
      <c r="O30" s="216" t="s">
        <v>151</v>
      </c>
      <c r="P30" s="215" t="s">
        <v>151</v>
      </c>
      <c r="Q30" s="215" t="s">
        <v>151</v>
      </c>
      <c r="R30" s="177" t="e">
        <f>_xll.qlMidSafe($N30,$O30)</f>
        <v>#NUM!</v>
      </c>
      <c r="S30" s="175"/>
      <c r="T30" s="214" t="e">
        <v>#NUM!</v>
      </c>
      <c r="U30" s="175"/>
      <c r="V30" s="246" t="e">
        <v>#NUM!</v>
      </c>
      <c r="W30" s="181" t="e">
        <f>_xll.qlSimpleQuoteSetValue(D30,V30/100,ISERROR(E30))</f>
        <v>#NUM!</v>
      </c>
      <c r="X30" s="171"/>
      <c r="Y30" s="205"/>
      <c r="Z30" s="206" t="e">
        <f t="shared" si="3"/>
        <v>#VALUE!</v>
      </c>
      <c r="AA30" s="205"/>
    </row>
    <row r="31" spans="1:27" x14ac:dyDescent="0.2">
      <c r="A31" s="71"/>
      <c r="B31" s="79">
        <v>12</v>
      </c>
      <c r="C31" s="80" t="str">
        <f t="shared" si="4"/>
        <v>x18F</v>
      </c>
      <c r="D31" s="79" t="str">
        <f t="shared" si="0"/>
        <v>HKD12x18F_Quote</v>
      </c>
      <c r="E31" s="78" t="str">
        <f>_xll.qlSimpleQuote(D31,,RateTickValue,Permanent,Trigger,ObjectOverwrite)</f>
        <v>HKD12x18F_Quote#0004</v>
      </c>
      <c r="F31" s="77" t="str">
        <f>_xll.ohRangeRetrieveError(E31)</f>
        <v/>
      </c>
      <c r="G31" s="65"/>
      <c r="I31" s="180"/>
      <c r="J31" s="218">
        <v>12</v>
      </c>
      <c r="K31" s="217" t="str">
        <f t="shared" si="5"/>
        <v>x18F</v>
      </c>
      <c r="L31" s="215" t="str">
        <f t="shared" si="1"/>
        <v>HKD12x18F</v>
      </c>
      <c r="M31" s="215" t="str">
        <v>HKD12X18F=PREA</v>
      </c>
      <c r="N31" s="216">
        <v>0.57999999999999996</v>
      </c>
      <c r="O31" s="216">
        <v>0.68</v>
      </c>
      <c r="P31" s="215">
        <v>0</v>
      </c>
      <c r="Q31" s="215">
        <v>0</v>
      </c>
      <c r="R31" s="177">
        <f>_xll.qlMidSafe($N31,$O31)</f>
        <v>0.63</v>
      </c>
      <c r="S31" s="175"/>
      <c r="T31" s="214">
        <v>0.6399999999999999</v>
      </c>
      <c r="U31" s="175"/>
      <c r="V31" s="246">
        <v>0.63</v>
      </c>
      <c r="W31" s="181" t="e">
        <f>_xll.qlSimpleQuoteSetValue(D31,V31/100,ISERROR(E31))</f>
        <v>#N/A</v>
      </c>
      <c r="X31" s="171"/>
      <c r="Y31" s="205"/>
      <c r="Z31" s="206">
        <f t="shared" si="3"/>
        <v>1.0000000000000009E-3</v>
      </c>
      <c r="AA31" s="205"/>
    </row>
    <row r="32" spans="1:27" x14ac:dyDescent="0.2">
      <c r="A32" s="71"/>
      <c r="B32" s="79">
        <v>13</v>
      </c>
      <c r="C32" s="80" t="str">
        <f t="shared" si="4"/>
        <v>x19F</v>
      </c>
      <c r="D32" s="79" t="str">
        <f t="shared" si="0"/>
        <v>HKD13x19F_Quote</v>
      </c>
      <c r="E32" s="78" t="str">
        <f>_xll.qlSimpleQuote(D32,,RateTickValue,Permanent,Trigger,ObjectOverwrite)</f>
        <v>HKD13x19F_Quote#0004</v>
      </c>
      <c r="F32" s="77" t="str">
        <f>_xll.ohRangeRetrieveError(E32)</f>
        <v/>
      </c>
      <c r="G32" s="65"/>
      <c r="I32" s="180"/>
      <c r="J32" s="218">
        <v>13</v>
      </c>
      <c r="K32" s="217" t="str">
        <f t="shared" si="5"/>
        <v>x19F</v>
      </c>
      <c r="L32" s="215" t="str">
        <f t="shared" si="1"/>
        <v>HKD13x19F</v>
      </c>
      <c r="M32" s="215" t="str">
        <v>HKD13X19F=PREA</v>
      </c>
      <c r="N32" s="216" t="s">
        <v>151</v>
      </c>
      <c r="O32" s="216" t="s">
        <v>151</v>
      </c>
      <c r="P32" s="215" t="s">
        <v>151</v>
      </c>
      <c r="Q32" s="215" t="s">
        <v>151</v>
      </c>
      <c r="R32" s="177" t="e">
        <f>_xll.qlMidSafe($N32,$O32)</f>
        <v>#NUM!</v>
      </c>
      <c r="S32" s="175"/>
      <c r="T32" s="214" t="e">
        <v>#NUM!</v>
      </c>
      <c r="U32" s="175"/>
      <c r="V32" s="246" t="e">
        <v>#NUM!</v>
      </c>
      <c r="W32" s="181" t="e">
        <f>_xll.qlSimpleQuoteSetValue(D32,V32/100,ISERROR(E32))</f>
        <v>#NUM!</v>
      </c>
      <c r="X32" s="171"/>
      <c r="Y32" s="205"/>
      <c r="Z32" s="206" t="e">
        <f t="shared" si="3"/>
        <v>#VALUE!</v>
      </c>
      <c r="AA32" s="205"/>
    </row>
    <row r="33" spans="1:27" x14ac:dyDescent="0.2">
      <c r="A33" s="71"/>
      <c r="B33" s="79">
        <v>14</v>
      </c>
      <c r="C33" s="80" t="str">
        <f t="shared" si="4"/>
        <v>x20F</v>
      </c>
      <c r="D33" s="79" t="str">
        <f t="shared" si="0"/>
        <v>HKD14x20F_Quote</v>
      </c>
      <c r="E33" s="78" t="str">
        <f>_xll.qlSimpleQuote(D33,,RateTickValue,Permanent,Trigger,ObjectOverwrite)</f>
        <v>HKD14x20F_Quote#0004</v>
      </c>
      <c r="F33" s="77" t="str">
        <f>_xll.ohRangeRetrieveError(E33)</f>
        <v/>
      </c>
      <c r="G33" s="65"/>
      <c r="I33" s="180"/>
      <c r="J33" s="218">
        <v>14</v>
      </c>
      <c r="K33" s="217" t="str">
        <f t="shared" si="5"/>
        <v>x20F</v>
      </c>
      <c r="L33" s="215" t="str">
        <f t="shared" si="1"/>
        <v>HKD14x20F</v>
      </c>
      <c r="M33" s="215" t="str">
        <v>HKD14X20F=PREA</v>
      </c>
      <c r="N33" s="216" t="s">
        <v>151</v>
      </c>
      <c r="O33" s="216" t="s">
        <v>151</v>
      </c>
      <c r="P33" s="215" t="s">
        <v>151</v>
      </c>
      <c r="Q33" s="215" t="s">
        <v>151</v>
      </c>
      <c r="R33" s="177" t="e">
        <f>_xll.qlMidSafe($N33,$O33)</f>
        <v>#NUM!</v>
      </c>
      <c r="S33" s="175"/>
      <c r="T33" s="214" t="e">
        <v>#NUM!</v>
      </c>
      <c r="U33" s="175"/>
      <c r="V33" s="246" t="e">
        <v>#NUM!</v>
      </c>
      <c r="W33" s="181" t="e">
        <f>_xll.qlSimpleQuoteSetValue(D33,V33/100,ISERROR(E33))</f>
        <v>#NUM!</v>
      </c>
      <c r="X33" s="171"/>
      <c r="Y33" s="205"/>
      <c r="Z33" s="206" t="e">
        <f t="shared" si="3"/>
        <v>#VALUE!</v>
      </c>
      <c r="AA33" s="205"/>
    </row>
    <row r="34" spans="1:27" x14ac:dyDescent="0.2">
      <c r="A34" s="71"/>
      <c r="B34" s="79">
        <v>15</v>
      </c>
      <c r="C34" s="80" t="str">
        <f t="shared" si="4"/>
        <v>x21F</v>
      </c>
      <c r="D34" s="79" t="str">
        <f t="shared" si="0"/>
        <v>HKD15x21F_Quote</v>
      </c>
      <c r="E34" s="78" t="str">
        <f>_xll.qlSimpleQuote(D34,,RateTickValue,Permanent,Trigger,ObjectOverwrite)</f>
        <v>HKD15x21F_Quote#0004</v>
      </c>
      <c r="F34" s="77" t="str">
        <f>_xll.ohRangeRetrieveError(E34)</f>
        <v/>
      </c>
      <c r="G34" s="65"/>
      <c r="I34" s="180"/>
      <c r="J34" s="218">
        <v>15</v>
      </c>
      <c r="K34" s="217" t="str">
        <f t="shared" si="5"/>
        <v>x21F</v>
      </c>
      <c r="L34" s="215" t="str">
        <f t="shared" si="1"/>
        <v>HKD15x21F</v>
      </c>
      <c r="M34" s="215" t="str">
        <v>HKD15X21F=PREA</v>
      </c>
      <c r="N34" s="216" t="s">
        <v>151</v>
      </c>
      <c r="O34" s="216" t="s">
        <v>151</v>
      </c>
      <c r="P34" s="215" t="s">
        <v>151</v>
      </c>
      <c r="Q34" s="215" t="s">
        <v>151</v>
      </c>
      <c r="R34" s="177" t="e">
        <f>_xll.qlMidSafe($N34,$O34)</f>
        <v>#NUM!</v>
      </c>
      <c r="S34" s="175"/>
      <c r="T34" s="214" t="e">
        <v>#NUM!</v>
      </c>
      <c r="U34" s="175"/>
      <c r="V34" s="246" t="e">
        <v>#NUM!</v>
      </c>
      <c r="W34" s="181" t="e">
        <f>_xll.qlSimpleQuoteSetValue(D34,V34/100,ISERROR(E34))</f>
        <v>#NUM!</v>
      </c>
      <c r="X34" s="171"/>
      <c r="Y34" s="205"/>
      <c r="Z34" s="206" t="e">
        <f t="shared" si="3"/>
        <v>#VALUE!</v>
      </c>
      <c r="AA34" s="205"/>
    </row>
    <row r="35" spans="1:27" x14ac:dyDescent="0.2">
      <c r="A35" s="71"/>
      <c r="B35" s="79">
        <v>16</v>
      </c>
      <c r="C35" s="80" t="str">
        <f t="shared" si="4"/>
        <v>x22F</v>
      </c>
      <c r="D35" s="79" t="str">
        <f t="shared" si="0"/>
        <v>HKD16x22F_Quote</v>
      </c>
      <c r="E35" s="78" t="str">
        <f>_xll.qlSimpleQuote(D35,,RateTickValue,Permanent,Trigger,ObjectOverwrite)</f>
        <v>HKD16x22F_Quote#0004</v>
      </c>
      <c r="F35" s="77" t="str">
        <f>_xll.ohRangeRetrieveError(E35)</f>
        <v/>
      </c>
      <c r="G35" s="65"/>
      <c r="I35" s="180"/>
      <c r="J35" s="218">
        <v>16</v>
      </c>
      <c r="K35" s="217" t="str">
        <f t="shared" si="5"/>
        <v>x22F</v>
      </c>
      <c r="L35" s="215" t="str">
        <f t="shared" si="1"/>
        <v>HKD16x22F</v>
      </c>
      <c r="M35" s="215" t="str">
        <v>HKD16X22F=PREA</v>
      </c>
      <c r="N35" s="216" t="s">
        <v>151</v>
      </c>
      <c r="O35" s="216" t="s">
        <v>151</v>
      </c>
      <c r="P35" s="215" t="s">
        <v>151</v>
      </c>
      <c r="Q35" s="215" t="s">
        <v>151</v>
      </c>
      <c r="R35" s="177" t="e">
        <f>_xll.qlMidSafe($N35,$O35)</f>
        <v>#NUM!</v>
      </c>
      <c r="S35" s="175"/>
      <c r="T35" s="214" t="e">
        <v>#NUM!</v>
      </c>
      <c r="U35" s="175"/>
      <c r="V35" s="246" t="e">
        <v>#NUM!</v>
      </c>
      <c r="W35" s="181" t="e">
        <f>_xll.qlSimpleQuoteSetValue(D35,V35/100,ISERROR(E35))</f>
        <v>#NUM!</v>
      </c>
      <c r="X35" s="171"/>
      <c r="Y35" s="205"/>
      <c r="Z35" s="206" t="e">
        <f t="shared" si="3"/>
        <v>#VALUE!</v>
      </c>
      <c r="AA35" s="205"/>
    </row>
    <row r="36" spans="1:27" x14ac:dyDescent="0.2">
      <c r="A36" s="71"/>
      <c r="B36" s="79">
        <v>17</v>
      </c>
      <c r="C36" s="80" t="str">
        <f t="shared" si="4"/>
        <v>x23F</v>
      </c>
      <c r="D36" s="79" t="str">
        <f t="shared" si="0"/>
        <v>HKD17x23F_Quote</v>
      </c>
      <c r="E36" s="78" t="str">
        <f>_xll.qlSimpleQuote(D36,,RateTickValue,Permanent,Trigger,ObjectOverwrite)</f>
        <v>HKD17x23F_Quote#0004</v>
      </c>
      <c r="F36" s="77" t="str">
        <f>_xll.ohRangeRetrieveError(E36)</f>
        <v/>
      </c>
      <c r="G36" s="65"/>
      <c r="I36" s="180"/>
      <c r="J36" s="218">
        <v>17</v>
      </c>
      <c r="K36" s="217" t="str">
        <f t="shared" si="5"/>
        <v>x23F</v>
      </c>
      <c r="L36" s="215" t="str">
        <f t="shared" si="1"/>
        <v>HKD17x23F</v>
      </c>
      <c r="M36" s="215" t="str">
        <v>HKD17X23F=PREA</v>
      </c>
      <c r="N36" s="216" t="s">
        <v>151</v>
      </c>
      <c r="O36" s="216" t="s">
        <v>151</v>
      </c>
      <c r="P36" s="215" t="s">
        <v>151</v>
      </c>
      <c r="Q36" s="215" t="s">
        <v>151</v>
      </c>
      <c r="R36" s="177" t="e">
        <f>_xll.qlMidSafe($N36,$O36)</f>
        <v>#NUM!</v>
      </c>
      <c r="S36" s="175"/>
      <c r="T36" s="214" t="e">
        <v>#NUM!</v>
      </c>
      <c r="U36" s="175"/>
      <c r="V36" s="246" t="e">
        <v>#NUM!</v>
      </c>
      <c r="W36" s="181" t="e">
        <f>_xll.qlSimpleQuoteSetValue(D36,V36/100,ISERROR(E36))</f>
        <v>#NUM!</v>
      </c>
      <c r="X36" s="171"/>
      <c r="Y36" s="205"/>
      <c r="Z36" s="206" t="e">
        <f t="shared" si="3"/>
        <v>#VALUE!</v>
      </c>
      <c r="AA36" s="205"/>
    </row>
    <row r="37" spans="1:27" x14ac:dyDescent="0.2">
      <c r="A37" s="71"/>
      <c r="B37" s="68">
        <v>18</v>
      </c>
      <c r="C37" s="72" t="str">
        <f t="shared" si="4"/>
        <v>x24F</v>
      </c>
      <c r="D37" s="68" t="str">
        <f t="shared" si="0"/>
        <v>HKD18x24F_Quote</v>
      </c>
      <c r="E37" s="67" t="str">
        <f>_xll.qlSimpleQuote(D37,,RateTickValue,Permanent,Trigger,ObjectOverwrite)</f>
        <v>HKD18x24F_Quote#0004</v>
      </c>
      <c r="F37" s="66" t="str">
        <f>_xll.ohRangeRetrieveError(E37)</f>
        <v/>
      </c>
      <c r="G37" s="65"/>
      <c r="I37" s="180"/>
      <c r="J37" s="218">
        <v>18</v>
      </c>
      <c r="K37" s="217" t="str">
        <f t="shared" si="5"/>
        <v>x24F</v>
      </c>
      <c r="L37" s="215" t="str">
        <f t="shared" si="1"/>
        <v>HKD18x24F</v>
      </c>
      <c r="M37" s="215" t="str">
        <v>HKD18X24F=PREA</v>
      </c>
      <c r="N37" s="216">
        <v>0.71</v>
      </c>
      <c r="O37" s="216">
        <v>0.81</v>
      </c>
      <c r="P37" s="215">
        <v>0</v>
      </c>
      <c r="Q37" s="215">
        <v>0</v>
      </c>
      <c r="R37" s="177">
        <f>_xll.qlMidSafe($N37,$O37)</f>
        <v>0.76</v>
      </c>
      <c r="S37" s="175"/>
      <c r="T37" s="214">
        <v>0.81</v>
      </c>
      <c r="U37" s="175"/>
      <c r="V37" s="246">
        <v>0.76</v>
      </c>
      <c r="W37" s="181" t="e">
        <f>_xll.qlSimpleQuoteSetValue(D37,V37/100,ISERROR(E37))</f>
        <v>#N/A</v>
      </c>
      <c r="X37" s="171"/>
      <c r="Y37" s="205"/>
      <c r="Z37" s="206">
        <f t="shared" si="3"/>
        <v>1.0000000000000009E-3</v>
      </c>
      <c r="AA37" s="205"/>
    </row>
    <row r="38" spans="1:27" x14ac:dyDescent="0.2">
      <c r="A38" s="71"/>
      <c r="B38" s="75" t="s">
        <v>85</v>
      </c>
      <c r="C38" s="76" t="s">
        <v>83</v>
      </c>
      <c r="D38" s="75" t="str">
        <f t="shared" si="0"/>
        <v>HKDT12F1_Quote</v>
      </c>
      <c r="E38" s="74" t="str">
        <f>_xll.qlSimpleQuote(D38,,RateTickValue,Permanent,Trigger,ObjectOverwrite)</f>
        <v>HKDT12F1_Quote#0004</v>
      </c>
      <c r="F38" s="73" t="str">
        <f>_xll.ohRangeRetrieveError(E38)</f>
        <v/>
      </c>
      <c r="G38" s="65"/>
      <c r="I38" s="180"/>
      <c r="J38" s="213">
        <v>12</v>
      </c>
      <c r="K38" s="212" t="str">
        <f>"x"&amp;J38+12&amp;"F"</f>
        <v>x24F</v>
      </c>
      <c r="L38" s="210" t="str">
        <f t="shared" si="1"/>
        <v>HKD12x24F</v>
      </c>
      <c r="M38" s="210" t="str">
        <v>HKD12X24F=PREA</v>
      </c>
      <c r="N38" s="211" t="s">
        <v>151</v>
      </c>
      <c r="O38" s="211" t="s">
        <v>151</v>
      </c>
      <c r="P38" s="210" t="s">
        <v>151</v>
      </c>
      <c r="Q38" s="210" t="s">
        <v>151</v>
      </c>
      <c r="R38" s="209" t="e">
        <f>_xll.qlMidSafe($N38,$O38)</f>
        <v>#NUM!</v>
      </c>
      <c r="S38" s="175"/>
      <c r="T38" s="208" t="e">
        <v>#NUM!</v>
      </c>
      <c r="U38" s="175"/>
      <c r="V38" s="378" t="e">
        <v>#NUM!</v>
      </c>
      <c r="W38" s="207" t="e">
        <f>_xll.qlSimpleQuoteSetValue(D38,V38/100,ISERROR(E38))</f>
        <v>#NUM!</v>
      </c>
      <c r="X38" s="171"/>
      <c r="Y38" s="205"/>
      <c r="Z38" s="206" t="e">
        <f t="shared" si="3"/>
        <v>#VALUE!</v>
      </c>
      <c r="AA38" s="205"/>
    </row>
    <row r="39" spans="1:27" ht="13.5" thickBot="1" x14ac:dyDescent="0.25">
      <c r="A39" s="71"/>
      <c r="B39" s="68" t="s">
        <v>84</v>
      </c>
      <c r="C39" s="72" t="s">
        <v>83</v>
      </c>
      <c r="D39" s="68" t="str">
        <f t="shared" si="0"/>
        <v>HKDTOM12F1_Quote</v>
      </c>
      <c r="E39" s="67" t="str">
        <f>_xll.qlSimpleQuote(D39,,RateTickValue,Permanent,Trigger,ObjectOverwrite)</f>
        <v>HKDTOM12F1_Quote#0004</v>
      </c>
      <c r="F39" s="66" t="str">
        <f>_xll.ohRangeRetrieveError(E39)</f>
        <v/>
      </c>
      <c r="G39" s="65"/>
      <c r="I39" s="170"/>
      <c r="J39" s="169"/>
      <c r="K39" s="169"/>
      <c r="L39" s="169"/>
      <c r="M39" s="169"/>
      <c r="N39" s="169"/>
      <c r="O39" s="169"/>
      <c r="P39" s="169"/>
      <c r="Q39" s="169"/>
      <c r="R39" s="169"/>
      <c r="S39" s="168"/>
      <c r="T39" s="169"/>
      <c r="U39" s="168"/>
      <c r="V39" s="169"/>
      <c r="W39" s="169"/>
      <c r="X39" s="167"/>
      <c r="Y39" s="205"/>
      <c r="Z39" s="205"/>
      <c r="AA39" s="205"/>
    </row>
    <row r="40" spans="1:27" x14ac:dyDescent="0.2">
      <c r="A40" s="71"/>
      <c r="B40" s="70">
        <v>12</v>
      </c>
      <c r="C40" s="69" t="s">
        <v>82</v>
      </c>
      <c r="D40" s="68" t="str">
        <f t="shared" si="0"/>
        <v>HKD12x24F_Quote</v>
      </c>
      <c r="E40" s="67" t="str">
        <f>_xll.qlSimpleQuote(D40,,RateTickValue,Permanent,Trigger,ObjectOverwrite)</f>
        <v>HKD12x24F_Quote#0004</v>
      </c>
      <c r="F40" s="66" t="str">
        <f>_xll.ohRangeRetrieveError(E40)</f>
        <v/>
      </c>
      <c r="G40" s="65"/>
      <c r="I40" s="205"/>
      <c r="J40" s="205"/>
      <c r="K40" s="205"/>
      <c r="L40" s="205"/>
      <c r="M40" s="205"/>
      <c r="N40" s="205"/>
      <c r="O40" s="205"/>
      <c r="P40" s="205"/>
      <c r="Q40" s="205"/>
      <c r="R40" s="205"/>
      <c r="S40" s="205"/>
      <c r="T40" s="205"/>
      <c r="U40" s="205"/>
      <c r="V40" s="205"/>
      <c r="W40" s="205"/>
      <c r="X40" s="205"/>
      <c r="Y40" s="205"/>
      <c r="Z40" s="205"/>
      <c r="AA40" s="205"/>
    </row>
    <row r="41" spans="1:27" ht="13.5" thickBot="1" x14ac:dyDescent="0.25">
      <c r="A41" s="64"/>
      <c r="B41" s="63"/>
      <c r="C41" s="63"/>
      <c r="D41" s="63"/>
      <c r="E41" s="62"/>
      <c r="F41" s="62"/>
      <c r="G41" s="61"/>
      <c r="I41" s="205"/>
      <c r="J41" s="205"/>
      <c r="K41" s="205"/>
      <c r="L41" s="205"/>
      <c r="M41" s="205"/>
      <c r="N41" s="205"/>
      <c r="O41" s="205"/>
      <c r="P41" s="205"/>
      <c r="Q41" s="205"/>
      <c r="R41" s="205"/>
      <c r="S41" s="205"/>
      <c r="T41" s="205"/>
      <c r="U41" s="205"/>
      <c r="V41" s="205"/>
      <c r="W41" s="205"/>
      <c r="X41" s="205"/>
      <c r="Y41" s="205"/>
      <c r="Z41" s="205"/>
      <c r="AA41" s="205"/>
    </row>
    <row r="42" spans="1:27" ht="15" x14ac:dyDescent="0.25">
      <c r="I42" s="205"/>
      <c r="J42" s="205"/>
      <c r="K42" s="205"/>
      <c r="L42" s="205"/>
      <c r="M42" s="205"/>
      <c r="N42" s="205"/>
      <c r="O42" s="205"/>
      <c r="P42" s="205"/>
      <c r="Q42" s="205"/>
      <c r="R42" s="205"/>
      <c r="S42" s="205"/>
      <c r="T42" s="205"/>
      <c r="U42" s="205"/>
      <c r="V42" s="205"/>
      <c r="W42"/>
      <c r="X42" s="205"/>
      <c r="Y42" s="205"/>
      <c r="Z42" s="205"/>
      <c r="AA42" s="205"/>
    </row>
    <row r="43" spans="1:27" ht="15" x14ac:dyDescent="0.25">
      <c r="I43" s="205"/>
      <c r="J43" s="205"/>
      <c r="K43" s="205"/>
      <c r="L43" s="205"/>
      <c r="M43" s="205"/>
      <c r="N43" s="205"/>
      <c r="O43" s="205"/>
      <c r="P43" s="205"/>
      <c r="Q43" s="205"/>
      <c r="R43" s="205"/>
      <c r="S43" s="205"/>
      <c r="T43" s="205"/>
      <c r="U43" s="205"/>
      <c r="V43" s="205"/>
      <c r="W43"/>
      <c r="X43" s="205"/>
      <c r="Y43" s="205"/>
      <c r="Z43" s="205"/>
      <c r="AA43" s="205"/>
    </row>
    <row r="44" spans="1:27" x14ac:dyDescent="0.2">
      <c r="I44" s="205"/>
      <c r="J44" s="205"/>
      <c r="K44" s="205"/>
      <c r="L44" s="205"/>
      <c r="M44" s="205"/>
      <c r="N44" s="205"/>
      <c r="O44" s="205"/>
      <c r="P44" s="205"/>
      <c r="Q44" s="205"/>
      <c r="R44" s="205"/>
      <c r="S44" s="205"/>
      <c r="T44" s="205"/>
      <c r="U44" s="205"/>
      <c r="V44" s="205"/>
      <c r="W44" s="205"/>
      <c r="X44" s="205"/>
      <c r="Y44" s="205"/>
      <c r="Z44" s="205"/>
      <c r="AA44" s="205"/>
    </row>
    <row r="45" spans="1:27" x14ac:dyDescent="0.2">
      <c r="I45" s="205"/>
      <c r="J45" s="205"/>
      <c r="K45" s="205"/>
      <c r="L45" s="205"/>
      <c r="M45" s="205"/>
      <c r="N45" s="205"/>
      <c r="O45" s="205"/>
      <c r="P45" s="205"/>
      <c r="Q45" s="205"/>
      <c r="R45" s="205"/>
      <c r="S45" s="205"/>
      <c r="T45" s="205"/>
      <c r="U45" s="205"/>
      <c r="V45" s="205"/>
      <c r="W45" s="205"/>
      <c r="X45" s="205"/>
      <c r="Y45" s="205"/>
      <c r="Z45" s="205"/>
      <c r="AA45" s="205"/>
    </row>
    <row r="46" spans="1:27" x14ac:dyDescent="0.2">
      <c r="I46" s="205"/>
      <c r="J46" s="205"/>
      <c r="K46" s="205"/>
      <c r="L46" s="205"/>
      <c r="M46" s="205"/>
      <c r="N46" s="205"/>
      <c r="O46" s="205"/>
      <c r="P46" s="205"/>
      <c r="Q46" s="205"/>
      <c r="R46" s="205"/>
      <c r="S46" s="205"/>
      <c r="T46" s="205"/>
      <c r="U46" s="205"/>
      <c r="V46" s="205"/>
      <c r="W46" s="205"/>
      <c r="X46" s="205"/>
      <c r="Y46" s="205"/>
      <c r="Z46" s="205"/>
      <c r="AA46" s="205"/>
    </row>
    <row r="47" spans="1:27" x14ac:dyDescent="0.2">
      <c r="I47" s="205"/>
      <c r="J47" s="205"/>
      <c r="K47" s="205"/>
      <c r="L47" s="205"/>
      <c r="M47" s="205"/>
      <c r="N47" s="205"/>
      <c r="O47" s="205"/>
      <c r="P47" s="205"/>
      <c r="Q47" s="205"/>
      <c r="R47" s="205"/>
      <c r="S47" s="205"/>
      <c r="T47" s="205"/>
      <c r="U47" s="205"/>
      <c r="V47" s="205"/>
      <c r="W47" s="205"/>
      <c r="X47" s="205"/>
      <c r="Y47" s="205"/>
      <c r="Z47" s="205"/>
      <c r="AA47" s="205"/>
    </row>
    <row r="48" spans="1:27" x14ac:dyDescent="0.2">
      <c r="I48" s="205"/>
      <c r="J48" s="205"/>
      <c r="K48" s="205"/>
      <c r="L48" s="205"/>
      <c r="M48" s="205"/>
      <c r="N48" s="205"/>
      <c r="O48" s="205"/>
      <c r="P48" s="205"/>
      <c r="Q48" s="205"/>
      <c r="R48" s="205"/>
      <c r="S48" s="205"/>
      <c r="T48" s="205"/>
      <c r="U48" s="205"/>
      <c r="V48" s="205"/>
      <c r="W48" s="205"/>
      <c r="X48" s="205"/>
      <c r="Y48" s="205"/>
      <c r="Z48" s="205"/>
      <c r="AA48" s="205"/>
    </row>
    <row r="49" spans="9:27" x14ac:dyDescent="0.2">
      <c r="I49" s="205"/>
      <c r="J49" s="205"/>
      <c r="K49" s="205"/>
      <c r="L49" s="205"/>
      <c r="M49" s="205"/>
      <c r="N49" s="205"/>
      <c r="O49" s="205"/>
      <c r="P49" s="205"/>
      <c r="Q49" s="205"/>
      <c r="R49" s="205"/>
      <c r="S49" s="205"/>
      <c r="T49" s="205"/>
      <c r="U49" s="205"/>
      <c r="V49" s="205"/>
      <c r="W49" s="205"/>
      <c r="X49" s="205"/>
      <c r="Y49" s="205"/>
      <c r="Z49" s="205"/>
      <c r="AA49" s="205"/>
    </row>
    <row r="50" spans="9:27" x14ac:dyDescent="0.2">
      <c r="I50" s="205"/>
      <c r="J50" s="205"/>
      <c r="K50" s="205"/>
      <c r="L50" s="205"/>
      <c r="M50" s="205"/>
      <c r="N50" s="205"/>
      <c r="O50" s="205"/>
      <c r="P50" s="205"/>
      <c r="Q50" s="205"/>
      <c r="R50" s="205"/>
      <c r="S50" s="205"/>
      <c r="T50" s="205"/>
      <c r="U50" s="205"/>
      <c r="V50" s="205"/>
      <c r="W50" s="205"/>
      <c r="X50" s="205"/>
      <c r="Y50" s="205"/>
      <c r="Z50" s="205"/>
      <c r="AA50" s="205"/>
    </row>
    <row r="51" spans="9:27" x14ac:dyDescent="0.2">
      <c r="I51" s="205"/>
      <c r="J51" s="205"/>
      <c r="K51" s="205"/>
      <c r="L51" s="205"/>
      <c r="M51" s="205"/>
      <c r="N51" s="205"/>
      <c r="O51" s="205"/>
      <c r="P51" s="205"/>
      <c r="Q51" s="205"/>
      <c r="R51" s="205"/>
      <c r="S51" s="205"/>
      <c r="T51" s="205"/>
      <c r="U51" s="205"/>
      <c r="V51" s="205"/>
      <c r="W51" s="205"/>
      <c r="X51" s="205"/>
      <c r="Y51" s="205"/>
      <c r="Z51" s="205"/>
      <c r="AA51" s="205"/>
    </row>
    <row r="52" spans="9:27" x14ac:dyDescent="0.2">
      <c r="I52" s="205"/>
      <c r="J52" s="205"/>
      <c r="K52" s="205"/>
      <c r="L52" s="205"/>
      <c r="M52" s="205"/>
      <c r="N52" s="205"/>
      <c r="O52" s="205"/>
      <c r="P52" s="205"/>
      <c r="Q52" s="205"/>
      <c r="R52" s="205"/>
      <c r="S52" s="205"/>
      <c r="T52" s="205"/>
      <c r="U52" s="205"/>
      <c r="V52" s="205"/>
      <c r="W52" s="205"/>
      <c r="X52" s="205"/>
      <c r="Y52" s="205"/>
      <c r="Z52" s="205"/>
      <c r="AA52" s="205"/>
    </row>
    <row r="53" spans="9:27" x14ac:dyDescent="0.2">
      <c r="I53" s="205"/>
      <c r="J53" s="205"/>
      <c r="K53" s="205"/>
      <c r="L53" s="205"/>
      <c r="M53" s="205"/>
      <c r="N53" s="205"/>
      <c r="O53" s="205"/>
      <c r="P53" s="205"/>
      <c r="Q53" s="205"/>
      <c r="R53" s="205"/>
      <c r="S53" s="205"/>
      <c r="T53" s="205"/>
      <c r="U53" s="205"/>
      <c r="V53" s="205"/>
      <c r="W53" s="205"/>
      <c r="X53" s="205"/>
      <c r="Y53" s="205"/>
      <c r="Z53" s="205"/>
      <c r="AA53" s="205"/>
    </row>
    <row r="54" spans="9:27" x14ac:dyDescent="0.2">
      <c r="I54" s="205"/>
      <c r="J54" s="205"/>
      <c r="K54" s="205"/>
      <c r="L54" s="205"/>
      <c r="M54" s="205"/>
      <c r="N54" s="205"/>
      <c r="O54" s="205"/>
      <c r="P54" s="205"/>
      <c r="Q54" s="205"/>
      <c r="R54" s="205"/>
      <c r="S54" s="205"/>
      <c r="T54" s="205"/>
      <c r="U54" s="205"/>
      <c r="V54" s="205"/>
      <c r="W54" s="205"/>
      <c r="X54" s="205"/>
      <c r="Y54" s="205"/>
      <c r="Z54" s="205"/>
      <c r="AA54" s="205"/>
    </row>
    <row r="55" spans="9:27" x14ac:dyDescent="0.2">
      <c r="I55" s="205"/>
      <c r="J55" s="205"/>
      <c r="K55" s="205"/>
      <c r="L55" s="205"/>
      <c r="M55" s="205"/>
      <c r="N55" s="205"/>
      <c r="O55" s="205"/>
      <c r="P55" s="205"/>
      <c r="Q55" s="205"/>
      <c r="R55" s="205"/>
      <c r="S55" s="205"/>
      <c r="T55" s="205"/>
      <c r="U55" s="205"/>
      <c r="V55" s="205"/>
      <c r="W55" s="205"/>
      <c r="X55" s="205"/>
      <c r="Y55" s="205"/>
      <c r="Z55" s="205"/>
      <c r="AA55" s="205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41"/>
  <sheetViews>
    <sheetView zoomScale="105" zoomScaleNormal="105" workbookViewId="0"/>
  </sheetViews>
  <sheetFormatPr defaultRowHeight="11.25" x14ac:dyDescent="0.2"/>
  <cols>
    <col min="1" max="1" width="2.7109375" style="16" customWidth="1"/>
    <col min="2" max="2" width="3.5703125" style="16" bestFit="1" customWidth="1"/>
    <col min="3" max="3" width="5.7109375" style="16" bestFit="1" customWidth="1"/>
    <col min="4" max="4" width="6.140625" style="16" bestFit="1" customWidth="1"/>
    <col min="5" max="5" width="17" style="16" bestFit="1" customWidth="1"/>
    <col min="6" max="6" width="20.140625" style="16" bestFit="1" customWidth="1"/>
    <col min="7" max="7" width="33.85546875" style="16" customWidth="1"/>
    <col min="8" max="10" width="2.7109375" style="16" customWidth="1"/>
    <col min="11" max="13" width="9.140625" style="16"/>
    <col min="14" max="14" width="14.28515625" style="16" bestFit="1" customWidth="1"/>
    <col min="15" max="19" width="9.140625" style="16"/>
    <col min="20" max="20" width="12.140625" style="16" customWidth="1"/>
    <col min="21" max="21" width="9.140625" style="16"/>
    <col min="22" max="22" width="2.7109375" style="16" customWidth="1"/>
    <col min="23" max="23" width="9.140625" style="16"/>
    <col min="24" max="24" width="2.7109375" style="16" customWidth="1"/>
    <col min="25" max="26" width="9.140625" style="16"/>
    <col min="27" max="28" width="2.7109375" style="16" customWidth="1"/>
    <col min="29" max="16384" width="9.140625" style="16"/>
  </cols>
  <sheetData>
    <row r="1" spans="1:30" s="144" customFormat="1" ht="12" thickBot="1" x14ac:dyDescent="0.25">
      <c r="A1" s="144" t="s">
        <v>209</v>
      </c>
      <c r="J1" s="203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  <c r="V1" s="266"/>
      <c r="W1" s="266"/>
      <c r="X1" s="202"/>
      <c r="Y1" s="202"/>
      <c r="Z1" s="202"/>
      <c r="AA1" s="265"/>
      <c r="AB1" s="205"/>
      <c r="AC1" s="205"/>
      <c r="AD1" s="205"/>
    </row>
    <row r="2" spans="1:30" x14ac:dyDescent="0.2">
      <c r="A2" s="103"/>
      <c r="B2" s="102"/>
      <c r="C2" s="102"/>
      <c r="D2" s="36" t="s">
        <v>105</v>
      </c>
      <c r="E2" s="36" t="s">
        <v>106</v>
      </c>
      <c r="F2" s="101"/>
      <c r="G2" s="101"/>
      <c r="H2" s="100"/>
      <c r="J2" s="200"/>
      <c r="K2" s="235"/>
      <c r="L2" s="235"/>
      <c r="M2" s="235"/>
      <c r="N2" s="235"/>
      <c r="O2" s="235"/>
      <c r="P2" s="235"/>
      <c r="Q2" s="235"/>
      <c r="R2" s="235"/>
      <c r="S2" s="235"/>
      <c r="T2" s="235"/>
      <c r="U2" s="235"/>
      <c r="V2" s="175"/>
      <c r="W2" s="175"/>
      <c r="X2" s="235"/>
      <c r="Y2" s="235"/>
      <c r="Z2" s="196">
        <f>_xll.ohTrigger(Z4:Z39)</f>
        <v>14</v>
      </c>
      <c r="AA2" s="264"/>
      <c r="AB2" s="205"/>
      <c r="AC2" s="205"/>
      <c r="AD2" s="205"/>
    </row>
    <row r="3" spans="1:30" ht="22.5" x14ac:dyDescent="0.2">
      <c r="A3" s="99"/>
      <c r="B3" s="42" t="s">
        <v>103</v>
      </c>
      <c r="C3" s="43" t="s">
        <v>102</v>
      </c>
      <c r="D3" s="43" t="s">
        <v>101</v>
      </c>
      <c r="E3" s="41" t="str">
        <f>Currency&amp;"_010_"&amp;$D$2&amp;$E$2&amp;".xml"</f>
        <v>HKD_010_FUT3M.xml</v>
      </c>
      <c r="F3" s="40" t="e">
        <f ca="1">IF(Serialize,_xll.ohObjectSave(F4:F39,SerializationPath&amp;E3,FileOverwrite,,Serialize),"---")</f>
        <v>#NUM!</v>
      </c>
      <c r="G3" s="55" t="str">
        <f ca="1">_xll.ohRangeRetrieveError(F3)</f>
        <v>ohObjectSave - ObjectHandler error: attempt to retrieve object with unknown ID 'HKDFUT3MX3_Quote'</v>
      </c>
      <c r="H3" s="387" t="s">
        <v>211</v>
      </c>
      <c r="J3" s="200"/>
      <c r="K3" s="272" t="s">
        <v>103</v>
      </c>
      <c r="L3" s="268" t="s">
        <v>102</v>
      </c>
      <c r="M3" s="268" t="s">
        <v>101</v>
      </c>
      <c r="N3" s="268" t="s">
        <v>178</v>
      </c>
      <c r="O3" s="271" t="str">
        <f>_xll.RData(O4:O39,P3:T3,,ReutersRtMode,,P4)</f>
        <v>On Pause</v>
      </c>
      <c r="P3" s="268" t="s">
        <v>177</v>
      </c>
      <c r="Q3" s="268" t="s">
        <v>176</v>
      </c>
      <c r="R3" s="268" t="s">
        <v>161</v>
      </c>
      <c r="S3" s="268" t="s">
        <v>160</v>
      </c>
      <c r="T3" s="268" t="s">
        <v>175</v>
      </c>
      <c r="U3" s="270" t="s">
        <v>174</v>
      </c>
      <c r="V3" s="175"/>
      <c r="W3" s="269" t="s">
        <v>155</v>
      </c>
      <c r="X3" s="175"/>
      <c r="Y3" s="272" t="s">
        <v>153</v>
      </c>
      <c r="Z3" s="267" t="s">
        <v>152</v>
      </c>
      <c r="AA3" s="198"/>
      <c r="AB3" s="205"/>
      <c r="AC3" s="230" t="s">
        <v>173</v>
      </c>
      <c r="AD3" s="205"/>
    </row>
    <row r="4" spans="1:30" x14ac:dyDescent="0.2">
      <c r="A4" s="93"/>
      <c r="B4" s="98">
        <v>1</v>
      </c>
      <c r="C4" s="97" t="b">
        <v>0</v>
      </c>
      <c r="D4" s="96" t="str">
        <f t="array" ref="D4:D39">_xll.qlIMMNextCodes(_xll.qlSettingsEvaluationDate(Trigger)-1,$C4:$C39)</f>
        <v>X3</v>
      </c>
      <c r="E4" s="89" t="str">
        <f t="shared" ref="E4:E35" si="0">Currency&amp;$D$2&amp;$E$2&amp;$D4&amp;QuoteSuffix</f>
        <v>HKDFUT3MX3_Quote</v>
      </c>
      <c r="F4" s="95" t="str">
        <f>_xll.qlSimpleQuote(E4,,PriceTickValue,Permanent,Trigger,ObjectOverwrite)</f>
        <v>HKDFUT3MX3_Quote#0006</v>
      </c>
      <c r="G4" s="94" t="str">
        <f>_xll.ohRangeRetrieveError(F4)</f>
        <v/>
      </c>
      <c r="H4" s="65"/>
      <c r="J4" s="245"/>
      <c r="K4" s="262">
        <v>1</v>
      </c>
      <c r="L4" s="261" t="b">
        <v>0</v>
      </c>
      <c r="M4" s="186" t="str">
        <f t="array" ref="M4:M39">_xll.qlIMMcode(FuturesDates)</f>
        <v>X3</v>
      </c>
      <c r="N4" s="260">
        <f t="array" ref="N4:N39">_xll.qlIMMNextDates(_xll.qlSettingsEvaluationDate(Trigger)-1,$L4:$L39)</f>
        <v>41598</v>
      </c>
      <c r="O4" s="186" t="str">
        <f>"HIR"&amp;M4</f>
        <v>HIRX3</v>
      </c>
      <c r="P4" s="259">
        <v>41596</v>
      </c>
      <c r="Q4" s="186">
        <v>99.53</v>
      </c>
      <c r="R4" s="186">
        <v>99.63</v>
      </c>
      <c r="S4" s="186">
        <v>0</v>
      </c>
      <c r="T4" s="186">
        <v>99.58</v>
      </c>
      <c r="U4" s="189">
        <f>_xll.qlMidSafe($Q4,$R4)</f>
        <v>99.58</v>
      </c>
      <c r="V4" s="175"/>
      <c r="W4" s="258">
        <v>99.59</v>
      </c>
      <c r="X4" s="175"/>
      <c r="Y4" s="257">
        <f t="array" ref="Y4:Y39">QuoteLive</f>
        <v>99.58</v>
      </c>
      <c r="Z4" s="189" t="e">
        <f>_xll.qlSimpleQuoteSetValue(E4,$Y4,ISERROR(F4))</f>
        <v>#N/A</v>
      </c>
      <c r="AA4" s="198"/>
      <c r="AB4" s="205"/>
      <c r="AC4" s="206">
        <f t="shared" ref="AC4:AC39" si="1">(R4-U4)/50</f>
        <v>9.9999999999994321E-4</v>
      </c>
      <c r="AD4" s="205"/>
    </row>
    <row r="5" spans="1:30" x14ac:dyDescent="0.2">
      <c r="A5" s="93"/>
      <c r="B5" s="92">
        <v>2</v>
      </c>
      <c r="C5" s="91" t="b">
        <v>0</v>
      </c>
      <c r="D5" s="90" t="str">
        <v>Z3</v>
      </c>
      <c r="E5" s="89" t="str">
        <f t="shared" si="0"/>
        <v>HKDFUT3MZ3_Quote</v>
      </c>
      <c r="F5" s="95" t="str">
        <f>_xll.qlSimpleQuote(E5,,PriceTickValue,Permanent,Trigger,ObjectOverwrite)</f>
        <v>HKDFUT3MZ3_Quote#0006</v>
      </c>
      <c r="G5" s="52" t="str">
        <f>_xll.ohRangeRetrieveError(F5)</f>
        <v/>
      </c>
      <c r="H5" s="65"/>
      <c r="J5" s="245"/>
      <c r="K5" s="251">
        <v>2</v>
      </c>
      <c r="L5" s="250" t="b">
        <v>0</v>
      </c>
      <c r="M5" s="182" t="str">
        <v>Z3</v>
      </c>
      <c r="N5" s="249">
        <v>41626</v>
      </c>
      <c r="O5" s="182" t="str">
        <f t="shared" ref="O5:O39" si="2">"HIR"&amp;M5</f>
        <v>HIRZ3</v>
      </c>
      <c r="P5" s="248">
        <v>41624</v>
      </c>
      <c r="Q5" s="182">
        <v>99.53</v>
      </c>
      <c r="R5" s="182">
        <v>99.63</v>
      </c>
      <c r="S5" s="182">
        <v>0</v>
      </c>
      <c r="T5" s="182">
        <v>99.58</v>
      </c>
      <c r="U5" s="177">
        <f>_xll.qlMidSafe($Q5,$R5)</f>
        <v>99.58</v>
      </c>
      <c r="V5" s="175"/>
      <c r="W5" s="256">
        <v>99.59</v>
      </c>
      <c r="X5" s="175"/>
      <c r="Y5" s="246">
        <v>99.58</v>
      </c>
      <c r="Z5" s="177" t="e">
        <f>_xll.qlSimpleQuoteSetValue(E5,$Y5,ISERROR(F5))</f>
        <v>#N/A</v>
      </c>
      <c r="AA5" s="198"/>
      <c r="AB5" s="205"/>
      <c r="AC5" s="206">
        <f t="shared" si="1"/>
        <v>9.9999999999994321E-4</v>
      </c>
      <c r="AD5" s="205"/>
    </row>
    <row r="6" spans="1:30" x14ac:dyDescent="0.2">
      <c r="A6" s="93"/>
      <c r="B6" s="92">
        <v>3</v>
      </c>
      <c r="C6" s="91" t="b">
        <v>0</v>
      </c>
      <c r="D6" s="90" t="str">
        <v>F4</v>
      </c>
      <c r="E6" s="89" t="str">
        <f t="shared" si="0"/>
        <v>HKDFUT3MF4_Quote</v>
      </c>
      <c r="F6" s="95" t="str">
        <f>_xll.qlSimpleQuote(E6,,PriceTickValue,Permanent,Trigger,ObjectOverwrite)</f>
        <v>HKDFUT3MF4_Quote#0006</v>
      </c>
      <c r="G6" s="52" t="str">
        <f>_xll.ohRangeRetrieveError(F6)</f>
        <v/>
      </c>
      <c r="H6" s="65"/>
      <c r="J6" s="245"/>
      <c r="K6" s="251">
        <v>3</v>
      </c>
      <c r="L6" s="250" t="b">
        <v>0</v>
      </c>
      <c r="M6" s="182" t="str">
        <v>F4</v>
      </c>
      <c r="N6" s="249">
        <v>41654</v>
      </c>
      <c r="O6" s="182" t="str">
        <f t="shared" si="2"/>
        <v>HIRF4</v>
      </c>
      <c r="P6" s="248">
        <v>41652</v>
      </c>
      <c r="Q6" s="182">
        <v>99.53</v>
      </c>
      <c r="R6" s="182">
        <v>99.63</v>
      </c>
      <c r="S6" s="182">
        <v>0</v>
      </c>
      <c r="T6" s="182">
        <v>99.58</v>
      </c>
      <c r="U6" s="177">
        <f>_xll.qlMidSafe($Q6,$R6)</f>
        <v>99.58</v>
      </c>
      <c r="V6" s="175"/>
      <c r="W6" s="256">
        <v>99.59</v>
      </c>
      <c r="X6" s="175"/>
      <c r="Y6" s="246">
        <v>99.58</v>
      </c>
      <c r="Z6" s="177" t="e">
        <f>_xll.qlSimpleQuoteSetValue(E6,$Y6,ISERROR(F6))</f>
        <v>#N/A</v>
      </c>
      <c r="AA6" s="198"/>
      <c r="AB6" s="205"/>
      <c r="AC6" s="206">
        <f t="shared" si="1"/>
        <v>9.9999999999994321E-4</v>
      </c>
      <c r="AD6" s="205"/>
    </row>
    <row r="7" spans="1:30" x14ac:dyDescent="0.2">
      <c r="A7" s="93"/>
      <c r="B7" s="92">
        <v>4</v>
      </c>
      <c r="C7" s="91" t="b">
        <v>0</v>
      </c>
      <c r="D7" s="90" t="str">
        <v>G4</v>
      </c>
      <c r="E7" s="89" t="str">
        <f t="shared" si="0"/>
        <v>HKDFUT3MG4_Quote</v>
      </c>
      <c r="F7" s="95" t="str">
        <f>_xll.qlSimpleQuote(E7,,PriceTickValue,Permanent,Trigger,ObjectOverwrite)</f>
        <v>HKDFUT3MG4_Quote#0006</v>
      </c>
      <c r="G7" s="52" t="str">
        <f>_xll.ohRangeRetrieveError(F7)</f>
        <v/>
      </c>
      <c r="H7" s="65"/>
      <c r="J7" s="245"/>
      <c r="K7" s="251">
        <v>4</v>
      </c>
      <c r="L7" s="250" t="b">
        <v>0</v>
      </c>
      <c r="M7" s="182" t="str">
        <v>G4</v>
      </c>
      <c r="N7" s="249">
        <v>41689</v>
      </c>
      <c r="O7" s="182" t="str">
        <f t="shared" si="2"/>
        <v>HIRG4</v>
      </c>
      <c r="P7" s="248">
        <v>41687</v>
      </c>
      <c r="Q7" s="182">
        <v>99.53</v>
      </c>
      <c r="R7" s="182">
        <v>99.63</v>
      </c>
      <c r="S7" s="182">
        <v>0</v>
      </c>
      <c r="T7" s="182">
        <v>0</v>
      </c>
      <c r="U7" s="177">
        <f>_xll.qlMidSafe($Q7,$R7)</f>
        <v>99.58</v>
      </c>
      <c r="V7" s="175"/>
      <c r="W7" s="256" t="e">
        <v>#NUM!</v>
      </c>
      <c r="X7" s="175"/>
      <c r="Y7" s="246">
        <v>99.58</v>
      </c>
      <c r="Z7" s="177" t="e">
        <f>_xll.qlSimpleQuoteSetValue(E7,$Y7,ISERROR(F7))</f>
        <v>#N/A</v>
      </c>
      <c r="AA7" s="198"/>
      <c r="AB7" s="205"/>
      <c r="AC7" s="206">
        <f t="shared" si="1"/>
        <v>9.9999999999994321E-4</v>
      </c>
      <c r="AD7" s="205"/>
    </row>
    <row r="8" spans="1:30" x14ac:dyDescent="0.2">
      <c r="A8" s="93"/>
      <c r="B8" s="92">
        <v>5</v>
      </c>
      <c r="C8" s="91" t="b">
        <v>0</v>
      </c>
      <c r="D8" s="90" t="str">
        <v>H4</v>
      </c>
      <c r="E8" s="89" t="str">
        <f t="shared" si="0"/>
        <v>HKDFUT3MH4_Quote</v>
      </c>
      <c r="F8" s="95" t="str">
        <f>_xll.qlSimpleQuote(E8,,PriceTickValue,Permanent,Trigger,ObjectOverwrite)</f>
        <v>HKDFUT3MH4_Quote#0006</v>
      </c>
      <c r="G8" s="52" t="str">
        <f>_xll.ohRangeRetrieveError(F8)</f>
        <v/>
      </c>
      <c r="H8" s="65"/>
      <c r="J8" s="245"/>
      <c r="K8" s="251">
        <v>5</v>
      </c>
      <c r="L8" s="250" t="b">
        <v>0</v>
      </c>
      <c r="M8" s="182" t="str">
        <v>H4</v>
      </c>
      <c r="N8" s="249">
        <v>41717</v>
      </c>
      <c r="O8" s="182" t="str">
        <f t="shared" si="2"/>
        <v>HIRH4</v>
      </c>
      <c r="P8" s="248">
        <v>41715</v>
      </c>
      <c r="Q8" s="182">
        <v>99.52</v>
      </c>
      <c r="R8" s="182">
        <v>99.62</v>
      </c>
      <c r="S8" s="182">
        <v>0</v>
      </c>
      <c r="T8" s="182">
        <v>99.57</v>
      </c>
      <c r="U8" s="177">
        <f>_xll.qlMidSafe($Q8,$R8)</f>
        <v>99.57</v>
      </c>
      <c r="V8" s="175"/>
      <c r="W8" s="247">
        <v>99.56</v>
      </c>
      <c r="X8" s="175"/>
      <c r="Y8" s="246">
        <v>99.57</v>
      </c>
      <c r="Z8" s="177" t="e">
        <f>_xll.qlSimpleQuoteSetValue(E8,$Y8,ISERROR(F8))</f>
        <v>#N/A</v>
      </c>
      <c r="AA8" s="198"/>
      <c r="AB8" s="205"/>
      <c r="AC8" s="206">
        <f t="shared" si="1"/>
        <v>1.0000000000002273E-3</v>
      </c>
      <c r="AD8" s="205"/>
    </row>
    <row r="9" spans="1:30" x14ac:dyDescent="0.2">
      <c r="A9" s="93"/>
      <c r="B9" s="92">
        <v>6</v>
      </c>
      <c r="C9" s="91" t="b">
        <v>0</v>
      </c>
      <c r="D9" s="90" t="str">
        <v>J4</v>
      </c>
      <c r="E9" s="89" t="str">
        <f t="shared" si="0"/>
        <v>HKDFUT3MJ4_Quote</v>
      </c>
      <c r="F9" s="95" t="str">
        <f>_xll.qlSimpleQuote(E9,,PriceTickValue,Permanent,Trigger,ObjectOverwrite)</f>
        <v>HKDFUT3MJ4_Quote#0006</v>
      </c>
      <c r="G9" s="52" t="str">
        <f>_xll.ohRangeRetrieveError(F9)</f>
        <v/>
      </c>
      <c r="H9" s="65"/>
      <c r="J9" s="245"/>
      <c r="K9" s="251">
        <v>6</v>
      </c>
      <c r="L9" s="250" t="b">
        <v>0</v>
      </c>
      <c r="M9" s="182" t="str">
        <v>J4</v>
      </c>
      <c r="N9" s="249">
        <v>41745</v>
      </c>
      <c r="O9" s="182" t="str">
        <f t="shared" si="2"/>
        <v>HIRJ4</v>
      </c>
      <c r="P9" s="248" t="s">
        <v>151</v>
      </c>
      <c r="Q9" s="182" t="s">
        <v>151</v>
      </c>
      <c r="R9" s="182" t="s">
        <v>151</v>
      </c>
      <c r="S9" s="182" t="s">
        <v>151</v>
      </c>
      <c r="T9" s="182" t="s">
        <v>151</v>
      </c>
      <c r="U9" s="177" t="e">
        <f>_xll.qlMidSafe($Q9,$R9)</f>
        <v>#NUM!</v>
      </c>
      <c r="V9" s="175"/>
      <c r="W9" s="247" t="e">
        <v>#NUM!</v>
      </c>
      <c r="X9" s="175"/>
      <c r="Y9" s="246" t="e">
        <v>#NUM!</v>
      </c>
      <c r="Z9" s="177" t="e">
        <f>_xll.qlSimpleQuoteSetValue(E9,$Y9,ISERROR(F9))</f>
        <v>#NUM!</v>
      </c>
      <c r="AA9" s="198"/>
      <c r="AB9" s="205"/>
      <c r="AC9" s="206" t="e">
        <f t="shared" si="1"/>
        <v>#VALUE!</v>
      </c>
      <c r="AD9" s="205"/>
    </row>
    <row r="10" spans="1:30" x14ac:dyDescent="0.2">
      <c r="A10" s="93"/>
      <c r="B10" s="92">
        <v>7</v>
      </c>
      <c r="C10" s="91" t="b">
        <v>0</v>
      </c>
      <c r="D10" s="90" t="str">
        <v>K4</v>
      </c>
      <c r="E10" s="89" t="str">
        <f t="shared" si="0"/>
        <v>HKDFUT3MK4_Quote</v>
      </c>
      <c r="F10" s="95" t="str">
        <f>_xll.qlSimpleQuote(E10,,PriceTickValue,Permanent,Trigger,ObjectOverwrite)</f>
        <v>HKDFUT3MK4_Quote#0006</v>
      </c>
      <c r="G10" s="52" t="str">
        <f>_xll.ohRangeRetrieveError(F10)</f>
        <v/>
      </c>
      <c r="H10" s="65"/>
      <c r="J10" s="245"/>
      <c r="K10" s="251">
        <v>7</v>
      </c>
      <c r="L10" s="250" t="b">
        <v>0</v>
      </c>
      <c r="M10" s="182" t="str">
        <v>K4</v>
      </c>
      <c r="N10" s="249">
        <v>41780</v>
      </c>
      <c r="O10" s="182" t="str">
        <f t="shared" si="2"/>
        <v>HIRK4</v>
      </c>
      <c r="P10" s="248" t="s">
        <v>151</v>
      </c>
      <c r="Q10" s="182" t="s">
        <v>151</v>
      </c>
      <c r="R10" s="182" t="s">
        <v>151</v>
      </c>
      <c r="S10" s="182" t="s">
        <v>151</v>
      </c>
      <c r="T10" s="182" t="s">
        <v>151</v>
      </c>
      <c r="U10" s="177" t="e">
        <f>_xll.qlMidSafe($Q10,$R10)</f>
        <v>#NUM!</v>
      </c>
      <c r="V10" s="175"/>
      <c r="W10" s="247" t="e">
        <v>#NUM!</v>
      </c>
      <c r="X10" s="175"/>
      <c r="Y10" s="246" t="e">
        <v>#NUM!</v>
      </c>
      <c r="Z10" s="177" t="e">
        <f>_xll.qlSimpleQuoteSetValue(E10,$Y10,ISERROR(F10))</f>
        <v>#NUM!</v>
      </c>
      <c r="AA10" s="198"/>
      <c r="AB10" s="205"/>
      <c r="AC10" s="206" t="e">
        <f t="shared" si="1"/>
        <v>#VALUE!</v>
      </c>
      <c r="AD10" s="205"/>
    </row>
    <row r="11" spans="1:30" x14ac:dyDescent="0.2">
      <c r="A11" s="93"/>
      <c r="B11" s="92">
        <v>8</v>
      </c>
      <c r="C11" s="91" t="b">
        <v>0</v>
      </c>
      <c r="D11" s="90" t="str">
        <v>M4</v>
      </c>
      <c r="E11" s="89" t="str">
        <f t="shared" si="0"/>
        <v>HKDFUT3MM4_Quote</v>
      </c>
      <c r="F11" s="95" t="str">
        <f>_xll.qlSimpleQuote(E11,,PriceTickValue,Permanent,Trigger,ObjectOverwrite)</f>
        <v>HKDFUT3MM4_Quote#0006</v>
      </c>
      <c r="G11" s="52" t="str">
        <f>_xll.ohRangeRetrieveError(F11)</f>
        <v/>
      </c>
      <c r="H11" s="65"/>
      <c r="J11" s="245"/>
      <c r="K11" s="251">
        <v>8</v>
      </c>
      <c r="L11" s="250" t="b">
        <v>0</v>
      </c>
      <c r="M11" s="182" t="str">
        <v>M4</v>
      </c>
      <c r="N11" s="249">
        <v>41808</v>
      </c>
      <c r="O11" s="182" t="str">
        <f t="shared" si="2"/>
        <v>HIRM4</v>
      </c>
      <c r="P11" s="248">
        <v>41806</v>
      </c>
      <c r="Q11" s="182">
        <v>99.51</v>
      </c>
      <c r="R11" s="182">
        <v>99.57</v>
      </c>
      <c r="S11" s="182">
        <v>0</v>
      </c>
      <c r="T11" s="182">
        <v>99.54</v>
      </c>
      <c r="U11" s="177">
        <f>_xll.qlMidSafe($Q11,$R11)</f>
        <v>99.539999999999992</v>
      </c>
      <c r="V11" s="175"/>
      <c r="W11" s="247">
        <v>99.52</v>
      </c>
      <c r="X11" s="175"/>
      <c r="Y11" s="246">
        <v>99.539999999999992</v>
      </c>
      <c r="Z11" s="177" t="e">
        <f>_xll.qlSimpleQuoteSetValue(E11,$Y11,ISERROR(F11))</f>
        <v>#N/A</v>
      </c>
      <c r="AA11" s="198"/>
      <c r="AB11" s="205"/>
      <c r="AC11" s="206">
        <f t="shared" si="1"/>
        <v>6.0000000000002272E-4</v>
      </c>
      <c r="AD11" s="205"/>
    </row>
    <row r="12" spans="1:30" x14ac:dyDescent="0.2">
      <c r="A12" s="93"/>
      <c r="B12" s="92">
        <v>9</v>
      </c>
      <c r="C12" s="91" t="b">
        <v>0</v>
      </c>
      <c r="D12" s="90" t="str">
        <v>N4</v>
      </c>
      <c r="E12" s="89" t="str">
        <f t="shared" si="0"/>
        <v>HKDFUT3MN4_Quote</v>
      </c>
      <c r="F12" s="95" t="str">
        <f>_xll.qlSimpleQuote(E12,,PriceTickValue,Permanent,Trigger,ObjectOverwrite)</f>
        <v>HKDFUT3MN4_Quote#0006</v>
      </c>
      <c r="G12" s="52" t="str">
        <f>_xll.ohRangeRetrieveError(F12)</f>
        <v/>
      </c>
      <c r="H12" s="65"/>
      <c r="J12" s="245"/>
      <c r="K12" s="251">
        <v>9</v>
      </c>
      <c r="L12" s="250" t="b">
        <v>0</v>
      </c>
      <c r="M12" s="182" t="str">
        <v>N4</v>
      </c>
      <c r="N12" s="249">
        <v>41836</v>
      </c>
      <c r="O12" s="182" t="str">
        <f t="shared" si="2"/>
        <v>HIRN4</v>
      </c>
      <c r="P12" s="248" t="s">
        <v>151</v>
      </c>
      <c r="Q12" s="182" t="s">
        <v>151</v>
      </c>
      <c r="R12" s="182" t="s">
        <v>151</v>
      </c>
      <c r="S12" s="182" t="s">
        <v>151</v>
      </c>
      <c r="T12" s="182" t="s">
        <v>151</v>
      </c>
      <c r="U12" s="177" t="e">
        <f>_xll.qlMidSafe($Q12,$R12)</f>
        <v>#NUM!</v>
      </c>
      <c r="V12" s="175"/>
      <c r="W12" s="247" t="e">
        <v>#NUM!</v>
      </c>
      <c r="X12" s="175"/>
      <c r="Y12" s="246" t="e">
        <v>#NUM!</v>
      </c>
      <c r="Z12" s="177" t="e">
        <f>_xll.qlSimpleQuoteSetValue(E12,$Y12,ISERROR(F12))</f>
        <v>#NUM!</v>
      </c>
      <c r="AA12" s="198"/>
      <c r="AB12" s="205"/>
      <c r="AC12" s="206" t="e">
        <f t="shared" si="1"/>
        <v>#VALUE!</v>
      </c>
      <c r="AD12" s="205"/>
    </row>
    <row r="13" spans="1:30" x14ac:dyDescent="0.2">
      <c r="A13" s="93"/>
      <c r="B13" s="92">
        <v>10</v>
      </c>
      <c r="C13" s="91" t="b">
        <v>0</v>
      </c>
      <c r="D13" s="90" t="str">
        <v>Q4</v>
      </c>
      <c r="E13" s="89" t="str">
        <f t="shared" si="0"/>
        <v>HKDFUT3MQ4_Quote</v>
      </c>
      <c r="F13" s="95" t="str">
        <f>_xll.qlSimpleQuote(E13,,PriceTickValue,Permanent,Trigger,ObjectOverwrite)</f>
        <v>HKDFUT3MQ4_Quote#0006</v>
      </c>
      <c r="G13" s="52" t="str">
        <f>_xll.ohRangeRetrieveError(F13)</f>
        <v/>
      </c>
      <c r="H13" s="65"/>
      <c r="J13" s="245"/>
      <c r="K13" s="251">
        <v>10</v>
      </c>
      <c r="L13" s="250" t="b">
        <v>0</v>
      </c>
      <c r="M13" s="182" t="str">
        <v>Q4</v>
      </c>
      <c r="N13" s="249">
        <v>41871</v>
      </c>
      <c r="O13" s="182" t="str">
        <f t="shared" si="2"/>
        <v>HIRQ4</v>
      </c>
      <c r="P13" s="248" t="s">
        <v>151</v>
      </c>
      <c r="Q13" s="182" t="s">
        <v>151</v>
      </c>
      <c r="R13" s="182" t="s">
        <v>151</v>
      </c>
      <c r="S13" s="182" t="s">
        <v>151</v>
      </c>
      <c r="T13" s="182" t="s">
        <v>151</v>
      </c>
      <c r="U13" s="177" t="e">
        <f>_xll.qlMidSafe($Q13,$R13)</f>
        <v>#NUM!</v>
      </c>
      <c r="V13" s="175"/>
      <c r="W13" s="247" t="e">
        <v>#NUM!</v>
      </c>
      <c r="X13" s="175"/>
      <c r="Y13" s="246" t="e">
        <v>#NUM!</v>
      </c>
      <c r="Z13" s="177" t="e">
        <f>_xll.qlSimpleQuoteSetValue(E13,$Y13,ISERROR(F13))</f>
        <v>#NUM!</v>
      </c>
      <c r="AA13" s="198"/>
      <c r="AB13" s="205"/>
      <c r="AC13" s="206" t="e">
        <f t="shared" si="1"/>
        <v>#VALUE!</v>
      </c>
      <c r="AD13" s="205"/>
    </row>
    <row r="14" spans="1:30" x14ac:dyDescent="0.2">
      <c r="A14" s="93"/>
      <c r="B14" s="92">
        <v>11</v>
      </c>
      <c r="C14" s="91" t="b">
        <v>0</v>
      </c>
      <c r="D14" s="90" t="str">
        <v>U4</v>
      </c>
      <c r="E14" s="89" t="str">
        <f t="shared" si="0"/>
        <v>HKDFUT3MU4_Quote</v>
      </c>
      <c r="F14" s="95" t="str">
        <f>_xll.qlSimpleQuote(E14,,PriceTickValue,Permanent,Trigger,ObjectOverwrite)</f>
        <v>HKDFUT3MU4_Quote#0006</v>
      </c>
      <c r="G14" s="52" t="str">
        <f>_xll.ohRangeRetrieveError(F14)</f>
        <v/>
      </c>
      <c r="H14" s="65"/>
      <c r="J14" s="245"/>
      <c r="K14" s="251">
        <v>11</v>
      </c>
      <c r="L14" s="250" t="b">
        <v>0</v>
      </c>
      <c r="M14" s="182" t="str">
        <v>U4</v>
      </c>
      <c r="N14" s="249">
        <v>41899</v>
      </c>
      <c r="O14" s="182" t="str">
        <f t="shared" si="2"/>
        <v>HIRU4</v>
      </c>
      <c r="P14" s="248">
        <v>41897</v>
      </c>
      <c r="Q14" s="182">
        <v>99.48</v>
      </c>
      <c r="R14" s="182">
        <v>99.52</v>
      </c>
      <c r="S14" s="182">
        <v>0</v>
      </c>
      <c r="T14" s="182">
        <v>99.5</v>
      </c>
      <c r="U14" s="177">
        <f>_xll.qlMidSafe($Q14,$R14)</f>
        <v>99.5</v>
      </c>
      <c r="V14" s="175"/>
      <c r="W14" s="247">
        <v>99.48</v>
      </c>
      <c r="X14" s="175"/>
      <c r="Y14" s="246">
        <v>99.5</v>
      </c>
      <c r="Z14" s="177" t="e">
        <f>_xll.qlSimpleQuoteSetValue(E14,$Y14,ISERROR(F14))</f>
        <v>#N/A</v>
      </c>
      <c r="AA14" s="198"/>
      <c r="AB14" s="205"/>
      <c r="AC14" s="206">
        <f t="shared" si="1"/>
        <v>3.9999999999992044E-4</v>
      </c>
      <c r="AD14" s="205"/>
    </row>
    <row r="15" spans="1:30" x14ac:dyDescent="0.2">
      <c r="A15" s="93"/>
      <c r="B15" s="92">
        <v>12</v>
      </c>
      <c r="C15" s="91" t="b">
        <v>0</v>
      </c>
      <c r="D15" s="90" t="str">
        <v>V4</v>
      </c>
      <c r="E15" s="89" t="str">
        <f t="shared" si="0"/>
        <v>HKDFUT3MV4_Quote</v>
      </c>
      <c r="F15" s="88" t="str">
        <f>_xll.qlSimpleQuote(E15,,PriceTickValue,Permanent,Trigger,ObjectOverwrite)</f>
        <v>HKDFUT3MV4_Quote#0006</v>
      </c>
      <c r="G15" s="52" t="str">
        <f>_xll.ohRangeRetrieveError(F15)</f>
        <v/>
      </c>
      <c r="H15" s="65"/>
      <c r="J15" s="245"/>
      <c r="K15" s="251">
        <v>12</v>
      </c>
      <c r="L15" s="250" t="b">
        <v>0</v>
      </c>
      <c r="M15" s="182" t="str">
        <v>V4</v>
      </c>
      <c r="N15" s="249">
        <v>41927</v>
      </c>
      <c r="O15" s="182" t="str">
        <f t="shared" si="2"/>
        <v>HIRV4</v>
      </c>
      <c r="P15" s="248" t="s">
        <v>151</v>
      </c>
      <c r="Q15" s="182" t="s">
        <v>151</v>
      </c>
      <c r="R15" s="182" t="s">
        <v>151</v>
      </c>
      <c r="S15" s="182" t="s">
        <v>151</v>
      </c>
      <c r="T15" s="182" t="s">
        <v>151</v>
      </c>
      <c r="U15" s="177" t="e">
        <f>_xll.qlMidSafe($Q15,$R15)</f>
        <v>#NUM!</v>
      </c>
      <c r="V15" s="175"/>
      <c r="W15" s="247" t="e">
        <v>#NUM!</v>
      </c>
      <c r="X15" s="175"/>
      <c r="Y15" s="246" t="e">
        <v>#NUM!</v>
      </c>
      <c r="Z15" s="177" t="e">
        <f>_xll.qlSimpleQuoteSetValue(E15,$Y15,ISERROR(F15))</f>
        <v>#NUM!</v>
      </c>
      <c r="AA15" s="198"/>
      <c r="AB15" s="205"/>
      <c r="AC15" s="206" t="e">
        <f t="shared" si="1"/>
        <v>#VALUE!</v>
      </c>
      <c r="AD15" s="205"/>
    </row>
    <row r="16" spans="1:30" x14ac:dyDescent="0.2">
      <c r="A16" s="93"/>
      <c r="B16" s="92">
        <v>13</v>
      </c>
      <c r="C16" s="91" t="b">
        <v>0</v>
      </c>
      <c r="D16" s="90" t="str">
        <v>X4</v>
      </c>
      <c r="E16" s="89" t="str">
        <f t="shared" si="0"/>
        <v>HKDFUT3MX4_Quote</v>
      </c>
      <c r="F16" s="88" t="str">
        <f>_xll.qlSimpleQuote(E16,,PriceTickValue,Permanent,Trigger,ObjectOverwrite)</f>
        <v>HKDFUT3MX4_Quote#0006</v>
      </c>
      <c r="G16" s="52" t="str">
        <f>_xll.ohRangeRetrieveError(F16)</f>
        <v/>
      </c>
      <c r="H16" s="65"/>
      <c r="J16" s="245"/>
      <c r="K16" s="251">
        <v>13</v>
      </c>
      <c r="L16" s="250" t="b">
        <v>0</v>
      </c>
      <c r="M16" s="182" t="str">
        <v>X4</v>
      </c>
      <c r="N16" s="249">
        <v>41962</v>
      </c>
      <c r="O16" s="182" t="str">
        <f t="shared" si="2"/>
        <v>HIRX4</v>
      </c>
      <c r="P16" s="248" t="s">
        <v>151</v>
      </c>
      <c r="Q16" s="182" t="s">
        <v>151</v>
      </c>
      <c r="R16" s="182" t="s">
        <v>151</v>
      </c>
      <c r="S16" s="182" t="s">
        <v>151</v>
      </c>
      <c r="T16" s="182" t="s">
        <v>151</v>
      </c>
      <c r="U16" s="177" t="e">
        <f>_xll.qlMidSafe($Q16,$R16)</f>
        <v>#NUM!</v>
      </c>
      <c r="V16" s="175"/>
      <c r="W16" s="247" t="e">
        <v>#NUM!</v>
      </c>
      <c r="X16" s="175"/>
      <c r="Y16" s="246" t="e">
        <v>#NUM!</v>
      </c>
      <c r="Z16" s="177" t="e">
        <f>_xll.qlSimpleQuoteSetValue(E16,$Y16,ISERROR(F16))</f>
        <v>#NUM!</v>
      </c>
      <c r="AA16" s="198"/>
      <c r="AB16" s="205"/>
      <c r="AC16" s="206" t="e">
        <f t="shared" si="1"/>
        <v>#VALUE!</v>
      </c>
      <c r="AD16" s="205"/>
    </row>
    <row r="17" spans="1:30" x14ac:dyDescent="0.2">
      <c r="A17" s="93"/>
      <c r="B17" s="92">
        <v>14</v>
      </c>
      <c r="C17" s="91" t="b">
        <v>0</v>
      </c>
      <c r="D17" s="90" t="str">
        <v>Z4</v>
      </c>
      <c r="E17" s="89" t="str">
        <f t="shared" si="0"/>
        <v>HKDFUT3MZ4_Quote</v>
      </c>
      <c r="F17" s="88" t="str">
        <f>_xll.qlSimpleQuote(E17,,PriceTickValue,Permanent,Trigger,ObjectOverwrite)</f>
        <v>HKDFUT3MZ4_Quote#0006</v>
      </c>
      <c r="G17" s="52" t="str">
        <f>_xll.ohRangeRetrieveError(F17)</f>
        <v/>
      </c>
      <c r="H17" s="65"/>
      <c r="J17" s="245"/>
      <c r="K17" s="251">
        <v>14</v>
      </c>
      <c r="L17" s="250" t="b">
        <v>0</v>
      </c>
      <c r="M17" s="182" t="str">
        <v>Z4</v>
      </c>
      <c r="N17" s="249">
        <v>41990</v>
      </c>
      <c r="O17" s="182" t="str">
        <f t="shared" si="2"/>
        <v>HIRZ4</v>
      </c>
      <c r="P17" s="248">
        <v>41988</v>
      </c>
      <c r="Q17" s="182">
        <v>0</v>
      </c>
      <c r="R17" s="182">
        <v>0</v>
      </c>
      <c r="S17" s="182">
        <v>0</v>
      </c>
      <c r="T17" s="182">
        <v>99.5</v>
      </c>
      <c r="U17" s="177" t="e">
        <f>_xll.qlMidSafe($Q17,$R17)</f>
        <v>#NUM!</v>
      </c>
      <c r="V17" s="175"/>
      <c r="W17" s="247" t="e">
        <v>#NUM!</v>
      </c>
      <c r="X17" s="175"/>
      <c r="Y17" s="246" t="e">
        <v>#NUM!</v>
      </c>
      <c r="Z17" s="177" t="e">
        <f>_xll.qlSimpleQuoteSetValue(E17,$Y17,ISERROR(F17))</f>
        <v>#NUM!</v>
      </c>
      <c r="AA17" s="198"/>
      <c r="AB17" s="205"/>
      <c r="AC17" s="206" t="e">
        <f t="shared" si="1"/>
        <v>#NUM!</v>
      </c>
      <c r="AD17" s="205"/>
    </row>
    <row r="18" spans="1:30" x14ac:dyDescent="0.2">
      <c r="A18" s="93"/>
      <c r="B18" s="92">
        <v>15</v>
      </c>
      <c r="C18" s="91" t="b">
        <v>0</v>
      </c>
      <c r="D18" s="90" t="str">
        <v>F5</v>
      </c>
      <c r="E18" s="89" t="str">
        <f t="shared" si="0"/>
        <v>HKDFUT3MF5_Quote</v>
      </c>
      <c r="F18" s="88" t="str">
        <f>_xll.qlSimpleQuote(E18,,PriceTickValue,Permanent,Trigger,ObjectOverwrite)</f>
        <v>HKDFUT3MF5_Quote#0006</v>
      </c>
      <c r="G18" s="52" t="str">
        <f>_xll.ohRangeRetrieveError(F18)</f>
        <v/>
      </c>
      <c r="H18" s="65"/>
      <c r="J18" s="245"/>
      <c r="K18" s="251">
        <v>15</v>
      </c>
      <c r="L18" s="250" t="b">
        <v>0</v>
      </c>
      <c r="M18" s="182" t="str">
        <v>F5</v>
      </c>
      <c r="N18" s="249">
        <v>42025</v>
      </c>
      <c r="O18" s="182" t="str">
        <f t="shared" si="2"/>
        <v>HIRF5</v>
      </c>
      <c r="P18" s="248" t="s">
        <v>151</v>
      </c>
      <c r="Q18" s="182" t="s">
        <v>151</v>
      </c>
      <c r="R18" s="182" t="s">
        <v>151</v>
      </c>
      <c r="S18" s="182" t="s">
        <v>151</v>
      </c>
      <c r="T18" s="182" t="s">
        <v>151</v>
      </c>
      <c r="U18" s="177" t="e">
        <f>_xll.qlMidSafe($Q18,$R18)</f>
        <v>#NUM!</v>
      </c>
      <c r="V18" s="175"/>
      <c r="W18" s="247" t="e">
        <v>#NUM!</v>
      </c>
      <c r="X18" s="175"/>
      <c r="Y18" s="246" t="e">
        <v>#NUM!</v>
      </c>
      <c r="Z18" s="177" t="e">
        <f>_xll.qlSimpleQuoteSetValue(E18,$Y18,ISERROR(F18))</f>
        <v>#NUM!</v>
      </c>
      <c r="AA18" s="198"/>
      <c r="AB18" s="205"/>
      <c r="AC18" s="206" t="e">
        <f t="shared" si="1"/>
        <v>#VALUE!</v>
      </c>
      <c r="AD18" s="205"/>
    </row>
    <row r="19" spans="1:30" x14ac:dyDescent="0.2">
      <c r="A19" s="93"/>
      <c r="B19" s="92">
        <v>16</v>
      </c>
      <c r="C19" s="91" t="b">
        <v>0</v>
      </c>
      <c r="D19" s="90" t="str">
        <v>G5</v>
      </c>
      <c r="E19" s="89" t="str">
        <f t="shared" si="0"/>
        <v>HKDFUT3MG5_Quote</v>
      </c>
      <c r="F19" s="88" t="str">
        <f>_xll.qlSimpleQuote(E19,,PriceTickValue,Permanent,Trigger,ObjectOverwrite)</f>
        <v>HKDFUT3MG5_Quote#0006</v>
      </c>
      <c r="G19" s="52" t="str">
        <f>_xll.ohRangeRetrieveError(F19)</f>
        <v/>
      </c>
      <c r="H19" s="65"/>
      <c r="J19" s="245"/>
      <c r="K19" s="251">
        <v>16</v>
      </c>
      <c r="L19" s="250" t="b">
        <v>0</v>
      </c>
      <c r="M19" s="182" t="str">
        <v>G5</v>
      </c>
      <c r="N19" s="249">
        <v>42053</v>
      </c>
      <c r="O19" s="182" t="str">
        <f t="shared" si="2"/>
        <v>HIRG5</v>
      </c>
      <c r="P19" s="248" t="s">
        <v>151</v>
      </c>
      <c r="Q19" s="182" t="s">
        <v>151</v>
      </c>
      <c r="R19" s="182" t="s">
        <v>151</v>
      </c>
      <c r="S19" s="182" t="s">
        <v>151</v>
      </c>
      <c r="T19" s="182" t="s">
        <v>151</v>
      </c>
      <c r="U19" s="177" t="e">
        <f>_xll.qlMidSafe($Q19,$R19)</f>
        <v>#NUM!</v>
      </c>
      <c r="V19" s="175"/>
      <c r="W19" s="247" t="e">
        <v>#NUM!</v>
      </c>
      <c r="X19" s="175"/>
      <c r="Y19" s="246" t="e">
        <v>#NUM!</v>
      </c>
      <c r="Z19" s="177" t="e">
        <f>_xll.qlSimpleQuoteSetValue(E19,$Y19,ISERROR(F19))</f>
        <v>#NUM!</v>
      </c>
      <c r="AA19" s="198"/>
      <c r="AB19" s="205"/>
      <c r="AC19" s="206" t="e">
        <f t="shared" si="1"/>
        <v>#VALUE!</v>
      </c>
      <c r="AD19" s="205"/>
    </row>
    <row r="20" spans="1:30" x14ac:dyDescent="0.2">
      <c r="A20" s="93"/>
      <c r="B20" s="92">
        <v>17</v>
      </c>
      <c r="C20" s="91" t="b">
        <v>0</v>
      </c>
      <c r="D20" s="90" t="str">
        <v>H5</v>
      </c>
      <c r="E20" s="89" t="str">
        <f t="shared" si="0"/>
        <v>HKDFUT3MH5_Quote</v>
      </c>
      <c r="F20" s="88" t="str">
        <f>_xll.qlSimpleQuote(E20,,PriceTickValue,Permanent,Trigger,ObjectOverwrite)</f>
        <v>HKDFUT3MH5_Quote#0006</v>
      </c>
      <c r="G20" s="52" t="str">
        <f>_xll.ohRangeRetrieveError(F20)</f>
        <v/>
      </c>
      <c r="H20" s="65"/>
      <c r="J20" s="245"/>
      <c r="K20" s="251">
        <v>17</v>
      </c>
      <c r="L20" s="250" t="b">
        <v>0</v>
      </c>
      <c r="M20" s="182" t="str">
        <v>H5</v>
      </c>
      <c r="N20" s="249">
        <v>42081</v>
      </c>
      <c r="O20" s="182" t="str">
        <f t="shared" si="2"/>
        <v>HIRH5</v>
      </c>
      <c r="P20" s="248">
        <v>42079</v>
      </c>
      <c r="Q20" s="182">
        <v>0</v>
      </c>
      <c r="R20" s="182">
        <v>0</v>
      </c>
      <c r="S20" s="182">
        <v>0</v>
      </c>
      <c r="T20" s="182">
        <v>99.5</v>
      </c>
      <c r="U20" s="177" t="e">
        <f>_xll.qlMidSafe($Q20,$R20)</f>
        <v>#NUM!</v>
      </c>
      <c r="V20" s="175"/>
      <c r="W20" s="247" t="e">
        <v>#NUM!</v>
      </c>
      <c r="X20" s="175"/>
      <c r="Y20" s="246" t="e">
        <v>#NUM!</v>
      </c>
      <c r="Z20" s="177" t="e">
        <f>_xll.qlSimpleQuoteSetValue(E20,$Y20,ISERROR(F20))</f>
        <v>#NUM!</v>
      </c>
      <c r="AA20" s="198"/>
      <c r="AB20" s="205"/>
      <c r="AC20" s="206" t="e">
        <f t="shared" si="1"/>
        <v>#NUM!</v>
      </c>
      <c r="AD20" s="205"/>
    </row>
    <row r="21" spans="1:30" x14ac:dyDescent="0.2">
      <c r="A21" s="93"/>
      <c r="B21" s="92">
        <v>18</v>
      </c>
      <c r="C21" s="91" t="b">
        <v>0</v>
      </c>
      <c r="D21" s="90" t="str">
        <v>J5</v>
      </c>
      <c r="E21" s="89" t="str">
        <f t="shared" si="0"/>
        <v>HKDFUT3MJ5_Quote</v>
      </c>
      <c r="F21" s="88" t="str">
        <f>_xll.qlSimpleQuote(E21,,PriceTickValue,Permanent,Trigger,ObjectOverwrite)</f>
        <v>HKDFUT3MJ5_Quote#0006</v>
      </c>
      <c r="G21" s="52" t="str">
        <f>_xll.ohRangeRetrieveError(F21)</f>
        <v/>
      </c>
      <c r="H21" s="65"/>
      <c r="J21" s="245"/>
      <c r="K21" s="251">
        <v>18</v>
      </c>
      <c r="L21" s="250" t="b">
        <v>0</v>
      </c>
      <c r="M21" s="182" t="str">
        <v>J5</v>
      </c>
      <c r="N21" s="249">
        <v>42109</v>
      </c>
      <c r="O21" s="182" t="str">
        <f t="shared" si="2"/>
        <v>HIRJ5</v>
      </c>
      <c r="P21" s="248" t="s">
        <v>151</v>
      </c>
      <c r="Q21" s="182" t="s">
        <v>151</v>
      </c>
      <c r="R21" s="182" t="s">
        <v>151</v>
      </c>
      <c r="S21" s="182" t="s">
        <v>151</v>
      </c>
      <c r="T21" s="182" t="s">
        <v>151</v>
      </c>
      <c r="U21" s="177" t="e">
        <f>_xll.qlMidSafe($Q21,$R21)</f>
        <v>#NUM!</v>
      </c>
      <c r="V21" s="175"/>
      <c r="W21" s="247" t="e">
        <v>#NUM!</v>
      </c>
      <c r="X21" s="175"/>
      <c r="Y21" s="246" t="e">
        <v>#NUM!</v>
      </c>
      <c r="Z21" s="177" t="e">
        <f>_xll.qlSimpleQuoteSetValue(E21,$Y21,ISERROR(F21))</f>
        <v>#NUM!</v>
      </c>
      <c r="AA21" s="198"/>
      <c r="AB21" s="205"/>
      <c r="AC21" s="206" t="e">
        <f t="shared" si="1"/>
        <v>#VALUE!</v>
      </c>
      <c r="AD21" s="205"/>
    </row>
    <row r="22" spans="1:30" x14ac:dyDescent="0.2">
      <c r="A22" s="93"/>
      <c r="B22" s="92">
        <v>19</v>
      </c>
      <c r="C22" s="91" t="b">
        <v>0</v>
      </c>
      <c r="D22" s="90" t="str">
        <v>K5</v>
      </c>
      <c r="E22" s="89" t="str">
        <f t="shared" si="0"/>
        <v>HKDFUT3MK5_Quote</v>
      </c>
      <c r="F22" s="88" t="str">
        <f>_xll.qlSimpleQuote(E22,,PriceTickValue,Permanent,Trigger,ObjectOverwrite)</f>
        <v>HKDFUT3MK5_Quote#0006</v>
      </c>
      <c r="G22" s="52" t="str">
        <f>_xll.ohRangeRetrieveError(F22)</f>
        <v/>
      </c>
      <c r="H22" s="65"/>
      <c r="J22" s="245"/>
      <c r="K22" s="251">
        <v>19</v>
      </c>
      <c r="L22" s="250" t="b">
        <v>0</v>
      </c>
      <c r="M22" s="182" t="str">
        <v>K5</v>
      </c>
      <c r="N22" s="249">
        <v>42144</v>
      </c>
      <c r="O22" s="182" t="str">
        <f t="shared" si="2"/>
        <v>HIRK5</v>
      </c>
      <c r="P22" s="248" t="s">
        <v>151</v>
      </c>
      <c r="Q22" s="182" t="s">
        <v>151</v>
      </c>
      <c r="R22" s="182" t="s">
        <v>151</v>
      </c>
      <c r="S22" s="182" t="s">
        <v>151</v>
      </c>
      <c r="T22" s="182" t="s">
        <v>151</v>
      </c>
      <c r="U22" s="177" t="e">
        <f>_xll.qlMidSafe($Q22,$R22)</f>
        <v>#NUM!</v>
      </c>
      <c r="V22" s="175"/>
      <c r="W22" s="247" t="e">
        <v>#NUM!</v>
      </c>
      <c r="X22" s="175"/>
      <c r="Y22" s="246" t="e">
        <v>#NUM!</v>
      </c>
      <c r="Z22" s="177" t="e">
        <f>_xll.qlSimpleQuoteSetValue(E22,$Y22,ISERROR(F22))</f>
        <v>#NUM!</v>
      </c>
      <c r="AA22" s="198"/>
      <c r="AB22" s="205"/>
      <c r="AC22" s="206" t="e">
        <f t="shared" si="1"/>
        <v>#VALUE!</v>
      </c>
      <c r="AD22" s="205"/>
    </row>
    <row r="23" spans="1:30" x14ac:dyDescent="0.2">
      <c r="A23" s="93"/>
      <c r="B23" s="92">
        <v>20</v>
      </c>
      <c r="C23" s="91" t="b">
        <v>0</v>
      </c>
      <c r="D23" s="90" t="str">
        <v>M5</v>
      </c>
      <c r="E23" s="89" t="str">
        <f t="shared" si="0"/>
        <v>HKDFUT3MM5_Quote</v>
      </c>
      <c r="F23" s="88" t="str">
        <f>_xll.qlSimpleQuote(E23,,PriceTickValue,Permanent,Trigger,ObjectOverwrite)</f>
        <v>HKDFUT3MM5_Quote#0006</v>
      </c>
      <c r="G23" s="52" t="str">
        <f>_xll.ohRangeRetrieveError(F23)</f>
        <v/>
      </c>
      <c r="H23" s="65"/>
      <c r="J23" s="245"/>
      <c r="K23" s="251">
        <v>20</v>
      </c>
      <c r="L23" s="250" t="b">
        <v>0</v>
      </c>
      <c r="M23" s="182" t="str">
        <v>M5</v>
      </c>
      <c r="N23" s="249">
        <v>42172</v>
      </c>
      <c r="O23" s="182" t="str">
        <f t="shared" si="2"/>
        <v>HIRM5</v>
      </c>
      <c r="P23" s="248">
        <v>42170</v>
      </c>
      <c r="Q23" s="182">
        <v>0</v>
      </c>
      <c r="R23" s="182">
        <v>0</v>
      </c>
      <c r="S23" s="182">
        <v>0</v>
      </c>
      <c r="T23" s="182">
        <v>99.5</v>
      </c>
      <c r="U23" s="177" t="e">
        <f>_xll.qlMidSafe($Q23,$R23)</f>
        <v>#NUM!</v>
      </c>
      <c r="V23" s="175"/>
      <c r="W23" s="247" t="e">
        <v>#NUM!</v>
      </c>
      <c r="X23" s="175"/>
      <c r="Y23" s="246" t="e">
        <v>#NUM!</v>
      </c>
      <c r="Z23" s="177" t="e">
        <f>_xll.qlSimpleQuoteSetValue(E23,$Y23,ISERROR(F23))</f>
        <v>#NUM!</v>
      </c>
      <c r="AA23" s="198"/>
      <c r="AB23" s="205"/>
      <c r="AC23" s="206" t="e">
        <f t="shared" si="1"/>
        <v>#NUM!</v>
      </c>
      <c r="AD23" s="205"/>
    </row>
    <row r="24" spans="1:30" x14ac:dyDescent="0.2">
      <c r="A24" s="93"/>
      <c r="B24" s="92">
        <v>21</v>
      </c>
      <c r="C24" s="91" t="b">
        <v>0</v>
      </c>
      <c r="D24" s="90" t="str">
        <v>N5</v>
      </c>
      <c r="E24" s="89" t="str">
        <f t="shared" si="0"/>
        <v>HKDFUT3MN5_Quote</v>
      </c>
      <c r="F24" s="88" t="str">
        <f>_xll.qlSimpleQuote(E24,,PriceTickValue,Permanent,Trigger,ObjectOverwrite)</f>
        <v>HKDFUT3MN5_Quote#0006</v>
      </c>
      <c r="G24" s="52" t="str">
        <f>_xll.ohRangeRetrieveError(F24)</f>
        <v/>
      </c>
      <c r="H24" s="65"/>
      <c r="J24" s="245"/>
      <c r="K24" s="251">
        <v>21</v>
      </c>
      <c r="L24" s="250" t="b">
        <v>0</v>
      </c>
      <c r="M24" s="182" t="str">
        <v>N5</v>
      </c>
      <c r="N24" s="249">
        <v>42200</v>
      </c>
      <c r="O24" s="182" t="str">
        <f t="shared" si="2"/>
        <v>HIRN5</v>
      </c>
      <c r="P24" s="248" t="s">
        <v>151</v>
      </c>
      <c r="Q24" s="182" t="s">
        <v>151</v>
      </c>
      <c r="R24" s="182" t="s">
        <v>151</v>
      </c>
      <c r="S24" s="182" t="s">
        <v>151</v>
      </c>
      <c r="T24" s="182" t="s">
        <v>151</v>
      </c>
      <c r="U24" s="177" t="e">
        <f>_xll.qlMidSafe($Q24,$R24)</f>
        <v>#NUM!</v>
      </c>
      <c r="V24" s="175"/>
      <c r="W24" s="247" t="e">
        <v>#NUM!</v>
      </c>
      <c r="X24" s="175"/>
      <c r="Y24" s="246" t="e">
        <v>#NUM!</v>
      </c>
      <c r="Z24" s="177" t="e">
        <f>_xll.qlSimpleQuoteSetValue(E24,$Y24,ISERROR(F24))</f>
        <v>#NUM!</v>
      </c>
      <c r="AA24" s="198"/>
      <c r="AB24" s="205"/>
      <c r="AC24" s="206" t="e">
        <f t="shared" si="1"/>
        <v>#VALUE!</v>
      </c>
      <c r="AD24" s="205"/>
    </row>
    <row r="25" spans="1:30" x14ac:dyDescent="0.2">
      <c r="A25" s="93"/>
      <c r="B25" s="92">
        <v>22</v>
      </c>
      <c r="C25" s="91" t="b">
        <v>0</v>
      </c>
      <c r="D25" s="90" t="str">
        <v>Q5</v>
      </c>
      <c r="E25" s="89" t="str">
        <f t="shared" si="0"/>
        <v>HKDFUT3MQ5_Quote</v>
      </c>
      <c r="F25" s="88" t="str">
        <f>_xll.qlSimpleQuote(E25,,PriceTickValue,Permanent,Trigger,ObjectOverwrite)</f>
        <v>HKDFUT3MQ5_Quote#0006</v>
      </c>
      <c r="G25" s="52" t="str">
        <f>_xll.ohRangeRetrieveError(F25)</f>
        <v/>
      </c>
      <c r="H25" s="65"/>
      <c r="J25" s="245"/>
      <c r="K25" s="251">
        <v>22</v>
      </c>
      <c r="L25" s="250" t="b">
        <v>0</v>
      </c>
      <c r="M25" s="182" t="str">
        <v>Q5</v>
      </c>
      <c r="N25" s="249">
        <v>42235</v>
      </c>
      <c r="O25" s="182" t="str">
        <f t="shared" si="2"/>
        <v>HIRQ5</v>
      </c>
      <c r="P25" s="248" t="s">
        <v>151</v>
      </c>
      <c r="Q25" s="182" t="s">
        <v>151</v>
      </c>
      <c r="R25" s="182" t="s">
        <v>151</v>
      </c>
      <c r="S25" s="182" t="s">
        <v>151</v>
      </c>
      <c r="T25" s="182" t="s">
        <v>151</v>
      </c>
      <c r="U25" s="177" t="e">
        <f>_xll.qlMidSafe($Q25,$R25)</f>
        <v>#NUM!</v>
      </c>
      <c r="V25" s="175"/>
      <c r="W25" s="247" t="e">
        <v>#NUM!</v>
      </c>
      <c r="X25" s="175"/>
      <c r="Y25" s="246" t="e">
        <v>#NUM!</v>
      </c>
      <c r="Z25" s="177" t="e">
        <f>_xll.qlSimpleQuoteSetValue(E25,$Y25,ISERROR(F25))</f>
        <v>#NUM!</v>
      </c>
      <c r="AA25" s="198"/>
      <c r="AB25" s="205"/>
      <c r="AC25" s="206" t="e">
        <f t="shared" si="1"/>
        <v>#VALUE!</v>
      </c>
      <c r="AD25" s="205"/>
    </row>
    <row r="26" spans="1:30" x14ac:dyDescent="0.2">
      <c r="A26" s="93"/>
      <c r="B26" s="92">
        <v>23</v>
      </c>
      <c r="C26" s="91" t="b">
        <v>0</v>
      </c>
      <c r="D26" s="90" t="str">
        <v>U5</v>
      </c>
      <c r="E26" s="89" t="str">
        <f t="shared" si="0"/>
        <v>HKDFUT3MU5_Quote</v>
      </c>
      <c r="F26" s="88" t="str">
        <f>_xll.qlSimpleQuote(E26,,PriceTickValue,Permanent,Trigger,ObjectOverwrite)</f>
        <v>HKDFUT3MU5_Quote#0006</v>
      </c>
      <c r="G26" s="52" t="str">
        <f>_xll.ohRangeRetrieveError(F26)</f>
        <v/>
      </c>
      <c r="H26" s="65"/>
      <c r="J26" s="245"/>
      <c r="K26" s="251">
        <v>23</v>
      </c>
      <c r="L26" s="250" t="b">
        <v>0</v>
      </c>
      <c r="M26" s="182" t="str">
        <v>U5</v>
      </c>
      <c r="N26" s="249">
        <v>42263</v>
      </c>
      <c r="O26" s="182" t="str">
        <f t="shared" si="2"/>
        <v>HIRU5</v>
      </c>
      <c r="P26" s="248">
        <v>42261</v>
      </c>
      <c r="Q26" s="182">
        <v>0</v>
      </c>
      <c r="R26" s="182">
        <v>0</v>
      </c>
      <c r="S26" s="182">
        <v>0</v>
      </c>
      <c r="T26" s="182">
        <v>99.5</v>
      </c>
      <c r="U26" s="177" t="e">
        <f>_xll.qlMidSafe($Q26,$R26)</f>
        <v>#NUM!</v>
      </c>
      <c r="V26" s="175"/>
      <c r="W26" s="247" t="e">
        <v>#NUM!</v>
      </c>
      <c r="X26" s="175"/>
      <c r="Y26" s="246" t="e">
        <v>#NUM!</v>
      </c>
      <c r="Z26" s="177" t="e">
        <f>_xll.qlSimpleQuoteSetValue(E26,$Y26,ISERROR(F26))</f>
        <v>#NUM!</v>
      </c>
      <c r="AA26" s="198"/>
      <c r="AB26" s="205"/>
      <c r="AC26" s="206" t="e">
        <f t="shared" si="1"/>
        <v>#NUM!</v>
      </c>
      <c r="AD26" s="205"/>
    </row>
    <row r="27" spans="1:30" x14ac:dyDescent="0.2">
      <c r="A27" s="93"/>
      <c r="B27" s="92">
        <v>24</v>
      </c>
      <c r="C27" s="91" t="b">
        <v>0</v>
      </c>
      <c r="D27" s="90" t="str">
        <v>V5</v>
      </c>
      <c r="E27" s="89" t="str">
        <f t="shared" si="0"/>
        <v>HKDFUT3MV5_Quote</v>
      </c>
      <c r="F27" s="88" t="str">
        <f>_xll.qlSimpleQuote(E27,,PriceTickValue,Permanent,Trigger,ObjectOverwrite)</f>
        <v>HKDFUT3MV5_Quote#0006</v>
      </c>
      <c r="G27" s="52" t="str">
        <f>_xll.ohRangeRetrieveError(F27)</f>
        <v/>
      </c>
      <c r="H27" s="65"/>
      <c r="J27" s="245"/>
      <c r="K27" s="251">
        <v>24</v>
      </c>
      <c r="L27" s="250" t="b">
        <v>0</v>
      </c>
      <c r="M27" s="182" t="str">
        <v>V5</v>
      </c>
      <c r="N27" s="249">
        <v>42298</v>
      </c>
      <c r="O27" s="182" t="str">
        <f t="shared" si="2"/>
        <v>HIRV5</v>
      </c>
      <c r="P27" s="248" t="s">
        <v>151</v>
      </c>
      <c r="Q27" s="182" t="s">
        <v>151</v>
      </c>
      <c r="R27" s="182" t="s">
        <v>151</v>
      </c>
      <c r="S27" s="182" t="s">
        <v>151</v>
      </c>
      <c r="T27" s="182" t="s">
        <v>151</v>
      </c>
      <c r="U27" s="177" t="e">
        <f>_xll.qlMidSafe($Q27,$R27)</f>
        <v>#NUM!</v>
      </c>
      <c r="V27" s="175"/>
      <c r="W27" s="247" t="e">
        <v>#NUM!</v>
      </c>
      <c r="X27" s="175"/>
      <c r="Y27" s="246" t="e">
        <v>#NUM!</v>
      </c>
      <c r="Z27" s="177" t="e">
        <f>_xll.qlSimpleQuoteSetValue(E27,$Y27,ISERROR(F27))</f>
        <v>#NUM!</v>
      </c>
      <c r="AA27" s="198"/>
      <c r="AB27" s="205"/>
      <c r="AC27" s="206" t="e">
        <f t="shared" si="1"/>
        <v>#VALUE!</v>
      </c>
      <c r="AD27" s="205"/>
    </row>
    <row r="28" spans="1:30" x14ac:dyDescent="0.2">
      <c r="A28" s="93"/>
      <c r="B28" s="92">
        <v>25</v>
      </c>
      <c r="C28" s="91" t="b">
        <v>0</v>
      </c>
      <c r="D28" s="90" t="str">
        <v>X5</v>
      </c>
      <c r="E28" s="89" t="str">
        <f t="shared" si="0"/>
        <v>HKDFUT3MX5_Quote</v>
      </c>
      <c r="F28" s="88" t="str">
        <f>_xll.qlSimpleQuote(E28,,PriceTickValue,Permanent,Trigger,ObjectOverwrite)</f>
        <v>HKDFUT3MX5_Quote#0006</v>
      </c>
      <c r="G28" s="52" t="str">
        <f>_xll.ohRangeRetrieveError(F28)</f>
        <v/>
      </c>
      <c r="H28" s="65"/>
      <c r="J28" s="245"/>
      <c r="K28" s="251">
        <v>25</v>
      </c>
      <c r="L28" s="250" t="b">
        <v>0</v>
      </c>
      <c r="M28" s="182" t="str">
        <v>X5</v>
      </c>
      <c r="N28" s="249">
        <v>42326</v>
      </c>
      <c r="O28" s="182" t="str">
        <f t="shared" si="2"/>
        <v>HIRX5</v>
      </c>
      <c r="P28" s="248" t="s">
        <v>151</v>
      </c>
      <c r="Q28" s="182" t="s">
        <v>151</v>
      </c>
      <c r="R28" s="182" t="s">
        <v>151</v>
      </c>
      <c r="S28" s="182" t="s">
        <v>151</v>
      </c>
      <c r="T28" s="182" t="s">
        <v>151</v>
      </c>
      <c r="U28" s="177" t="e">
        <f>_xll.qlMidSafe($Q28,$R28)</f>
        <v>#NUM!</v>
      </c>
      <c r="V28" s="175"/>
      <c r="W28" s="247" t="e">
        <v>#NUM!</v>
      </c>
      <c r="X28" s="175"/>
      <c r="Y28" s="246" t="e">
        <v>#NUM!</v>
      </c>
      <c r="Z28" s="177" t="e">
        <f>_xll.qlSimpleQuoteSetValue(E28,$Y28,ISERROR(F28))</f>
        <v>#NUM!</v>
      </c>
      <c r="AA28" s="198"/>
      <c r="AB28" s="205"/>
      <c r="AC28" s="206" t="e">
        <f t="shared" si="1"/>
        <v>#VALUE!</v>
      </c>
      <c r="AD28" s="205"/>
    </row>
    <row r="29" spans="1:30" x14ac:dyDescent="0.2">
      <c r="A29" s="93"/>
      <c r="B29" s="92">
        <v>26</v>
      </c>
      <c r="C29" s="91" t="b">
        <v>0</v>
      </c>
      <c r="D29" s="90" t="str">
        <v>Z5</v>
      </c>
      <c r="E29" s="89" t="str">
        <f t="shared" si="0"/>
        <v>HKDFUT3MZ5_Quote</v>
      </c>
      <c r="F29" s="88" t="str">
        <f>_xll.qlSimpleQuote(E29,,PriceTickValue,Permanent,Trigger,ObjectOverwrite)</f>
        <v>HKDFUT3MZ5_Quote#0006</v>
      </c>
      <c r="G29" s="52" t="str">
        <f>_xll.ohRangeRetrieveError(F29)</f>
        <v/>
      </c>
      <c r="H29" s="65"/>
      <c r="J29" s="245"/>
      <c r="K29" s="251">
        <v>26</v>
      </c>
      <c r="L29" s="250" t="b">
        <v>0</v>
      </c>
      <c r="M29" s="182" t="str">
        <v>Z5</v>
      </c>
      <c r="N29" s="249">
        <v>42354</v>
      </c>
      <c r="O29" s="182" t="str">
        <f t="shared" si="2"/>
        <v>HIRZ5</v>
      </c>
      <c r="P29" s="248" t="s">
        <v>151</v>
      </c>
      <c r="Q29" s="182" t="s">
        <v>151</v>
      </c>
      <c r="R29" s="182" t="s">
        <v>151</v>
      </c>
      <c r="S29" s="182" t="s">
        <v>151</v>
      </c>
      <c r="T29" s="182" t="s">
        <v>151</v>
      </c>
      <c r="U29" s="177" t="e">
        <f>_xll.qlMidSafe($Q29,$R29)</f>
        <v>#NUM!</v>
      </c>
      <c r="V29" s="175"/>
      <c r="W29" s="247" t="e">
        <v>#NUM!</v>
      </c>
      <c r="X29" s="175"/>
      <c r="Y29" s="246" t="e">
        <v>#NUM!</v>
      </c>
      <c r="Z29" s="177" t="e">
        <f>_xll.qlSimpleQuoteSetValue(E29,$Y29,ISERROR(F29))</f>
        <v>#NUM!</v>
      </c>
      <c r="AA29" s="198"/>
      <c r="AB29" s="205"/>
      <c r="AC29" s="206" t="e">
        <f t="shared" si="1"/>
        <v>#VALUE!</v>
      </c>
      <c r="AD29" s="205"/>
    </row>
    <row r="30" spans="1:30" x14ac:dyDescent="0.2">
      <c r="A30" s="93"/>
      <c r="B30" s="92">
        <v>27</v>
      </c>
      <c r="C30" s="91" t="b">
        <v>0</v>
      </c>
      <c r="D30" s="90" t="str">
        <v>F6</v>
      </c>
      <c r="E30" s="89" t="str">
        <f t="shared" si="0"/>
        <v>HKDFUT3MF6_Quote</v>
      </c>
      <c r="F30" s="88" t="str">
        <f>_xll.qlSimpleQuote(E30,,PriceTickValue,Permanent,Trigger,ObjectOverwrite)</f>
        <v>HKDFUT3MF6_Quote#0006</v>
      </c>
      <c r="G30" s="52" t="str">
        <f>_xll.ohRangeRetrieveError(F30)</f>
        <v/>
      </c>
      <c r="H30" s="65"/>
      <c r="J30" s="245"/>
      <c r="K30" s="251">
        <v>27</v>
      </c>
      <c r="L30" s="250" t="b">
        <v>0</v>
      </c>
      <c r="M30" s="182" t="str">
        <v>F6</v>
      </c>
      <c r="N30" s="249">
        <v>42389</v>
      </c>
      <c r="O30" s="182" t="str">
        <f t="shared" si="2"/>
        <v>HIRF6</v>
      </c>
      <c r="P30" s="248" t="s">
        <v>151</v>
      </c>
      <c r="Q30" s="182" t="s">
        <v>151</v>
      </c>
      <c r="R30" s="182" t="s">
        <v>151</v>
      </c>
      <c r="S30" s="182" t="s">
        <v>151</v>
      </c>
      <c r="T30" s="182" t="s">
        <v>151</v>
      </c>
      <c r="U30" s="177" t="e">
        <f>_xll.qlMidSafe($Q30,$R30)</f>
        <v>#NUM!</v>
      </c>
      <c r="V30" s="175"/>
      <c r="W30" s="247" t="e">
        <v>#NUM!</v>
      </c>
      <c r="X30" s="175"/>
      <c r="Y30" s="246" t="e">
        <v>#NUM!</v>
      </c>
      <c r="Z30" s="177" t="e">
        <f>_xll.qlSimpleQuoteSetValue(E30,$Y30,ISERROR(F30))</f>
        <v>#NUM!</v>
      </c>
      <c r="AA30" s="198"/>
      <c r="AB30" s="205"/>
      <c r="AC30" s="206" t="e">
        <f t="shared" si="1"/>
        <v>#VALUE!</v>
      </c>
      <c r="AD30" s="205"/>
    </row>
    <row r="31" spans="1:30" x14ac:dyDescent="0.2">
      <c r="A31" s="93"/>
      <c r="B31" s="92">
        <v>28</v>
      </c>
      <c r="C31" s="91" t="b">
        <v>0</v>
      </c>
      <c r="D31" s="90" t="str">
        <v>G6</v>
      </c>
      <c r="E31" s="89" t="str">
        <f t="shared" si="0"/>
        <v>HKDFUT3MG6_Quote</v>
      </c>
      <c r="F31" s="88" t="str">
        <f>_xll.qlSimpleQuote(E31,,PriceTickValue,Permanent,Trigger,ObjectOverwrite)</f>
        <v>HKDFUT3MG6_Quote#0006</v>
      </c>
      <c r="G31" s="52" t="str">
        <f>_xll.ohRangeRetrieveError(F31)</f>
        <v/>
      </c>
      <c r="H31" s="65"/>
      <c r="J31" s="245"/>
      <c r="K31" s="251">
        <v>28</v>
      </c>
      <c r="L31" s="250" t="b">
        <v>0</v>
      </c>
      <c r="M31" s="182" t="str">
        <v>G6</v>
      </c>
      <c r="N31" s="249">
        <v>42417</v>
      </c>
      <c r="O31" s="182" t="str">
        <f t="shared" si="2"/>
        <v>HIRG6</v>
      </c>
      <c r="P31" s="248" t="s">
        <v>151</v>
      </c>
      <c r="Q31" s="182" t="s">
        <v>151</v>
      </c>
      <c r="R31" s="182" t="s">
        <v>151</v>
      </c>
      <c r="S31" s="182" t="s">
        <v>151</v>
      </c>
      <c r="T31" s="182" t="s">
        <v>151</v>
      </c>
      <c r="U31" s="177" t="e">
        <f>_xll.qlMidSafe($Q31,$R31)</f>
        <v>#NUM!</v>
      </c>
      <c r="V31" s="175"/>
      <c r="W31" s="247" t="e">
        <v>#NUM!</v>
      </c>
      <c r="X31" s="175"/>
      <c r="Y31" s="246" t="e">
        <v>#NUM!</v>
      </c>
      <c r="Z31" s="177" t="e">
        <f>_xll.qlSimpleQuoteSetValue(E31,$Y31,ISERROR(F31))</f>
        <v>#NUM!</v>
      </c>
      <c r="AA31" s="198"/>
      <c r="AB31" s="205"/>
      <c r="AC31" s="206" t="e">
        <f t="shared" si="1"/>
        <v>#VALUE!</v>
      </c>
      <c r="AD31" s="205"/>
    </row>
    <row r="32" spans="1:30" x14ac:dyDescent="0.2">
      <c r="A32" s="93"/>
      <c r="B32" s="92">
        <v>29</v>
      </c>
      <c r="C32" s="91" t="b">
        <v>0</v>
      </c>
      <c r="D32" s="90" t="str">
        <v>H6</v>
      </c>
      <c r="E32" s="89" t="str">
        <f t="shared" si="0"/>
        <v>HKDFUT3MH6_Quote</v>
      </c>
      <c r="F32" s="88" t="str">
        <f>_xll.qlSimpleQuote(E32,,PriceTickValue,Permanent,Trigger,ObjectOverwrite)</f>
        <v>HKDFUT3MH6_Quote#0006</v>
      </c>
      <c r="G32" s="52" t="str">
        <f>_xll.ohRangeRetrieveError(F32)</f>
        <v/>
      </c>
      <c r="H32" s="65"/>
      <c r="J32" s="245"/>
      <c r="K32" s="251">
        <v>29</v>
      </c>
      <c r="L32" s="250" t="b">
        <v>0</v>
      </c>
      <c r="M32" s="182" t="str">
        <v>H6</v>
      </c>
      <c r="N32" s="249">
        <v>42445</v>
      </c>
      <c r="O32" s="182" t="str">
        <f t="shared" si="2"/>
        <v>HIRH6</v>
      </c>
      <c r="P32" s="248" t="s">
        <v>151</v>
      </c>
      <c r="Q32" s="182" t="s">
        <v>151</v>
      </c>
      <c r="R32" s="182" t="s">
        <v>151</v>
      </c>
      <c r="S32" s="182" t="s">
        <v>151</v>
      </c>
      <c r="T32" s="182" t="s">
        <v>151</v>
      </c>
      <c r="U32" s="177" t="e">
        <f>_xll.qlMidSafe($Q32,$R32)</f>
        <v>#NUM!</v>
      </c>
      <c r="V32" s="175"/>
      <c r="W32" s="247" t="e">
        <v>#NUM!</v>
      </c>
      <c r="X32" s="175"/>
      <c r="Y32" s="246" t="e">
        <v>#NUM!</v>
      </c>
      <c r="Z32" s="177" t="e">
        <f>_xll.qlSimpleQuoteSetValue(E32,$Y32,ISERROR(F32))</f>
        <v>#NUM!</v>
      </c>
      <c r="AA32" s="198"/>
      <c r="AB32" s="205"/>
      <c r="AC32" s="206" t="e">
        <f t="shared" si="1"/>
        <v>#VALUE!</v>
      </c>
      <c r="AD32" s="205"/>
    </row>
    <row r="33" spans="1:30" x14ac:dyDescent="0.2">
      <c r="A33" s="93"/>
      <c r="B33" s="92">
        <v>30</v>
      </c>
      <c r="C33" s="91" t="b">
        <v>0</v>
      </c>
      <c r="D33" s="90" t="str">
        <v>J6</v>
      </c>
      <c r="E33" s="89" t="str">
        <f t="shared" si="0"/>
        <v>HKDFUT3MJ6_Quote</v>
      </c>
      <c r="F33" s="88" t="str">
        <f>_xll.qlSimpleQuote(E33,,PriceTickValue,Permanent,Trigger,ObjectOverwrite)</f>
        <v>HKDFUT3MJ6_Quote#0006</v>
      </c>
      <c r="G33" s="52" t="str">
        <f>_xll.ohRangeRetrieveError(F33)</f>
        <v/>
      </c>
      <c r="H33" s="65"/>
      <c r="J33" s="245"/>
      <c r="K33" s="251">
        <v>30</v>
      </c>
      <c r="L33" s="250" t="b">
        <v>0</v>
      </c>
      <c r="M33" s="182" t="str">
        <v>J6</v>
      </c>
      <c r="N33" s="249">
        <v>42480</v>
      </c>
      <c r="O33" s="182" t="str">
        <f t="shared" si="2"/>
        <v>HIRJ6</v>
      </c>
      <c r="P33" s="248" t="s">
        <v>151</v>
      </c>
      <c r="Q33" s="182" t="s">
        <v>151</v>
      </c>
      <c r="R33" s="182" t="s">
        <v>151</v>
      </c>
      <c r="S33" s="182" t="s">
        <v>151</v>
      </c>
      <c r="T33" s="182" t="s">
        <v>151</v>
      </c>
      <c r="U33" s="177" t="e">
        <f>_xll.qlMidSafe($Q33,$R33)</f>
        <v>#NUM!</v>
      </c>
      <c r="V33" s="175"/>
      <c r="W33" s="247" t="e">
        <v>#NUM!</v>
      </c>
      <c r="X33" s="175"/>
      <c r="Y33" s="246" t="e">
        <v>#NUM!</v>
      </c>
      <c r="Z33" s="177" t="e">
        <f>_xll.qlSimpleQuoteSetValue(E33,$Y33,ISERROR(F33))</f>
        <v>#NUM!</v>
      </c>
      <c r="AA33" s="198"/>
      <c r="AB33" s="205"/>
      <c r="AC33" s="206" t="e">
        <f t="shared" si="1"/>
        <v>#VALUE!</v>
      </c>
      <c r="AD33" s="205"/>
    </row>
    <row r="34" spans="1:30" x14ac:dyDescent="0.2">
      <c r="A34" s="93"/>
      <c r="B34" s="92">
        <v>31</v>
      </c>
      <c r="C34" s="91" t="b">
        <v>0</v>
      </c>
      <c r="D34" s="90" t="str">
        <v>K6</v>
      </c>
      <c r="E34" s="89" t="str">
        <f t="shared" si="0"/>
        <v>HKDFUT3MK6_Quote</v>
      </c>
      <c r="F34" s="88" t="str">
        <f>_xll.qlSimpleQuote(E34,,PriceTickValue,Permanent,Trigger,ObjectOverwrite)</f>
        <v>HKDFUT3MK6_Quote#0006</v>
      </c>
      <c r="G34" s="52" t="str">
        <f>_xll.ohRangeRetrieveError(F34)</f>
        <v/>
      </c>
      <c r="H34" s="65"/>
      <c r="J34" s="245"/>
      <c r="K34" s="251">
        <v>31</v>
      </c>
      <c r="L34" s="250" t="b">
        <v>0</v>
      </c>
      <c r="M34" s="182" t="str">
        <v>K6</v>
      </c>
      <c r="N34" s="249">
        <v>42508</v>
      </c>
      <c r="O34" s="182" t="str">
        <f t="shared" si="2"/>
        <v>HIRK6</v>
      </c>
      <c r="P34" s="248" t="s">
        <v>151</v>
      </c>
      <c r="Q34" s="182" t="s">
        <v>151</v>
      </c>
      <c r="R34" s="182" t="s">
        <v>151</v>
      </c>
      <c r="S34" s="182" t="s">
        <v>151</v>
      </c>
      <c r="T34" s="182" t="s">
        <v>151</v>
      </c>
      <c r="U34" s="177" t="e">
        <f>_xll.qlMidSafe($Q34,$R34)</f>
        <v>#NUM!</v>
      </c>
      <c r="V34" s="175"/>
      <c r="W34" s="247" t="e">
        <v>#NUM!</v>
      </c>
      <c r="X34" s="175"/>
      <c r="Y34" s="246" t="e">
        <v>#NUM!</v>
      </c>
      <c r="Z34" s="177" t="e">
        <f>_xll.qlSimpleQuoteSetValue(E34,$Y34,ISERROR(F34))</f>
        <v>#NUM!</v>
      </c>
      <c r="AA34" s="198"/>
      <c r="AB34" s="205"/>
      <c r="AC34" s="206" t="e">
        <f t="shared" si="1"/>
        <v>#VALUE!</v>
      </c>
      <c r="AD34" s="205"/>
    </row>
    <row r="35" spans="1:30" x14ac:dyDescent="0.2">
      <c r="A35" s="93"/>
      <c r="B35" s="92">
        <v>32</v>
      </c>
      <c r="C35" s="91" t="b">
        <v>0</v>
      </c>
      <c r="D35" s="90" t="str">
        <v>M6</v>
      </c>
      <c r="E35" s="89" t="str">
        <f t="shared" si="0"/>
        <v>HKDFUT3MM6_Quote</v>
      </c>
      <c r="F35" s="88" t="str">
        <f>_xll.qlSimpleQuote(E35,,PriceTickValue,Permanent,Trigger,ObjectOverwrite)</f>
        <v>HKDFUT3MM6_Quote#0006</v>
      </c>
      <c r="G35" s="52" t="str">
        <f>_xll.ohRangeRetrieveError(F35)</f>
        <v/>
      </c>
      <c r="H35" s="65"/>
      <c r="J35" s="245"/>
      <c r="K35" s="251">
        <v>32</v>
      </c>
      <c r="L35" s="250" t="b">
        <v>0</v>
      </c>
      <c r="M35" s="182" t="str">
        <v>M6</v>
      </c>
      <c r="N35" s="249">
        <v>42536</v>
      </c>
      <c r="O35" s="182" t="str">
        <f t="shared" si="2"/>
        <v>HIRM6</v>
      </c>
      <c r="P35" s="248" t="s">
        <v>151</v>
      </c>
      <c r="Q35" s="182" t="s">
        <v>151</v>
      </c>
      <c r="R35" s="182" t="s">
        <v>151</v>
      </c>
      <c r="S35" s="182" t="s">
        <v>151</v>
      </c>
      <c r="T35" s="182" t="s">
        <v>151</v>
      </c>
      <c r="U35" s="177" t="e">
        <f>_xll.qlMidSafe($Q35,$R35)</f>
        <v>#NUM!</v>
      </c>
      <c r="V35" s="175"/>
      <c r="W35" s="247" t="e">
        <v>#NUM!</v>
      </c>
      <c r="X35" s="175"/>
      <c r="Y35" s="246" t="e">
        <v>#NUM!</v>
      </c>
      <c r="Z35" s="177" t="e">
        <f>_xll.qlSimpleQuoteSetValue(E35,$Y35,ISERROR(F35))</f>
        <v>#NUM!</v>
      </c>
      <c r="AA35" s="198"/>
      <c r="AB35" s="205"/>
      <c r="AC35" s="206" t="e">
        <f t="shared" si="1"/>
        <v>#VALUE!</v>
      </c>
      <c r="AD35" s="205"/>
    </row>
    <row r="36" spans="1:30" x14ac:dyDescent="0.2">
      <c r="A36" s="93"/>
      <c r="B36" s="92">
        <v>33</v>
      </c>
      <c r="C36" s="91" t="b">
        <v>0</v>
      </c>
      <c r="D36" s="90" t="str">
        <v>N6</v>
      </c>
      <c r="E36" s="89" t="str">
        <f t="shared" ref="E36:E39" si="3">Currency&amp;$D$2&amp;$E$2&amp;$D36&amp;QuoteSuffix</f>
        <v>HKDFUT3MN6_Quote</v>
      </c>
      <c r="F36" s="88" t="str">
        <f>_xll.qlSimpleQuote(E36,,PriceTickValue,Permanent,Trigger,ObjectOverwrite)</f>
        <v>HKDFUT3MN6_Quote#0006</v>
      </c>
      <c r="G36" s="52" t="str">
        <f>_xll.ohRangeRetrieveError(F36)</f>
        <v/>
      </c>
      <c r="H36" s="65"/>
      <c r="J36" s="245"/>
      <c r="K36" s="251">
        <v>33</v>
      </c>
      <c r="L36" s="250" t="b">
        <v>0</v>
      </c>
      <c r="M36" s="182" t="str">
        <v>N6</v>
      </c>
      <c r="N36" s="249">
        <v>42571</v>
      </c>
      <c r="O36" s="182" t="str">
        <f t="shared" si="2"/>
        <v>HIRN6</v>
      </c>
      <c r="P36" s="248" t="s">
        <v>151</v>
      </c>
      <c r="Q36" s="182" t="s">
        <v>151</v>
      </c>
      <c r="R36" s="182" t="s">
        <v>151</v>
      </c>
      <c r="S36" s="182" t="s">
        <v>151</v>
      </c>
      <c r="T36" s="182" t="s">
        <v>151</v>
      </c>
      <c r="U36" s="177" t="e">
        <f>_xll.qlMidSafe($Q36,$R36)</f>
        <v>#NUM!</v>
      </c>
      <c r="V36" s="175"/>
      <c r="W36" s="247" t="e">
        <v>#NUM!</v>
      </c>
      <c r="X36" s="175"/>
      <c r="Y36" s="246" t="e">
        <v>#NUM!</v>
      </c>
      <c r="Z36" s="177" t="e">
        <f>_xll.qlSimpleQuoteSetValue(E36,$Y36,ISERROR(F36))</f>
        <v>#NUM!</v>
      </c>
      <c r="AA36" s="198"/>
      <c r="AB36" s="205"/>
      <c r="AC36" s="206" t="e">
        <f t="shared" si="1"/>
        <v>#VALUE!</v>
      </c>
      <c r="AD36" s="205"/>
    </row>
    <row r="37" spans="1:30" ht="11.25" customHeight="1" x14ac:dyDescent="0.2">
      <c r="A37" s="93"/>
      <c r="B37" s="92">
        <v>34</v>
      </c>
      <c r="C37" s="91" t="b">
        <v>0</v>
      </c>
      <c r="D37" s="90" t="str">
        <v>Q6</v>
      </c>
      <c r="E37" s="89" t="str">
        <f t="shared" si="3"/>
        <v>HKDFUT3MQ6_Quote</v>
      </c>
      <c r="F37" s="88" t="str">
        <f>_xll.qlSimpleQuote(E37,,PriceTickValue,Permanent,Trigger,ObjectOverwrite)</f>
        <v>HKDFUT3MQ6_Quote#0006</v>
      </c>
      <c r="G37" s="52" t="str">
        <f>_xll.ohRangeRetrieveError(F37)</f>
        <v/>
      </c>
      <c r="H37" s="65"/>
      <c r="J37" s="245"/>
      <c r="K37" s="251">
        <v>34</v>
      </c>
      <c r="L37" s="250" t="b">
        <v>0</v>
      </c>
      <c r="M37" s="182" t="str">
        <v>Q6</v>
      </c>
      <c r="N37" s="249">
        <v>42599</v>
      </c>
      <c r="O37" s="182" t="str">
        <f t="shared" si="2"/>
        <v>HIRQ6</v>
      </c>
      <c r="P37" s="248" t="s">
        <v>151</v>
      </c>
      <c r="Q37" s="182" t="s">
        <v>151</v>
      </c>
      <c r="R37" s="182" t="s">
        <v>151</v>
      </c>
      <c r="S37" s="182" t="s">
        <v>151</v>
      </c>
      <c r="T37" s="182" t="s">
        <v>151</v>
      </c>
      <c r="U37" s="177" t="e">
        <f>_xll.qlMidSafe($Q37,$R37)</f>
        <v>#NUM!</v>
      </c>
      <c r="V37" s="175"/>
      <c r="W37" s="247" t="e">
        <v>#NUM!</v>
      </c>
      <c r="X37" s="175"/>
      <c r="Y37" s="246" t="e">
        <v>#NUM!</v>
      </c>
      <c r="Z37" s="177" t="e">
        <f>_xll.qlSimpleQuoteSetValue(E37,$Y37,ISERROR(F37))</f>
        <v>#NUM!</v>
      </c>
      <c r="AA37" s="198"/>
      <c r="AB37" s="205"/>
      <c r="AC37" s="206" t="e">
        <f t="shared" si="1"/>
        <v>#VALUE!</v>
      </c>
      <c r="AD37" s="205"/>
    </row>
    <row r="38" spans="1:30" x14ac:dyDescent="0.2">
      <c r="A38" s="93"/>
      <c r="B38" s="92">
        <v>35</v>
      </c>
      <c r="C38" s="91" t="b">
        <v>0</v>
      </c>
      <c r="D38" s="90" t="str">
        <v>U6</v>
      </c>
      <c r="E38" s="89" t="str">
        <f t="shared" si="3"/>
        <v>HKDFUT3MU6_Quote</v>
      </c>
      <c r="F38" s="88" t="str">
        <f>_xll.qlSimpleQuote(E38,,PriceTickValue,Permanent,Trigger,ObjectOverwrite)</f>
        <v>HKDFUT3MU6_Quote#0006</v>
      </c>
      <c r="G38" s="52" t="str">
        <f>_xll.ohRangeRetrieveError(F38)</f>
        <v/>
      </c>
      <c r="H38" s="65"/>
      <c r="J38" s="245"/>
      <c r="K38" s="251">
        <v>35</v>
      </c>
      <c r="L38" s="250" t="b">
        <v>0</v>
      </c>
      <c r="M38" s="182" t="str">
        <v>U6</v>
      </c>
      <c r="N38" s="249">
        <v>42634</v>
      </c>
      <c r="O38" s="182" t="str">
        <f t="shared" si="2"/>
        <v>HIRU6</v>
      </c>
      <c r="P38" s="248" t="s">
        <v>151</v>
      </c>
      <c r="Q38" s="182" t="s">
        <v>151</v>
      </c>
      <c r="R38" s="182" t="s">
        <v>151</v>
      </c>
      <c r="S38" s="182" t="s">
        <v>151</v>
      </c>
      <c r="T38" s="182" t="s">
        <v>151</v>
      </c>
      <c r="U38" s="177" t="e">
        <f>_xll.qlMidSafe($Q38,$R38)</f>
        <v>#NUM!</v>
      </c>
      <c r="V38" s="175"/>
      <c r="W38" s="247" t="e">
        <v>#NUM!</v>
      </c>
      <c r="X38" s="175"/>
      <c r="Y38" s="246" t="e">
        <v>#NUM!</v>
      </c>
      <c r="Z38" s="177" t="e">
        <f>_xll.qlSimpleQuoteSetValue(E38,$Y38,ISERROR(F38))</f>
        <v>#NUM!</v>
      </c>
      <c r="AA38" s="198"/>
      <c r="AB38" s="205"/>
      <c r="AC38" s="206" t="e">
        <f t="shared" si="1"/>
        <v>#VALUE!</v>
      </c>
      <c r="AD38" s="205"/>
    </row>
    <row r="39" spans="1:30" x14ac:dyDescent="0.2">
      <c r="A39" s="93"/>
      <c r="B39" s="92">
        <v>36</v>
      </c>
      <c r="C39" s="91" t="b">
        <v>0</v>
      </c>
      <c r="D39" s="90" t="str">
        <v>V6</v>
      </c>
      <c r="E39" s="89" t="str">
        <f t="shared" si="3"/>
        <v>HKDFUT3MV6_Quote</v>
      </c>
      <c r="F39" s="88" t="str">
        <f>_xll.qlSimpleQuote(E39,,PriceTickValue,Permanent,Trigger,ObjectOverwrite)</f>
        <v>HKDFUT3MV6_Quote#0006</v>
      </c>
      <c r="G39" s="52" t="str">
        <f>_xll.ohRangeRetrieveError(F39)</f>
        <v/>
      </c>
      <c r="H39" s="65"/>
      <c r="J39" s="245"/>
      <c r="K39" s="244">
        <v>36</v>
      </c>
      <c r="L39" s="243" t="b">
        <v>0</v>
      </c>
      <c r="M39" s="173" t="str">
        <v>V6</v>
      </c>
      <c r="N39" s="242">
        <v>42662</v>
      </c>
      <c r="O39" s="173" t="str">
        <f t="shared" si="2"/>
        <v>HIRV6</v>
      </c>
      <c r="P39" s="241" t="s">
        <v>151</v>
      </c>
      <c r="Q39" s="173" t="s">
        <v>151</v>
      </c>
      <c r="R39" s="173" t="s">
        <v>151</v>
      </c>
      <c r="S39" s="173" t="s">
        <v>151</v>
      </c>
      <c r="T39" s="173" t="s">
        <v>151</v>
      </c>
      <c r="U39" s="220" t="e">
        <f>_xll.qlMidSafe($Q39,$R39)</f>
        <v>#NUM!</v>
      </c>
      <c r="V39" s="175"/>
      <c r="W39" s="240" t="e">
        <v>#NUM!</v>
      </c>
      <c r="X39" s="175"/>
      <c r="Y39" s="239" t="e">
        <v>#NUM!</v>
      </c>
      <c r="Z39" s="220" t="e">
        <f>_xll.qlSimpleQuoteSetValue(E39,$Y39,ISERROR(F39))</f>
        <v>#NUM!</v>
      </c>
      <c r="AA39" s="198"/>
      <c r="AB39" s="205"/>
      <c r="AC39" s="206" t="e">
        <f t="shared" si="1"/>
        <v>#VALUE!</v>
      </c>
      <c r="AD39" s="205"/>
    </row>
    <row r="40" spans="1:30" ht="12" thickBot="1" x14ac:dyDescent="0.25">
      <c r="A40" s="87"/>
      <c r="B40" s="63"/>
      <c r="C40" s="63"/>
      <c r="D40" s="63"/>
      <c r="E40" s="63"/>
      <c r="F40" s="63"/>
      <c r="G40" s="63"/>
      <c r="H40" s="61"/>
      <c r="J40" s="238"/>
      <c r="K40" s="168"/>
      <c r="L40" s="168"/>
      <c r="M40" s="168"/>
      <c r="N40" s="168"/>
      <c r="O40" s="168"/>
      <c r="P40" s="168"/>
      <c r="Q40" s="168"/>
      <c r="R40" s="168"/>
      <c r="S40" s="168"/>
      <c r="T40" s="168"/>
      <c r="U40" s="168"/>
      <c r="V40" s="168"/>
      <c r="W40" s="168"/>
      <c r="X40" s="168"/>
      <c r="Y40" s="168"/>
      <c r="Z40" s="168"/>
      <c r="AA40" s="167"/>
      <c r="AB40" s="205"/>
      <c r="AC40" s="205"/>
      <c r="AD40" s="205"/>
    </row>
    <row r="41" spans="1:30" x14ac:dyDescent="0.2">
      <c r="J41" s="205"/>
      <c r="K41" s="205"/>
      <c r="L41" s="205"/>
      <c r="M41" s="205"/>
      <c r="N41" s="205"/>
      <c r="O41" s="205"/>
      <c r="P41" s="205"/>
      <c r="Q41" s="205"/>
      <c r="R41" s="205"/>
      <c r="S41" s="205"/>
      <c r="T41" s="205"/>
      <c r="U41" s="205"/>
      <c r="V41" s="205"/>
      <c r="W41" s="205"/>
      <c r="X41" s="205"/>
      <c r="Y41" s="205"/>
      <c r="Z41" s="205"/>
      <c r="AA41" s="205"/>
      <c r="AB41" s="205"/>
      <c r="AC41" s="205"/>
      <c r="AD41" s="205"/>
    </row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0"/>
  <sheetViews>
    <sheetView zoomScale="141" zoomScaleNormal="141" workbookViewId="0"/>
  </sheetViews>
  <sheetFormatPr defaultRowHeight="11.25" x14ac:dyDescent="0.2"/>
  <cols>
    <col min="1" max="1" width="2.7109375" style="16" customWidth="1"/>
    <col min="2" max="2" width="25.5703125" style="16" bestFit="1" customWidth="1"/>
    <col min="3" max="3" width="27.7109375" style="16" bestFit="1" customWidth="1"/>
    <col min="4" max="4" width="23.28515625" style="16" customWidth="1"/>
    <col min="5" max="7" width="2.7109375" style="16" customWidth="1"/>
    <col min="8" max="8" width="14.28515625" style="16" bestFit="1" customWidth="1"/>
    <col min="9" max="9" width="9.140625" style="16"/>
    <col min="10" max="10" width="2.7109375" style="16" customWidth="1"/>
    <col min="11" max="12" width="9.140625" style="16"/>
    <col min="13" max="13" width="2.7109375" style="16" customWidth="1"/>
    <col min="14" max="14" width="9.140625" style="16"/>
    <col min="15" max="15" width="2.7109375" style="16" customWidth="1"/>
    <col min="16" max="16" width="7.7109375" style="16" bestFit="1" customWidth="1"/>
    <col min="17" max="17" width="9.140625" style="16"/>
    <col min="18" max="19" width="2.7109375" style="16" customWidth="1"/>
    <col min="20" max="20" width="4" style="16" bestFit="1" customWidth="1"/>
    <col min="21" max="21" width="3.140625" style="16" bestFit="1" customWidth="1"/>
    <col min="22" max="22" width="2.7109375" style="16" bestFit="1" customWidth="1"/>
    <col min="23" max="16384" width="9.140625" style="16"/>
  </cols>
  <sheetData>
    <row r="1" spans="1:23" s="144" customFormat="1" x14ac:dyDescent="0.2">
      <c r="A1" s="144" t="s">
        <v>209</v>
      </c>
      <c r="G1" s="203"/>
      <c r="H1" s="202"/>
      <c r="I1" s="202"/>
      <c r="J1" s="202"/>
      <c r="K1" s="202"/>
      <c r="L1" s="202"/>
      <c r="M1" s="202"/>
      <c r="N1" s="202"/>
      <c r="O1" s="202"/>
      <c r="P1" s="202"/>
      <c r="Q1" s="202"/>
      <c r="R1" s="201"/>
      <c r="S1" s="205"/>
      <c r="T1" s="205"/>
      <c r="U1" s="205"/>
      <c r="V1" s="205"/>
      <c r="W1" s="205"/>
    </row>
    <row r="2" spans="1:23" s="144" customFormat="1" x14ac:dyDescent="0.2">
      <c r="G2" s="200"/>
      <c r="H2" s="199" t="s">
        <v>165</v>
      </c>
      <c r="I2" s="235"/>
      <c r="J2" s="235"/>
      <c r="K2" s="235"/>
      <c r="L2" s="235"/>
      <c r="M2" s="235"/>
      <c r="N2" s="235"/>
      <c r="O2" s="235"/>
      <c r="P2" s="235"/>
      <c r="Q2" s="235"/>
      <c r="R2" s="198"/>
      <c r="S2" s="205"/>
      <c r="T2" s="205"/>
      <c r="U2" s="205"/>
      <c r="V2" s="205"/>
      <c r="W2" s="205"/>
    </row>
    <row r="3" spans="1:23" x14ac:dyDescent="0.2">
      <c r="A3" s="58"/>
      <c r="B3" s="47"/>
      <c r="C3" s="47"/>
      <c r="D3" s="47"/>
      <c r="E3" s="44"/>
      <c r="G3" s="200"/>
      <c r="H3" s="235"/>
      <c r="I3" s="235"/>
      <c r="J3" s="235"/>
      <c r="K3" s="235"/>
      <c r="L3" s="235"/>
      <c r="M3" s="235"/>
      <c r="N3" s="235"/>
      <c r="O3" s="235"/>
      <c r="P3" s="235"/>
      <c r="Q3" s="196">
        <f>_xll.ohTrigger(Q5:Q10)</f>
        <v>1</v>
      </c>
      <c r="R3" s="198"/>
      <c r="S3" s="205"/>
      <c r="T3" s="205"/>
      <c r="U3" s="205"/>
      <c r="V3" s="205"/>
      <c r="W3" s="205"/>
    </row>
    <row r="4" spans="1:23" ht="15.75" thickBot="1" x14ac:dyDescent="0.25">
      <c r="A4" s="105"/>
      <c r="B4" s="107" t="str">
        <f>Currency&amp;"_010_"&amp;"FuturesHWConvAdj.xml"</f>
        <v>HKD_010_FuturesHWConvAdj.xml</v>
      </c>
      <c r="C4" s="106" t="e">
        <f ca="1">IF(Serialize,_xll.ohObjectSave(C5:C6,SerializationPath&amp;B4,FileOverwrite,,Serialize),"---")</f>
        <v>#NUM!</v>
      </c>
      <c r="D4" s="52" t="str">
        <f ca="1">_xll.ohRangeRetrieveError(C4)</f>
        <v>ohObjectSave - ObjectHandler error: attempt to retrieve object with unknown ID 'HKDHW_Volatility_Quote'</v>
      </c>
      <c r="E4" s="388" t="s">
        <v>211</v>
      </c>
      <c r="G4" s="200"/>
      <c r="H4" s="263" t="str">
        <f>_xll.RData(H5,I4,,ReutersRtMode,,I5)</f>
        <v>On Pause</v>
      </c>
      <c r="I4" s="289" t="s">
        <v>176</v>
      </c>
      <c r="J4" s="280"/>
      <c r="K4" s="397" t="s">
        <v>186</v>
      </c>
      <c r="L4" s="398"/>
      <c r="M4" s="280"/>
      <c r="N4" s="193" t="s">
        <v>155</v>
      </c>
      <c r="O4" s="278"/>
      <c r="P4" s="373" t="s">
        <v>153</v>
      </c>
      <c r="Q4" s="194" t="s">
        <v>152</v>
      </c>
      <c r="R4" s="198"/>
      <c r="S4" s="205"/>
      <c r="T4" s="205"/>
      <c r="U4" s="205"/>
      <c r="V4" s="205"/>
      <c r="W4" s="205"/>
    </row>
    <row r="5" spans="1:23" x14ac:dyDescent="0.2">
      <c r="A5" s="105"/>
      <c r="B5" s="104" t="str">
        <f>Currency&amp;"HW_Volatility"&amp;QuoteSuffix</f>
        <v>HKDHW_Volatility_Quote</v>
      </c>
      <c r="C5" s="104" t="str">
        <f>_xll.qlSimpleQuote(B5,,,Permanent,Trigger,ObjectOverwrite)</f>
        <v>HKDHW_Volatility_Quote#0004</v>
      </c>
      <c r="D5" s="52" t="str">
        <f>_xll.ohRangeRetrieveError(C5)</f>
        <v/>
      </c>
      <c r="E5" s="22"/>
      <c r="G5" s="200"/>
      <c r="H5" s="380" t="str">
        <f>VLOOKUP(Currency,$T$5:$V$9,2)&amp;"4Y"&amp;VLOOKUP(Currency,$T$5:$V$9,3)&amp;"ATM="&amp;VLOOKUP(Contributor,ContributorTable,2,FALSE)</f>
        <v>GB4Y3LATM=ICAP</v>
      </c>
      <c r="I5" s="288">
        <v>60.67</v>
      </c>
      <c r="J5" s="280"/>
      <c r="K5" s="190" t="s">
        <v>185</v>
      </c>
      <c r="L5" s="286">
        <f>I5/100*IF(ISNUMBER(Swap3M4Y),Swap3M4Y/100,Swap6M4Y/100)*0</f>
        <v>0</v>
      </c>
      <c r="M5" s="280"/>
      <c r="N5" s="287">
        <v>0</v>
      </c>
      <c r="O5" s="278"/>
      <c r="P5" s="187">
        <f t="array" ref="P5:P6">QuoteLive</f>
        <v>0</v>
      </c>
      <c r="Q5" s="286" t="e">
        <f>_xll.qlSimpleQuoteSetValue(B5,ROUND(P5,6),ISERROR(C5))</f>
        <v>#NUM!</v>
      </c>
      <c r="R5" s="198"/>
      <c r="S5" s="205"/>
      <c r="T5" s="285" t="s">
        <v>55</v>
      </c>
      <c r="U5" s="284" t="s">
        <v>184</v>
      </c>
      <c r="V5" s="283" t="s">
        <v>46</v>
      </c>
      <c r="W5" s="205"/>
    </row>
    <row r="6" spans="1:23" x14ac:dyDescent="0.2">
      <c r="A6" s="105"/>
      <c r="B6" s="104" t="str">
        <f>Currency&amp;"HW_MeanReversion"&amp;QuoteSuffix</f>
        <v>HKDHW_MeanReversion_Quote</v>
      </c>
      <c r="C6" s="104" t="str">
        <f>_xll.qlSimpleQuote(B6,,,Permanent,Trigger,ObjectOverwrite)</f>
        <v>HKDHW_MeanReversion_Quote#0004</v>
      </c>
      <c r="D6" s="52" t="str">
        <f>_xll.ohRangeRetrieveError(C6)</f>
        <v/>
      </c>
      <c r="E6" s="22"/>
      <c r="G6" s="200"/>
      <c r="H6" s="277"/>
      <c r="I6" s="282"/>
      <c r="J6" s="280"/>
      <c r="K6" s="281" t="s">
        <v>183</v>
      </c>
      <c r="L6" s="276">
        <v>0.03</v>
      </c>
      <c r="M6" s="280"/>
      <c r="N6" s="279">
        <v>0.03</v>
      </c>
      <c r="O6" s="278"/>
      <c r="P6" s="381">
        <v>0.03</v>
      </c>
      <c r="Q6" s="276" t="e">
        <f>_xll.qlSimpleQuoteSetValue(B6,ROUND(P6,6),ISERROR(C6))</f>
        <v>#NUM!</v>
      </c>
      <c r="R6" s="198"/>
      <c r="S6" s="205"/>
      <c r="T6" s="255" t="s">
        <v>53</v>
      </c>
      <c r="U6" s="236" t="s">
        <v>182</v>
      </c>
      <c r="V6" s="275" t="s">
        <v>46</v>
      </c>
      <c r="W6" s="205"/>
    </row>
    <row r="7" spans="1:23" ht="12" thickBot="1" x14ac:dyDescent="0.25">
      <c r="A7" s="21"/>
      <c r="B7" s="20"/>
      <c r="C7" s="20"/>
      <c r="D7" s="20"/>
      <c r="E7" s="18"/>
      <c r="G7" s="170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7"/>
      <c r="S7" s="205"/>
      <c r="T7" s="255" t="s">
        <v>49</v>
      </c>
      <c r="U7" s="236" t="s">
        <v>181</v>
      </c>
      <c r="V7" s="275" t="s">
        <v>43</v>
      </c>
      <c r="W7" s="205"/>
    </row>
    <row r="8" spans="1:23" x14ac:dyDescent="0.2">
      <c r="G8" s="205"/>
      <c r="H8" s="205"/>
      <c r="I8" s="205"/>
      <c r="J8" s="205"/>
      <c r="K8" s="205"/>
      <c r="L8" s="205"/>
      <c r="M8" s="205"/>
      <c r="N8" s="205"/>
      <c r="O8" s="205"/>
      <c r="P8" s="205"/>
      <c r="Q8" s="205"/>
      <c r="R8" s="205"/>
      <c r="S8" s="205"/>
      <c r="T8" s="255" t="s">
        <v>47</v>
      </c>
      <c r="U8" s="236" t="s">
        <v>180</v>
      </c>
      <c r="V8" s="275" t="s">
        <v>46</v>
      </c>
      <c r="W8" s="205"/>
    </row>
    <row r="9" spans="1:23" ht="12" thickBot="1" x14ac:dyDescent="0.25">
      <c r="G9" s="205"/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53" t="s">
        <v>44</v>
      </c>
      <c r="U9" s="274" t="s">
        <v>179</v>
      </c>
      <c r="V9" s="273" t="s">
        <v>43</v>
      </c>
      <c r="W9" s="205"/>
    </row>
    <row r="10" spans="1:23" x14ac:dyDescent="0.2">
      <c r="G10" s="205"/>
      <c r="H10" s="205"/>
      <c r="I10" s="205"/>
      <c r="J10" s="205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205"/>
      <c r="W10" s="205"/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Z17"/>
  <sheetViews>
    <sheetView zoomScale="113" zoomScaleNormal="113" workbookViewId="0"/>
  </sheetViews>
  <sheetFormatPr defaultRowHeight="12.75" x14ac:dyDescent="0.2"/>
  <cols>
    <col min="1" max="1" width="2.7109375" style="38" customWidth="1"/>
    <col min="2" max="2" width="4.85546875" style="60" bestFit="1" customWidth="1"/>
    <col min="3" max="3" width="5.140625" style="38" bestFit="1" customWidth="1"/>
    <col min="4" max="4" width="3.85546875" style="38" bestFit="1" customWidth="1"/>
    <col min="5" max="5" width="16.140625" style="38" bestFit="1" customWidth="1"/>
    <col min="6" max="6" width="22" style="59" bestFit="1" customWidth="1"/>
    <col min="7" max="7" width="38.28515625" style="38" customWidth="1"/>
    <col min="8" max="10" width="2.7109375" style="38" customWidth="1"/>
    <col min="11" max="11" width="11.42578125" style="38" bestFit="1" customWidth="1"/>
    <col min="12" max="12" width="16.85546875" style="38" bestFit="1" customWidth="1"/>
    <col min="13" max="15" width="9.140625" style="38"/>
    <col min="16" max="16" width="12.570312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2" width="9.140625" style="38"/>
    <col min="23" max="24" width="2.7109375" style="38" customWidth="1"/>
    <col min="25" max="16384" width="9.140625" style="38"/>
  </cols>
  <sheetData>
    <row r="1" spans="1:26" ht="15" x14ac:dyDescent="0.25">
      <c r="A1" s="38" t="s">
        <v>210</v>
      </c>
      <c r="J1" s="237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  <c r="V1" s="202"/>
      <c r="W1" s="201"/>
      <c r="X1"/>
      <c r="Y1"/>
      <c r="Z1"/>
    </row>
    <row r="2" spans="1:26" ht="15.75" thickBot="1" x14ac:dyDescent="0.3">
      <c r="J2" s="200"/>
      <c r="K2" s="175"/>
      <c r="L2" s="199" t="s">
        <v>170</v>
      </c>
      <c r="M2" s="175"/>
      <c r="N2" s="175"/>
      <c r="O2" s="175"/>
      <c r="P2" s="175"/>
      <c r="Q2" s="235"/>
      <c r="R2" s="175"/>
      <c r="S2" s="175"/>
      <c r="T2" s="175"/>
      <c r="U2" s="175"/>
      <c r="V2" s="235"/>
      <c r="W2" s="198"/>
      <c r="X2"/>
      <c r="Y2"/>
      <c r="Z2"/>
    </row>
    <row r="3" spans="1:26" ht="15" x14ac:dyDescent="0.25">
      <c r="A3" s="142"/>
      <c r="B3" s="141"/>
      <c r="C3" s="141"/>
      <c r="D3" s="141"/>
      <c r="E3" s="139"/>
      <c r="F3" s="140"/>
      <c r="G3" s="139"/>
      <c r="H3" s="138"/>
      <c r="J3" s="180"/>
      <c r="K3" s="235"/>
      <c r="L3" s="235"/>
      <c r="M3" s="235"/>
      <c r="N3" s="235"/>
      <c r="O3" s="235"/>
      <c r="P3" s="235"/>
      <c r="Q3" s="235"/>
      <c r="R3" s="175"/>
      <c r="S3" s="175"/>
      <c r="T3" s="175"/>
      <c r="U3" s="235"/>
      <c r="V3" s="196">
        <f>_xll.ohTrigger(V5:V15)</f>
        <v>0</v>
      </c>
      <c r="W3" s="171"/>
      <c r="X3"/>
      <c r="Y3"/>
      <c r="Z3"/>
    </row>
    <row r="4" spans="1:26" ht="22.5" x14ac:dyDescent="0.25">
      <c r="A4" s="71"/>
      <c r="B4" s="137"/>
      <c r="C4" s="136"/>
      <c r="D4" s="42"/>
      <c r="E4" s="41" t="str">
        <f>Currency&amp;"_010_Sw"&amp;"1M.xml"</f>
        <v>HKD_010_Sw1M.xml</v>
      </c>
      <c r="F4" s="40" t="e">
        <f ca="1">IF(Serialize,_xll.ohObjectSave(F5:F15,SerializationPath&amp;E4,FileOverwrite,,Serialize),"---")</f>
        <v>#NUM!</v>
      </c>
      <c r="G4" s="23" t="str">
        <f ca="1">_xll.ohRangeRetrieveError(F4)</f>
        <v>ohObjectSave - ObjectHandler error: attempt to retrieve object with unknown ID 'HKDAM1H2M_Quote'</v>
      </c>
      <c r="H4" s="387" t="s">
        <v>211</v>
      </c>
      <c r="J4" s="180"/>
      <c r="K4" s="234"/>
      <c r="L4" s="195" t="str">
        <f>_xll.RData(L5:L15,M4:P4,,ReutersRtMode,,M5)</f>
        <v>On Pause</v>
      </c>
      <c r="M4" s="231" t="s">
        <v>176</v>
      </c>
      <c r="N4" s="231" t="s">
        <v>161</v>
      </c>
      <c r="O4" s="231" t="s">
        <v>160</v>
      </c>
      <c r="P4" s="231" t="s">
        <v>175</v>
      </c>
      <c r="Q4" s="191" t="s">
        <v>174</v>
      </c>
      <c r="R4" s="175"/>
      <c r="S4" s="193" t="s">
        <v>155</v>
      </c>
      <c r="T4" s="175"/>
      <c r="U4" s="376" t="s">
        <v>153</v>
      </c>
      <c r="V4" s="294" t="s">
        <v>152</v>
      </c>
      <c r="W4" s="171"/>
      <c r="X4"/>
      <c r="Y4" s="379" t="s">
        <v>173</v>
      </c>
      <c r="Z4"/>
    </row>
    <row r="5" spans="1:26" ht="15" x14ac:dyDescent="0.25">
      <c r="A5" s="71"/>
      <c r="B5" s="135" t="s">
        <v>121</v>
      </c>
      <c r="C5" s="26" t="s">
        <v>119</v>
      </c>
      <c r="D5" s="25">
        <v>2</v>
      </c>
      <c r="E5" s="24" t="str">
        <f t="shared" ref="E5:E15" si="0">Currency&amp;$C5&amp;$D5&amp;$B5&amp;QuoteSuffix</f>
        <v>HKDAM1H2M_Quote</v>
      </c>
      <c r="F5" s="24" t="str">
        <f>_xll.qlSimpleQuote(Currency&amp;$C5&amp;$D5&amp;$B5&amp;QuoteSuffix,,RateTickValue,Permanent,Trigger,ObjectOverwrite)</f>
        <v>HKDAM1H2M_Quote#0006</v>
      </c>
      <c r="G5" s="134" t="str">
        <f>_xll.ohRangeRetrieveError(F5)</f>
        <v/>
      </c>
      <c r="H5" s="65"/>
      <c r="J5" s="180"/>
      <c r="K5" s="183" t="str">
        <f t="shared" ref="K5:K15" si="1">Currency&amp;C5&amp;D5&amp;B5</f>
        <v>HKDAM1H2M</v>
      </c>
      <c r="L5" s="178" t="str">
        <f t="array" ref="L5:L15">Instruments&amp;"="&amp;VLOOKUP(Contributor,ContributorTable,2,FALSE)</f>
        <v>HKDAM1H2M=PREA</v>
      </c>
      <c r="M5" s="216" t="s">
        <v>151</v>
      </c>
      <c r="N5" s="216" t="s">
        <v>151</v>
      </c>
      <c r="O5" s="216" t="s">
        <v>151</v>
      </c>
      <c r="P5" s="216" t="s">
        <v>151</v>
      </c>
      <c r="Q5" s="293" t="e">
        <f>_xll.qlMidSafe($M5,$N5)</f>
        <v>#NUM!</v>
      </c>
      <c r="R5" s="175"/>
      <c r="S5" s="184" t="e">
        <v>#NUM!</v>
      </c>
      <c r="T5" s="175"/>
      <c r="U5" s="246" t="e">
        <f t="array" ref="U5:U15">QuoteLive</f>
        <v>#NUM!</v>
      </c>
      <c r="V5" s="181" t="e">
        <f>_xll.qlSimpleQuoteSetValue(E5,U5/100,ISERROR(F5))</f>
        <v>#NUM!</v>
      </c>
      <c r="W5" s="171"/>
      <c r="X5"/>
      <c r="Y5" s="206" t="e">
        <f t="shared" ref="Y5:Y15" si="2">(N5-Q5)/50</f>
        <v>#VALUE!</v>
      </c>
      <c r="Z5"/>
    </row>
    <row r="6" spans="1:26" ht="15" x14ac:dyDescent="0.25">
      <c r="A6" s="71"/>
      <c r="B6" s="133" t="s">
        <v>121</v>
      </c>
      <c r="C6" s="132" t="s">
        <v>119</v>
      </c>
      <c r="D6" s="131">
        <v>3</v>
      </c>
      <c r="E6" s="24" t="str">
        <f t="shared" si="0"/>
        <v>HKDAM1H3M_Quote</v>
      </c>
      <c r="F6" s="24" t="str">
        <f>_xll.qlSimpleQuote(Currency&amp;$C6&amp;$D6&amp;$B6&amp;QuoteSuffix,,RateTickValue,Permanent,Trigger,ObjectOverwrite)</f>
        <v>HKDAM1H3M_Quote#0006</v>
      </c>
      <c r="G6" s="130" t="str">
        <f>_xll.ohRangeRetrieveError(F6)</f>
        <v/>
      </c>
      <c r="H6" s="65"/>
      <c r="J6" s="180"/>
      <c r="K6" s="183" t="str">
        <f t="shared" si="1"/>
        <v>HKDAM1H3M</v>
      </c>
      <c r="L6" s="178" t="str">
        <v>HKDAM1H3M=PREA</v>
      </c>
      <c r="M6" s="216">
        <v>0.16</v>
      </c>
      <c r="N6" s="216">
        <v>0.26</v>
      </c>
      <c r="O6" s="216">
        <v>0</v>
      </c>
      <c r="P6" s="216">
        <v>0</v>
      </c>
      <c r="Q6" s="293">
        <f>_xll.qlMidSafe($M6,$N6)</f>
        <v>0.21000000000000002</v>
      </c>
      <c r="R6" s="175"/>
      <c r="S6" s="184">
        <v>0.21000000000000002</v>
      </c>
      <c r="T6" s="175"/>
      <c r="U6" s="246">
        <v>0.21000000000000002</v>
      </c>
      <c r="V6" s="181" t="e">
        <f>_xll.qlSimpleQuoteSetValue(E6,U6/100,ISERROR(F6))</f>
        <v>#N/A</v>
      </c>
      <c r="W6" s="171"/>
      <c r="X6"/>
      <c r="Y6" s="206">
        <f t="shared" si="2"/>
        <v>9.999999999999998E-4</v>
      </c>
      <c r="Z6"/>
    </row>
    <row r="7" spans="1:26" ht="15" x14ac:dyDescent="0.25">
      <c r="A7" s="71"/>
      <c r="B7" s="133" t="s">
        <v>121</v>
      </c>
      <c r="C7" s="132" t="s">
        <v>119</v>
      </c>
      <c r="D7" s="131">
        <v>4</v>
      </c>
      <c r="E7" s="24" t="str">
        <f t="shared" si="0"/>
        <v>HKDAM1H4M_Quote</v>
      </c>
      <c r="F7" s="24" t="str">
        <f>_xll.qlSimpleQuote(Currency&amp;$C7&amp;$D7&amp;$B7&amp;QuoteSuffix,,RateTickValue,Permanent,Trigger,ObjectOverwrite)</f>
        <v>HKDAM1H4M_Quote#0006</v>
      </c>
      <c r="G7" s="130" t="str">
        <f>_xll.ohRangeRetrieveError(F7)</f>
        <v/>
      </c>
      <c r="H7" s="65"/>
      <c r="J7" s="180"/>
      <c r="K7" s="183" t="str">
        <f t="shared" si="1"/>
        <v>HKDAM1H4M</v>
      </c>
      <c r="L7" s="178" t="str">
        <v>HKDAM1H4M=PREA</v>
      </c>
      <c r="M7" s="216" t="s">
        <v>151</v>
      </c>
      <c r="N7" s="216" t="s">
        <v>151</v>
      </c>
      <c r="O7" s="216" t="s">
        <v>151</v>
      </c>
      <c r="P7" s="216" t="s">
        <v>151</v>
      </c>
      <c r="Q7" s="293" t="e">
        <f>_xll.qlMidSafe($M7,$N7)</f>
        <v>#NUM!</v>
      </c>
      <c r="R7" s="175"/>
      <c r="S7" s="184" t="e">
        <v>#NUM!</v>
      </c>
      <c r="T7" s="175"/>
      <c r="U7" s="246" t="e">
        <v>#NUM!</v>
      </c>
      <c r="V7" s="181" t="e">
        <f>_xll.qlSimpleQuoteSetValue(E7,U7/100,ISERROR(F7))</f>
        <v>#NUM!</v>
      </c>
      <c r="W7" s="171"/>
      <c r="X7"/>
      <c r="Y7" s="206" t="e">
        <f t="shared" si="2"/>
        <v>#VALUE!</v>
      </c>
      <c r="Z7"/>
    </row>
    <row r="8" spans="1:26" ht="15" x14ac:dyDescent="0.25">
      <c r="A8" s="71"/>
      <c r="B8" s="133" t="s">
        <v>121</v>
      </c>
      <c r="C8" s="132" t="s">
        <v>119</v>
      </c>
      <c r="D8" s="131">
        <v>5</v>
      </c>
      <c r="E8" s="24" t="str">
        <f t="shared" si="0"/>
        <v>HKDAM1H5M_Quote</v>
      </c>
      <c r="F8" s="24" t="str">
        <f>_xll.qlSimpleQuote(Currency&amp;$C8&amp;$D8&amp;$B8&amp;QuoteSuffix,,RateTickValue,Permanent,Trigger,ObjectOverwrite)</f>
        <v>HKDAM1H5M_Quote#0006</v>
      </c>
      <c r="G8" s="130" t="str">
        <f>_xll.ohRangeRetrieveError(F8)</f>
        <v/>
      </c>
      <c r="H8" s="65"/>
      <c r="J8" s="180"/>
      <c r="K8" s="183" t="str">
        <f t="shared" si="1"/>
        <v>HKDAM1H5M</v>
      </c>
      <c r="L8" s="178" t="str">
        <v>HKDAM1H5M=PREA</v>
      </c>
      <c r="M8" s="216" t="s">
        <v>151</v>
      </c>
      <c r="N8" s="216" t="s">
        <v>151</v>
      </c>
      <c r="O8" s="216" t="s">
        <v>151</v>
      </c>
      <c r="P8" s="216" t="s">
        <v>151</v>
      </c>
      <c r="Q8" s="293" t="e">
        <f>_xll.qlMidSafe($M8,$N8)</f>
        <v>#NUM!</v>
      </c>
      <c r="R8" s="175"/>
      <c r="S8" s="184" t="e">
        <v>#NUM!</v>
      </c>
      <c r="T8" s="175"/>
      <c r="U8" s="246" t="e">
        <v>#NUM!</v>
      </c>
      <c r="V8" s="181" t="e">
        <f>_xll.qlSimpleQuoteSetValue(E8,U8/100,ISERROR(F8))</f>
        <v>#NUM!</v>
      </c>
      <c r="W8" s="171"/>
      <c r="X8"/>
      <c r="Y8" s="206" t="e">
        <f t="shared" si="2"/>
        <v>#VALUE!</v>
      </c>
      <c r="Z8"/>
    </row>
    <row r="9" spans="1:26" ht="15" x14ac:dyDescent="0.25">
      <c r="A9" s="71"/>
      <c r="B9" s="133" t="s">
        <v>121</v>
      </c>
      <c r="C9" s="132" t="s">
        <v>119</v>
      </c>
      <c r="D9" s="131">
        <v>6</v>
      </c>
      <c r="E9" s="24" t="str">
        <f t="shared" si="0"/>
        <v>HKDAM1H6M_Quote</v>
      </c>
      <c r="F9" s="24" t="str">
        <f>_xll.qlSimpleQuote(Currency&amp;$C9&amp;$D9&amp;$B9&amp;QuoteSuffix,,RateTickValue,Permanent,Trigger,ObjectOverwrite)</f>
        <v>HKDAM1H6M_Quote#0006</v>
      </c>
      <c r="G9" s="130" t="str">
        <f>_xll.ohRangeRetrieveError(F9)</f>
        <v/>
      </c>
      <c r="H9" s="65"/>
      <c r="J9" s="180"/>
      <c r="K9" s="183" t="str">
        <f t="shared" si="1"/>
        <v>HKDAM1H6M</v>
      </c>
      <c r="L9" s="178" t="str">
        <v>HKDAM1H6M=PREA</v>
      </c>
      <c r="M9" s="216">
        <v>0.18</v>
      </c>
      <c r="N9" s="216">
        <v>0.28000000000000003</v>
      </c>
      <c r="O9" s="216">
        <v>0</v>
      </c>
      <c r="P9" s="216">
        <v>0</v>
      </c>
      <c r="Q9" s="293">
        <f>_xll.qlMidSafe($M9,$N9)</f>
        <v>0.23</v>
      </c>
      <c r="R9" s="175"/>
      <c r="S9" s="184">
        <v>0.24</v>
      </c>
      <c r="T9" s="175"/>
      <c r="U9" s="246">
        <v>0.23</v>
      </c>
      <c r="V9" s="181" t="e">
        <f>_xll.qlSimpleQuoteSetValue(E9,U9/100,ISERROR(F9))</f>
        <v>#N/A</v>
      </c>
      <c r="W9" s="171"/>
      <c r="X9"/>
      <c r="Y9" s="206">
        <f t="shared" si="2"/>
        <v>1.0000000000000002E-3</v>
      </c>
      <c r="Z9"/>
    </row>
    <row r="10" spans="1:26" ht="15" x14ac:dyDescent="0.25">
      <c r="A10" s="71"/>
      <c r="B10" s="133" t="s">
        <v>121</v>
      </c>
      <c r="C10" s="132" t="s">
        <v>119</v>
      </c>
      <c r="D10" s="131">
        <v>7</v>
      </c>
      <c r="E10" s="24" t="str">
        <f t="shared" si="0"/>
        <v>HKDAM1H7M_Quote</v>
      </c>
      <c r="F10" s="24" t="str">
        <f>_xll.qlSimpleQuote(Currency&amp;$C10&amp;$D10&amp;$B10&amp;QuoteSuffix,,RateTickValue,Permanent,Trigger,ObjectOverwrite)</f>
        <v>HKDAM1H7M_Quote#0006</v>
      </c>
      <c r="G10" s="130" t="str">
        <f>_xll.ohRangeRetrieveError(F10)</f>
        <v/>
      </c>
      <c r="H10" s="65"/>
      <c r="J10" s="180"/>
      <c r="K10" s="183" t="str">
        <f t="shared" si="1"/>
        <v>HKDAM1H7M</v>
      </c>
      <c r="L10" s="178" t="str">
        <v>HKDAM1H7M=PREA</v>
      </c>
      <c r="M10" s="216" t="s">
        <v>151</v>
      </c>
      <c r="N10" s="216" t="s">
        <v>151</v>
      </c>
      <c r="O10" s="216" t="s">
        <v>151</v>
      </c>
      <c r="P10" s="216" t="s">
        <v>151</v>
      </c>
      <c r="Q10" s="293" t="e">
        <f>_xll.qlMidSafe($M10,$N10)</f>
        <v>#NUM!</v>
      </c>
      <c r="R10" s="175"/>
      <c r="S10" s="184" t="e">
        <v>#NUM!</v>
      </c>
      <c r="T10" s="175"/>
      <c r="U10" s="246" t="e">
        <v>#NUM!</v>
      </c>
      <c r="V10" s="181" t="e">
        <f>_xll.qlSimpleQuoteSetValue(E10,U10/100,ISERROR(F10))</f>
        <v>#NUM!</v>
      </c>
      <c r="W10" s="171"/>
      <c r="X10"/>
      <c r="Y10" s="206" t="e">
        <f t="shared" si="2"/>
        <v>#VALUE!</v>
      </c>
      <c r="Z10"/>
    </row>
    <row r="11" spans="1:26" ht="15" x14ac:dyDescent="0.25">
      <c r="A11" s="71"/>
      <c r="B11" s="133" t="s">
        <v>121</v>
      </c>
      <c r="C11" s="132" t="s">
        <v>119</v>
      </c>
      <c r="D11" s="131">
        <v>8</v>
      </c>
      <c r="E11" s="24" t="str">
        <f t="shared" si="0"/>
        <v>HKDAM1H8M_Quote</v>
      </c>
      <c r="F11" s="24" t="str">
        <f>_xll.qlSimpleQuote(Currency&amp;$C11&amp;$D11&amp;$B11&amp;QuoteSuffix,,RateTickValue,Permanent,Trigger,ObjectOverwrite)</f>
        <v>HKDAM1H8M_Quote#0006</v>
      </c>
      <c r="G11" s="130" t="str">
        <f>_xll.ohRangeRetrieveError(F11)</f>
        <v/>
      </c>
      <c r="H11" s="65"/>
      <c r="J11" s="180"/>
      <c r="K11" s="183" t="str">
        <f t="shared" si="1"/>
        <v>HKDAM1H8M</v>
      </c>
      <c r="L11" s="178" t="str">
        <v>HKDAM1H8M=PREA</v>
      </c>
      <c r="M11" s="216" t="s">
        <v>151</v>
      </c>
      <c r="N11" s="216" t="s">
        <v>151</v>
      </c>
      <c r="O11" s="216" t="s">
        <v>151</v>
      </c>
      <c r="P11" s="216" t="s">
        <v>151</v>
      </c>
      <c r="Q11" s="293" t="e">
        <f>_xll.qlMidSafe($M11,$N11)</f>
        <v>#NUM!</v>
      </c>
      <c r="R11" s="175"/>
      <c r="S11" s="184" t="e">
        <v>#NUM!</v>
      </c>
      <c r="T11" s="175"/>
      <c r="U11" s="246" t="e">
        <v>#NUM!</v>
      </c>
      <c r="V11" s="181" t="e">
        <f>_xll.qlSimpleQuoteSetValue(E11,U11/100,ISERROR(F11))</f>
        <v>#NUM!</v>
      </c>
      <c r="W11" s="171"/>
      <c r="X11"/>
      <c r="Y11" s="206" t="e">
        <f t="shared" si="2"/>
        <v>#VALUE!</v>
      </c>
      <c r="Z11"/>
    </row>
    <row r="12" spans="1:26" ht="15" x14ac:dyDescent="0.25">
      <c r="A12" s="71"/>
      <c r="B12" s="133" t="s">
        <v>121</v>
      </c>
      <c r="C12" s="132" t="s">
        <v>119</v>
      </c>
      <c r="D12" s="131">
        <v>9</v>
      </c>
      <c r="E12" s="24" t="str">
        <f t="shared" si="0"/>
        <v>HKDAM1H9M_Quote</v>
      </c>
      <c r="F12" s="24" t="str">
        <f>_xll.qlSimpleQuote(Currency&amp;$C12&amp;$D12&amp;$B12&amp;QuoteSuffix,,RateTickValue,Permanent,Trigger,ObjectOverwrite)</f>
        <v>HKDAM1H9M_Quote#0006</v>
      </c>
      <c r="G12" s="130" t="str">
        <f>_xll.ohRangeRetrieveError(F12)</f>
        <v/>
      </c>
      <c r="H12" s="65"/>
      <c r="J12" s="180"/>
      <c r="K12" s="183" t="str">
        <f t="shared" si="1"/>
        <v>HKDAM1H9M</v>
      </c>
      <c r="L12" s="178" t="str">
        <v>HKDAM1H9M=PREA</v>
      </c>
      <c r="M12" s="216">
        <v>0.23</v>
      </c>
      <c r="N12" s="216">
        <v>0.33</v>
      </c>
      <c r="O12" s="216">
        <v>0</v>
      </c>
      <c r="P12" s="216">
        <v>0</v>
      </c>
      <c r="Q12" s="293">
        <f>_xll.qlMidSafe($M12,$N12)</f>
        <v>0.28000000000000003</v>
      </c>
      <c r="R12" s="175"/>
      <c r="S12" s="184">
        <v>0.26</v>
      </c>
      <c r="T12" s="175"/>
      <c r="U12" s="246">
        <v>0.28000000000000003</v>
      </c>
      <c r="V12" s="181" t="e">
        <f>_xll.qlSimpleQuoteSetValue(E12,U12/100,ISERROR(F12))</f>
        <v>#N/A</v>
      </c>
      <c r="W12" s="171"/>
      <c r="X12"/>
      <c r="Y12" s="206">
        <f t="shared" si="2"/>
        <v>9.999999999999998E-4</v>
      </c>
      <c r="Z12"/>
    </row>
    <row r="13" spans="1:26" ht="15" x14ac:dyDescent="0.25">
      <c r="A13" s="71"/>
      <c r="B13" s="133" t="s">
        <v>121</v>
      </c>
      <c r="C13" s="132" t="s">
        <v>119</v>
      </c>
      <c r="D13" s="131">
        <v>10</v>
      </c>
      <c r="E13" s="24" t="str">
        <f t="shared" si="0"/>
        <v>HKDAM1H10M_Quote</v>
      </c>
      <c r="F13" s="24" t="str">
        <f>_xll.qlSimpleQuote(Currency&amp;$C13&amp;$D13&amp;$B13&amp;QuoteSuffix,,RateTickValue,Permanent,Trigger,ObjectOverwrite)</f>
        <v>HKDAM1H10M_Quote#0006</v>
      </c>
      <c r="G13" s="130" t="str">
        <f>_xll.ohRangeRetrieveError(F13)</f>
        <v/>
      </c>
      <c r="H13" s="65"/>
      <c r="J13" s="180"/>
      <c r="K13" s="183" t="str">
        <f t="shared" si="1"/>
        <v>HKDAM1H10M</v>
      </c>
      <c r="L13" s="178" t="str">
        <v>HKDAM1H10M=PREA</v>
      </c>
      <c r="M13" s="216" t="s">
        <v>151</v>
      </c>
      <c r="N13" s="216" t="s">
        <v>151</v>
      </c>
      <c r="O13" s="216" t="s">
        <v>151</v>
      </c>
      <c r="P13" s="216" t="s">
        <v>151</v>
      </c>
      <c r="Q13" s="293" t="e">
        <f>_xll.qlMidSafe($M13,$N13)</f>
        <v>#NUM!</v>
      </c>
      <c r="R13" s="175"/>
      <c r="S13" s="184" t="e">
        <v>#NUM!</v>
      </c>
      <c r="T13" s="175"/>
      <c r="U13" s="246" t="e">
        <v>#NUM!</v>
      </c>
      <c r="V13" s="181" t="e">
        <f>_xll.qlSimpleQuoteSetValue(E13,U13/100,ISERROR(F13))</f>
        <v>#NUM!</v>
      </c>
      <c r="W13" s="171"/>
      <c r="X13"/>
      <c r="Y13" s="206" t="e">
        <f t="shared" si="2"/>
        <v>#VALUE!</v>
      </c>
      <c r="Z13"/>
    </row>
    <row r="14" spans="1:26" ht="15" x14ac:dyDescent="0.25">
      <c r="A14" s="71"/>
      <c r="B14" s="133" t="s">
        <v>121</v>
      </c>
      <c r="C14" s="132" t="s">
        <v>119</v>
      </c>
      <c r="D14" s="131">
        <v>11</v>
      </c>
      <c r="E14" s="24" t="str">
        <f t="shared" si="0"/>
        <v>HKDAM1H11M_Quote</v>
      </c>
      <c r="F14" s="24" t="str">
        <f>_xll.qlSimpleQuote(Currency&amp;$C14&amp;$D14&amp;$B14&amp;QuoteSuffix,,RateTickValue,Permanent,Trigger,ObjectOverwrite)</f>
        <v>HKDAM1H11M_Quote#0006</v>
      </c>
      <c r="G14" s="130" t="str">
        <f>_xll.ohRangeRetrieveError(F14)</f>
        <v/>
      </c>
      <c r="H14" s="65"/>
      <c r="J14" s="180"/>
      <c r="K14" s="183" t="str">
        <f t="shared" si="1"/>
        <v>HKDAM1H11M</v>
      </c>
      <c r="L14" s="178" t="str">
        <v>HKDAM1H11M=PREA</v>
      </c>
      <c r="M14" s="216" t="s">
        <v>151</v>
      </c>
      <c r="N14" s="216" t="s">
        <v>151</v>
      </c>
      <c r="O14" s="216" t="s">
        <v>151</v>
      </c>
      <c r="P14" s="216" t="s">
        <v>151</v>
      </c>
      <c r="Q14" s="293" t="e">
        <f>_xll.qlMidSafe($M14,$N14)</f>
        <v>#NUM!</v>
      </c>
      <c r="R14" s="175"/>
      <c r="S14" s="184" t="e">
        <v>#NUM!</v>
      </c>
      <c r="T14" s="175"/>
      <c r="U14" s="246" t="e">
        <v>#NUM!</v>
      </c>
      <c r="V14" s="181" t="e">
        <f>_xll.qlSimpleQuoteSetValue(E14,U14/100,ISERROR(F14))</f>
        <v>#NUM!</v>
      </c>
      <c r="W14" s="171"/>
      <c r="X14"/>
      <c r="Y14" s="206" t="e">
        <f t="shared" si="2"/>
        <v>#VALUE!</v>
      </c>
      <c r="Z14"/>
    </row>
    <row r="15" spans="1:26" ht="15" x14ac:dyDescent="0.25">
      <c r="A15" s="71"/>
      <c r="B15" s="133" t="s">
        <v>120</v>
      </c>
      <c r="C15" s="132" t="s">
        <v>119</v>
      </c>
      <c r="D15" s="131">
        <v>1</v>
      </c>
      <c r="E15" s="24" t="str">
        <f t="shared" si="0"/>
        <v>HKDAM1H1Y_Quote</v>
      </c>
      <c r="F15" s="24" t="str">
        <f>_xll.qlSimpleQuote(Currency&amp;$C15&amp;$D15&amp;$B15&amp;QuoteSuffix,,RateTickValue,Permanent,Trigger,ObjectOverwrite)</f>
        <v>HKDAM1H1Y_Quote#0006</v>
      </c>
      <c r="G15" s="130" t="str">
        <f>_xll.ohRangeRetrieveError(F15)</f>
        <v/>
      </c>
      <c r="H15" s="65"/>
      <c r="J15" s="180"/>
      <c r="K15" s="174" t="str">
        <f t="shared" si="1"/>
        <v>HKDAM1H1Y</v>
      </c>
      <c r="L15" s="292" t="str">
        <v>HKDAM1H1Y=PREA</v>
      </c>
      <c r="M15" s="222">
        <v>0.24</v>
      </c>
      <c r="N15" s="222">
        <v>0.34</v>
      </c>
      <c r="O15" s="222">
        <v>0</v>
      </c>
      <c r="P15" s="222">
        <v>0</v>
      </c>
      <c r="Q15" s="291">
        <f>_xll.qlMidSafe($M15,$N15)</f>
        <v>0.29000000000000004</v>
      </c>
      <c r="R15" s="175"/>
      <c r="S15" s="176">
        <v>0.28000000000000003</v>
      </c>
      <c r="T15" s="175"/>
      <c r="U15" s="239">
        <v>0.29000000000000004</v>
      </c>
      <c r="V15" s="172" t="e">
        <f>_xll.qlSimpleQuoteSetValue(E15,U15/100,ISERROR(F15))</f>
        <v>#N/A</v>
      </c>
      <c r="W15" s="171"/>
      <c r="X15"/>
      <c r="Y15" s="206">
        <f t="shared" si="2"/>
        <v>9.999999999999998E-4</v>
      </c>
      <c r="Z15"/>
    </row>
    <row r="16" spans="1:26" ht="15.75" thickBot="1" x14ac:dyDescent="0.3">
      <c r="A16" s="64"/>
      <c r="B16" s="63"/>
      <c r="C16" s="63"/>
      <c r="D16" s="63"/>
      <c r="E16" s="63"/>
      <c r="F16" s="62"/>
      <c r="G16" s="62"/>
      <c r="H16" s="61"/>
      <c r="J16" s="170"/>
      <c r="K16" s="168"/>
      <c r="L16" s="168"/>
      <c r="M16" s="168"/>
      <c r="N16" s="168"/>
      <c r="O16" s="168"/>
      <c r="P16" s="168"/>
      <c r="Q16" s="168"/>
      <c r="R16" s="168"/>
      <c r="S16" s="168"/>
      <c r="T16" s="168"/>
      <c r="U16" s="168"/>
      <c r="V16" s="168"/>
      <c r="W16" s="290"/>
      <c r="X16"/>
      <c r="Y16"/>
      <c r="Z16"/>
    </row>
    <row r="17" spans="10:26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D34"/>
  <sheetViews>
    <sheetView zoomScaleNormal="100" workbookViewId="0"/>
  </sheetViews>
  <sheetFormatPr defaultRowHeight="12.75" x14ac:dyDescent="0.2"/>
  <cols>
    <col min="1" max="1" width="2.7109375" style="38" customWidth="1"/>
    <col min="2" max="2" width="7.42578125" style="60" bestFit="1" customWidth="1"/>
    <col min="3" max="3" width="4" style="38" bestFit="1" customWidth="1"/>
    <col min="4" max="4" width="3.140625" style="38" bestFit="1" customWidth="1"/>
    <col min="5" max="5" width="18" style="38" bestFit="1" customWidth="1"/>
    <col min="6" max="6" width="22.42578125" style="59" bestFit="1" customWidth="1"/>
    <col min="7" max="7" width="38.28515625" style="38" customWidth="1"/>
    <col min="8" max="10" width="2.7109375" style="38" customWidth="1"/>
    <col min="11" max="11" width="12" style="38" bestFit="1" customWidth="1"/>
    <col min="12" max="12" width="17.140625" style="38" bestFit="1" customWidth="1"/>
    <col min="13" max="15" width="9.140625" style="38"/>
    <col min="16" max="16" width="11.710937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1" width="9.42578125" style="38" bestFit="1" customWidth="1"/>
    <col min="22" max="22" width="8" style="38" bestFit="1" customWidth="1"/>
    <col min="23" max="24" width="2.7109375" style="38" customWidth="1"/>
    <col min="25" max="27" width="9.140625" style="38"/>
    <col min="28" max="28" width="2.7109375" style="38" customWidth="1"/>
    <col min="29" max="16384" width="9.140625" style="38"/>
  </cols>
  <sheetData>
    <row r="1" spans="1:30" x14ac:dyDescent="0.2">
      <c r="A1" s="38" t="s">
        <v>210</v>
      </c>
      <c r="J1" s="237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  <c r="V1" s="202"/>
      <c r="W1" s="201"/>
      <c r="X1" s="205"/>
      <c r="Y1" s="205"/>
      <c r="Z1" s="205"/>
      <c r="AA1" s="205"/>
      <c r="AB1" s="205"/>
      <c r="AC1" s="205"/>
      <c r="AD1" s="205"/>
    </row>
    <row r="2" spans="1:30" ht="13.5" thickBot="1" x14ac:dyDescent="0.25">
      <c r="J2" s="200"/>
      <c r="K2" s="175"/>
      <c r="L2" s="199" t="s">
        <v>170</v>
      </c>
      <c r="M2" s="175"/>
      <c r="N2" s="175"/>
      <c r="O2" s="175"/>
      <c r="P2" s="175"/>
      <c r="Q2" s="235"/>
      <c r="R2" s="175"/>
      <c r="S2" s="175"/>
      <c r="T2" s="175"/>
      <c r="U2" s="235"/>
      <c r="V2" s="235"/>
      <c r="W2" s="198"/>
      <c r="X2" s="205"/>
      <c r="Y2" s="205"/>
      <c r="Z2" s="205"/>
      <c r="AA2" s="205"/>
      <c r="AB2" s="205"/>
      <c r="AC2" s="205"/>
      <c r="AD2" s="205"/>
    </row>
    <row r="3" spans="1:30" x14ac:dyDescent="0.2">
      <c r="A3" s="142"/>
      <c r="B3" s="141"/>
      <c r="C3" s="141"/>
      <c r="D3" s="141"/>
      <c r="E3" s="139"/>
      <c r="F3" s="140"/>
      <c r="G3" s="139"/>
      <c r="H3" s="138"/>
      <c r="J3" s="180"/>
      <c r="K3" s="235"/>
      <c r="L3" s="235"/>
      <c r="M3" s="235"/>
      <c r="N3" s="235"/>
      <c r="O3" s="235"/>
      <c r="P3" s="235"/>
      <c r="Q3" s="235"/>
      <c r="R3" s="175"/>
      <c r="S3" s="175"/>
      <c r="T3" s="175"/>
      <c r="U3" s="235"/>
      <c r="V3" s="196">
        <f>_xll.ohTrigger(V5:V32)</f>
        <v>0</v>
      </c>
      <c r="W3" s="171"/>
      <c r="X3" s="205"/>
      <c r="Y3" s="205"/>
      <c r="Z3" s="205"/>
      <c r="AA3" s="205"/>
      <c r="AB3" s="205"/>
      <c r="AC3" s="205"/>
      <c r="AD3" s="205"/>
    </row>
    <row r="4" spans="1:30" ht="13.5" thickBot="1" x14ac:dyDescent="0.25">
      <c r="A4" s="71"/>
      <c r="B4" s="42" t="s">
        <v>62</v>
      </c>
      <c r="C4" s="42"/>
      <c r="D4" s="42"/>
      <c r="E4" s="41" t="str">
        <f>Currency&amp;"_010_Sw"&amp;$C$5&amp;$D$5&amp;".xml"</f>
        <v>HKD_010_SwQM3H.xml</v>
      </c>
      <c r="F4" s="40" t="e">
        <f ca="1">IF(Serialize,_xll.ohObjectSave(F5:F32,SerializationPath&amp;E4,FileOverwrite,,Serialize),"---")</f>
        <v>#NUM!</v>
      </c>
      <c r="G4" s="23" t="str">
        <f ca="1">_xll.ohRangeRetrieveError(F4)</f>
        <v>ohObjectSave - ObjectHandler error: attempt to retrieve object with unknown ID 'HKDQM3H6M_Quote'</v>
      </c>
      <c r="H4" s="387" t="s">
        <v>211</v>
      </c>
      <c r="J4" s="180"/>
      <c r="K4" s="234"/>
      <c r="L4" s="195" t="str">
        <f>_xll.RData(L5:L32,M4:P4,,ReutersRtMode,,M5)</f>
        <v>On Pause</v>
      </c>
      <c r="M4" s="231" t="s">
        <v>176</v>
      </c>
      <c r="N4" s="231" t="s">
        <v>161</v>
      </c>
      <c r="O4" s="231" t="s">
        <v>160</v>
      </c>
      <c r="P4" s="231" t="s">
        <v>175</v>
      </c>
      <c r="Q4" s="191" t="s">
        <v>174</v>
      </c>
      <c r="R4" s="175"/>
      <c r="S4" s="193" t="s">
        <v>155</v>
      </c>
      <c r="T4" s="175"/>
      <c r="U4" s="376" t="s">
        <v>153</v>
      </c>
      <c r="V4" s="294" t="s">
        <v>152</v>
      </c>
      <c r="W4" s="171"/>
      <c r="X4" s="205"/>
      <c r="Y4" s="205"/>
      <c r="Z4" s="205"/>
      <c r="AA4" s="205"/>
      <c r="AB4" s="205"/>
      <c r="AC4" s="379" t="s">
        <v>173</v>
      </c>
      <c r="AD4" s="205"/>
    </row>
    <row r="5" spans="1:30" x14ac:dyDescent="0.2">
      <c r="A5" s="71"/>
      <c r="B5" s="135" t="s">
        <v>61</v>
      </c>
      <c r="C5" s="26" t="s">
        <v>125</v>
      </c>
      <c r="D5" s="26" t="s">
        <v>124</v>
      </c>
      <c r="E5" s="24" t="str">
        <f t="shared" ref="E5:E32" si="0">Currency&amp;C5&amp;D5&amp;$B5&amp;QuoteSuffix</f>
        <v>HKDQM3H6M_Quote</v>
      </c>
      <c r="F5" s="24" t="str">
        <f>_xll.qlSimpleQuote(Currency&amp;$C5&amp;$D5&amp;$B5&amp;QuoteSuffix,,RateTickValue,Permanent,Trigger,ObjectOverwrite)</f>
        <v>HKDQM3H6M_Quote#0007</v>
      </c>
      <c r="G5" s="134" t="str">
        <f>_xll.ohRangeRetrieveError(F5)</f>
        <v/>
      </c>
      <c r="H5" s="65"/>
      <c r="J5" s="180"/>
      <c r="K5" s="179" t="str">
        <f t="shared" ref="K5:K32" si="1">Currency&amp;C5&amp;D5&amp;B5</f>
        <v>HKDQM3H6M</v>
      </c>
      <c r="L5" s="215" t="str">
        <f t="array" ref="L5:L32">Instruments&amp;"="&amp;VLOOKUP(Contributor,ContributorTable,2,FALSE)</f>
        <v>HKDQM3H6M=PREA</v>
      </c>
      <c r="M5" s="216">
        <v>0.34</v>
      </c>
      <c r="N5" s="216">
        <v>0.44</v>
      </c>
      <c r="O5" s="216">
        <v>0</v>
      </c>
      <c r="P5" s="216">
        <v>0</v>
      </c>
      <c r="Q5" s="177">
        <f>_xll.qlMidSafe($M5,$N5)</f>
        <v>0.39</v>
      </c>
      <c r="R5" s="175"/>
      <c r="S5" s="184">
        <v>0.4</v>
      </c>
      <c r="T5" s="175"/>
      <c r="U5" s="246">
        <f t="array" ref="U5:U32">QuoteLive</f>
        <v>0.39</v>
      </c>
      <c r="V5" s="181" t="e">
        <f>_xll.qlSimpleQuoteSetValue(E5,U5/100,ISERROR(F5))</f>
        <v>#N/A</v>
      </c>
      <c r="W5" s="171"/>
      <c r="X5" s="205"/>
      <c r="Y5" s="305" t="s">
        <v>55</v>
      </c>
      <c r="Z5" s="304" t="s">
        <v>126</v>
      </c>
      <c r="AA5" s="303" t="s">
        <v>43</v>
      </c>
      <c r="AB5" s="205"/>
      <c r="AC5" s="206">
        <f t="shared" ref="AC5:AC32" si="2">(N5-Q5)/50</f>
        <v>9.999999999999998E-4</v>
      </c>
      <c r="AD5" s="205"/>
    </row>
    <row r="6" spans="1:30" x14ac:dyDescent="0.2">
      <c r="A6" s="71"/>
      <c r="B6" s="135" t="s">
        <v>60</v>
      </c>
      <c r="C6" s="26" t="s">
        <v>125</v>
      </c>
      <c r="D6" s="26" t="s">
        <v>124</v>
      </c>
      <c r="E6" s="24" t="str">
        <f t="shared" si="0"/>
        <v>HKDQM3H1Y_Quote</v>
      </c>
      <c r="F6" s="24" t="str">
        <f>_xll.qlSimpleQuote(Currency&amp;$C6&amp;$D6&amp;$B6&amp;QuoteSuffix,,RateTickValue,Permanent,Trigger,ObjectOverwrite)</f>
        <v>HKDQM3H1Y_Quote#0007</v>
      </c>
      <c r="G6" s="134" t="str">
        <f>_xll.ohRangeRetrieveError(F6)</f>
        <v/>
      </c>
      <c r="H6" s="65"/>
      <c r="J6" s="180"/>
      <c r="K6" s="179" t="str">
        <f t="shared" si="1"/>
        <v>HKDQM3H1Y</v>
      </c>
      <c r="L6" s="215" t="str">
        <v>HKDQM3H1Y=PREA</v>
      </c>
      <c r="M6" s="216">
        <v>0.38</v>
      </c>
      <c r="N6" s="216">
        <v>0.48</v>
      </c>
      <c r="O6" s="216">
        <v>0</v>
      </c>
      <c r="P6" s="216">
        <v>0</v>
      </c>
      <c r="Q6" s="177">
        <f>_xll.qlMidSafe($M6,$N6)</f>
        <v>0.43</v>
      </c>
      <c r="R6" s="175"/>
      <c r="S6" s="184">
        <v>0.44</v>
      </c>
      <c r="T6" s="175"/>
      <c r="U6" s="246">
        <v>0.43</v>
      </c>
      <c r="V6" s="181" t="e">
        <f>_xll.qlSimpleQuoteSetValue(E6,U6/100,ISERROR(F6))</f>
        <v>#N/A</v>
      </c>
      <c r="W6" s="171"/>
      <c r="X6" s="205"/>
      <c r="Y6" s="302" t="s">
        <v>53</v>
      </c>
      <c r="Z6" s="204" t="s">
        <v>126</v>
      </c>
      <c r="AA6" s="254" t="s">
        <v>63</v>
      </c>
      <c r="AB6" s="205"/>
      <c r="AC6" s="206">
        <f t="shared" si="2"/>
        <v>9.999999999999998E-4</v>
      </c>
      <c r="AD6" s="205"/>
    </row>
    <row r="7" spans="1:30" x14ac:dyDescent="0.2">
      <c r="A7" s="71"/>
      <c r="B7" s="133" t="s">
        <v>59</v>
      </c>
      <c r="C7" s="26" t="s">
        <v>125</v>
      </c>
      <c r="D7" s="26" t="s">
        <v>124</v>
      </c>
      <c r="E7" s="24" t="str">
        <f t="shared" si="0"/>
        <v>HKDQM3H15M_Quote</v>
      </c>
      <c r="F7" s="24" t="str">
        <f>_xll.qlSimpleQuote(Currency&amp;$C7&amp;$D7&amp;$B7&amp;QuoteSuffix,,RateTickValue,Permanent,Trigger,ObjectOverwrite)</f>
        <v>HKDQM3H15M_Quote#0007</v>
      </c>
      <c r="G7" s="134" t="str">
        <f>_xll.ohRangeRetrieveError(F7)</f>
        <v/>
      </c>
      <c r="H7" s="65"/>
      <c r="J7" s="180"/>
      <c r="K7" s="179" t="str">
        <f t="shared" si="1"/>
        <v>HKDQM3H15M</v>
      </c>
      <c r="L7" s="215" t="str">
        <v>HKDQM3H15M=PREA</v>
      </c>
      <c r="M7" s="216" t="s">
        <v>151</v>
      </c>
      <c r="N7" s="216" t="s">
        <v>151</v>
      </c>
      <c r="O7" s="216" t="s">
        <v>151</v>
      </c>
      <c r="P7" s="216" t="s">
        <v>151</v>
      </c>
      <c r="Q7" s="177" t="e">
        <f>_xll.qlMidSafe($M7,$N7)</f>
        <v>#NUM!</v>
      </c>
      <c r="R7" s="175"/>
      <c r="S7" s="184" t="e">
        <v>#NUM!</v>
      </c>
      <c r="T7" s="175"/>
      <c r="U7" s="246" t="e">
        <v>#NUM!</v>
      </c>
      <c r="V7" s="181" t="e">
        <f>_xll.qlSimpleQuoteSetValue(E7,U7/100,ISERROR(F7))</f>
        <v>#NUM!</v>
      </c>
      <c r="W7" s="171"/>
      <c r="X7" s="205"/>
      <c r="Y7" s="302" t="s">
        <v>49</v>
      </c>
      <c r="Z7" s="204" t="s">
        <v>122</v>
      </c>
      <c r="AA7" s="254" t="s">
        <v>43</v>
      </c>
      <c r="AB7" s="205"/>
      <c r="AC7" s="206" t="e">
        <f t="shared" si="2"/>
        <v>#VALUE!</v>
      </c>
      <c r="AD7" s="205"/>
    </row>
    <row r="8" spans="1:30" x14ac:dyDescent="0.2">
      <c r="A8" s="71"/>
      <c r="B8" s="133" t="s">
        <v>58</v>
      </c>
      <c r="C8" s="26" t="s">
        <v>125</v>
      </c>
      <c r="D8" s="26" t="s">
        <v>124</v>
      </c>
      <c r="E8" s="24" t="str">
        <f t="shared" si="0"/>
        <v>HKDQM3H18M_Quote</v>
      </c>
      <c r="F8" s="24" t="str">
        <f>_xll.qlSimpleQuote(Currency&amp;$C8&amp;$D8&amp;$B8&amp;QuoteSuffix,,RateTickValue,Permanent,Trigger,ObjectOverwrite)</f>
        <v>HKDQM3H18M_Quote#0007</v>
      </c>
      <c r="G8" s="130" t="str">
        <f>_xll.ohRangeRetrieveError(F8)</f>
        <v/>
      </c>
      <c r="H8" s="65"/>
      <c r="J8" s="180"/>
      <c r="K8" s="179" t="str">
        <f t="shared" si="1"/>
        <v>HKDQM3H18M</v>
      </c>
      <c r="L8" s="215" t="str">
        <v>HKDQM3H18M=PREA</v>
      </c>
      <c r="M8" s="216">
        <v>0.42</v>
      </c>
      <c r="N8" s="216">
        <v>0.52</v>
      </c>
      <c r="O8" s="216">
        <v>0</v>
      </c>
      <c r="P8" s="216">
        <v>0</v>
      </c>
      <c r="Q8" s="177">
        <f>_xll.qlMidSafe($M8,$N8)</f>
        <v>0.47</v>
      </c>
      <c r="R8" s="175"/>
      <c r="S8" s="184">
        <v>0.48</v>
      </c>
      <c r="T8" s="175"/>
      <c r="U8" s="246">
        <v>0.47</v>
      </c>
      <c r="V8" s="181" t="e">
        <f>_xll.qlSimpleQuoteSetValue(E8,U8/100,ISERROR(F8))</f>
        <v>#N/A</v>
      </c>
      <c r="W8" s="171"/>
      <c r="X8" s="205"/>
      <c r="Y8" s="302" t="s">
        <v>4</v>
      </c>
      <c r="Z8" s="204" t="s">
        <v>125</v>
      </c>
      <c r="AA8" s="254" t="s">
        <v>124</v>
      </c>
      <c r="AB8" s="205"/>
      <c r="AC8" s="206">
        <f t="shared" si="2"/>
        <v>1.0000000000000009E-3</v>
      </c>
      <c r="AD8" s="205"/>
    </row>
    <row r="9" spans="1:30" x14ac:dyDescent="0.2">
      <c r="A9" s="71"/>
      <c r="B9" s="133" t="s">
        <v>57</v>
      </c>
      <c r="C9" s="26" t="s">
        <v>125</v>
      </c>
      <c r="D9" s="26" t="s">
        <v>124</v>
      </c>
      <c r="E9" s="24" t="str">
        <f t="shared" si="0"/>
        <v>HKDQM3H21M_Quote</v>
      </c>
      <c r="F9" s="24" t="str">
        <f>_xll.qlSimpleQuote(Currency&amp;$C9&amp;$D9&amp;$B9&amp;QuoteSuffix,,RateTickValue,Permanent,Trigger,ObjectOverwrite)</f>
        <v>HKDQM3H21M_Quote#0007</v>
      </c>
      <c r="G9" s="130" t="str">
        <f>_xll.ohRangeRetrieveError(F9)</f>
        <v/>
      </c>
      <c r="H9" s="65"/>
      <c r="J9" s="180"/>
      <c r="K9" s="179" t="str">
        <f t="shared" si="1"/>
        <v>HKDQM3H21M</v>
      </c>
      <c r="L9" s="215" t="str">
        <v>HKDQM3H21M=PREA</v>
      </c>
      <c r="M9" s="216" t="s">
        <v>151</v>
      </c>
      <c r="N9" s="216" t="s">
        <v>151</v>
      </c>
      <c r="O9" s="216" t="s">
        <v>151</v>
      </c>
      <c r="P9" s="216" t="s">
        <v>151</v>
      </c>
      <c r="Q9" s="177" t="e">
        <f>_xll.qlMidSafe($M9,$N9)</f>
        <v>#NUM!</v>
      </c>
      <c r="R9" s="175"/>
      <c r="S9" s="184" t="e">
        <v>#NUM!</v>
      </c>
      <c r="T9" s="175"/>
      <c r="U9" s="246" t="e">
        <v>#NUM!</v>
      </c>
      <c r="V9" s="181" t="e">
        <f>_xll.qlSimpleQuoteSetValue(E9,U9/100,ISERROR(F9))</f>
        <v>#NUM!</v>
      </c>
      <c r="W9" s="171"/>
      <c r="X9" s="205"/>
      <c r="Y9" s="302" t="s">
        <v>47</v>
      </c>
      <c r="Z9" s="204" t="s">
        <v>123</v>
      </c>
      <c r="AA9" s="254" t="s">
        <v>43</v>
      </c>
      <c r="AB9" s="205"/>
      <c r="AC9" s="206" t="e">
        <f t="shared" si="2"/>
        <v>#VALUE!</v>
      </c>
      <c r="AD9" s="205"/>
    </row>
    <row r="10" spans="1:30" ht="13.5" thickBot="1" x14ac:dyDescent="0.25">
      <c r="A10" s="71"/>
      <c r="B10" s="133" t="s">
        <v>56</v>
      </c>
      <c r="C10" s="26" t="s">
        <v>125</v>
      </c>
      <c r="D10" s="26" t="s">
        <v>124</v>
      </c>
      <c r="E10" s="24" t="str">
        <f t="shared" si="0"/>
        <v>HKDQM3H2Y_Quote</v>
      </c>
      <c r="F10" s="24" t="str">
        <f>_xll.qlSimpleQuote(Currency&amp;$C10&amp;$D10&amp;$B10&amp;QuoteSuffix,,RateTickValue,Permanent,Trigger,ObjectOverwrite)</f>
        <v>HKDQM3H2Y_Quote#0007</v>
      </c>
      <c r="G10" s="130" t="str">
        <f>_xll.ohRangeRetrieveError(F10)</f>
        <v/>
      </c>
      <c r="H10" s="65"/>
      <c r="J10" s="180"/>
      <c r="K10" s="179" t="str">
        <f t="shared" si="1"/>
        <v>HKDQM3H2Y</v>
      </c>
      <c r="L10" s="215" t="str">
        <v>HKDQM3H2Y=PREA</v>
      </c>
      <c r="M10" s="216">
        <v>0.48</v>
      </c>
      <c r="N10" s="216">
        <v>0.57999999999999996</v>
      </c>
      <c r="O10" s="216">
        <v>0</v>
      </c>
      <c r="P10" s="216">
        <v>0</v>
      </c>
      <c r="Q10" s="177">
        <f>_xll.qlMidSafe($M10,$N10)</f>
        <v>0.53</v>
      </c>
      <c r="R10" s="175"/>
      <c r="S10" s="184">
        <v>0.54</v>
      </c>
      <c r="T10" s="175"/>
      <c r="U10" s="246">
        <v>0.53</v>
      </c>
      <c r="V10" s="181" t="e">
        <f>_xll.qlSimpleQuoteSetValue(E10,U10/100,ISERROR(F10))</f>
        <v>#N/A</v>
      </c>
      <c r="W10" s="171"/>
      <c r="X10" s="205"/>
      <c r="Y10" s="301" t="s">
        <v>44</v>
      </c>
      <c r="Z10" s="300" t="s">
        <v>122</v>
      </c>
      <c r="AA10" s="252" t="s">
        <v>43</v>
      </c>
      <c r="AB10" s="205"/>
      <c r="AC10" s="206">
        <f t="shared" si="2"/>
        <v>9.9999999999999872E-4</v>
      </c>
      <c r="AD10" s="205"/>
    </row>
    <row r="11" spans="1:30" x14ac:dyDescent="0.2">
      <c r="A11" s="71"/>
      <c r="B11" s="133" t="s">
        <v>54</v>
      </c>
      <c r="C11" s="26" t="s">
        <v>125</v>
      </c>
      <c r="D11" s="26" t="s">
        <v>124</v>
      </c>
      <c r="E11" s="24" t="str">
        <f t="shared" si="0"/>
        <v>HKDQM3H3Y_Quote</v>
      </c>
      <c r="F11" s="24" t="str">
        <f>_xll.qlSimpleQuote(Currency&amp;$C11&amp;$D11&amp;$B11&amp;QuoteSuffix,,RateTickValue,Permanent,Trigger,ObjectOverwrite)</f>
        <v>HKDQM3H3Y_Quote#0007</v>
      </c>
      <c r="G11" s="130" t="str">
        <f>_xll.ohRangeRetrieveError(F11)</f>
        <v/>
      </c>
      <c r="H11" s="65"/>
      <c r="J11" s="180"/>
      <c r="K11" s="179" t="str">
        <f t="shared" si="1"/>
        <v>HKDQM3H3Y</v>
      </c>
      <c r="L11" s="215" t="str">
        <v>HKDQM3H3Y=PREA</v>
      </c>
      <c r="M11" s="216">
        <v>0.71</v>
      </c>
      <c r="N11" s="216">
        <v>0.81</v>
      </c>
      <c r="O11" s="216">
        <v>0</v>
      </c>
      <c r="P11" s="216">
        <v>0</v>
      </c>
      <c r="Q11" s="177">
        <f>_xll.qlMidSafe($M11,$N11)</f>
        <v>0.76</v>
      </c>
      <c r="R11" s="175"/>
      <c r="S11" s="184">
        <v>0.77</v>
      </c>
      <c r="T11" s="175"/>
      <c r="U11" s="246">
        <v>0.76</v>
      </c>
      <c r="V11" s="181" t="e">
        <f>_xll.qlSimpleQuoteSetValue(E11,U11/100,ISERROR(F11))</f>
        <v>#N/A</v>
      </c>
      <c r="W11" s="171"/>
      <c r="X11" s="205"/>
      <c r="Y11" s="205"/>
      <c r="Z11" s="205"/>
      <c r="AA11" s="205"/>
      <c r="AB11" s="205"/>
      <c r="AC11" s="206">
        <f t="shared" si="2"/>
        <v>1.0000000000000009E-3</v>
      </c>
      <c r="AD11" s="205"/>
    </row>
    <row r="12" spans="1:30" x14ac:dyDescent="0.2">
      <c r="A12" s="71"/>
      <c r="B12" s="133" t="s">
        <v>50</v>
      </c>
      <c r="C12" s="26" t="s">
        <v>125</v>
      </c>
      <c r="D12" s="26" t="s">
        <v>124</v>
      </c>
      <c r="E12" s="24" t="str">
        <f t="shared" si="0"/>
        <v>HKDQM3H4Y_Quote</v>
      </c>
      <c r="F12" s="24" t="str">
        <f>_xll.qlSimpleQuote(Currency&amp;$C12&amp;$D12&amp;$B12&amp;QuoteSuffix,,RateTickValue,Permanent,Trigger,ObjectOverwrite)</f>
        <v>HKDQM3H4Y_Quote#0007</v>
      </c>
      <c r="G12" s="130" t="str">
        <f>_xll.ohRangeRetrieveError(F12)</f>
        <v/>
      </c>
      <c r="H12" s="65"/>
      <c r="J12" s="180"/>
      <c r="K12" s="179" t="str">
        <f t="shared" si="1"/>
        <v>HKDQM3H4Y</v>
      </c>
      <c r="L12" s="215" t="str">
        <v>HKDQM3H4Y=PREA</v>
      </c>
      <c r="M12" s="216">
        <v>1.06</v>
      </c>
      <c r="N12" s="216">
        <v>1.1599999999999999</v>
      </c>
      <c r="O12" s="216">
        <v>0</v>
      </c>
      <c r="P12" s="216">
        <v>0</v>
      </c>
      <c r="Q12" s="177">
        <f>_xll.qlMidSafe($M12,$N12)</f>
        <v>1.1099999999999999</v>
      </c>
      <c r="R12" s="175"/>
      <c r="S12" s="184">
        <v>1.0899999999999999</v>
      </c>
      <c r="T12" s="175"/>
      <c r="U12" s="246">
        <v>1.1099999999999999</v>
      </c>
      <c r="V12" s="181" t="e">
        <f>_xll.qlSimpleQuoteSetValue(E12,U12/100,ISERROR(F12))</f>
        <v>#N/A</v>
      </c>
      <c r="W12" s="171"/>
      <c r="X12" s="205"/>
      <c r="Y12" s="205"/>
      <c r="Z12" s="205"/>
      <c r="AA12" s="205"/>
      <c r="AB12" s="205"/>
      <c r="AC12" s="206">
        <f t="shared" si="2"/>
        <v>1.0000000000000009E-3</v>
      </c>
      <c r="AD12" s="205"/>
    </row>
    <row r="13" spans="1:30" x14ac:dyDescent="0.2">
      <c r="A13" s="71"/>
      <c r="B13" s="133" t="s">
        <v>48</v>
      </c>
      <c r="C13" s="26" t="s">
        <v>125</v>
      </c>
      <c r="D13" s="26" t="s">
        <v>124</v>
      </c>
      <c r="E13" s="24" t="str">
        <f t="shared" si="0"/>
        <v>HKDQM3H5Y_Quote</v>
      </c>
      <c r="F13" s="24" t="str">
        <f>_xll.qlSimpleQuote(Currency&amp;$C13&amp;$D13&amp;$B13&amp;QuoteSuffix,,RateTickValue,Permanent,Trigger,ObjectOverwrite)</f>
        <v>HKDQM3H5Y_Quote#0007</v>
      </c>
      <c r="G13" s="130" t="str">
        <f>_xll.ohRangeRetrieveError(F13)</f>
        <v/>
      </c>
      <c r="H13" s="65"/>
      <c r="J13" s="180"/>
      <c r="K13" s="179" t="str">
        <f t="shared" si="1"/>
        <v>HKDQM3H5Y</v>
      </c>
      <c r="L13" s="215" t="str">
        <v>HKDQM3H5Y=PREA</v>
      </c>
      <c r="M13" s="216">
        <v>1.42</v>
      </c>
      <c r="N13" s="216">
        <v>1.52</v>
      </c>
      <c r="O13" s="216">
        <v>0</v>
      </c>
      <c r="P13" s="216">
        <v>0</v>
      </c>
      <c r="Q13" s="177">
        <f>_xll.qlMidSafe($M13,$N13)</f>
        <v>1.47</v>
      </c>
      <c r="R13" s="175"/>
      <c r="S13" s="184">
        <v>1.4100000000000001</v>
      </c>
      <c r="T13" s="175"/>
      <c r="U13" s="246">
        <v>1.47</v>
      </c>
      <c r="V13" s="181" t="e">
        <f>_xll.qlSimpleQuoteSetValue(E13,U13/100,ISERROR(F13))</f>
        <v>#N/A</v>
      </c>
      <c r="W13" s="171"/>
      <c r="X13" s="205"/>
      <c r="Y13" s="205"/>
      <c r="Z13" s="205"/>
      <c r="AA13" s="205"/>
      <c r="AB13" s="205"/>
      <c r="AC13" s="206">
        <f t="shared" si="2"/>
        <v>1.0000000000000009E-3</v>
      </c>
      <c r="AD13" s="205"/>
    </row>
    <row r="14" spans="1:30" x14ac:dyDescent="0.2">
      <c r="A14" s="71"/>
      <c r="B14" s="133" t="s">
        <v>45</v>
      </c>
      <c r="C14" s="26" t="s">
        <v>125</v>
      </c>
      <c r="D14" s="26" t="s">
        <v>124</v>
      </c>
      <c r="E14" s="24" t="str">
        <f t="shared" si="0"/>
        <v>HKDQM3H6Y_Quote</v>
      </c>
      <c r="F14" s="24" t="str">
        <f>_xll.qlSimpleQuote(Currency&amp;$C14&amp;$D14&amp;$B14&amp;QuoteSuffix,,RateTickValue,Permanent,Trigger,ObjectOverwrite)</f>
        <v>HKDQM3H6Y_Quote#0007</v>
      </c>
      <c r="G14" s="130" t="str">
        <f>_xll.ohRangeRetrieveError(F14)</f>
        <v/>
      </c>
      <c r="H14" s="65"/>
      <c r="J14" s="180"/>
      <c r="K14" s="179" t="str">
        <f t="shared" si="1"/>
        <v>HKDQM3H6Y</v>
      </c>
      <c r="L14" s="215" t="str">
        <v>HKDQM3H6Y=PREA</v>
      </c>
      <c r="M14" s="216" t="s">
        <v>151</v>
      </c>
      <c r="N14" s="216" t="s">
        <v>151</v>
      </c>
      <c r="O14" s="216" t="s">
        <v>151</v>
      </c>
      <c r="P14" s="216" t="s">
        <v>151</v>
      </c>
      <c r="Q14" s="177" t="e">
        <f>_xll.qlMidSafe($M14,$N14)</f>
        <v>#NUM!</v>
      </c>
      <c r="R14" s="175"/>
      <c r="S14" s="184" t="e">
        <v>#NUM!</v>
      </c>
      <c r="T14" s="175"/>
      <c r="U14" s="246" t="e">
        <v>#NUM!</v>
      </c>
      <c r="V14" s="181" t="e">
        <f>_xll.qlSimpleQuoteSetValue(E14,U14/100,ISERROR(F14))</f>
        <v>#NUM!</v>
      </c>
      <c r="W14" s="171"/>
      <c r="X14" s="205"/>
      <c r="Y14" s="205"/>
      <c r="Z14" s="205"/>
      <c r="AA14" s="205"/>
      <c r="AB14" s="205"/>
      <c r="AC14" s="206" t="e">
        <f t="shared" si="2"/>
        <v>#VALUE!</v>
      </c>
      <c r="AD14" s="205"/>
    </row>
    <row r="15" spans="1:30" x14ac:dyDescent="0.2">
      <c r="A15" s="71"/>
      <c r="B15" s="133" t="s">
        <v>41</v>
      </c>
      <c r="C15" s="26" t="s">
        <v>125</v>
      </c>
      <c r="D15" s="26" t="s">
        <v>124</v>
      </c>
      <c r="E15" s="24" t="str">
        <f t="shared" si="0"/>
        <v>HKDQM3H7Y_Quote</v>
      </c>
      <c r="F15" s="24" t="str">
        <f>_xll.qlSimpleQuote(Currency&amp;$C15&amp;$D15&amp;$B15&amp;QuoteSuffix,,RateTickValue,Permanent,Trigger,ObjectOverwrite)</f>
        <v>HKDQM3H7Y_Quote#0007</v>
      </c>
      <c r="G15" s="130" t="str">
        <f>_xll.ohRangeRetrieveError(F15)</f>
        <v/>
      </c>
      <c r="H15" s="65"/>
      <c r="J15" s="180"/>
      <c r="K15" s="179" t="str">
        <f t="shared" si="1"/>
        <v>HKDQM3H7Y</v>
      </c>
      <c r="L15" s="215" t="str">
        <v>HKDQM3H7Y=PREA</v>
      </c>
      <c r="M15" s="216">
        <v>1.98</v>
      </c>
      <c r="N15" s="216">
        <v>2.08</v>
      </c>
      <c r="O15" s="216">
        <v>0</v>
      </c>
      <c r="P15" s="216">
        <v>0</v>
      </c>
      <c r="Q15" s="177">
        <f>_xll.qlMidSafe($M15,$N15)</f>
        <v>2.0300000000000002</v>
      </c>
      <c r="R15" s="175"/>
      <c r="S15" s="184">
        <v>1.95</v>
      </c>
      <c r="T15" s="175"/>
      <c r="U15" s="246">
        <v>2.0300000000000002</v>
      </c>
      <c r="V15" s="181" t="e">
        <f>_xll.qlSimpleQuoteSetValue(E15,U15/100,ISERROR(F15))</f>
        <v>#N/A</v>
      </c>
      <c r="W15" s="171"/>
      <c r="X15" s="205"/>
      <c r="Y15" s="205"/>
      <c r="Z15" s="205"/>
      <c r="AA15" s="205"/>
      <c r="AB15" s="205"/>
      <c r="AC15" s="206">
        <f t="shared" si="2"/>
        <v>9.9999999999999655E-4</v>
      </c>
      <c r="AD15" s="205"/>
    </row>
    <row r="16" spans="1:30" x14ac:dyDescent="0.2">
      <c r="A16" s="71"/>
      <c r="B16" s="133" t="s">
        <v>40</v>
      </c>
      <c r="C16" s="26" t="s">
        <v>125</v>
      </c>
      <c r="D16" s="26" t="s">
        <v>124</v>
      </c>
      <c r="E16" s="24" t="str">
        <f t="shared" si="0"/>
        <v>HKDQM3H8Y_Quote</v>
      </c>
      <c r="F16" s="24" t="str">
        <f>_xll.qlSimpleQuote(Currency&amp;$C16&amp;$D16&amp;$B16&amp;QuoteSuffix,,RateTickValue,Permanent,Trigger,ObjectOverwrite)</f>
        <v>HKDQM3H8Y_Quote#0007</v>
      </c>
      <c r="G16" s="130" t="str">
        <f>_xll.ohRangeRetrieveError(F16)</f>
        <v/>
      </c>
      <c r="H16" s="65"/>
      <c r="J16" s="180"/>
      <c r="K16" s="179" t="str">
        <f t="shared" si="1"/>
        <v>HKDQM3H8Y</v>
      </c>
      <c r="L16" s="215" t="str">
        <v>HKDQM3H8Y=PREA</v>
      </c>
      <c r="M16" s="216" t="s">
        <v>151</v>
      </c>
      <c r="N16" s="216" t="s">
        <v>151</v>
      </c>
      <c r="O16" s="216" t="s">
        <v>151</v>
      </c>
      <c r="P16" s="216" t="s">
        <v>151</v>
      </c>
      <c r="Q16" s="177" t="e">
        <f>_xll.qlMidSafe($M16,$N16)</f>
        <v>#NUM!</v>
      </c>
      <c r="R16" s="175"/>
      <c r="S16" s="184" t="e">
        <v>#NUM!</v>
      </c>
      <c r="T16" s="175"/>
      <c r="U16" s="246" t="e">
        <v>#NUM!</v>
      </c>
      <c r="V16" s="181" t="e">
        <f>_xll.qlSimpleQuoteSetValue(E16,U16/100,ISERROR(F16))</f>
        <v>#NUM!</v>
      </c>
      <c r="W16" s="171"/>
      <c r="X16" s="205"/>
      <c r="Y16" s="205"/>
      <c r="Z16" s="205"/>
      <c r="AA16" s="205"/>
      <c r="AB16" s="205"/>
      <c r="AC16" s="206" t="e">
        <f t="shared" si="2"/>
        <v>#VALUE!</v>
      </c>
      <c r="AD16" s="205"/>
    </row>
    <row r="17" spans="1:30" x14ac:dyDescent="0.2">
      <c r="A17" s="71"/>
      <c r="B17" s="133" t="s">
        <v>39</v>
      </c>
      <c r="C17" s="26" t="s">
        <v>125</v>
      </c>
      <c r="D17" s="26" t="s">
        <v>124</v>
      </c>
      <c r="E17" s="24" t="str">
        <f t="shared" si="0"/>
        <v>HKDQM3H9Y_Quote</v>
      </c>
      <c r="F17" s="24" t="str">
        <f>_xll.qlSimpleQuote(Currency&amp;$C17&amp;$D17&amp;$B17&amp;QuoteSuffix,,RateTickValue,Permanent,Trigger,ObjectOverwrite)</f>
        <v>HKDQM3H9Y_Quote#0007</v>
      </c>
      <c r="G17" s="130" t="str">
        <f>_xll.ohRangeRetrieveError(F17)</f>
        <v/>
      </c>
      <c r="H17" s="65"/>
      <c r="J17" s="180"/>
      <c r="K17" s="179" t="str">
        <f t="shared" si="1"/>
        <v>HKDQM3H9Y</v>
      </c>
      <c r="L17" s="215" t="str">
        <v>HKDQM3H9Y=PREA</v>
      </c>
      <c r="M17" s="216" t="s">
        <v>151</v>
      </c>
      <c r="N17" s="216" t="s">
        <v>151</v>
      </c>
      <c r="O17" s="216" t="s">
        <v>151</v>
      </c>
      <c r="P17" s="216" t="s">
        <v>151</v>
      </c>
      <c r="Q17" s="177" t="e">
        <f>_xll.qlMidSafe($M17,$N17)</f>
        <v>#NUM!</v>
      </c>
      <c r="R17" s="175"/>
      <c r="S17" s="184" t="e">
        <v>#NUM!</v>
      </c>
      <c r="T17" s="175"/>
      <c r="U17" s="246" t="e">
        <v>#NUM!</v>
      </c>
      <c r="V17" s="181" t="e">
        <f>_xll.qlSimpleQuoteSetValue(E17,U17/100,ISERROR(F17))</f>
        <v>#NUM!</v>
      </c>
      <c r="W17" s="171"/>
      <c r="X17" s="205"/>
      <c r="Y17" s="205"/>
      <c r="Z17" s="205"/>
      <c r="AA17" s="205"/>
      <c r="AB17" s="205"/>
      <c r="AC17" s="206" t="e">
        <f t="shared" si="2"/>
        <v>#VALUE!</v>
      </c>
      <c r="AD17" s="205"/>
    </row>
    <row r="18" spans="1:30" x14ac:dyDescent="0.2">
      <c r="A18" s="71"/>
      <c r="B18" s="133" t="s">
        <v>38</v>
      </c>
      <c r="C18" s="26" t="s">
        <v>125</v>
      </c>
      <c r="D18" s="26" t="s">
        <v>124</v>
      </c>
      <c r="E18" s="24" t="str">
        <f t="shared" si="0"/>
        <v>HKDQM3H10Y_Quote</v>
      </c>
      <c r="F18" s="24" t="str">
        <f>_xll.qlSimpleQuote(Currency&amp;$C18&amp;$D18&amp;$B18&amp;QuoteSuffix,,RateTickValue,Permanent,Trigger,ObjectOverwrite)</f>
        <v>HKDQM3H10Y_Quote#0007</v>
      </c>
      <c r="G18" s="130" t="str">
        <f>_xll.ohRangeRetrieveError(F18)</f>
        <v/>
      </c>
      <c r="H18" s="65"/>
      <c r="J18" s="180"/>
      <c r="K18" s="179" t="str">
        <f t="shared" si="1"/>
        <v>HKDQM3H10Y</v>
      </c>
      <c r="L18" s="215" t="str">
        <v>HKDQM3H10Y=PREA</v>
      </c>
      <c r="M18" s="216">
        <v>2.5099999999999998</v>
      </c>
      <c r="N18" s="216">
        <v>2.61</v>
      </c>
      <c r="O18" s="216">
        <v>0</v>
      </c>
      <c r="P18" s="216">
        <v>0</v>
      </c>
      <c r="Q18" s="177">
        <f>_xll.qlMidSafe($M18,$N18)</f>
        <v>2.5599999999999996</v>
      </c>
      <c r="R18" s="175"/>
      <c r="S18" s="184">
        <v>2.4500000000000002</v>
      </c>
      <c r="T18" s="175"/>
      <c r="U18" s="246">
        <v>2.5599999999999996</v>
      </c>
      <c r="V18" s="181" t="e">
        <f>_xll.qlSimpleQuoteSetValue(E18,U18/100,ISERROR(F18))</f>
        <v>#N/A</v>
      </c>
      <c r="W18" s="171"/>
      <c r="X18" s="205"/>
      <c r="Y18" s="205"/>
      <c r="Z18" s="205"/>
      <c r="AA18" s="205"/>
      <c r="AB18" s="205"/>
      <c r="AC18" s="206">
        <f t="shared" si="2"/>
        <v>1.0000000000000052E-3</v>
      </c>
      <c r="AD18" s="205"/>
    </row>
    <row r="19" spans="1:30" x14ac:dyDescent="0.2">
      <c r="A19" s="71"/>
      <c r="B19" s="133" t="s">
        <v>37</v>
      </c>
      <c r="C19" s="26" t="s">
        <v>125</v>
      </c>
      <c r="D19" s="26" t="s">
        <v>124</v>
      </c>
      <c r="E19" s="24" t="str">
        <f t="shared" si="0"/>
        <v>HKDQM3H11Y_Quote</v>
      </c>
      <c r="F19" s="24" t="str">
        <f>_xll.qlSimpleQuote(Currency&amp;$C19&amp;$D19&amp;$B19&amp;QuoteSuffix,,RateTickValue,Permanent,Trigger,ObjectOverwrite)</f>
        <v>HKDQM3H11Y_Quote#0007</v>
      </c>
      <c r="G19" s="130" t="str">
        <f>_xll.ohRangeRetrieveError(F19)</f>
        <v/>
      </c>
      <c r="H19" s="65"/>
      <c r="J19" s="180"/>
      <c r="K19" s="179" t="str">
        <f t="shared" si="1"/>
        <v>HKDQM3H11Y</v>
      </c>
      <c r="L19" s="215" t="str">
        <v>HKDQM3H11Y=PREA</v>
      </c>
      <c r="M19" s="216" t="s">
        <v>151</v>
      </c>
      <c r="N19" s="216" t="s">
        <v>151</v>
      </c>
      <c r="O19" s="216" t="s">
        <v>151</v>
      </c>
      <c r="P19" s="216" t="s">
        <v>151</v>
      </c>
      <c r="Q19" s="177" t="e">
        <f>_xll.qlMidSafe($M19,$N19)</f>
        <v>#NUM!</v>
      </c>
      <c r="R19" s="175"/>
      <c r="S19" s="184" t="e">
        <v>#NUM!</v>
      </c>
      <c r="T19" s="175"/>
      <c r="U19" s="246" t="e">
        <v>#NUM!</v>
      </c>
      <c r="V19" s="181" t="e">
        <f>_xll.qlSimpleQuoteSetValue(E19,U19/100,ISERROR(F19))</f>
        <v>#NUM!</v>
      </c>
      <c r="W19" s="171"/>
      <c r="X19" s="205"/>
      <c r="Y19" s="205"/>
      <c r="Z19" s="205"/>
      <c r="AA19" s="205"/>
      <c r="AB19" s="205"/>
      <c r="AC19" s="206" t="e">
        <f t="shared" si="2"/>
        <v>#VALUE!</v>
      </c>
      <c r="AD19" s="205"/>
    </row>
    <row r="20" spans="1:30" x14ac:dyDescent="0.2">
      <c r="A20" s="71"/>
      <c r="B20" s="133" t="s">
        <v>36</v>
      </c>
      <c r="C20" s="26" t="s">
        <v>125</v>
      </c>
      <c r="D20" s="26" t="s">
        <v>124</v>
      </c>
      <c r="E20" s="24" t="str">
        <f t="shared" si="0"/>
        <v>HKDQM3H12Y_Quote</v>
      </c>
      <c r="F20" s="24" t="str">
        <f>_xll.qlSimpleQuote(Currency&amp;$C20&amp;$D20&amp;$B20&amp;QuoteSuffix,,RateTickValue,Permanent,Trigger,ObjectOverwrite)</f>
        <v>HKDQM3H12Y_Quote#0007</v>
      </c>
      <c r="G20" s="130" t="str">
        <f>_xll.ohRangeRetrieveError(F20)</f>
        <v/>
      </c>
      <c r="H20" s="65"/>
      <c r="J20" s="180"/>
      <c r="K20" s="179" t="str">
        <f t="shared" si="1"/>
        <v>HKDQM3H12Y</v>
      </c>
      <c r="L20" s="215" t="str">
        <v>HKDQM3H12Y=PREA</v>
      </c>
      <c r="M20" s="216">
        <v>2.71</v>
      </c>
      <c r="N20" s="216">
        <v>2.81</v>
      </c>
      <c r="O20" s="216">
        <v>0</v>
      </c>
      <c r="P20" s="216">
        <v>0</v>
      </c>
      <c r="Q20" s="177">
        <f>_xll.qlMidSafe($M20,$N20)</f>
        <v>2.76</v>
      </c>
      <c r="R20" s="175"/>
      <c r="S20" s="184">
        <v>2.6100000000000003</v>
      </c>
      <c r="T20" s="175"/>
      <c r="U20" s="246">
        <v>2.76</v>
      </c>
      <c r="V20" s="181" t="e">
        <f>_xll.qlSimpleQuoteSetValue(E20,U20/100,ISERROR(F20))</f>
        <v>#N/A</v>
      </c>
      <c r="W20" s="171"/>
      <c r="X20" s="205"/>
      <c r="Y20" s="205"/>
      <c r="Z20" s="205"/>
      <c r="AA20" s="205"/>
      <c r="AB20" s="205"/>
      <c r="AC20" s="206">
        <f t="shared" si="2"/>
        <v>1.0000000000000052E-3</v>
      </c>
      <c r="AD20" s="205"/>
    </row>
    <row r="21" spans="1:30" x14ac:dyDescent="0.2">
      <c r="A21" s="71"/>
      <c r="B21" s="133" t="s">
        <v>35</v>
      </c>
      <c r="C21" s="26" t="s">
        <v>125</v>
      </c>
      <c r="D21" s="26" t="s">
        <v>124</v>
      </c>
      <c r="E21" s="24" t="str">
        <f t="shared" si="0"/>
        <v>HKDQM3H13Y_Quote</v>
      </c>
      <c r="F21" s="24" t="str">
        <f>_xll.qlSimpleQuote(Currency&amp;$C21&amp;$D21&amp;$B21&amp;QuoteSuffix,,RateTickValue,Permanent,Trigger,ObjectOverwrite)</f>
        <v>HKDQM3H13Y_Quote#0007</v>
      </c>
      <c r="G21" s="130" t="str">
        <f>_xll.ohRangeRetrieveError(F21)</f>
        <v/>
      </c>
      <c r="H21" s="65"/>
      <c r="J21" s="180"/>
      <c r="K21" s="179" t="str">
        <f t="shared" si="1"/>
        <v>HKDQM3H13Y</v>
      </c>
      <c r="L21" s="215" t="str">
        <v>HKDQM3H13Y=PREA</v>
      </c>
      <c r="M21" s="216" t="s">
        <v>151</v>
      </c>
      <c r="N21" s="216" t="s">
        <v>151</v>
      </c>
      <c r="O21" s="216" t="s">
        <v>151</v>
      </c>
      <c r="P21" s="216" t="s">
        <v>151</v>
      </c>
      <c r="Q21" s="177" t="e">
        <f>_xll.qlMidSafe($M21,$N21)</f>
        <v>#NUM!</v>
      </c>
      <c r="R21" s="175"/>
      <c r="S21" s="184" t="e">
        <v>#NUM!</v>
      </c>
      <c r="T21" s="175"/>
      <c r="U21" s="246" t="e">
        <v>#NUM!</v>
      </c>
      <c r="V21" s="181" t="e">
        <f>_xll.qlSimpleQuoteSetValue(E21,U21/100,ISERROR(F21))</f>
        <v>#NUM!</v>
      </c>
      <c r="W21" s="171"/>
      <c r="X21" s="205"/>
      <c r="Y21" s="205"/>
      <c r="Z21" s="205"/>
      <c r="AA21" s="205"/>
      <c r="AB21" s="205"/>
      <c r="AC21" s="206" t="e">
        <f t="shared" si="2"/>
        <v>#VALUE!</v>
      </c>
      <c r="AD21" s="205"/>
    </row>
    <row r="22" spans="1:30" x14ac:dyDescent="0.2">
      <c r="A22" s="71"/>
      <c r="B22" s="133" t="s">
        <v>34</v>
      </c>
      <c r="C22" s="26" t="s">
        <v>125</v>
      </c>
      <c r="D22" s="26" t="s">
        <v>124</v>
      </c>
      <c r="E22" s="24" t="str">
        <f t="shared" si="0"/>
        <v>HKDQM3H14Y_Quote</v>
      </c>
      <c r="F22" s="24" t="str">
        <f>_xll.qlSimpleQuote(Currency&amp;$C22&amp;$D22&amp;$B22&amp;QuoteSuffix,,RateTickValue,Permanent,Trigger,ObjectOverwrite)</f>
        <v>HKDQM3H14Y_Quote#0007</v>
      </c>
      <c r="G22" s="130" t="str">
        <f>_xll.ohRangeRetrieveError(F22)</f>
        <v/>
      </c>
      <c r="H22" s="65"/>
      <c r="J22" s="180"/>
      <c r="K22" s="179" t="str">
        <f t="shared" si="1"/>
        <v>HKDQM3H14Y</v>
      </c>
      <c r="L22" s="215" t="str">
        <v>HKDQM3H14Y=PREA</v>
      </c>
      <c r="M22" s="216" t="s">
        <v>151</v>
      </c>
      <c r="N22" s="216" t="s">
        <v>151</v>
      </c>
      <c r="O22" s="216" t="s">
        <v>151</v>
      </c>
      <c r="P22" s="216" t="s">
        <v>151</v>
      </c>
      <c r="Q22" s="177" t="e">
        <f>_xll.qlMidSafe($M22,$N22)</f>
        <v>#NUM!</v>
      </c>
      <c r="R22" s="175"/>
      <c r="S22" s="184" t="e">
        <v>#NUM!</v>
      </c>
      <c r="T22" s="175"/>
      <c r="U22" s="246" t="e">
        <v>#NUM!</v>
      </c>
      <c r="V22" s="181" t="e">
        <f>_xll.qlSimpleQuoteSetValue(E22,U22/100,ISERROR(F22))</f>
        <v>#NUM!</v>
      </c>
      <c r="W22" s="171"/>
      <c r="X22" s="205"/>
      <c r="Y22" s="205"/>
      <c r="Z22" s="205"/>
      <c r="AA22" s="205"/>
      <c r="AB22" s="205"/>
      <c r="AC22" s="206" t="e">
        <f t="shared" si="2"/>
        <v>#VALUE!</v>
      </c>
      <c r="AD22" s="205"/>
    </row>
    <row r="23" spans="1:30" x14ac:dyDescent="0.2">
      <c r="A23" s="71"/>
      <c r="B23" s="133" t="s">
        <v>33</v>
      </c>
      <c r="C23" s="26" t="s">
        <v>125</v>
      </c>
      <c r="D23" s="26" t="s">
        <v>124</v>
      </c>
      <c r="E23" s="24" t="str">
        <f t="shared" si="0"/>
        <v>HKDQM3H15Y_Quote</v>
      </c>
      <c r="F23" s="24" t="str">
        <f>_xll.qlSimpleQuote(Currency&amp;$C23&amp;$D23&amp;$B23&amp;QuoteSuffix,,RateTickValue,Permanent,Trigger,ObjectOverwrite)</f>
        <v>HKDQM3H15Y_Quote#0007</v>
      </c>
      <c r="G23" s="130" t="str">
        <f>_xll.ohRangeRetrieveError(F23)</f>
        <v/>
      </c>
      <c r="H23" s="65"/>
      <c r="J23" s="180"/>
      <c r="K23" s="179" t="str">
        <f t="shared" si="1"/>
        <v>HKDQM3H15Y</v>
      </c>
      <c r="L23" s="215" t="str">
        <v>HKDQM3H15Y=PREA</v>
      </c>
      <c r="M23" s="216">
        <v>2.83</v>
      </c>
      <c r="N23" s="216">
        <v>2.93</v>
      </c>
      <c r="O23" s="216">
        <v>0</v>
      </c>
      <c r="P23" s="216">
        <v>0</v>
      </c>
      <c r="Q23" s="177">
        <f>_xll.qlMidSafe($M23,$N23)</f>
        <v>2.88</v>
      </c>
      <c r="R23" s="175"/>
      <c r="S23" s="184">
        <v>2.7199999999999998</v>
      </c>
      <c r="T23" s="175"/>
      <c r="U23" s="246">
        <v>2.88</v>
      </c>
      <c r="V23" s="181" t="e">
        <f>_xll.qlSimpleQuoteSetValue(E23,U23/100,ISERROR(F23))</f>
        <v>#N/A</v>
      </c>
      <c r="W23" s="171"/>
      <c r="X23" s="205"/>
      <c r="Y23" s="205"/>
      <c r="Z23" s="205"/>
      <c r="AA23" s="205"/>
      <c r="AB23" s="205"/>
      <c r="AC23" s="206">
        <f t="shared" si="2"/>
        <v>1.0000000000000052E-3</v>
      </c>
      <c r="AD23" s="205"/>
    </row>
    <row r="24" spans="1:30" x14ac:dyDescent="0.2">
      <c r="A24" s="71"/>
      <c r="B24" s="133" t="s">
        <v>32</v>
      </c>
      <c r="C24" s="26" t="s">
        <v>125</v>
      </c>
      <c r="D24" s="26" t="s">
        <v>124</v>
      </c>
      <c r="E24" s="24" t="str">
        <f t="shared" si="0"/>
        <v>HKDQM3H16Y_Quote</v>
      </c>
      <c r="F24" s="24" t="str">
        <f>_xll.qlSimpleQuote(Currency&amp;$C24&amp;$D24&amp;$B24&amp;QuoteSuffix,,RateTickValue,Permanent,Trigger,ObjectOverwrite)</f>
        <v>HKDQM3H16Y_Quote#0007</v>
      </c>
      <c r="G24" s="130" t="str">
        <f>_xll.ohRangeRetrieveError(F24)</f>
        <v/>
      </c>
      <c r="H24" s="65"/>
      <c r="J24" s="180"/>
      <c r="K24" s="179" t="str">
        <f t="shared" si="1"/>
        <v>HKDQM3H16Y</v>
      </c>
      <c r="L24" s="215" t="str">
        <v>HKDQM3H16Y=PREA</v>
      </c>
      <c r="M24" s="216" t="s">
        <v>151</v>
      </c>
      <c r="N24" s="216" t="s">
        <v>151</v>
      </c>
      <c r="O24" s="216" t="s">
        <v>151</v>
      </c>
      <c r="P24" s="216" t="s">
        <v>151</v>
      </c>
      <c r="Q24" s="177" t="e">
        <f>_xll.qlMidSafe($M24,$N24)</f>
        <v>#NUM!</v>
      </c>
      <c r="R24" s="175"/>
      <c r="S24" s="184" t="e">
        <v>#NUM!</v>
      </c>
      <c r="T24" s="175"/>
      <c r="U24" s="246" t="e">
        <v>#NUM!</v>
      </c>
      <c r="V24" s="181" t="e">
        <f>_xll.qlSimpleQuoteSetValue(E24,U24/100,ISERROR(F24))</f>
        <v>#NUM!</v>
      </c>
      <c r="W24" s="171"/>
      <c r="X24" s="205"/>
      <c r="Y24" s="205"/>
      <c r="Z24" s="205"/>
      <c r="AA24" s="205"/>
      <c r="AB24" s="205"/>
      <c r="AC24" s="206" t="e">
        <f t="shared" si="2"/>
        <v>#VALUE!</v>
      </c>
      <c r="AD24" s="205"/>
    </row>
    <row r="25" spans="1:30" x14ac:dyDescent="0.2">
      <c r="A25" s="71"/>
      <c r="B25" s="133" t="s">
        <v>31</v>
      </c>
      <c r="C25" s="26" t="s">
        <v>125</v>
      </c>
      <c r="D25" s="26" t="s">
        <v>124</v>
      </c>
      <c r="E25" s="24" t="str">
        <f t="shared" si="0"/>
        <v>HKDQM3H17Y_Quote</v>
      </c>
      <c r="F25" s="24" t="str">
        <f>_xll.qlSimpleQuote(Currency&amp;$C25&amp;$D25&amp;$B25&amp;QuoteSuffix,,RateTickValue,Permanent,Trigger,ObjectOverwrite)</f>
        <v>HKDQM3H17Y_Quote#0007</v>
      </c>
      <c r="G25" s="130" t="str">
        <f>_xll.ohRangeRetrieveError(F25)</f>
        <v/>
      </c>
      <c r="H25" s="65"/>
      <c r="J25" s="180"/>
      <c r="K25" s="179" t="str">
        <f t="shared" si="1"/>
        <v>HKDQM3H17Y</v>
      </c>
      <c r="L25" s="215" t="str">
        <v>HKDQM3H17Y=PREA</v>
      </c>
      <c r="M25" s="216" t="s">
        <v>151</v>
      </c>
      <c r="N25" s="216" t="s">
        <v>151</v>
      </c>
      <c r="O25" s="216" t="s">
        <v>151</v>
      </c>
      <c r="P25" s="216" t="s">
        <v>151</v>
      </c>
      <c r="Q25" s="177" t="e">
        <f>_xll.qlMidSafe($M25,$N25)</f>
        <v>#NUM!</v>
      </c>
      <c r="R25" s="175"/>
      <c r="S25" s="184" t="e">
        <v>#NUM!</v>
      </c>
      <c r="T25" s="175"/>
      <c r="U25" s="246" t="e">
        <v>#NUM!</v>
      </c>
      <c r="V25" s="181" t="e">
        <f>_xll.qlSimpleQuoteSetValue(E25,U25/100,ISERROR(F25))</f>
        <v>#NUM!</v>
      </c>
      <c r="W25" s="171"/>
      <c r="X25" s="205"/>
      <c r="Y25" s="205"/>
      <c r="Z25" s="205"/>
      <c r="AA25" s="205"/>
      <c r="AB25" s="205"/>
      <c r="AC25" s="206" t="e">
        <f t="shared" si="2"/>
        <v>#VALUE!</v>
      </c>
      <c r="AD25" s="205"/>
    </row>
    <row r="26" spans="1:30" x14ac:dyDescent="0.2">
      <c r="A26" s="71"/>
      <c r="B26" s="133" t="s">
        <v>30</v>
      </c>
      <c r="C26" s="26" t="s">
        <v>125</v>
      </c>
      <c r="D26" s="26" t="s">
        <v>124</v>
      </c>
      <c r="E26" s="24" t="str">
        <f t="shared" si="0"/>
        <v>HKDQM3H18Y_Quote</v>
      </c>
      <c r="F26" s="24" t="str">
        <f>_xll.qlSimpleQuote(Currency&amp;$C26&amp;$D26&amp;$B26&amp;QuoteSuffix,,RateTickValue,Permanent,Trigger,ObjectOverwrite)</f>
        <v>HKDQM3H18Y_Quote#0007</v>
      </c>
      <c r="G26" s="130" t="str">
        <f>_xll.ohRangeRetrieveError(F26)</f>
        <v/>
      </c>
      <c r="H26" s="65"/>
      <c r="J26" s="180"/>
      <c r="K26" s="179" t="str">
        <f t="shared" si="1"/>
        <v>HKDQM3H18Y</v>
      </c>
      <c r="L26" s="215" t="str">
        <v>HKDQM3H18Y=PREA</v>
      </c>
      <c r="M26" s="216" t="s">
        <v>151</v>
      </c>
      <c r="N26" s="216" t="s">
        <v>151</v>
      </c>
      <c r="O26" s="216" t="s">
        <v>151</v>
      </c>
      <c r="P26" s="216" t="s">
        <v>151</v>
      </c>
      <c r="Q26" s="177" t="e">
        <f>_xll.qlMidSafe($M26,$N26)</f>
        <v>#NUM!</v>
      </c>
      <c r="R26" s="175"/>
      <c r="S26" s="184" t="e">
        <v>#NUM!</v>
      </c>
      <c r="T26" s="175"/>
      <c r="U26" s="246" t="e">
        <v>#NUM!</v>
      </c>
      <c r="V26" s="181" t="e">
        <f>_xll.qlSimpleQuoteSetValue(E26,U26/100,ISERROR(F26))</f>
        <v>#NUM!</v>
      </c>
      <c r="W26" s="171"/>
      <c r="X26" s="205"/>
      <c r="Y26" s="205"/>
      <c r="Z26" s="205"/>
      <c r="AA26" s="205"/>
      <c r="AB26" s="205"/>
      <c r="AC26" s="206" t="e">
        <f t="shared" si="2"/>
        <v>#VALUE!</v>
      </c>
      <c r="AD26" s="205"/>
    </row>
    <row r="27" spans="1:30" x14ac:dyDescent="0.2">
      <c r="A27" s="71"/>
      <c r="B27" s="133" t="s">
        <v>29</v>
      </c>
      <c r="C27" s="26" t="s">
        <v>125</v>
      </c>
      <c r="D27" s="26" t="s">
        <v>124</v>
      </c>
      <c r="E27" s="24" t="str">
        <f t="shared" si="0"/>
        <v>HKDQM3H19Y_Quote</v>
      </c>
      <c r="F27" s="24" t="str">
        <f>_xll.qlSimpleQuote(Currency&amp;$C27&amp;$D27&amp;$B27&amp;QuoteSuffix,,RateTickValue,Permanent,Trigger,ObjectOverwrite)</f>
        <v>HKDQM3H19Y_Quote#0007</v>
      </c>
      <c r="G27" s="130" t="str">
        <f>_xll.ohRangeRetrieveError(F27)</f>
        <v/>
      </c>
      <c r="H27" s="65"/>
      <c r="J27" s="180"/>
      <c r="K27" s="179" t="str">
        <f t="shared" si="1"/>
        <v>HKDQM3H19Y</v>
      </c>
      <c r="L27" s="215" t="str">
        <v>HKDQM3H19Y=PREA</v>
      </c>
      <c r="M27" s="216" t="s">
        <v>151</v>
      </c>
      <c r="N27" s="216" t="s">
        <v>151</v>
      </c>
      <c r="O27" s="216" t="s">
        <v>151</v>
      </c>
      <c r="P27" s="216" t="s">
        <v>151</v>
      </c>
      <c r="Q27" s="177" t="e">
        <f>_xll.qlMidSafe($M27,$N27)</f>
        <v>#NUM!</v>
      </c>
      <c r="R27" s="175"/>
      <c r="S27" s="184" t="e">
        <v>#NUM!</v>
      </c>
      <c r="T27" s="175"/>
      <c r="U27" s="246" t="e">
        <v>#NUM!</v>
      </c>
      <c r="V27" s="181" t="e">
        <f>_xll.qlSimpleQuoteSetValue(E27,U27/100,ISERROR(F27))</f>
        <v>#NUM!</v>
      </c>
      <c r="W27" s="171"/>
      <c r="X27" s="205"/>
      <c r="Y27" s="205"/>
      <c r="Z27" s="205"/>
      <c r="AA27" s="205"/>
      <c r="AB27" s="205"/>
      <c r="AC27" s="206" t="e">
        <f t="shared" si="2"/>
        <v>#VALUE!</v>
      </c>
      <c r="AD27" s="205"/>
    </row>
    <row r="28" spans="1:30" x14ac:dyDescent="0.2">
      <c r="A28" s="71"/>
      <c r="B28" s="133" t="s">
        <v>28</v>
      </c>
      <c r="C28" s="26" t="s">
        <v>125</v>
      </c>
      <c r="D28" s="26" t="s">
        <v>124</v>
      </c>
      <c r="E28" s="24" t="str">
        <f t="shared" si="0"/>
        <v>HKDQM3H20Y_Quote</v>
      </c>
      <c r="F28" s="24" t="str">
        <f>_xll.qlSimpleQuote(Currency&amp;$C28&amp;$D28&amp;$B28&amp;QuoteSuffix,,RateTickValue,Permanent,Trigger,ObjectOverwrite)</f>
        <v>HKDQM3H20Y_Quote#0007</v>
      </c>
      <c r="G28" s="130" t="str">
        <f>_xll.ohRangeRetrieveError(F28)</f>
        <v/>
      </c>
      <c r="H28" s="65"/>
      <c r="J28" s="180"/>
      <c r="K28" s="179" t="str">
        <f t="shared" si="1"/>
        <v>HKDQM3H20Y</v>
      </c>
      <c r="L28" s="215" t="str">
        <v>HKDQM3H20Y=PREA</v>
      </c>
      <c r="M28" s="216" t="s">
        <v>151</v>
      </c>
      <c r="N28" s="216" t="s">
        <v>151</v>
      </c>
      <c r="O28" s="216" t="s">
        <v>151</v>
      </c>
      <c r="P28" s="216" t="s">
        <v>151</v>
      </c>
      <c r="Q28" s="177" t="e">
        <f>_xll.qlMidSafe($M28,$N28)</f>
        <v>#NUM!</v>
      </c>
      <c r="R28" s="175"/>
      <c r="S28" s="184" t="e">
        <v>#NUM!</v>
      </c>
      <c r="T28" s="175"/>
      <c r="U28" s="246" t="e">
        <v>#NUM!</v>
      </c>
      <c r="V28" s="181" t="e">
        <f>_xll.qlSimpleQuoteSetValue(E28,U28/100,ISERROR(F28))</f>
        <v>#NUM!</v>
      </c>
      <c r="W28" s="171"/>
      <c r="X28" s="205"/>
      <c r="Y28" s="205"/>
      <c r="Z28" s="205"/>
      <c r="AA28" s="205"/>
      <c r="AB28" s="205"/>
      <c r="AC28" s="206" t="e">
        <f t="shared" si="2"/>
        <v>#VALUE!</v>
      </c>
      <c r="AD28" s="205"/>
    </row>
    <row r="29" spans="1:30" x14ac:dyDescent="0.2">
      <c r="A29" s="71"/>
      <c r="B29" s="133" t="s">
        <v>27</v>
      </c>
      <c r="C29" s="26" t="s">
        <v>125</v>
      </c>
      <c r="D29" s="26" t="s">
        <v>124</v>
      </c>
      <c r="E29" s="24" t="str">
        <f t="shared" si="0"/>
        <v>HKDQM3H21Y_Quote</v>
      </c>
      <c r="F29" s="24" t="str">
        <f>_xll.qlSimpleQuote(Currency&amp;$C29&amp;$D29&amp;$B29&amp;QuoteSuffix,,RateTickValue,Permanent,Trigger,ObjectOverwrite)</f>
        <v>HKDQM3H21Y_Quote#0007</v>
      </c>
      <c r="G29" s="130" t="str">
        <f>_xll.ohRangeRetrieveError(F29)</f>
        <v/>
      </c>
      <c r="H29" s="65"/>
      <c r="J29" s="180"/>
      <c r="K29" s="179" t="str">
        <f t="shared" si="1"/>
        <v>HKDQM3H21Y</v>
      </c>
      <c r="L29" s="215" t="str">
        <v>HKDQM3H21Y=PREA</v>
      </c>
      <c r="M29" s="216" t="s">
        <v>151</v>
      </c>
      <c r="N29" s="216" t="s">
        <v>151</v>
      </c>
      <c r="O29" s="216" t="s">
        <v>151</v>
      </c>
      <c r="P29" s="216" t="s">
        <v>151</v>
      </c>
      <c r="Q29" s="177" t="e">
        <f>_xll.qlMidSafe($M29,$N29)</f>
        <v>#NUM!</v>
      </c>
      <c r="R29" s="175"/>
      <c r="S29" s="184" t="e">
        <v>#NUM!</v>
      </c>
      <c r="T29" s="175"/>
      <c r="U29" s="246" t="e">
        <v>#NUM!</v>
      </c>
      <c r="V29" s="181" t="e">
        <f>_xll.qlSimpleQuoteSetValue(E29,U29/100,ISERROR(F29))</f>
        <v>#NUM!</v>
      </c>
      <c r="W29" s="171"/>
      <c r="X29" s="205"/>
      <c r="Y29" s="205"/>
      <c r="Z29" s="205"/>
      <c r="AA29" s="205"/>
      <c r="AB29" s="205"/>
      <c r="AC29" s="206" t="e">
        <f t="shared" si="2"/>
        <v>#VALUE!</v>
      </c>
      <c r="AD29" s="205"/>
    </row>
    <row r="30" spans="1:30" x14ac:dyDescent="0.2">
      <c r="A30" s="71"/>
      <c r="B30" s="133" t="s">
        <v>26</v>
      </c>
      <c r="C30" s="26" t="s">
        <v>125</v>
      </c>
      <c r="D30" s="26" t="s">
        <v>124</v>
      </c>
      <c r="E30" s="24" t="str">
        <f t="shared" si="0"/>
        <v>HKDQM3H22Y_Quote</v>
      </c>
      <c r="F30" s="24" t="str">
        <f>_xll.qlSimpleQuote(Currency&amp;$C30&amp;$D30&amp;$B30&amp;QuoteSuffix,,RateTickValue,Permanent,Trigger,ObjectOverwrite)</f>
        <v>HKDQM3H22Y_Quote#0007</v>
      </c>
      <c r="G30" s="130" t="str">
        <f>_xll.ohRangeRetrieveError(F30)</f>
        <v/>
      </c>
      <c r="H30" s="65"/>
      <c r="J30" s="180"/>
      <c r="K30" s="179" t="str">
        <f t="shared" si="1"/>
        <v>HKDQM3H22Y</v>
      </c>
      <c r="L30" s="215" t="str">
        <v>HKDQM3H22Y=PREA</v>
      </c>
      <c r="M30" s="216" t="s">
        <v>151</v>
      </c>
      <c r="N30" s="216" t="s">
        <v>151</v>
      </c>
      <c r="O30" s="216" t="s">
        <v>151</v>
      </c>
      <c r="P30" s="216" t="s">
        <v>151</v>
      </c>
      <c r="Q30" s="177" t="e">
        <f>_xll.qlMidSafe($M30,$N30)</f>
        <v>#NUM!</v>
      </c>
      <c r="R30" s="175"/>
      <c r="S30" s="184" t="e">
        <v>#NUM!</v>
      </c>
      <c r="T30" s="175"/>
      <c r="U30" s="246" t="e">
        <v>#NUM!</v>
      </c>
      <c r="V30" s="181" t="e">
        <f>_xll.qlSimpleQuoteSetValue(E30,U30/100,ISERROR(F30))</f>
        <v>#NUM!</v>
      </c>
      <c r="W30" s="171"/>
      <c r="X30" s="205"/>
      <c r="Y30" s="205"/>
      <c r="Z30" s="205"/>
      <c r="AA30" s="205"/>
      <c r="AB30" s="205"/>
      <c r="AC30" s="206" t="e">
        <f t="shared" si="2"/>
        <v>#VALUE!</v>
      </c>
      <c r="AD30" s="205"/>
    </row>
    <row r="31" spans="1:30" x14ac:dyDescent="0.2">
      <c r="A31" s="71"/>
      <c r="B31" s="133" t="s">
        <v>25</v>
      </c>
      <c r="C31" s="26" t="s">
        <v>125</v>
      </c>
      <c r="D31" s="26" t="s">
        <v>124</v>
      </c>
      <c r="E31" s="24" t="str">
        <f t="shared" si="0"/>
        <v>HKDQM3H23Y_Quote</v>
      </c>
      <c r="F31" s="24" t="str">
        <f>_xll.qlSimpleQuote(Currency&amp;$C31&amp;$D31&amp;$B31&amp;QuoteSuffix,,RateTickValue,Permanent,Trigger,ObjectOverwrite)</f>
        <v>HKDQM3H23Y_Quote#0007</v>
      </c>
      <c r="G31" s="130" t="str">
        <f>_xll.ohRangeRetrieveError(F31)</f>
        <v/>
      </c>
      <c r="H31" s="65"/>
      <c r="J31" s="180"/>
      <c r="K31" s="179" t="str">
        <f t="shared" si="1"/>
        <v>HKDQM3H23Y</v>
      </c>
      <c r="L31" s="215" t="str">
        <v>HKDQM3H23Y=PREA</v>
      </c>
      <c r="M31" s="216" t="s">
        <v>151</v>
      </c>
      <c r="N31" s="216" t="s">
        <v>151</v>
      </c>
      <c r="O31" s="216" t="s">
        <v>151</v>
      </c>
      <c r="P31" s="216" t="s">
        <v>151</v>
      </c>
      <c r="Q31" s="177" t="e">
        <f>_xll.qlMidSafe($M31,$N31)</f>
        <v>#NUM!</v>
      </c>
      <c r="R31" s="175"/>
      <c r="S31" s="184" t="e">
        <v>#NUM!</v>
      </c>
      <c r="T31" s="175"/>
      <c r="U31" s="246" t="e">
        <v>#NUM!</v>
      </c>
      <c r="V31" s="181" t="e">
        <f>_xll.qlSimpleQuoteSetValue(E31,U31/100,ISERROR(F31))</f>
        <v>#NUM!</v>
      </c>
      <c r="W31" s="171"/>
      <c r="X31" s="205"/>
      <c r="Y31" s="205"/>
      <c r="Z31" s="205"/>
      <c r="AA31" s="205"/>
      <c r="AB31" s="205"/>
      <c r="AC31" s="206" t="e">
        <f t="shared" si="2"/>
        <v>#VALUE!</v>
      </c>
      <c r="AD31" s="205"/>
    </row>
    <row r="32" spans="1:30" x14ac:dyDescent="0.2">
      <c r="A32" s="71"/>
      <c r="B32" s="133" t="s">
        <v>24</v>
      </c>
      <c r="C32" s="26" t="s">
        <v>125</v>
      </c>
      <c r="D32" s="26" t="s">
        <v>124</v>
      </c>
      <c r="E32" s="24" t="str">
        <f t="shared" si="0"/>
        <v>HKDQM3H24Y_Quote</v>
      </c>
      <c r="F32" s="24" t="str">
        <f>_xll.qlSimpleQuote(Currency&amp;$C32&amp;$D32&amp;$B32&amp;QuoteSuffix,,RateTickValue,Permanent,Trigger,ObjectOverwrite)</f>
        <v>HKDQM3H24Y_Quote#0007</v>
      </c>
      <c r="G32" s="130" t="str">
        <f>_xll.ohRangeRetrieveError(F32)</f>
        <v/>
      </c>
      <c r="H32" s="65"/>
      <c r="J32" s="180"/>
      <c r="K32" s="299" t="str">
        <f t="shared" si="1"/>
        <v>HKDQM3H24Y</v>
      </c>
      <c r="L32" s="221" t="str">
        <v>HKDQM3H24Y=PREA</v>
      </c>
      <c r="M32" s="222" t="s">
        <v>151</v>
      </c>
      <c r="N32" s="222" t="s">
        <v>151</v>
      </c>
      <c r="O32" s="222" t="s">
        <v>151</v>
      </c>
      <c r="P32" s="222" t="s">
        <v>151</v>
      </c>
      <c r="Q32" s="220" t="e">
        <f>_xll.qlMidSafe($M32,$N32)</f>
        <v>#NUM!</v>
      </c>
      <c r="R32" s="175"/>
      <c r="S32" s="176" t="e">
        <v>#NUM!</v>
      </c>
      <c r="T32" s="175"/>
      <c r="U32" s="239" t="e">
        <v>#NUM!</v>
      </c>
      <c r="V32" s="172" t="e">
        <f>_xll.qlSimpleQuoteSetValue(E32,U32/100,ISERROR(F32))</f>
        <v>#NUM!</v>
      </c>
      <c r="W32" s="171"/>
      <c r="X32" s="205"/>
      <c r="Y32" s="205"/>
      <c r="Z32" s="205"/>
      <c r="AA32" s="205"/>
      <c r="AB32" s="205"/>
      <c r="AC32" s="206" t="e">
        <f t="shared" si="2"/>
        <v>#VALUE!</v>
      </c>
      <c r="AD32" s="205"/>
    </row>
    <row r="33" spans="1:30" ht="13.5" thickBot="1" x14ac:dyDescent="0.25">
      <c r="A33" s="64"/>
      <c r="B33" s="63"/>
      <c r="C33" s="63"/>
      <c r="D33" s="63"/>
      <c r="E33" s="63"/>
      <c r="F33" s="62"/>
      <c r="G33" s="62"/>
      <c r="H33" s="61"/>
      <c r="J33" s="298"/>
      <c r="K33" s="168"/>
      <c r="L33" s="168"/>
      <c r="M33" s="168"/>
      <c r="N33" s="168"/>
      <c r="O33" s="168"/>
      <c r="P33" s="168"/>
      <c r="Q33" s="168"/>
      <c r="R33" s="297"/>
      <c r="S33" s="297"/>
      <c r="T33" s="297"/>
      <c r="U33" s="297"/>
      <c r="V33" s="297"/>
      <c r="W33" s="290"/>
      <c r="X33" s="205"/>
      <c r="Y33" s="205"/>
      <c r="Z33" s="205"/>
      <c r="AA33" s="205"/>
      <c r="AB33" s="205"/>
      <c r="AC33" s="205"/>
      <c r="AD33" s="205"/>
    </row>
    <row r="34" spans="1:30" ht="15" x14ac:dyDescent="0.25">
      <c r="J34" s="205"/>
      <c r="K34" s="205"/>
      <c r="L34" s="205"/>
      <c r="M34" s="205"/>
      <c r="N34" s="205"/>
      <c r="O34" s="205"/>
      <c r="P34" s="205"/>
      <c r="Q34" s="205"/>
      <c r="R34" s="205"/>
      <c r="S34" s="205"/>
      <c r="T34" s="205"/>
      <c r="U34" s="205"/>
      <c r="V34"/>
      <c r="W34" s="205"/>
      <c r="X34" s="205"/>
      <c r="Y34" s="205"/>
      <c r="Z34" s="205"/>
      <c r="AA34" s="205"/>
      <c r="AB34" s="205"/>
      <c r="AC34" s="205"/>
      <c r="AD34" s="205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AE27"/>
  <sheetViews>
    <sheetView zoomScaleNormal="100" workbookViewId="0"/>
  </sheetViews>
  <sheetFormatPr defaultRowHeight="12.75" x14ac:dyDescent="0.2"/>
  <cols>
    <col min="1" max="2" width="2.7109375" style="14" customWidth="1"/>
    <col min="3" max="3" width="5.5703125" style="14" bestFit="1" customWidth="1"/>
    <col min="4" max="4" width="3.42578125" style="14" bestFit="1" customWidth="1"/>
    <col min="5" max="5" width="6.5703125" style="14" customWidth="1"/>
    <col min="6" max="6" width="13.140625" style="14" customWidth="1"/>
    <col min="7" max="7" width="7.28515625" style="14" customWidth="1"/>
    <col min="8" max="8" width="5.5703125" style="14" customWidth="1"/>
    <col min="9" max="9" width="15.28515625" style="14" customWidth="1"/>
    <col min="10" max="10" width="9.5703125" style="14" customWidth="1"/>
    <col min="11" max="11" width="10.5703125" style="14" bestFit="1" customWidth="1"/>
    <col min="12" max="12" width="24.7109375" style="14" bestFit="1" customWidth="1"/>
    <col min="13" max="13" width="26.7109375" style="14" bestFit="1" customWidth="1"/>
    <col min="14" max="14" width="54.7109375" style="14" customWidth="1"/>
    <col min="15" max="17" width="2.7109375" style="14" customWidth="1"/>
    <col min="18" max="19" width="9.140625" style="14"/>
    <col min="20" max="20" width="14.140625" style="14" customWidth="1"/>
    <col min="21" max="22" width="9.140625" style="14"/>
    <col min="23" max="23" width="11.140625" style="14" bestFit="1" customWidth="1"/>
    <col min="24" max="24" width="2.7109375" style="14" customWidth="1"/>
    <col min="25" max="25" width="10.85546875" style="14" bestFit="1" customWidth="1"/>
    <col min="26" max="26" width="11.42578125" style="14" bestFit="1" customWidth="1"/>
    <col min="27" max="27" width="9.85546875" style="14" bestFit="1" customWidth="1"/>
    <col min="28" max="30" width="9.140625" style="14"/>
    <col min="31" max="31" width="2.7109375" style="14" customWidth="1"/>
    <col min="32" max="16384" width="9.140625" style="14"/>
  </cols>
  <sheetData>
    <row r="1" spans="2:31" s="1" customFormat="1" ht="12" thickBot="1" x14ac:dyDescent="0.25"/>
    <row r="2" spans="2:31" s="1" customFormat="1" x14ac:dyDescent="0.2">
      <c r="B2" s="160"/>
      <c r="C2" s="159"/>
      <c r="D2" s="159"/>
      <c r="E2" s="159"/>
      <c r="F2" s="159"/>
      <c r="G2" s="159"/>
      <c r="H2" s="159"/>
      <c r="I2" s="159"/>
      <c r="J2" s="159"/>
      <c r="K2" s="158"/>
      <c r="L2" s="157"/>
      <c r="M2" s="157"/>
      <c r="N2" s="157"/>
      <c r="O2" s="156"/>
      <c r="Q2" s="160"/>
      <c r="R2" s="159"/>
      <c r="S2" s="159"/>
      <c r="T2" s="159"/>
      <c r="U2" s="159"/>
      <c r="V2" s="159"/>
      <c r="W2" s="159"/>
      <c r="X2" s="159"/>
      <c r="Y2" s="159"/>
      <c r="Z2" s="159"/>
      <c r="AA2" s="159"/>
      <c r="AB2" s="159"/>
      <c r="AC2" s="159"/>
      <c r="AD2" s="159"/>
      <c r="AE2" s="382"/>
    </row>
    <row r="3" spans="2:31" s="1" customFormat="1" x14ac:dyDescent="0.2">
      <c r="B3" s="150"/>
      <c r="C3" s="155"/>
      <c r="D3" s="155"/>
      <c r="E3" s="155"/>
      <c r="F3" s="155"/>
      <c r="G3" s="155"/>
      <c r="H3" s="155"/>
      <c r="I3" s="155"/>
      <c r="J3" s="155"/>
      <c r="K3" s="7" t="s">
        <v>129</v>
      </c>
      <c r="L3" s="145" t="s">
        <v>128</v>
      </c>
      <c r="M3" s="155"/>
      <c r="N3" s="154"/>
      <c r="O3" s="151"/>
      <c r="Q3" s="150"/>
      <c r="R3" s="155"/>
      <c r="S3" s="155"/>
      <c r="T3" s="155"/>
      <c r="U3" s="155"/>
      <c r="V3" s="155"/>
      <c r="W3" s="155"/>
      <c r="X3" s="155"/>
      <c r="Y3" s="155"/>
      <c r="Z3" s="155"/>
      <c r="AA3" s="155"/>
      <c r="AB3" s="155"/>
      <c r="AC3" s="155"/>
      <c r="AD3" s="155"/>
      <c r="AE3" s="383"/>
    </row>
    <row r="4" spans="2:31" s="1" customFormat="1" x14ac:dyDescent="0.2">
      <c r="B4" s="150"/>
      <c r="C4" s="155"/>
      <c r="D4" s="155"/>
      <c r="E4" s="155"/>
      <c r="F4" s="155"/>
      <c r="G4" s="155"/>
      <c r="H4" s="155"/>
      <c r="I4" s="155"/>
      <c r="J4" s="155"/>
      <c r="K4" s="154"/>
      <c r="L4" s="154"/>
      <c r="M4" s="154"/>
      <c r="N4" s="154"/>
      <c r="O4" s="151"/>
      <c r="Q4" s="150"/>
      <c r="R4" s="155"/>
      <c r="S4" s="155" t="s">
        <v>159</v>
      </c>
      <c r="T4" s="155"/>
      <c r="U4" s="155"/>
      <c r="V4" s="155"/>
      <c r="W4" s="155"/>
      <c r="X4" s="155"/>
      <c r="Y4" s="155" t="s">
        <v>128</v>
      </c>
      <c r="Z4" s="155"/>
      <c r="AA4" s="155"/>
      <c r="AB4" s="155">
        <f>MAX(AD6:AD14)</f>
        <v>0</v>
      </c>
      <c r="AC4" s="155"/>
      <c r="AD4" s="155"/>
      <c r="AE4" s="383"/>
    </row>
    <row r="5" spans="2:31" s="1" customFormat="1" ht="33.75" x14ac:dyDescent="0.2">
      <c r="B5" s="150"/>
      <c r="C5" s="153" t="s">
        <v>142</v>
      </c>
      <c r="D5" s="153"/>
      <c r="E5" s="153" t="s">
        <v>141</v>
      </c>
      <c r="F5" s="153" t="s">
        <v>140</v>
      </c>
      <c r="G5" s="153" t="s">
        <v>139</v>
      </c>
      <c r="H5" s="153" t="s">
        <v>138</v>
      </c>
      <c r="I5" s="153" t="s">
        <v>137</v>
      </c>
      <c r="J5" s="107" t="s">
        <v>136</v>
      </c>
      <c r="K5" s="152" t="str">
        <f>PROPER(Currency)&amp;FamilyName&amp;".xml"</f>
        <v>HkdHibor.xml</v>
      </c>
      <c r="L5" s="106" t="e">
        <f ca="1">IF(Serialize,_xll.ohObjectSave(L6:M14,SerializationPath&amp;FileName,FileOverwrite,,Serialize),"---")</f>
        <v>#NUM!</v>
      </c>
      <c r="M5" s="145"/>
      <c r="N5" s="143" t="str">
        <f ca="1">_xll.ohRangeRetrieveError(L5)</f>
        <v>ohObjectSave - ObjectHandler error: attempt to retrieve object with unknown ID 'HkdHiborON'</v>
      </c>
      <c r="O5" s="391" t="s">
        <v>211</v>
      </c>
      <c r="Q5" s="150"/>
      <c r="R5" s="370" t="s">
        <v>142</v>
      </c>
      <c r="S5" s="369" t="str">
        <f>_xll.RData(S6:S14,T5:U5,"RTFEED:IDN",,,T6)</f>
        <v>On Pause</v>
      </c>
      <c r="T5" s="369" t="s">
        <v>207</v>
      </c>
      <c r="U5" s="369" t="s">
        <v>160</v>
      </c>
      <c r="V5" s="369" t="s">
        <v>206</v>
      </c>
      <c r="W5" s="368" t="s">
        <v>205</v>
      </c>
      <c r="X5" s="155"/>
      <c r="Y5" s="370" t="s">
        <v>154</v>
      </c>
      <c r="Z5" s="369" t="s">
        <v>204</v>
      </c>
      <c r="AA5" s="369" t="s">
        <v>203</v>
      </c>
      <c r="AB5" s="369" t="s">
        <v>202</v>
      </c>
      <c r="AC5" s="368" t="s">
        <v>201</v>
      </c>
      <c r="AD5" s="367"/>
      <c r="AE5" s="383"/>
    </row>
    <row r="6" spans="2:31" s="1" customFormat="1" ht="15" x14ac:dyDescent="0.25">
      <c r="B6" s="150"/>
      <c r="C6" s="149" t="s">
        <v>127</v>
      </c>
      <c r="D6" s="149" t="str">
        <f>C6</f>
        <v>ON</v>
      </c>
      <c r="E6" s="149">
        <v>0</v>
      </c>
      <c r="F6" s="149" t="s">
        <v>132</v>
      </c>
      <c r="G6" s="149" t="s">
        <v>131</v>
      </c>
      <c r="H6" s="149" t="b">
        <v>1</v>
      </c>
      <c r="I6" s="149" t="s">
        <v>130</v>
      </c>
      <c r="J6" s="148" t="str">
        <f>FamilyName&amp;"YCON"</f>
        <v>HiborYCON</v>
      </c>
      <c r="K6" s="147" t="str">
        <f t="shared" ref="K6:K14" si="0">PROPER(Currency)&amp;FamilyName&amp;$C6</f>
        <v>HkdHiborON</v>
      </c>
      <c r="L6" s="134" t="str">
        <f>_xll.qlOvernightIndex(K6,FamilyName,E6,Currency,F6,I6,Currency&amp;J6,Permanent,Trigger,FileOverwrite)</f>
        <v>HkdHiborON#0007</v>
      </c>
      <c r="M6" s="146" t="str">
        <f>_xll.qlLastFixingQuote(K6&amp;"LastFixing_Quote",L6,Permanent,Trigger,ObjectOverwrite)</f>
        <v>HkdHiborONLastFixing_Quote#0007</v>
      </c>
      <c r="N6" s="143" t="str">
        <f>_xll.ohRangeRetrieveError(L6)</f>
        <v/>
      </c>
      <c r="O6" s="392" t="s">
        <v>211</v>
      </c>
      <c r="Q6" s="150"/>
      <c r="R6" s="366" t="s">
        <v>127</v>
      </c>
      <c r="S6" s="361" t="str">
        <f t="shared" ref="S6:S14" si="1">"HI"&amp;Currency&amp;$R6&amp;$S$4&amp;"="</f>
        <v>HIHKDOND=</v>
      </c>
      <c r="T6" s="365">
        <v>41582</v>
      </c>
      <c r="U6" s="364">
        <v>8.548E-2</v>
      </c>
      <c r="V6" s="364" t="b">
        <f t="shared" ref="V6:V14" si="2">IF(AND(ISNUMBER($U6),$U6&lt;&gt;0%),TRUE,FALSE)</f>
        <v>1</v>
      </c>
      <c r="W6" s="363" t="b">
        <f>IF($V6,_xll.qlIndexAddFixings($Y6,$T6,$U6/100,TRUE,ISERROR($Z6)),NA())</f>
        <v>1</v>
      </c>
      <c r="X6" s="155"/>
      <c r="Y6" s="362" t="str">
        <f>PROPER(Currency)&amp;$Y$4&amp;$R6</f>
        <v>HkdHiborON</v>
      </c>
      <c r="Z6" s="361">
        <f>_xll.qlIndexFixing($Y6,$T6,TRUE,$V6)</f>
        <v>8.5479999999999996E-4</v>
      </c>
      <c r="AA6" s="361">
        <f>IF($W6,_xll.qlIndexFixing($Y6,$T6,FALSE,$V6),"-")</f>
        <v>8.5479999999999996E-4</v>
      </c>
      <c r="AB6" s="361">
        <f t="shared" ref="AB6:AB14" si="3">Z6-AA6</f>
        <v>0</v>
      </c>
      <c r="AC6" s="360">
        <f>_xll.qlIndexFixing($Y6,$T6,TRUE,$AA6)</f>
        <v>8.5479999999999996E-4</v>
      </c>
      <c r="AD6" s="359">
        <f>IF(ISERROR(AB6),0,ABS(AB6))</f>
        <v>0</v>
      </c>
      <c r="AE6" s="383"/>
    </row>
    <row r="7" spans="2:31" s="1" customFormat="1" ht="15" x14ac:dyDescent="0.25">
      <c r="B7" s="150"/>
      <c r="C7" s="149" t="s">
        <v>135</v>
      </c>
      <c r="D7" s="149" t="str">
        <f>C7</f>
        <v>TN</v>
      </c>
      <c r="E7" s="149">
        <v>0</v>
      </c>
      <c r="F7" s="149" t="s">
        <v>132</v>
      </c>
      <c r="G7" s="149" t="s">
        <v>131</v>
      </c>
      <c r="H7" s="149" t="b">
        <v>1</v>
      </c>
      <c r="I7" s="149" t="s">
        <v>130</v>
      </c>
      <c r="J7" s="148" t="str">
        <f>FamilyName&amp;"YCON"</f>
        <v>HiborYCON</v>
      </c>
      <c r="K7" s="147" t="str">
        <f t="shared" si="0"/>
        <v>HkdHiborTN</v>
      </c>
      <c r="L7" s="134"/>
      <c r="M7" s="146"/>
      <c r="N7" s="143"/>
      <c r="O7" s="392" t="s">
        <v>211</v>
      </c>
      <c r="Q7" s="150"/>
      <c r="R7" s="358" t="s">
        <v>135</v>
      </c>
      <c r="S7" s="353" t="str">
        <f t="shared" si="1"/>
        <v>HIHKDTND=</v>
      </c>
      <c r="T7" s="357" t="s">
        <v>151</v>
      </c>
      <c r="U7" s="356" t="s">
        <v>151</v>
      </c>
      <c r="V7" s="356" t="b">
        <f t="shared" si="2"/>
        <v>0</v>
      </c>
      <c r="W7" s="355" t="e">
        <f>IF($V7,_xll.qlIndexAddFixings($Y7,$T7,$U7/100,TRUE,ISERROR($Z7)),NA())</f>
        <v>#N/A</v>
      </c>
      <c r="X7" s="155"/>
      <c r="Y7" s="354" t="str">
        <f>PROPER(Currency)&amp;$Y$4&amp;$R7</f>
        <v>HkdHiborTN</v>
      </c>
      <c r="Z7" s="353" t="e">
        <f>_xll.qlIndexFixing($Y7,$T7,TRUE,$V7)</f>
        <v>#NUM!</v>
      </c>
      <c r="AA7" s="353" t="e">
        <f>IF($W7,_xll.qlIndexFixing($Y7,$T7,FALSE,$V7),"-")</f>
        <v>#N/A</v>
      </c>
      <c r="AB7" s="353" t="e">
        <f t="shared" si="3"/>
        <v>#NUM!</v>
      </c>
      <c r="AC7" s="352" t="e">
        <f>_xll.qlIndexFixing($Y7,$T7,TRUE,$AA7)</f>
        <v>#NUM!</v>
      </c>
      <c r="AD7" s="351"/>
      <c r="AE7" s="383"/>
    </row>
    <row r="8" spans="2:31" s="1" customFormat="1" ht="15" x14ac:dyDescent="0.25">
      <c r="B8" s="150"/>
      <c r="C8" s="149" t="s">
        <v>134</v>
      </c>
      <c r="D8" s="149" t="str">
        <f>C8</f>
        <v>SN</v>
      </c>
      <c r="E8" s="149">
        <v>0</v>
      </c>
      <c r="F8" s="149" t="s">
        <v>132</v>
      </c>
      <c r="G8" s="149" t="s">
        <v>131</v>
      </c>
      <c r="H8" s="149" t="b">
        <v>1</v>
      </c>
      <c r="I8" s="149" t="s">
        <v>130</v>
      </c>
      <c r="J8" s="148" t="str">
        <f>FamilyName&amp;"YCON"</f>
        <v>HiborYCON</v>
      </c>
      <c r="K8" s="147" t="str">
        <f t="shared" si="0"/>
        <v>HkdHiborSN</v>
      </c>
      <c r="L8" s="134"/>
      <c r="M8" s="146"/>
      <c r="N8" s="143"/>
      <c r="O8" s="392" t="s">
        <v>211</v>
      </c>
      <c r="Q8" s="150"/>
      <c r="R8" s="358" t="s">
        <v>134</v>
      </c>
      <c r="S8" s="353" t="str">
        <f t="shared" si="1"/>
        <v>HIHKDSND=</v>
      </c>
      <c r="T8" s="357" t="s">
        <v>151</v>
      </c>
      <c r="U8" s="356" t="s">
        <v>151</v>
      </c>
      <c r="V8" s="356" t="b">
        <f t="shared" si="2"/>
        <v>0</v>
      </c>
      <c r="W8" s="355" t="e">
        <f>IF($V8,_xll.qlIndexAddFixings($Y8,$T8,$U8/100,TRUE,ISERROR($Z8)),NA())</f>
        <v>#N/A</v>
      </c>
      <c r="X8" s="155"/>
      <c r="Y8" s="354" t="str">
        <f>PROPER(Currency)&amp;$Y$4&amp;$R8</f>
        <v>HkdHiborSN</v>
      </c>
      <c r="Z8" s="353" t="e">
        <f>_xll.qlIndexFixing($Y8,$T8,TRUE,$V8)</f>
        <v>#NUM!</v>
      </c>
      <c r="AA8" s="353" t="e">
        <f>IF($W8,_xll.qlIndexFixing($Y8,$T8,FALSE,$V8),"-")</f>
        <v>#N/A</v>
      </c>
      <c r="AB8" s="353" t="e">
        <f t="shared" si="3"/>
        <v>#NUM!</v>
      </c>
      <c r="AC8" s="352" t="e">
        <f>_xll.qlIndexFixing($Y8,$T8,TRUE,$AA8)</f>
        <v>#NUM!</v>
      </c>
      <c r="AD8" s="351"/>
      <c r="AE8" s="383"/>
    </row>
    <row r="9" spans="2:31" s="1" customFormat="1" ht="15" x14ac:dyDescent="0.25">
      <c r="B9" s="150"/>
      <c r="C9" s="149" t="s">
        <v>118</v>
      </c>
      <c r="D9" s="149" t="s">
        <v>133</v>
      </c>
      <c r="E9" s="149">
        <v>0</v>
      </c>
      <c r="F9" s="149" t="s">
        <v>132</v>
      </c>
      <c r="G9" s="149" t="s">
        <v>131</v>
      </c>
      <c r="H9" s="149" t="b">
        <v>1</v>
      </c>
      <c r="I9" s="149" t="s">
        <v>130</v>
      </c>
      <c r="J9" s="148" t="str">
        <f>FamilyName&amp;"YCON"</f>
        <v>HiborYCON</v>
      </c>
      <c r="K9" s="147" t="str">
        <f t="shared" si="0"/>
        <v>HkdHiborSW</v>
      </c>
      <c r="L9" s="134" t="str">
        <f>_xll.qlIborIndex($K9,FamilyName,$D9,E9,Currency,F9,G9,H9,I9,Currency&amp;$J9,Permanent,Trigger,ObjectOverwrite)</f>
        <v>HkdHiborSW#0007</v>
      </c>
      <c r="M9" s="146" t="str">
        <f>_xll.qlLastFixingQuote(K9&amp;"LastFixing_Quote",L9,Permanent,Trigger,ObjectOverwrite)</f>
        <v>HkdHiborSWLastFixing_Quote#0007</v>
      </c>
      <c r="N9" s="143" t="str">
        <f>_xll.ohRangeRetrieveError(L9)</f>
        <v/>
      </c>
      <c r="O9" s="392" t="s">
        <v>211</v>
      </c>
      <c r="Q9" s="150"/>
      <c r="R9" s="358" t="s">
        <v>133</v>
      </c>
      <c r="S9" s="353" t="str">
        <f t="shared" si="1"/>
        <v>HIHKD1WD=</v>
      </c>
      <c r="T9" s="357">
        <v>41582</v>
      </c>
      <c r="U9" s="356">
        <v>0.13786000000000001</v>
      </c>
      <c r="V9" s="356" t="b">
        <f t="shared" si="2"/>
        <v>1</v>
      </c>
      <c r="W9" s="355" t="b">
        <f>IF($V9,_xll.qlIndexAddFixings($Y9,$T9,$U9/100,TRUE,ISERROR($Z9)),NA())</f>
        <v>1</v>
      </c>
      <c r="X9" s="155"/>
      <c r="Y9" s="354" t="str">
        <f>PROPER(Currency)&amp;$Y$4&amp;"SW"</f>
        <v>HkdHiborSW</v>
      </c>
      <c r="Z9" s="353">
        <f>_xll.qlIndexFixing($Y9,$T9,TRUE,$V9)</f>
        <v>1.3786E-3</v>
      </c>
      <c r="AA9" s="353">
        <f>IF($W9,_xll.qlIndexFixing($Y9,$T9,FALSE,$V9),"-")</f>
        <v>1.3786E-3</v>
      </c>
      <c r="AB9" s="353">
        <f t="shared" si="3"/>
        <v>0</v>
      </c>
      <c r="AC9" s="352">
        <f>_xll.qlIndexFixing($Y9,$T9,TRUE,$AA9)</f>
        <v>1.3786E-3</v>
      </c>
      <c r="AD9" s="351">
        <f t="shared" ref="AD9:AD14" si="4">IF(ISERROR(AB9),0,ABS(AB9))</f>
        <v>0</v>
      </c>
      <c r="AE9" s="383"/>
    </row>
    <row r="10" spans="2:31" s="1" customFormat="1" ht="15" x14ac:dyDescent="0.25">
      <c r="B10" s="150"/>
      <c r="C10" s="149" t="s">
        <v>117</v>
      </c>
      <c r="D10" s="149" t="str">
        <f t="shared" ref="D10:D14" si="5">C10</f>
        <v>2W</v>
      </c>
      <c r="E10" s="149">
        <v>0</v>
      </c>
      <c r="F10" s="149" t="s">
        <v>132</v>
      </c>
      <c r="G10" s="149" t="s">
        <v>131</v>
      </c>
      <c r="H10" s="149" t="b">
        <v>1</v>
      </c>
      <c r="I10" s="149" t="s">
        <v>130</v>
      </c>
      <c r="J10" s="148" t="str">
        <f t="shared" ref="J10:J11" si="6">FamilyName&amp;"YC1M"</f>
        <v>HiborYC1M</v>
      </c>
      <c r="K10" s="147" t="str">
        <f t="shared" si="0"/>
        <v>HkdHibor2W</v>
      </c>
      <c r="L10" s="134" t="str">
        <f>_xll.qlIborIndex($K10,FamilyName,$D10,E10,Currency,F10,G10,H10,I10,Currency&amp;$J10,Permanent,Trigger,ObjectOverwrite)</f>
        <v>HkdHibor2W#0007</v>
      </c>
      <c r="M10" s="146" t="str">
        <f>_xll.qlLastFixingQuote(K10&amp;"LastFixing_Quote",L10,Permanent,Trigger,ObjectOverwrite)</f>
        <v>HkdHibor2WLastFixing_Quote#0007</v>
      </c>
      <c r="N10" s="143" t="str">
        <f>_xll.ohRangeRetrieveError(L10)</f>
        <v/>
      </c>
      <c r="O10" s="392" t="s">
        <v>211</v>
      </c>
      <c r="Q10" s="150"/>
      <c r="R10" s="358" t="s">
        <v>117</v>
      </c>
      <c r="S10" s="353" t="str">
        <f t="shared" si="1"/>
        <v>HIHKD2WD=</v>
      </c>
      <c r="T10" s="357">
        <v>41582</v>
      </c>
      <c r="U10" s="356">
        <v>0.16483999999999999</v>
      </c>
      <c r="V10" s="356" t="b">
        <f t="shared" si="2"/>
        <v>1</v>
      </c>
      <c r="W10" s="355" t="b">
        <f>IF($V10,_xll.qlIndexAddFixings($Y10,$T10,$U10/100,TRUE,ISERROR($Z10)),NA())</f>
        <v>1</v>
      </c>
      <c r="X10" s="155"/>
      <c r="Y10" s="354" t="str">
        <f t="shared" ref="Y10:Y14" si="7">PROPER(Currency)&amp;$Y$4&amp;$R10</f>
        <v>HkdHibor2W</v>
      </c>
      <c r="Z10" s="353">
        <f>_xll.qlIndexFixing($Y10,$T10,TRUE,$V10)</f>
        <v>1.6484E-3</v>
      </c>
      <c r="AA10" s="353">
        <f>IF($W10,_xll.qlIndexFixing($Y10,$T10,FALSE,$V10),"-")</f>
        <v>1.6484E-3</v>
      </c>
      <c r="AB10" s="353">
        <f t="shared" si="3"/>
        <v>0</v>
      </c>
      <c r="AC10" s="352">
        <f>_xll.qlIndexFixing($Y10,$T10,TRUE,$AA10)</f>
        <v>1.6484E-3</v>
      </c>
      <c r="AD10" s="351">
        <f t="shared" si="4"/>
        <v>0</v>
      </c>
      <c r="AE10" s="383"/>
    </row>
    <row r="11" spans="2:31" s="1" customFormat="1" ht="15" x14ac:dyDescent="0.25">
      <c r="B11" s="150"/>
      <c r="C11" s="149" t="s">
        <v>104</v>
      </c>
      <c r="D11" s="149" t="str">
        <f t="shared" si="5"/>
        <v>1M</v>
      </c>
      <c r="E11" s="149">
        <v>0</v>
      </c>
      <c r="F11" s="149" t="s">
        <v>132</v>
      </c>
      <c r="G11" s="149" t="s">
        <v>131</v>
      </c>
      <c r="H11" s="149" t="b">
        <v>1</v>
      </c>
      <c r="I11" s="149" t="s">
        <v>130</v>
      </c>
      <c r="J11" s="148" t="str">
        <f t="shared" si="6"/>
        <v>HiborYC1M</v>
      </c>
      <c r="K11" s="147" t="str">
        <f t="shared" si="0"/>
        <v>HkdHibor1M</v>
      </c>
      <c r="L11" s="134" t="str">
        <f>_xll.qlIborIndex($K11,FamilyName,$D11,E11,Currency,F11,G11,H11,I11,Currency&amp;$J11,Permanent,Trigger,ObjectOverwrite)</f>
        <v>HkdHibor1M#0007</v>
      </c>
      <c r="M11" s="146" t="str">
        <f>_xll.qlLastFixingQuote(K11&amp;"LastFixing_Quote",L11,Permanent,Trigger,ObjectOverwrite)</f>
        <v>HkdHibor1MLastFixing_Quote#0007</v>
      </c>
      <c r="N11" s="143" t="str">
        <f>_xll.ohRangeRetrieveError(L11)</f>
        <v/>
      </c>
      <c r="O11" s="392" t="s">
        <v>211</v>
      </c>
      <c r="Q11" s="150"/>
      <c r="R11" s="358" t="s">
        <v>104</v>
      </c>
      <c r="S11" s="353" t="str">
        <f t="shared" si="1"/>
        <v>HIHKD1MD=</v>
      </c>
      <c r="T11" s="357">
        <v>41582</v>
      </c>
      <c r="U11" s="356">
        <v>0.21856999999999999</v>
      </c>
      <c r="V11" s="356" t="b">
        <f t="shared" si="2"/>
        <v>1</v>
      </c>
      <c r="W11" s="355" t="b">
        <f>IF($V11,_xll.qlIndexAddFixings($Y11,$T11,$U11/100,TRUE,ISERROR($Z11)),NA())</f>
        <v>1</v>
      </c>
      <c r="X11" s="155"/>
      <c r="Y11" s="354" t="str">
        <f t="shared" si="7"/>
        <v>HkdHibor1M</v>
      </c>
      <c r="Z11" s="353">
        <f>_xll.qlIndexFixing($Y11,$T11,TRUE,$V11)</f>
        <v>2.1857000000000001E-3</v>
      </c>
      <c r="AA11" s="353">
        <f>IF($W11,_xll.qlIndexFixing($Y11,$T11,FALSE,$V11),"-")</f>
        <v>2.1857000000000001E-3</v>
      </c>
      <c r="AB11" s="353">
        <f t="shared" si="3"/>
        <v>0</v>
      </c>
      <c r="AC11" s="352">
        <f>_xll.qlIndexFixing($Y11,$T11,TRUE,$AA11)</f>
        <v>2.1857000000000001E-3</v>
      </c>
      <c r="AD11" s="351">
        <f t="shared" si="4"/>
        <v>0</v>
      </c>
      <c r="AE11" s="383"/>
    </row>
    <row r="12" spans="2:31" s="1" customFormat="1" ht="15" x14ac:dyDescent="0.25">
      <c r="B12" s="150"/>
      <c r="C12" s="149" t="s">
        <v>106</v>
      </c>
      <c r="D12" s="149" t="str">
        <f t="shared" si="5"/>
        <v>3M</v>
      </c>
      <c r="E12" s="149">
        <v>0</v>
      </c>
      <c r="F12" s="149" t="s">
        <v>132</v>
      </c>
      <c r="G12" s="149" t="s">
        <v>131</v>
      </c>
      <c r="H12" s="149" t="b">
        <v>1</v>
      </c>
      <c r="I12" s="149" t="s">
        <v>130</v>
      </c>
      <c r="J12" s="148" t="str">
        <f>FamilyName&amp;"YC3M"</f>
        <v>HiborYC3M</v>
      </c>
      <c r="K12" s="147" t="str">
        <f t="shared" si="0"/>
        <v>HkdHibor3M</v>
      </c>
      <c r="L12" s="134" t="str">
        <f>_xll.qlIborIndex($K12,FamilyName,$D12,E12,Currency,F12,G12,H12,I12,Currency&amp;$J12,Permanent,Trigger,ObjectOverwrite)</f>
        <v>HkdHibor3M#0007</v>
      </c>
      <c r="M12" s="146" t="str">
        <f>_xll.qlLastFixingQuote(K12&amp;"LastFixing_Quote",L12,Permanent,Trigger,ObjectOverwrite)</f>
        <v>HkdHibor3MLastFixing_Quote#0007</v>
      </c>
      <c r="N12" s="143" t="str">
        <f>_xll.ohRangeRetrieveError(L12)</f>
        <v/>
      </c>
      <c r="O12" s="392" t="s">
        <v>211</v>
      </c>
      <c r="Q12" s="150"/>
      <c r="R12" s="358" t="s">
        <v>106</v>
      </c>
      <c r="S12" s="353" t="str">
        <f t="shared" si="1"/>
        <v>HIHKD3MD=</v>
      </c>
      <c r="T12" s="357">
        <v>41582</v>
      </c>
      <c r="U12" s="356">
        <v>0.38070999999999999</v>
      </c>
      <c r="V12" s="356" t="b">
        <f t="shared" si="2"/>
        <v>1</v>
      </c>
      <c r="W12" s="355" t="b">
        <f>IF($V12,_xll.qlIndexAddFixings($Y12,$T12,$U12/100,TRUE,ISERROR($Z12)),NA())</f>
        <v>1</v>
      </c>
      <c r="X12" s="155"/>
      <c r="Y12" s="354" t="str">
        <f t="shared" si="7"/>
        <v>HkdHibor3M</v>
      </c>
      <c r="Z12" s="353">
        <f>_xll.qlIndexFixing($Y12,$T12,TRUE,$V12)</f>
        <v>3.8070999999999999E-3</v>
      </c>
      <c r="AA12" s="353">
        <f>IF($W12,_xll.qlIndexFixing($Y12,$T12,FALSE,$V12),"-")</f>
        <v>3.8070999999999999E-3</v>
      </c>
      <c r="AB12" s="353">
        <f t="shared" si="3"/>
        <v>0</v>
      </c>
      <c r="AC12" s="352">
        <f>_xll.qlIndexFixing($Y12,$T12,TRUE,$AA12)</f>
        <v>3.8070999999999999E-3</v>
      </c>
      <c r="AD12" s="351">
        <f t="shared" si="4"/>
        <v>0</v>
      </c>
      <c r="AE12" s="383"/>
    </row>
    <row r="13" spans="2:31" s="1" customFormat="1" ht="15" x14ac:dyDescent="0.25">
      <c r="B13" s="150"/>
      <c r="C13" s="149" t="s">
        <v>61</v>
      </c>
      <c r="D13" s="149" t="str">
        <f t="shared" si="5"/>
        <v>6M</v>
      </c>
      <c r="E13" s="149">
        <v>0</v>
      </c>
      <c r="F13" s="149" t="s">
        <v>132</v>
      </c>
      <c r="G13" s="149" t="s">
        <v>131</v>
      </c>
      <c r="H13" s="149" t="b">
        <v>1</v>
      </c>
      <c r="I13" s="149" t="s">
        <v>130</v>
      </c>
      <c r="J13" s="148" t="str">
        <f>FamilyName&amp;"YC6M"</f>
        <v>HiborYC6M</v>
      </c>
      <c r="K13" s="147" t="str">
        <f t="shared" si="0"/>
        <v>HkdHibor6M</v>
      </c>
      <c r="L13" s="134" t="str">
        <f>_xll.qlIborIndex($K13,FamilyName,$D13,E13,Currency,F13,G13,H13,I13,Currency&amp;$J13,Permanent,Trigger,ObjectOverwrite)</f>
        <v>HkdHibor6M#0007</v>
      </c>
      <c r="M13" s="146" t="str">
        <f>_xll.qlLastFixingQuote(K13&amp;"LastFixing_Quote",L13,Permanent,Trigger,ObjectOverwrite)</f>
        <v>HkdHibor6MLastFixing_Quote#0007</v>
      </c>
      <c r="N13" s="143" t="str">
        <f>_xll.ohRangeRetrieveError(L13)</f>
        <v/>
      </c>
      <c r="O13" s="392" t="s">
        <v>211</v>
      </c>
      <c r="Q13" s="150"/>
      <c r="R13" s="358" t="s">
        <v>61</v>
      </c>
      <c r="S13" s="353" t="str">
        <f t="shared" si="1"/>
        <v>HIHKD6MD=</v>
      </c>
      <c r="T13" s="357">
        <v>41582</v>
      </c>
      <c r="U13" s="356">
        <v>0.55000000000000004</v>
      </c>
      <c r="V13" s="356" t="b">
        <f t="shared" si="2"/>
        <v>1</v>
      </c>
      <c r="W13" s="355" t="b">
        <f>IF($V13,_xll.qlIndexAddFixings($Y13,$T13,$U13/100,TRUE,ISERROR($Z13)),NA())</f>
        <v>1</v>
      </c>
      <c r="X13" s="155"/>
      <c r="Y13" s="354" t="str">
        <f t="shared" si="7"/>
        <v>HkdHibor6M</v>
      </c>
      <c r="Z13" s="353">
        <f>_xll.qlIndexFixing($Y13,$T13,TRUE,$V13)</f>
        <v>5.5000000000000005E-3</v>
      </c>
      <c r="AA13" s="353">
        <f>IF($W13,_xll.qlIndexFixing($Y13,$T13,FALSE,$V13),"-")</f>
        <v>5.5000000000000005E-3</v>
      </c>
      <c r="AB13" s="353">
        <f t="shared" si="3"/>
        <v>0</v>
      </c>
      <c r="AC13" s="352">
        <f>_xll.qlIndexFixing($Y13,$T13,TRUE,$AA13)</f>
        <v>5.5000000000000005E-3</v>
      </c>
      <c r="AD13" s="351">
        <f t="shared" si="4"/>
        <v>0</v>
      </c>
      <c r="AE13" s="383"/>
    </row>
    <row r="14" spans="2:31" s="1" customFormat="1" ht="15" x14ac:dyDescent="0.25">
      <c r="B14" s="150"/>
      <c r="C14" s="149" t="s">
        <v>60</v>
      </c>
      <c r="D14" s="149" t="str">
        <f t="shared" si="5"/>
        <v>1Y</v>
      </c>
      <c r="E14" s="149">
        <v>0</v>
      </c>
      <c r="F14" s="149" t="s">
        <v>132</v>
      </c>
      <c r="G14" s="149" t="s">
        <v>131</v>
      </c>
      <c r="H14" s="149" t="b">
        <v>1</v>
      </c>
      <c r="I14" s="149" t="s">
        <v>130</v>
      </c>
      <c r="J14" s="148" t="str">
        <f>FamilyName&amp;"YC1Y"</f>
        <v>HiborYC1Y</v>
      </c>
      <c r="K14" s="147" t="str">
        <f t="shared" si="0"/>
        <v>HkdHibor1Y</v>
      </c>
      <c r="L14" s="134" t="str">
        <f>_xll.qlIborIndex($K14,FamilyName,$D14,E14,Currency,F14,G14,H14,I14,Currency&amp;$J14,Permanent,Trigger,ObjectOverwrite)</f>
        <v>HkdHibor1Y#0007</v>
      </c>
      <c r="M14" s="146" t="str">
        <f>_xll.qlLastFixingQuote(K14&amp;"LastFixing_Quote",L14,Permanent,Trigger,ObjectOverwrite)</f>
        <v>HkdHibor1YLastFixing_Quote#0007</v>
      </c>
      <c r="N14" s="143" t="str">
        <f>_xll.ohRangeRetrieveError(L14)</f>
        <v/>
      </c>
      <c r="O14" s="392" t="s">
        <v>211</v>
      </c>
      <c r="Q14" s="150"/>
      <c r="R14" s="350" t="s">
        <v>60</v>
      </c>
      <c r="S14" s="345" t="str">
        <f t="shared" si="1"/>
        <v>HIHKD1YD=</v>
      </c>
      <c r="T14" s="349">
        <v>41582</v>
      </c>
      <c r="U14" s="348">
        <v>0.87143000000000004</v>
      </c>
      <c r="V14" s="348" t="b">
        <f t="shared" si="2"/>
        <v>1</v>
      </c>
      <c r="W14" s="347" t="b">
        <f>IF($V14,_xll.qlIndexAddFixings($Y14,$T14,$U14/100,TRUE,ISERROR($Z14)),NA())</f>
        <v>1</v>
      </c>
      <c r="X14" s="155"/>
      <c r="Y14" s="346" t="str">
        <f t="shared" si="7"/>
        <v>HkdHibor1Y</v>
      </c>
      <c r="Z14" s="345">
        <f>_xll.qlIndexFixing($Y14,$T14,TRUE,$V14)</f>
        <v>8.7143000000000012E-3</v>
      </c>
      <c r="AA14" s="345">
        <f>IF($W14,_xll.qlIndexFixing($Y14,$T14,FALSE,$V14),"-")</f>
        <v>8.7143000000000012E-3</v>
      </c>
      <c r="AB14" s="345">
        <f t="shared" si="3"/>
        <v>0</v>
      </c>
      <c r="AC14" s="344">
        <f>_xll.qlIndexFixing($Y14,$T14,TRUE,$AA14)</f>
        <v>8.7143000000000012E-3</v>
      </c>
      <c r="AD14" s="343">
        <f t="shared" si="4"/>
        <v>0</v>
      </c>
      <c r="AE14" s="383"/>
    </row>
    <row r="15" spans="2:31" s="1" customFormat="1" ht="13.5" thickBot="1" x14ac:dyDescent="0.25">
      <c r="B15" s="4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2"/>
      <c r="Q15" s="384"/>
      <c r="R15" s="385"/>
      <c r="S15" s="385"/>
      <c r="T15" s="385"/>
      <c r="U15" s="385"/>
      <c r="V15" s="385"/>
      <c r="W15" s="385"/>
      <c r="X15" s="385"/>
      <c r="Y15" s="385"/>
      <c r="Z15" s="385"/>
      <c r="AA15" s="385"/>
      <c r="AB15" s="385"/>
      <c r="AC15" s="385"/>
      <c r="AD15" s="385"/>
      <c r="AE15" s="386"/>
    </row>
    <row r="16" spans="2:31" s="1" customFormat="1" ht="13.5" thickBot="1" x14ac:dyDescent="0.25"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</row>
    <row r="17" spans="10:15" x14ac:dyDescent="0.2">
      <c r="J17" s="166"/>
      <c r="K17" s="165"/>
      <c r="L17" s="165"/>
      <c r="M17" s="165"/>
      <c r="N17" s="165"/>
      <c r="O17" s="164"/>
    </row>
    <row r="18" spans="10:15" x14ac:dyDescent="0.2">
      <c r="J18" s="8"/>
      <c r="K18" s="13"/>
      <c r="L18" s="163" t="str">
        <f>UPPER(Currency)&amp;"_RH_YieldTermStructure.xml"</f>
        <v>HKD_RH_YieldTermStructure.xml</v>
      </c>
      <c r="M18" s="106" t="e">
        <f ca="1">IF(Serialize,_xll.ohObjectSave(M19:M26,SerializationPath&amp;L18,FileOverwrite,,Serialize),"---")</f>
        <v>#NUM!</v>
      </c>
      <c r="N18" s="161" t="str">
        <f ca="1">_xll.ohRangeRetrieveError(M18)</f>
        <v>ohObjectSave - ObjectHandler error: attempt to retrieve object with unknown ID 'HKDYC'</v>
      </c>
      <c r="O18" s="393" t="s">
        <v>211</v>
      </c>
    </row>
    <row r="19" spans="10:15" x14ac:dyDescent="0.2">
      <c r="J19" s="8"/>
      <c r="K19" s="162" t="s">
        <v>150</v>
      </c>
      <c r="L19" s="162" t="str">
        <f t="shared" ref="L19:L26" si="8">Currency&amp;K19</f>
        <v>HKDYC</v>
      </c>
      <c r="M19" s="143" t="str">
        <f>_xll.qlRelinkableHandleYieldTermStructure(L19,,Permanent,Trigger,ObjectOverwrite)</f>
        <v>HKDYC#0009</v>
      </c>
      <c r="N19" s="161" t="str">
        <f>_xll.ohRangeRetrieveError(M19)</f>
        <v/>
      </c>
      <c r="O19" s="392" t="s">
        <v>211</v>
      </c>
    </row>
    <row r="20" spans="10:15" x14ac:dyDescent="0.2">
      <c r="J20" s="8"/>
      <c r="K20" s="162" t="s">
        <v>149</v>
      </c>
      <c r="L20" s="162" t="str">
        <f t="shared" si="8"/>
        <v>HKDYCSTD</v>
      </c>
      <c r="M20" s="143" t="str">
        <f>_xll.qlRelinkableHandleYieldTermStructure(L20,,Permanent,Trigger,ObjectOverwrite)</f>
        <v>HKDYCSTD#0009</v>
      </c>
      <c r="N20" s="161" t="str">
        <f>_xll.ohRangeRetrieveError(M20)</f>
        <v/>
      </c>
      <c r="O20" s="392" t="s">
        <v>211</v>
      </c>
    </row>
    <row r="21" spans="10:15" x14ac:dyDescent="0.2">
      <c r="J21" s="8"/>
      <c r="K21" s="162" t="s">
        <v>148</v>
      </c>
      <c r="L21" s="162" t="str">
        <f t="shared" si="8"/>
        <v>HKDYCCCSBasis</v>
      </c>
      <c r="M21" s="143" t="str">
        <f>_xll.qlRelinkableHandleYieldTermStructure(L21,,Permanent,Trigger,ObjectOverwrite)</f>
        <v>HKDYCCCSBasis#0009</v>
      </c>
      <c r="N21" s="161" t="str">
        <f>_xll.ohRangeRetrieveError(M21)</f>
        <v/>
      </c>
      <c r="O21" s="392" t="s">
        <v>211</v>
      </c>
    </row>
    <row r="22" spans="10:15" x14ac:dyDescent="0.2">
      <c r="J22" s="8"/>
      <c r="K22" s="162" t="s">
        <v>147</v>
      </c>
      <c r="L22" s="162" t="str">
        <f t="shared" si="8"/>
        <v>HKDHiborYCON</v>
      </c>
      <c r="M22" s="143" t="str">
        <f>_xll.qlRelinkableHandleYieldTermStructure(L22,,Permanent,Trigger,ObjectOverwrite)</f>
        <v>HKDHiborYCON#0009</v>
      </c>
      <c r="N22" s="161" t="str">
        <f>_xll.ohRangeRetrieveError(M22)</f>
        <v/>
      </c>
      <c r="O22" s="392" t="s">
        <v>211</v>
      </c>
    </row>
    <row r="23" spans="10:15" x14ac:dyDescent="0.2">
      <c r="J23" s="8"/>
      <c r="K23" s="162" t="s">
        <v>146</v>
      </c>
      <c r="L23" s="162" t="str">
        <f t="shared" si="8"/>
        <v>HKDHiborYC1M</v>
      </c>
      <c r="M23" s="143" t="str">
        <f>_xll.qlRelinkableHandleYieldTermStructure(L23,,Permanent,Trigger,ObjectOverwrite)</f>
        <v>HKDHiborYC1M#0009</v>
      </c>
      <c r="N23" s="161" t="str">
        <f>_xll.ohRangeRetrieveError(M23)</f>
        <v/>
      </c>
      <c r="O23" s="392" t="s">
        <v>211</v>
      </c>
    </row>
    <row r="24" spans="10:15" x14ac:dyDescent="0.2">
      <c r="J24" s="8"/>
      <c r="K24" s="162" t="s">
        <v>145</v>
      </c>
      <c r="L24" s="162" t="str">
        <f t="shared" si="8"/>
        <v>HKDHiborYC3M</v>
      </c>
      <c r="M24" s="143" t="str">
        <f>_xll.qlRelinkableHandleYieldTermStructure(L24,,Permanent,Trigger,ObjectOverwrite)</f>
        <v>HKDHiborYC3M#0009</v>
      </c>
      <c r="N24" s="161" t="str">
        <f>_xll.ohRangeRetrieveError(M24)</f>
        <v/>
      </c>
      <c r="O24" s="392" t="s">
        <v>211</v>
      </c>
    </row>
    <row r="25" spans="10:15" x14ac:dyDescent="0.2">
      <c r="J25" s="8"/>
      <c r="K25" s="162" t="s">
        <v>144</v>
      </c>
      <c r="L25" s="162" t="str">
        <f t="shared" si="8"/>
        <v>HKDHiborYC6M</v>
      </c>
      <c r="M25" s="143" t="str">
        <f>_xll.qlRelinkableHandleYieldTermStructure(L25,,Permanent,Trigger,ObjectOverwrite)</f>
        <v>HKDHiborYC6M#0009</v>
      </c>
      <c r="N25" s="161" t="str">
        <f>_xll.ohRangeRetrieveError(M25)</f>
        <v/>
      </c>
      <c r="O25" s="392" t="s">
        <v>211</v>
      </c>
    </row>
    <row r="26" spans="10:15" x14ac:dyDescent="0.2">
      <c r="J26" s="8"/>
      <c r="K26" s="162" t="s">
        <v>143</v>
      </c>
      <c r="L26" s="162" t="str">
        <f t="shared" si="8"/>
        <v>HKDHiborYC1Y</v>
      </c>
      <c r="M26" s="143" t="str">
        <f>_xll.qlRelinkableHandleYieldTermStructure(L26,,Permanent,Trigger,ObjectOverwrite)</f>
        <v>HKDHiborYC1Y#0009</v>
      </c>
      <c r="N26" s="161" t="str">
        <f>_xll.ohRangeRetrieveError(M26)</f>
        <v/>
      </c>
      <c r="O26" s="392" t="s">
        <v>211</v>
      </c>
    </row>
    <row r="27" spans="10:15" ht="13.5" thickBot="1" x14ac:dyDescent="0.25">
      <c r="J27" s="4"/>
      <c r="K27" s="3"/>
      <c r="L27" s="3"/>
      <c r="M27" s="3"/>
      <c r="N27" s="3"/>
      <c r="O27" s="2"/>
    </row>
  </sheetData>
  <conditionalFormatting sqref="AB6:AB14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dataValidations count="2">
    <dataValidation type="list" allowBlank="1" showInputMessage="1" showErrorMessage="1" sqref="G6:G14">
      <formula1>"Following,Modified Following,Preceding,Modified Preceding,Unadjusted"</formula1>
    </dataValidation>
    <dataValidation type="list" allowBlank="1" showInputMessage="1" showErrorMessage="1" sqref="I6:I14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horizontalDpi="4294967293" verticalDpi="4294967293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65</vt:i4>
      </vt:variant>
    </vt:vector>
  </HeadingPairs>
  <TitlesOfParts>
    <vt:vector size="76" baseType="lpstr">
      <vt:lpstr>General Settings</vt:lpstr>
      <vt:lpstr>BasisSwap1M3M</vt:lpstr>
      <vt:lpstr>BasisSwap3M6M</vt:lpstr>
      <vt:lpstr>OIS</vt:lpstr>
      <vt:lpstr>Deposits</vt:lpstr>
      <vt:lpstr>FRA</vt:lpstr>
      <vt:lpstr>Futures3M</vt:lpstr>
      <vt:lpstr>FuturesHWConvAdj</vt:lpstr>
      <vt:lpstr>Swaps1M</vt:lpstr>
      <vt:lpstr>Swap3M</vt:lpstr>
      <vt:lpstr>Hibor</vt:lpstr>
      <vt:lpstr>BasisSwap1M3M!Contributor</vt:lpstr>
      <vt:lpstr>BasisSwap3M6M!Contributor</vt:lpstr>
      <vt:lpstr>FRA!Contributor</vt:lpstr>
      <vt:lpstr>FuturesHWConvAdj!Contributor</vt:lpstr>
      <vt:lpstr>OIS!Contributor</vt:lpstr>
      <vt:lpstr>Swap3M!Contributor</vt:lpstr>
      <vt:lpstr>Swaps1M!Contributor</vt:lpstr>
      <vt:lpstr>Contributors</vt:lpstr>
      <vt:lpstr>ContributorTable</vt:lpstr>
      <vt:lpstr>BasisSwap1M3M!Conventions</vt:lpstr>
      <vt:lpstr>BasisSwap3M6M!Conventions</vt:lpstr>
      <vt:lpstr>Swap3M!Conventions</vt:lpstr>
      <vt:lpstr>Currency</vt:lpstr>
      <vt:lpstr>Hibor!FamilyName</vt:lpstr>
      <vt:lpstr>Hibor!FileName</vt:lpstr>
      <vt:lpstr>FileOverwrite</vt:lpstr>
      <vt:lpstr>Futures3M!FuturesCodes</vt:lpstr>
      <vt:lpstr>Futures3M!FuturesDates</vt:lpstr>
      <vt:lpstr>GENERAL_SETTINGS</vt:lpstr>
      <vt:lpstr>BasisSwap1M3M!Instruments</vt:lpstr>
      <vt:lpstr>BasisSwap3M6M!Instruments</vt:lpstr>
      <vt:lpstr>FRA!Instruments</vt:lpstr>
      <vt:lpstr>Swap3M!Instruments</vt:lpstr>
      <vt:lpstr>Swaps1M!Instruments</vt:lpstr>
      <vt:lpstr>InterpolationType</vt:lpstr>
      <vt:lpstr>LastUpdate</vt:lpstr>
      <vt:lpstr>LiveDataFeed</vt:lpstr>
      <vt:lpstr>ObjectOverwrite</vt:lpstr>
      <vt:lpstr>Permanent</vt:lpstr>
      <vt:lpstr>PriceTickValue</vt:lpstr>
      <vt:lpstr>BasisSwap1M3M!Quote</vt:lpstr>
      <vt:lpstr>BasisSwap3M6M!Quote</vt:lpstr>
      <vt:lpstr>Deposits!Quote</vt:lpstr>
      <vt:lpstr>FRA!Quote</vt:lpstr>
      <vt:lpstr>Futures3M!Quote</vt:lpstr>
      <vt:lpstr>FuturesHWConvAdj!Quote</vt:lpstr>
      <vt:lpstr>OIS!Quote</vt:lpstr>
      <vt:lpstr>Swap3M!Quote</vt:lpstr>
      <vt:lpstr>Swaps1M!Quote</vt:lpstr>
      <vt:lpstr>BasisSwap1M3M!QuoteLive</vt:lpstr>
      <vt:lpstr>BasisSwap3M6M!QuoteLive</vt:lpstr>
      <vt:lpstr>Deposits!QuoteLive</vt:lpstr>
      <vt:lpstr>FRA!QuoteLive</vt:lpstr>
      <vt:lpstr>Futures3M!QuoteLive</vt:lpstr>
      <vt:lpstr>FuturesHWConvAdj!QuoteLive</vt:lpstr>
      <vt:lpstr>OIS!QuoteLive</vt:lpstr>
      <vt:lpstr>Swap3M!QuoteLive</vt:lpstr>
      <vt:lpstr>Swaps1M!QuoteLive</vt:lpstr>
      <vt:lpstr>BasisSwap1M3M!QuoteStatic</vt:lpstr>
      <vt:lpstr>BasisSwap3M6M!QuoteStatic</vt:lpstr>
      <vt:lpstr>Deposits!QuoteStatic</vt:lpstr>
      <vt:lpstr>FRA!QuoteStatic</vt:lpstr>
      <vt:lpstr>Futures3M!QuoteStatic</vt:lpstr>
      <vt:lpstr>FuturesHWConvAdj!QuoteStatic</vt:lpstr>
      <vt:lpstr>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Trigger</vt:lpstr>
      <vt:lpstr>TriggerCounter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2013-11-19T00:34:40Z</dcterms:created>
  <dcterms:modified xsi:type="dcterms:W3CDTF">2013-11-20T10:53:32Z</dcterms:modified>
</cp:coreProperties>
</file>
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855" windowHeight="11310" firstSheet="3" activeTab="6"/>
  </bookViews>
  <sheets>
    <sheet name="General Settings" sheetId="40" r:id="rId1"/>
    <sheet name="Hibor" sheetId="36" r:id="rId2"/>
    <sheet name="Hibor Time Series" sheetId="41" r:id="rId3"/>
    <sheet name="OIS" sheetId="16" r:id="rId4"/>
    <sheet name="Deposits" sheetId="9" r:id="rId5"/>
    <sheet name="FRA" sheetId="10" r:id="rId6"/>
    <sheet name="Futures3M" sheetId="12" r:id="rId7"/>
    <sheet name="Swaps1M" sheetId="17" r:id="rId8"/>
    <sheet name="Swap3M" sheetId="19" r:id="rId9"/>
    <sheet name="BasisSwap1M3M" sheetId="5" r:id="rId10"/>
    <sheet name="BasisSwap3M6M" sheetId="6" r:id="rId11"/>
  </sheets>
  <definedNames>
    <definedName name="Contributor" localSheetId="9">BasisSwap1M3M!$S$2</definedName>
    <definedName name="Contributor" localSheetId="10">BasisSwap3M6M!$S$2</definedName>
    <definedName name="Contributor" localSheetId="5">FRA!$M$2</definedName>
    <definedName name="Contributor" localSheetId="3">OIS!$L$2</definedName>
    <definedName name="Contributor" localSheetId="8">Swap3M!$L$2</definedName>
    <definedName name="Contributor" localSheetId="7">Swaps1M!$L$2</definedName>
    <definedName name="Contributors">'General Settings'!$C$26:$C$33</definedName>
    <definedName name="ContributorTable">'General Settings'!$C$26:$D$33</definedName>
    <definedName name="Conventions" localSheetId="9">BasisSwap1M3M!$AG$5:$AI$9</definedName>
    <definedName name="Conventions" localSheetId="10">BasisSwap3M6M!$AG$5:$AI$9</definedName>
    <definedName name="Currency">'General Settings'!$D$16</definedName>
    <definedName name="FamilyName" localSheetId="1">Hibor!$K$3</definedName>
    <definedName name="FileName" localSheetId="1">Hibor!$M$3</definedName>
    <definedName name="FileOverwrite">'General Settings'!$D$14</definedName>
    <definedName name="FuturesCodes" localSheetId="6">Futures3M!$M$4:$M$39</definedName>
    <definedName name="FuturesDates" localSheetId="6">Futures3M!$N$4:$N$39</definedName>
    <definedName name="Instruments" localSheetId="9">BasisSwap1M3M!$R$5:$R$42</definedName>
    <definedName name="Instruments" localSheetId="10">BasisSwap3M6M!$R$5:$R$42</definedName>
    <definedName name="Instruments" localSheetId="5">FRA!$L$7:$L$38</definedName>
    <definedName name="Instruments" localSheetId="8">Swap3M!$K$5:$K$32</definedName>
    <definedName name="Instruments" localSheetId="7">Swaps1M!$K$5:$K$15</definedName>
    <definedName name="InterpolationType">'General Settings'!$D$23</definedName>
    <definedName name="LastUpdate">'General Settings'!$D$6</definedName>
    <definedName name="LiveDataFeed">'General Settings'!$D$7</definedName>
    <definedName name="ObjectOverwrite">'General Settings'!$D$10</definedName>
    <definedName name="Permanent">'General Settings'!$D$9</definedName>
    <definedName name="PriceTickValue">'General Settings'!$D$19</definedName>
    <definedName name="Quote" localSheetId="9">BasisSwap1M3M!$AC$5:$AC$42</definedName>
    <definedName name="Quote" localSheetId="10">BasisSwap3M6M!$AC$5:$AC$42</definedName>
    <definedName name="Quote" localSheetId="4">Deposits!$N$4:$N$21</definedName>
    <definedName name="Quote" localSheetId="5">FRA!$V$7:$V$38</definedName>
    <definedName name="Quote" localSheetId="6">Futures3M!$Y$4:$Y$39</definedName>
    <definedName name="Quote" localSheetId="3">OIS!$U$5:$U$23</definedName>
    <definedName name="Quote" localSheetId="8">Swap3M!$U$5:$U$32</definedName>
    <definedName name="Quote" localSheetId="7">Swaps1M!$U$5:$U$15</definedName>
    <definedName name="QuoteLive" localSheetId="9">BasisSwap1M3M!$X$5:$X$42</definedName>
    <definedName name="QuoteLive" localSheetId="10">BasisSwap3M6M!$X$5:$X$42</definedName>
    <definedName name="QuoteLive" localSheetId="4">Deposits!$J$4:$J$21</definedName>
    <definedName name="QuoteLive" localSheetId="5">FRA!$R$7:$R$38</definedName>
    <definedName name="QuoteLive" localSheetId="6">Futures3M!$U$4:$U$39</definedName>
    <definedName name="QuoteLive" localSheetId="3">OIS!$Q$5:$Q$23</definedName>
    <definedName name="QuoteLive" localSheetId="8">Swap3M!$Q$5:$Q$32</definedName>
    <definedName name="QuoteLive" localSheetId="7">Swaps1M!$Q$5:$Q$15</definedName>
    <definedName name="QuoteStatic" localSheetId="9">BasisSwap1M3M!$Z$5:$Z$42</definedName>
    <definedName name="QuoteStatic" localSheetId="10">BasisSwap3M6M!$Z$5:$Z$42</definedName>
    <definedName name="QuoteStatic" localSheetId="4">Deposits!$L$4:$L$21</definedName>
    <definedName name="QuoteStatic" localSheetId="5">FRA!$T$7:$T$38</definedName>
    <definedName name="QuoteStatic" localSheetId="6">Futures3M!$W$4:$W$39</definedName>
    <definedName name="QuoteStatic" localSheetId="3">OIS!$S$5:$S$23</definedName>
    <definedName name="QuoteStatic" localSheetId="8">Swap3M!$S$5:$S$32</definedName>
    <definedName name="QuoteStatic" localSheetId="7">Swaps1M!$S$5:$S$15</definedName>
    <definedName name="QuoteSuffix">'General Settings'!$D$17</definedName>
    <definedName name="RateTickValue">'General Settings'!$D$18</definedName>
    <definedName name="ReutersRtMode">'General Settings'!$D$21</definedName>
    <definedName name="SerializationPath">'General Settings'!$D$13</definedName>
    <definedName name="Serialize">'General Settings'!$D$12</definedName>
    <definedName name="Swap3M4Y">Swap3M!$U$12</definedName>
    <definedName name="Trigger">'General Settings'!$D$4</definedName>
    <definedName name="TriggerCounter">'General Settings'!$D$22</definedName>
  </definedNames>
  <calcPr calcId="145621"/>
</workbook>
</file>

<file path=xl/calcChain.xml><?xml version="1.0" encoding="utf-8"?>
<calcChain xmlns="http://schemas.openxmlformats.org/spreadsheetml/2006/main">
  <c r="AC5" i="6" l="1" a="1"/>
  <c r="AC5" i="6" s="1"/>
  <c r="AC9" i="6"/>
  <c r="AC10" i="6"/>
  <c r="AC11" i="6"/>
  <c r="AC12" i="6"/>
  <c r="AC13" i="6"/>
  <c r="AC14" i="6"/>
  <c r="AC15" i="6"/>
  <c r="AC16" i="6"/>
  <c r="AC17" i="6"/>
  <c r="AC18" i="6"/>
  <c r="AC19" i="6"/>
  <c r="AC20" i="6"/>
  <c r="AC28" i="6"/>
  <c r="AC29" i="6"/>
  <c r="AC30" i="6"/>
  <c r="AC31" i="6"/>
  <c r="AC32" i="6"/>
  <c r="AC33" i="6"/>
  <c r="AC34" i="6"/>
  <c r="AC35" i="6"/>
  <c r="AC36" i="6"/>
  <c r="AC5" i="5" a="1"/>
  <c r="AC5" i="5" s="1"/>
  <c r="AC11" i="5"/>
  <c r="AC12" i="5"/>
  <c r="AC13" i="5"/>
  <c r="AC14" i="5"/>
  <c r="AC15" i="5"/>
  <c r="AC16" i="5"/>
  <c r="AC17" i="5"/>
  <c r="AC18" i="5"/>
  <c r="AC19" i="5"/>
  <c r="AC20" i="5"/>
  <c r="AC30" i="5"/>
  <c r="AC31" i="5"/>
  <c r="AC32" i="5"/>
  <c r="AC33" i="5"/>
  <c r="AC34" i="5"/>
  <c r="AC35" i="5"/>
  <c r="AC36" i="5"/>
  <c r="U5" i="19" a="1"/>
  <c r="U5" i="19" s="1"/>
  <c r="U13" i="19"/>
  <c r="U14" i="19"/>
  <c r="U15" i="19"/>
  <c r="U16" i="19"/>
  <c r="U17" i="19"/>
  <c r="U18" i="19"/>
  <c r="U19" i="19"/>
  <c r="U20" i="19"/>
  <c r="U5" i="17" a="1"/>
  <c r="U5" i="17" s="1"/>
  <c r="Y4" i="12" a="1"/>
  <c r="Y4" i="12" s="1"/>
  <c r="V7" i="10" a="1"/>
  <c r="V7" i="10" s="1"/>
  <c r="V18" i="10"/>
  <c r="V19" i="10"/>
  <c r="V20" i="10"/>
  <c r="V21" i="10"/>
  <c r="V22" i="10"/>
  <c r="N4" i="9" a="1"/>
  <c r="N4" i="9" s="1"/>
  <c r="U5" i="16" a="1"/>
  <c r="U5" i="16" s="1"/>
  <c r="AC27" i="6" l="1"/>
  <c r="AC42" i="6"/>
  <c r="AC41" i="6"/>
  <c r="AC25" i="6"/>
  <c r="AC40" i="6"/>
  <c r="AC8" i="6"/>
  <c r="AC39" i="6"/>
  <c r="AC38" i="6"/>
  <c r="AC6" i="6"/>
  <c r="AC26" i="6"/>
  <c r="AC24" i="6"/>
  <c r="AC23" i="6"/>
  <c r="AC7" i="6"/>
  <c r="AC22" i="6"/>
  <c r="AC37" i="6"/>
  <c r="AC21" i="6"/>
  <c r="AC27" i="5"/>
  <c r="AC10" i="5"/>
  <c r="AC25" i="5"/>
  <c r="AC24" i="5"/>
  <c r="AC38" i="5"/>
  <c r="AC22" i="5"/>
  <c r="AC6" i="5"/>
  <c r="AC29" i="5"/>
  <c r="AC28" i="5"/>
  <c r="AC42" i="5"/>
  <c r="AC26" i="5"/>
  <c r="AC41" i="5"/>
  <c r="AC9" i="5"/>
  <c r="AC40" i="5"/>
  <c r="AC8" i="5"/>
  <c r="AC39" i="5"/>
  <c r="AC23" i="5"/>
  <c r="AC7" i="5"/>
  <c r="AC37" i="5"/>
  <c r="AC21" i="5"/>
  <c r="U32" i="19"/>
  <c r="U28" i="19"/>
  <c r="U11" i="19"/>
  <c r="U26" i="19"/>
  <c r="U9" i="19"/>
  <c r="U24" i="19"/>
  <c r="U6" i="19"/>
  <c r="U31" i="19"/>
  <c r="U30" i="19"/>
  <c r="U29" i="19"/>
  <c r="U12" i="19"/>
  <c r="U27" i="19"/>
  <c r="U10" i="19"/>
  <c r="U25" i="19"/>
  <c r="U8" i="19"/>
  <c r="U23" i="19"/>
  <c r="U7" i="19"/>
  <c r="U22" i="19"/>
  <c r="U21" i="19"/>
  <c r="U14" i="17"/>
  <c r="U12" i="17"/>
  <c r="U10" i="17"/>
  <c r="U6" i="17"/>
  <c r="U15" i="17"/>
  <c r="U13" i="17"/>
  <c r="U11" i="17"/>
  <c r="U9" i="17"/>
  <c r="U8" i="17"/>
  <c r="U7" i="17"/>
  <c r="Y19" i="12"/>
  <c r="Y34" i="12"/>
  <c r="Y17" i="12"/>
  <c r="Y15" i="12"/>
  <c r="Y30" i="12"/>
  <c r="Y29" i="12"/>
  <c r="Y13" i="12"/>
  <c r="Y28" i="12"/>
  <c r="Y11" i="12"/>
  <c r="Y26" i="12"/>
  <c r="Y9" i="12"/>
  <c r="Y24" i="12"/>
  <c r="Y5" i="12"/>
  <c r="Y35" i="12"/>
  <c r="Y18" i="12"/>
  <c r="Y33" i="12"/>
  <c r="Y32" i="12"/>
  <c r="Y16" i="12"/>
  <c r="Y31" i="12"/>
  <c r="Y14" i="12"/>
  <c r="Y12" i="12"/>
  <c r="Y27" i="12"/>
  <c r="Y10" i="12"/>
  <c r="Y25" i="12"/>
  <c r="Y8" i="12"/>
  <c r="Y39" i="12"/>
  <c r="Y23" i="12"/>
  <c r="Y7" i="12"/>
  <c r="Y38" i="12"/>
  <c r="Y22" i="12"/>
  <c r="Y6" i="12"/>
  <c r="Y37" i="12"/>
  <c r="Y21" i="12"/>
  <c r="Y36" i="12"/>
  <c r="Y20" i="12"/>
  <c r="V37" i="10"/>
  <c r="V33" i="10"/>
  <c r="V32" i="10"/>
  <c r="V15" i="10"/>
  <c r="V14" i="10"/>
  <c r="V28" i="10"/>
  <c r="V12" i="10"/>
  <c r="V8" i="10"/>
  <c r="V38" i="10"/>
  <c r="V36" i="10"/>
  <c r="V35" i="10"/>
  <c r="V34" i="10"/>
  <c r="V17" i="10"/>
  <c r="V16" i="10"/>
  <c r="V31" i="10"/>
  <c r="V30" i="10"/>
  <c r="V29" i="10"/>
  <c r="V13" i="10"/>
  <c r="V27" i="10"/>
  <c r="V11" i="10"/>
  <c r="V26" i="10"/>
  <c r="V10" i="10"/>
  <c r="V25" i="10"/>
  <c r="V9" i="10"/>
  <c r="V24" i="10"/>
  <c r="V23" i="10"/>
  <c r="N19" i="9"/>
  <c r="N17" i="9"/>
  <c r="N15" i="9"/>
  <c r="N13" i="9"/>
  <c r="N10" i="9"/>
  <c r="N8" i="9"/>
  <c r="N5" i="9"/>
  <c r="N18" i="9"/>
  <c r="N16" i="9"/>
  <c r="N14" i="9"/>
  <c r="N12" i="9"/>
  <c r="N11" i="9"/>
  <c r="N9" i="9"/>
  <c r="N7" i="9"/>
  <c r="N6" i="9"/>
  <c r="N21" i="9"/>
  <c r="N20" i="9"/>
  <c r="U20" i="16"/>
  <c r="U19" i="16"/>
  <c r="U17" i="16"/>
  <c r="U14" i="16"/>
  <c r="U13" i="16"/>
  <c r="U10" i="16"/>
  <c r="U9" i="16"/>
  <c r="U6" i="16"/>
  <c r="U18" i="16"/>
  <c r="U16" i="16"/>
  <c r="U15" i="16"/>
  <c r="U12" i="16"/>
  <c r="U11" i="16"/>
  <c r="U8" i="16"/>
  <c r="U23" i="16"/>
  <c r="U7" i="16"/>
  <c r="U22" i="16"/>
  <c r="U21" i="16"/>
  <c r="J14" i="41" l="1"/>
  <c r="K14" i="41"/>
  <c r="L14" i="41"/>
  <c r="J15" i="41"/>
  <c r="K15" i="41"/>
  <c r="L15" i="41"/>
  <c r="J16" i="41"/>
  <c r="K16" i="41"/>
  <c r="L16" i="41"/>
  <c r="L11" i="41"/>
  <c r="L12" i="41"/>
  <c r="L6" i="41"/>
  <c r="J11" i="41"/>
  <c r="L10" i="41"/>
  <c r="K6" i="41"/>
  <c r="K12" i="41"/>
  <c r="J13" i="41"/>
  <c r="J9" i="41"/>
  <c r="L13" i="41"/>
  <c r="J8" i="41"/>
  <c r="J7" i="41"/>
  <c r="K11" i="41"/>
  <c r="J10" i="41"/>
  <c r="L9" i="41"/>
  <c r="J5" i="41"/>
  <c r="K8" i="41"/>
  <c r="L5" i="41"/>
  <c r="K7" i="41"/>
  <c r="K10" i="41"/>
  <c r="K9" i="41"/>
  <c r="L8" i="41"/>
  <c r="L7" i="41"/>
  <c r="J6" i="41"/>
  <c r="K5" i="41"/>
  <c r="J12" i="41"/>
  <c r="K13" i="41"/>
  <c r="C2" i="41" l="1"/>
  <c r="B2" i="41"/>
  <c r="C5" i="41"/>
  <c r="C4" i="41" l="1"/>
  <c r="C3" i="41" s="1"/>
  <c r="E2" i="41"/>
  <c r="J14" i="36" l="1"/>
  <c r="J13" i="36"/>
  <c r="J12" i="36"/>
  <c r="J11" i="36"/>
  <c r="J10" i="36"/>
  <c r="J9" i="36"/>
  <c r="J8" i="36"/>
  <c r="J7" i="36"/>
  <c r="J6" i="36"/>
  <c r="K15" i="36"/>
  <c r="R14" i="36" l="1"/>
  <c r="R13" i="36"/>
  <c r="T13" i="36" s="1"/>
  <c r="R12" i="36"/>
  <c r="R11" i="36"/>
  <c r="R10" i="36"/>
  <c r="T10" i="36" s="1"/>
  <c r="R9" i="36"/>
  <c r="R8" i="36"/>
  <c r="R6" i="36"/>
  <c r="W13" i="36"/>
  <c r="D13" i="36"/>
  <c r="W10" i="36"/>
  <c r="D10" i="36"/>
  <c r="K7" i="36"/>
  <c r="K13" i="36"/>
  <c r="K10" i="36"/>
  <c r="K28" i="19" l="1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K15" i="17"/>
  <c r="K14" i="17"/>
  <c r="K13" i="17"/>
  <c r="K12" i="17"/>
  <c r="K11" i="17"/>
  <c r="K10" i="17"/>
  <c r="K9" i="17"/>
  <c r="K8" i="17"/>
  <c r="K7" i="17"/>
  <c r="K6" i="17"/>
  <c r="K5" i="17"/>
  <c r="K23" i="16"/>
  <c r="K22" i="16"/>
  <c r="K21" i="16"/>
  <c r="K20" i="16"/>
  <c r="K19" i="16"/>
  <c r="K18" i="16"/>
  <c r="K17" i="16"/>
  <c r="K16" i="16"/>
  <c r="K15" i="16"/>
  <c r="K14" i="16"/>
  <c r="K13" i="16"/>
  <c r="K12" i="16"/>
  <c r="K11" i="16"/>
  <c r="K10" i="16"/>
  <c r="K9" i="16"/>
  <c r="K8" i="16"/>
  <c r="K7" i="16"/>
  <c r="K5" i="16"/>
  <c r="K6" i="16"/>
  <c r="L13" i="36"/>
  <c r="L7" i="36"/>
  <c r="L10" i="36"/>
  <c r="S13" i="36" l="1"/>
  <c r="S10" i="36"/>
  <c r="S7" i="36"/>
  <c r="D9" i="10"/>
  <c r="D11" i="36"/>
  <c r="W11" i="36"/>
  <c r="K11" i="36"/>
  <c r="N10" i="36"/>
  <c r="M13" i="36"/>
  <c r="E9" i="10"/>
  <c r="N13" i="36"/>
  <c r="M7" i="36"/>
  <c r="X13" i="36"/>
  <c r="M10" i="36"/>
  <c r="X10" i="36"/>
  <c r="D13" i="40" l="1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R7" i="10"/>
  <c r="R8" i="10"/>
  <c r="D4" i="12" a="1"/>
  <c r="L11" i="36"/>
  <c r="Y13" i="36"/>
  <c r="N4" i="12" a="1"/>
  <c r="Y10" i="36"/>
  <c r="S11" i="36" l="1"/>
  <c r="D19" i="12"/>
  <c r="D35" i="12"/>
  <c r="D4" i="12"/>
  <c r="D20" i="12"/>
  <c r="D36" i="12"/>
  <c r="D12" i="12"/>
  <c r="D29" i="12"/>
  <c r="D14" i="12"/>
  <c r="D31" i="12"/>
  <c r="D33" i="12"/>
  <c r="D34" i="12"/>
  <c r="D5" i="12"/>
  <c r="D21" i="12"/>
  <c r="D37" i="12"/>
  <c r="D6" i="12"/>
  <c r="D22" i="12"/>
  <c r="D38" i="12"/>
  <c r="D7" i="12"/>
  <c r="D39" i="12"/>
  <c r="D8" i="12"/>
  <c r="D24" i="12"/>
  <c r="D9" i="12"/>
  <c r="D25" i="12"/>
  <c r="D10" i="12"/>
  <c r="D26" i="12"/>
  <c r="D11" i="12"/>
  <c r="D27" i="12"/>
  <c r="D28" i="12"/>
  <c r="D13" i="12"/>
  <c r="D30" i="12"/>
  <c r="D15" i="12"/>
  <c r="D17" i="12"/>
  <c r="D23" i="12"/>
  <c r="D16" i="12"/>
  <c r="D32" i="12"/>
  <c r="D18" i="12"/>
  <c r="N12" i="12"/>
  <c r="N28" i="12"/>
  <c r="N13" i="12"/>
  <c r="N29" i="12"/>
  <c r="N14" i="12"/>
  <c r="N30" i="12"/>
  <c r="N15" i="12"/>
  <c r="N31" i="12"/>
  <c r="N16" i="12"/>
  <c r="N32" i="12"/>
  <c r="N17" i="12"/>
  <c r="N33" i="12"/>
  <c r="N18" i="12"/>
  <c r="N34" i="12"/>
  <c r="N19" i="12"/>
  <c r="N35" i="12"/>
  <c r="N4" i="12"/>
  <c r="N20" i="12"/>
  <c r="N36" i="12"/>
  <c r="N5" i="12"/>
  <c r="N21" i="12"/>
  <c r="N37" i="12"/>
  <c r="N6" i="12"/>
  <c r="N22" i="12"/>
  <c r="N38" i="12"/>
  <c r="N7" i="12"/>
  <c r="N23" i="12"/>
  <c r="N39" i="12"/>
  <c r="N8" i="12"/>
  <c r="N24" i="12"/>
  <c r="N9" i="12"/>
  <c r="N25" i="12"/>
  <c r="N10" i="12"/>
  <c r="N26" i="12"/>
  <c r="N11" i="12"/>
  <c r="N27" i="12"/>
  <c r="X11" i="36"/>
  <c r="M4" i="12" a="1"/>
  <c r="N11" i="36"/>
  <c r="M11" i="36"/>
  <c r="M37" i="12" l="1"/>
  <c r="O37" i="12" s="1"/>
  <c r="M14" i="12"/>
  <c r="O14" i="12" s="1"/>
  <c r="M6" i="12"/>
  <c r="O6" i="12" s="1"/>
  <c r="M30" i="12"/>
  <c r="O30" i="12" s="1"/>
  <c r="M22" i="12"/>
  <c r="O22" i="12" s="1"/>
  <c r="M15" i="12"/>
  <c r="O15" i="12" s="1"/>
  <c r="M38" i="12"/>
  <c r="O38" i="12" s="1"/>
  <c r="M31" i="12"/>
  <c r="O31" i="12" s="1"/>
  <c r="M7" i="12"/>
  <c r="O7" i="12" s="1"/>
  <c r="M16" i="12"/>
  <c r="O16" i="12" s="1"/>
  <c r="M23" i="12"/>
  <c r="O23" i="12" s="1"/>
  <c r="M32" i="12"/>
  <c r="O32" i="12" s="1"/>
  <c r="M39" i="12"/>
  <c r="O39" i="12" s="1"/>
  <c r="M17" i="12"/>
  <c r="O17" i="12" s="1"/>
  <c r="M8" i="12"/>
  <c r="O8" i="12" s="1"/>
  <c r="M33" i="12"/>
  <c r="O33" i="12" s="1"/>
  <c r="M24" i="12"/>
  <c r="O24" i="12" s="1"/>
  <c r="M18" i="12"/>
  <c r="O18" i="12" s="1"/>
  <c r="M25" i="12"/>
  <c r="O25" i="12" s="1"/>
  <c r="M34" i="12"/>
  <c r="O34" i="12" s="1"/>
  <c r="M10" i="12"/>
  <c r="O10" i="12" s="1"/>
  <c r="M19" i="12"/>
  <c r="O19" i="12" s="1"/>
  <c r="M4" i="12"/>
  <c r="O4" i="12" s="1"/>
  <c r="M11" i="12"/>
  <c r="O11" i="12" s="1"/>
  <c r="M35" i="12"/>
  <c r="O35" i="12" s="1"/>
  <c r="M20" i="12"/>
  <c r="O20" i="12" s="1"/>
  <c r="M12" i="12"/>
  <c r="O12" i="12" s="1"/>
  <c r="M9" i="12"/>
  <c r="O9" i="12" s="1"/>
  <c r="M36" i="12"/>
  <c r="O36" i="12" s="1"/>
  <c r="M28" i="12"/>
  <c r="O28" i="12" s="1"/>
  <c r="M26" i="12"/>
  <c r="O26" i="12" s="1"/>
  <c r="M5" i="12"/>
  <c r="O5" i="12" s="1"/>
  <c r="M13" i="12"/>
  <c r="O13" i="12" s="1"/>
  <c r="M27" i="12"/>
  <c r="O27" i="12" s="1"/>
  <c r="M21" i="12"/>
  <c r="O21" i="12" s="1"/>
  <c r="M29" i="12"/>
  <c r="O29" i="12" s="1"/>
  <c r="Y11" i="36"/>
  <c r="W6" i="36" l="1"/>
  <c r="W7" i="36"/>
  <c r="W8" i="36"/>
  <c r="W9" i="36"/>
  <c r="W12" i="36"/>
  <c r="W14" i="36"/>
  <c r="F5" i="17"/>
  <c r="F11" i="17"/>
  <c r="F16" i="16"/>
  <c r="F6" i="16"/>
  <c r="F9" i="17"/>
  <c r="F15" i="17"/>
  <c r="F19" i="16"/>
  <c r="F17" i="16"/>
  <c r="F12" i="16"/>
  <c r="F14" i="16"/>
  <c r="F8" i="17"/>
  <c r="F15" i="16"/>
  <c r="F8" i="16"/>
  <c r="F9" i="16"/>
  <c r="F11" i="16"/>
  <c r="F7" i="16"/>
  <c r="F14" i="17"/>
  <c r="F6" i="17"/>
  <c r="F18" i="16"/>
  <c r="F7" i="17"/>
  <c r="F12" i="17"/>
  <c r="X7" i="36"/>
  <c r="F13" i="16"/>
  <c r="F13" i="17"/>
  <c r="F5" i="16"/>
  <c r="F10" i="16"/>
  <c r="F10" i="17"/>
  <c r="T11" i="36" l="1"/>
  <c r="T6" i="36"/>
  <c r="T14" i="36"/>
  <c r="T8" i="36"/>
  <c r="T12" i="36"/>
  <c r="T7" i="36"/>
  <c r="T9" i="36"/>
  <c r="Y7" i="36"/>
  <c r="D26" i="40" l="1"/>
  <c r="B1" i="40"/>
  <c r="L5" i="16" l="1"/>
  <c r="Q5" i="16"/>
  <c r="L6" i="16"/>
  <c r="Q6" i="16"/>
  <c r="L7" i="16"/>
  <c r="Q7" i="16"/>
  <c r="L8" i="16"/>
  <c r="Q8" i="16"/>
  <c r="L9" i="16"/>
  <c r="Q9" i="16"/>
  <c r="L10" i="16"/>
  <c r="Q10" i="16"/>
  <c r="L11" i="16"/>
  <c r="Q11" i="16"/>
  <c r="L12" i="16"/>
  <c r="Q12" i="16"/>
  <c r="L13" i="16"/>
  <c r="Q13" i="16"/>
  <c r="L14" i="16"/>
  <c r="Q14" i="16"/>
  <c r="L15" i="16"/>
  <c r="Q15" i="16"/>
  <c r="L16" i="16"/>
  <c r="Q16" i="16"/>
  <c r="L17" i="16"/>
  <c r="Q17" i="16"/>
  <c r="L18" i="16"/>
  <c r="Q18" i="16"/>
  <c r="L19" i="16"/>
  <c r="Q19" i="16"/>
  <c r="L20" i="16"/>
  <c r="Q20" i="16"/>
  <c r="L21" i="16"/>
  <c r="Q21" i="16"/>
  <c r="L22" i="16"/>
  <c r="Q22" i="16"/>
  <c r="L23" i="16"/>
  <c r="Q23" i="16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26" i="6"/>
  <c r="V17" i="6"/>
  <c r="V25" i="6"/>
  <c r="V9" i="6"/>
  <c r="V41" i="6"/>
  <c r="V23" i="6"/>
  <c r="V21" i="6"/>
  <c r="V33" i="6"/>
  <c r="V38" i="6"/>
  <c r="V30" i="6"/>
  <c r="V16" i="6"/>
  <c r="V34" i="6"/>
  <c r="V20" i="6"/>
  <c r="V6" i="6"/>
  <c r="V13" i="6"/>
  <c r="V8" i="6"/>
  <c r="V22" i="6"/>
  <c r="V10" i="6"/>
  <c r="V19" i="6"/>
  <c r="V12" i="6"/>
  <c r="V36" i="6"/>
  <c r="V31" i="6"/>
  <c r="V39" i="6"/>
  <c r="V37" i="6"/>
  <c r="V24" i="6"/>
  <c r="V40" i="6"/>
  <c r="V28" i="6"/>
  <c r="V27" i="6"/>
  <c r="V14" i="6"/>
  <c r="V29" i="6"/>
  <c r="V18" i="6"/>
  <c r="V42" i="6"/>
  <c r="V11" i="6"/>
  <c r="V15" i="6"/>
  <c r="V35" i="6"/>
  <c r="V32" i="6"/>
  <c r="V5" i="6"/>
  <c r="V7" i="6"/>
  <c r="P28" i="6" l="1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Q24" i="19"/>
  <c r="Q27" i="19"/>
  <c r="Q28" i="19"/>
  <c r="V20" i="5"/>
  <c r="Q11" i="17"/>
  <c r="Q7" i="19"/>
  <c r="Q22" i="19"/>
  <c r="Q13" i="17"/>
  <c r="Q12" i="17"/>
  <c r="V31" i="5"/>
  <c r="V22" i="5"/>
  <c r="Q10" i="17"/>
  <c r="Q14" i="19"/>
  <c r="Q19" i="19"/>
  <c r="V18" i="5"/>
  <c r="V25" i="5"/>
  <c r="Q8" i="17"/>
  <c r="V21" i="5"/>
  <c r="V8" i="5"/>
  <c r="V28" i="5"/>
  <c r="Q5" i="17"/>
  <c r="V5" i="5"/>
  <c r="V10" i="5"/>
  <c r="V34" i="5"/>
  <c r="Q7" i="17"/>
  <c r="V16" i="5"/>
  <c r="V17" i="5"/>
  <c r="Q6" i="17"/>
  <c r="V13" i="5"/>
  <c r="V39" i="5"/>
  <c r="Q15" i="17"/>
  <c r="Q10" i="19"/>
  <c r="Q12" i="19"/>
  <c r="Q18" i="19"/>
  <c r="V24" i="5"/>
  <c r="V41" i="5"/>
  <c r="Q16" i="19"/>
  <c r="Q17" i="19"/>
  <c r="V9" i="5"/>
  <c r="V36" i="5"/>
  <c r="V7" i="5"/>
  <c r="Q9" i="19"/>
  <c r="Q14" i="17"/>
  <c r="Q9" i="17"/>
  <c r="Q26" i="19"/>
  <c r="V30" i="5"/>
  <c r="V35" i="5"/>
  <c r="V38" i="5"/>
  <c r="V11" i="5"/>
  <c r="V27" i="5"/>
  <c r="V40" i="5"/>
  <c r="V14" i="5"/>
  <c r="Q6" i="19"/>
  <c r="V15" i="5"/>
  <c r="Q20" i="19"/>
  <c r="Q15" i="19"/>
  <c r="Q5" i="19"/>
  <c r="V23" i="5"/>
  <c r="V32" i="5"/>
  <c r="V33" i="5"/>
  <c r="V37" i="5"/>
  <c r="Q25" i="19"/>
  <c r="Q13" i="19"/>
  <c r="Q23" i="19"/>
  <c r="V12" i="5"/>
  <c r="V19" i="5"/>
  <c r="V29" i="5"/>
  <c r="Q11" i="19"/>
  <c r="Q21" i="19"/>
  <c r="V42" i="5"/>
  <c r="V6" i="5"/>
  <c r="Q8" i="19"/>
  <c r="V26" i="5"/>
  <c r="R14" i="6" l="1"/>
  <c r="AB14" i="6" s="1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Q26" i="5"/>
  <c r="R11" i="6"/>
  <c r="AB11" i="6" s="1"/>
  <c r="R34" i="6"/>
  <c r="AB34" i="6" s="1"/>
  <c r="Q27" i="5"/>
  <c r="Q25" i="5"/>
  <c r="Q22" i="5"/>
  <c r="R23" i="6"/>
  <c r="AB23" i="6" s="1"/>
  <c r="R13" i="6"/>
  <c r="AB13" i="6" s="1"/>
  <c r="P41" i="5"/>
  <c r="P29" i="5"/>
  <c r="P17" i="5"/>
  <c r="Q40" i="5"/>
  <c r="Q28" i="5"/>
  <c r="Q16" i="5"/>
  <c r="Q5" i="5"/>
  <c r="R5" i="5" s="1"/>
  <c r="P42" i="5"/>
  <c r="P32" i="5"/>
  <c r="P8" i="5"/>
  <c r="R19" i="6"/>
  <c r="AB19" i="6" s="1"/>
  <c r="P18" i="5"/>
  <c r="P30" i="5"/>
  <c r="P6" i="5"/>
  <c r="P40" i="5"/>
  <c r="P16" i="5"/>
  <c r="P37" i="5"/>
  <c r="P25" i="5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R42" i="6"/>
  <c r="AB42" i="6" s="1"/>
  <c r="R25" i="6"/>
  <c r="AB25" i="6" s="1"/>
  <c r="R39" i="6"/>
  <c r="AB39" i="6" s="1"/>
  <c r="R20" i="6"/>
  <c r="AB20" i="6" s="1"/>
  <c r="R30" i="6"/>
  <c r="AB30" i="6" s="1"/>
  <c r="R17" i="6"/>
  <c r="AB17" i="6" s="1"/>
  <c r="R16" i="6"/>
  <c r="AB16" i="6" s="1"/>
  <c r="Q34" i="5"/>
  <c r="P34" i="5"/>
  <c r="Q24" i="5"/>
  <c r="Q13" i="5"/>
  <c r="R9" i="6"/>
  <c r="AB9" i="6" s="1"/>
  <c r="R18" i="6"/>
  <c r="AB18" i="6" s="1"/>
  <c r="L5" i="17" a="1"/>
  <c r="L10" i="17" s="1"/>
  <c r="R10" i="6"/>
  <c r="AB10" i="6" s="1"/>
  <c r="R35" i="6"/>
  <c r="AB35" i="6" s="1"/>
  <c r="Q29" i="5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Y27" i="19"/>
  <c r="Y10" i="19"/>
  <c r="Y20" i="19"/>
  <c r="Y17" i="19"/>
  <c r="Y11" i="19"/>
  <c r="Y25" i="19"/>
  <c r="Y26" i="19"/>
  <c r="Y19" i="19"/>
  <c r="Y18" i="19"/>
  <c r="Y9" i="19"/>
  <c r="Y32" i="19"/>
  <c r="Y16" i="19"/>
  <c r="Y23" i="19"/>
  <c r="Y7" i="19"/>
  <c r="Y30" i="19"/>
  <c r="Y14" i="19"/>
  <c r="Y21" i="19"/>
  <c r="Y28" i="19"/>
  <c r="Y12" i="19"/>
  <c r="Y5" i="19"/>
  <c r="Y24" i="19"/>
  <c r="Y8" i="19"/>
  <c r="Y31" i="19"/>
  <c r="Y15" i="19"/>
  <c r="Y22" i="19"/>
  <c r="Y6" i="19"/>
  <c r="Y29" i="19"/>
  <c r="Y13" i="19"/>
  <c r="Y6" i="17"/>
  <c r="Y15" i="17"/>
  <c r="Y8" i="17"/>
  <c r="Y13" i="17"/>
  <c r="Y10" i="17"/>
  <c r="Y12" i="17"/>
  <c r="Y14" i="17"/>
  <c r="Y5" i="17"/>
  <c r="Y7" i="17"/>
  <c r="Y11" i="17"/>
  <c r="Y9" i="17"/>
  <c r="U35" i="12"/>
  <c r="U23" i="12"/>
  <c r="U26" i="12"/>
  <c r="U29" i="12"/>
  <c r="U11" i="12"/>
  <c r="U36" i="12"/>
  <c r="U37" i="12"/>
  <c r="U30" i="12"/>
  <c r="U22" i="12"/>
  <c r="U6" i="12"/>
  <c r="U31" i="12"/>
  <c r="U9" i="12"/>
  <c r="U14" i="12"/>
  <c r="U15" i="12"/>
  <c r="U7" i="12"/>
  <c r="U27" i="12"/>
  <c r="U34" i="12"/>
  <c r="U10" i="12"/>
  <c r="U25" i="12"/>
  <c r="U5" i="12"/>
  <c r="U21" i="12"/>
  <c r="U20" i="12"/>
  <c r="U8" i="12"/>
  <c r="U32" i="12"/>
  <c r="U4" i="12"/>
  <c r="U17" i="12"/>
  <c r="U18" i="12"/>
  <c r="U33" i="12"/>
  <c r="U19" i="12"/>
  <c r="U28" i="12"/>
  <c r="U12" i="12"/>
  <c r="U16" i="12"/>
  <c r="U24" i="12"/>
  <c r="U13" i="12"/>
  <c r="R29" i="5" l="1"/>
  <c r="AB29" i="5" s="1"/>
  <c r="AB5" i="5"/>
  <c r="R21" i="5"/>
  <c r="AB21" i="5" s="1"/>
  <c r="R38" i="5"/>
  <c r="AB38" i="5" s="1"/>
  <c r="R41" i="5"/>
  <c r="AB41" i="5" s="1"/>
  <c r="R18" i="5"/>
  <c r="AB18" i="5" s="1"/>
  <c r="R22" i="5"/>
  <c r="AB22" i="5" s="1"/>
  <c r="R6" i="5"/>
  <c r="AB6" i="5" s="1"/>
  <c r="R30" i="5"/>
  <c r="AB30" i="5" s="1"/>
  <c r="R17" i="5"/>
  <c r="AB17" i="5" s="1"/>
  <c r="R11" i="5"/>
  <c r="AB11" i="5" s="1"/>
  <c r="R14" i="5"/>
  <c r="AB14" i="5" s="1"/>
  <c r="R26" i="5"/>
  <c r="AB26" i="5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20" i="5"/>
  <c r="AB20" i="5" s="1"/>
  <c r="R36" i="5"/>
  <c r="AB36" i="5" s="1"/>
  <c r="R33" i="5"/>
  <c r="AB33" i="5" s="1"/>
  <c r="R8" i="5"/>
  <c r="AB8" i="5" s="1"/>
  <c r="R34" i="5"/>
  <c r="AB34" i="5" s="1"/>
  <c r="R27" i="5"/>
  <c r="AB27" i="5" s="1"/>
  <c r="R16" i="5"/>
  <c r="AB16" i="5" s="1"/>
  <c r="L12" i="17"/>
  <c r="R35" i="5"/>
  <c r="AB35" i="5" s="1"/>
  <c r="R40" i="5"/>
  <c r="AB40" i="5" s="1"/>
  <c r="L5" i="17"/>
  <c r="L14" i="17"/>
  <c r="R32" i="5"/>
  <c r="AB32" i="5" s="1"/>
  <c r="R39" i="5"/>
  <c r="AB39" i="5" s="1"/>
  <c r="R9" i="5"/>
  <c r="AB9" i="5" s="1"/>
  <c r="L7" i="17"/>
  <c r="L9" i="17"/>
  <c r="R28" i="5"/>
  <c r="AB28" i="5" s="1"/>
  <c r="L13" i="17"/>
  <c r="L6" i="17"/>
  <c r="R19" i="5"/>
  <c r="AB19" i="5" s="1"/>
  <c r="R12" i="5"/>
  <c r="AB12" i="5" s="1"/>
  <c r="L15" i="17"/>
  <c r="L8" i="17"/>
  <c r="L11" i="17"/>
  <c r="S5" i="6" a="1"/>
  <c r="R15" i="5"/>
  <c r="AB15" i="5" s="1"/>
  <c r="R23" i="5"/>
  <c r="AB23" i="5" s="1"/>
  <c r="R31" i="5"/>
  <c r="AB31" i="5" s="1"/>
  <c r="AC18" i="12"/>
  <c r="AC28" i="12"/>
  <c r="AC16" i="12"/>
  <c r="AC36" i="12"/>
  <c r="AC26" i="12"/>
  <c r="AC14" i="12"/>
  <c r="AC24" i="12"/>
  <c r="AC12" i="12"/>
  <c r="AC34" i="12"/>
  <c r="AC10" i="12"/>
  <c r="AC22" i="12"/>
  <c r="AC32" i="12"/>
  <c r="AC8" i="12"/>
  <c r="AC20" i="12"/>
  <c r="AC6" i="12"/>
  <c r="AC30" i="12"/>
  <c r="AC4" i="12"/>
  <c r="AC35" i="12"/>
  <c r="AC33" i="12"/>
  <c r="AC31" i="12"/>
  <c r="AC29" i="12"/>
  <c r="AC27" i="12"/>
  <c r="AC25" i="12"/>
  <c r="AC23" i="12"/>
  <c r="AC21" i="12"/>
  <c r="AC19" i="12"/>
  <c r="AC17" i="12"/>
  <c r="AC15" i="12"/>
  <c r="AC13" i="12"/>
  <c r="AC11" i="12"/>
  <c r="AC9" i="12"/>
  <c r="AC7" i="12"/>
  <c r="AC5" i="12"/>
  <c r="AC37" i="12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R19" i="10"/>
  <c r="R34" i="10"/>
  <c r="R24" i="10"/>
  <c r="R33" i="10"/>
  <c r="R22" i="10"/>
  <c r="U39" i="12"/>
  <c r="R21" i="10"/>
  <c r="R27" i="10"/>
  <c r="R38" i="10"/>
  <c r="R11" i="10"/>
  <c r="R9" i="10"/>
  <c r="U38" i="12"/>
  <c r="R23" i="10"/>
  <c r="R32" i="10"/>
  <c r="R35" i="10"/>
  <c r="R13" i="10"/>
  <c r="R15" i="10"/>
  <c r="R10" i="10"/>
  <c r="R16" i="10"/>
  <c r="R29" i="10"/>
  <c r="R14" i="10"/>
  <c r="R25" i="10"/>
  <c r="R36" i="10"/>
  <c r="R37" i="10"/>
  <c r="R30" i="10"/>
  <c r="R26" i="10"/>
  <c r="R17" i="10"/>
  <c r="R28" i="10"/>
  <c r="R18" i="10"/>
  <c r="R20" i="10"/>
  <c r="R31" i="10"/>
  <c r="R12" i="10"/>
  <c r="Z16" i="10" l="1"/>
  <c r="Z15" i="10"/>
  <c r="Z17" i="10"/>
  <c r="Z14" i="10"/>
  <c r="L5" i="19" a="1"/>
  <c r="M7" i="10" a="1"/>
  <c r="M11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AC38" i="12"/>
  <c r="AC39" i="12"/>
  <c r="Z13" i="10"/>
  <c r="Z32" i="10"/>
  <c r="Z20" i="10"/>
  <c r="Z8" i="10"/>
  <c r="Z10" i="10"/>
  <c r="Z36" i="10"/>
  <c r="Z21" i="10"/>
  <c r="Z7" i="10"/>
  <c r="Z34" i="10"/>
  <c r="Z26" i="10"/>
  <c r="Z12" i="10"/>
  <c r="Z27" i="10"/>
  <c r="Z9" i="10"/>
  <c r="Z18" i="10"/>
  <c r="Z38" i="10"/>
  <c r="Z24" i="10"/>
  <c r="Z35" i="10"/>
  <c r="Z23" i="10"/>
  <c r="Z30" i="10"/>
  <c r="Z28" i="10"/>
  <c r="Z22" i="10"/>
  <c r="Z37" i="10"/>
  <c r="Z33" i="10"/>
  <c r="Z31" i="10"/>
  <c r="Z29" i="10"/>
  <c r="Z25" i="10"/>
  <c r="Z19" i="10"/>
  <c r="Z11" i="10"/>
  <c r="L5" i="19" l="1"/>
  <c r="L16" i="19"/>
  <c r="L8" i="19"/>
  <c r="L20" i="19"/>
  <c r="L19" i="19"/>
  <c r="L25" i="19"/>
  <c r="L31" i="19"/>
  <c r="L23" i="19"/>
  <c r="L13" i="19"/>
  <c r="L12" i="19"/>
  <c r="L27" i="19"/>
  <c r="L26" i="19"/>
  <c r="L10" i="19"/>
  <c r="L17" i="19"/>
  <c r="L24" i="19"/>
  <c r="L15" i="19"/>
  <c r="L7" i="19"/>
  <c r="L30" i="19"/>
  <c r="L22" i="19"/>
  <c r="L14" i="19"/>
  <c r="L6" i="19"/>
  <c r="L29" i="19"/>
  <c r="L21" i="19"/>
  <c r="L28" i="19"/>
  <c r="L11" i="19"/>
  <c r="L9" i="19"/>
  <c r="L32" i="19"/>
  <c r="L18" i="19"/>
  <c r="M12" i="10"/>
  <c r="M18" i="10"/>
  <c r="M35" i="10"/>
  <c r="M29" i="10"/>
  <c r="M25" i="10"/>
  <c r="M13" i="10"/>
  <c r="M37" i="10"/>
  <c r="M38" i="10"/>
  <c r="M31" i="10"/>
  <c r="M32" i="10"/>
  <c r="M14" i="10"/>
  <c r="M22" i="10"/>
  <c r="M33" i="10"/>
  <c r="M20" i="10"/>
  <c r="M15" i="10"/>
  <c r="M21" i="10"/>
  <c r="M36" i="10"/>
  <c r="M27" i="10"/>
  <c r="M8" i="10"/>
  <c r="M9" i="10"/>
  <c r="M34" i="10"/>
  <c r="M10" i="10"/>
  <c r="M17" i="10"/>
  <c r="M16" i="10"/>
  <c r="M30" i="10"/>
  <c r="M23" i="10"/>
  <c r="M28" i="10"/>
  <c r="M19" i="10"/>
  <c r="M26" i="10"/>
  <c r="M7" i="10"/>
  <c r="M24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W9" i="10"/>
  <c r="M3" i="36" l="1"/>
  <c r="D6" i="36"/>
  <c r="D8" i="36"/>
  <c r="D9" i="36"/>
  <c r="K6" i="36"/>
  <c r="K8" i="36"/>
  <c r="K9" i="36"/>
  <c r="D12" i="36" l="1"/>
  <c r="D14" i="36"/>
  <c r="K12" i="36"/>
  <c r="L9" i="36"/>
  <c r="N7" i="36"/>
  <c r="L6" i="36"/>
  <c r="L8" i="36"/>
  <c r="K14" i="36"/>
  <c r="S6" i="36" l="1"/>
  <c r="S9" i="36"/>
  <c r="S8" i="36"/>
  <c r="E4" i="19"/>
  <c r="X6" i="36"/>
  <c r="F20" i="19"/>
  <c r="F10" i="19"/>
  <c r="L12" i="36"/>
  <c r="F25" i="19"/>
  <c r="F6" i="19"/>
  <c r="N9" i="36"/>
  <c r="F19" i="19"/>
  <c r="M8" i="36"/>
  <c r="F27" i="19"/>
  <c r="L14" i="36"/>
  <c r="F28" i="19"/>
  <c r="F11" i="19"/>
  <c r="F13" i="19"/>
  <c r="F21" i="19"/>
  <c r="X9" i="36"/>
  <c r="F22" i="19"/>
  <c r="F14" i="19"/>
  <c r="N8" i="36"/>
  <c r="F18" i="19"/>
  <c r="N6" i="36"/>
  <c r="F8" i="19"/>
  <c r="X8" i="36"/>
  <c r="M6" i="36"/>
  <c r="F24" i="19"/>
  <c r="M9" i="36"/>
  <c r="F26" i="19"/>
  <c r="F23" i="19"/>
  <c r="F15" i="19"/>
  <c r="F12" i="19"/>
  <c r="F7" i="19"/>
  <c r="F9" i="19"/>
  <c r="F5" i="19"/>
  <c r="F17" i="19"/>
  <c r="F16" i="19"/>
  <c r="V5" i="19"/>
  <c r="V23" i="19"/>
  <c r="V22" i="19"/>
  <c r="V18" i="19"/>
  <c r="V14" i="19"/>
  <c r="V21" i="19"/>
  <c r="V15" i="19"/>
  <c r="V27" i="19"/>
  <c r="V13" i="19"/>
  <c r="V26" i="19"/>
  <c r="V16" i="19"/>
  <c r="V9" i="19"/>
  <c r="V6" i="19"/>
  <c r="V12" i="19"/>
  <c r="V28" i="19"/>
  <c r="V20" i="19"/>
  <c r="V19" i="19"/>
  <c r="V8" i="19"/>
  <c r="V17" i="19"/>
  <c r="V7" i="19"/>
  <c r="V11" i="19"/>
  <c r="V24" i="19"/>
  <c r="V25" i="19"/>
  <c r="V10" i="19"/>
  <c r="S12" i="36" l="1"/>
  <c r="S14" i="36"/>
  <c r="E4" i="17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G10" i="19"/>
  <c r="G20" i="19"/>
  <c r="G27" i="19"/>
  <c r="F23" i="16"/>
  <c r="G15" i="16"/>
  <c r="G13" i="19"/>
  <c r="G5" i="16"/>
  <c r="G14" i="17"/>
  <c r="G19" i="16"/>
  <c r="N14" i="36"/>
  <c r="G10" i="17"/>
  <c r="G8" i="17"/>
  <c r="G23" i="19"/>
  <c r="G9" i="19"/>
  <c r="X12" i="36"/>
  <c r="F20" i="16"/>
  <c r="G6" i="19"/>
  <c r="G24" i="19"/>
  <c r="G7" i="19"/>
  <c r="G9" i="17"/>
  <c r="G8" i="16"/>
  <c r="X14" i="36"/>
  <c r="Y6" i="36"/>
  <c r="G11" i="17"/>
  <c r="G26" i="19"/>
  <c r="G13" i="16"/>
  <c r="G11" i="19"/>
  <c r="G21" i="19"/>
  <c r="G16" i="19"/>
  <c r="G25" i="19"/>
  <c r="N12" i="36"/>
  <c r="G19" i="19"/>
  <c r="G9" i="16"/>
  <c r="G11" i="16"/>
  <c r="G14" i="19"/>
  <c r="Y9" i="36"/>
  <c r="G16" i="16"/>
  <c r="M12" i="36"/>
  <c r="G7" i="16"/>
  <c r="G15" i="19"/>
  <c r="G6" i="16"/>
  <c r="G10" i="16"/>
  <c r="F22" i="16"/>
  <c r="G22" i="19"/>
  <c r="G12" i="16"/>
  <c r="Y8" i="36"/>
  <c r="G14" i="16"/>
  <c r="G8" i="19"/>
  <c r="G7" i="17"/>
  <c r="G17" i="19"/>
  <c r="G5" i="17"/>
  <c r="G12" i="19"/>
  <c r="G5" i="19"/>
  <c r="M14" i="36"/>
  <c r="G28" i="19"/>
  <c r="G12" i="17"/>
  <c r="G13" i="17"/>
  <c r="G17" i="16"/>
  <c r="G18" i="16"/>
  <c r="G6" i="17"/>
  <c r="G15" i="17"/>
  <c r="F21" i="16"/>
  <c r="G18" i="19"/>
  <c r="V7" i="17"/>
  <c r="V8" i="17"/>
  <c r="V6" i="17"/>
  <c r="V13" i="17"/>
  <c r="V9" i="17"/>
  <c r="V12" i="17"/>
  <c r="V5" i="17"/>
  <c r="V11" i="17"/>
  <c r="V10" i="17"/>
  <c r="V15" i="17"/>
  <c r="V14" i="17"/>
  <c r="V7" i="16"/>
  <c r="V20" i="16"/>
  <c r="V18" i="16"/>
  <c r="V19" i="16"/>
  <c r="V17" i="16"/>
  <c r="V10" i="16"/>
  <c r="V11" i="16"/>
  <c r="V12" i="16"/>
  <c r="V13" i="16"/>
  <c r="V23" i="16"/>
  <c r="V6" i="16"/>
  <c r="V15" i="16"/>
  <c r="V5" i="16"/>
  <c r="V22" i="16"/>
  <c r="V16" i="16"/>
  <c r="V9" i="16"/>
  <c r="V8" i="16"/>
  <c r="V14" i="16"/>
  <c r="V21" i="16"/>
  <c r="F4" i="19"/>
  <c r="F4" i="17"/>
  <c r="L3" i="36"/>
  <c r="E3" i="12" l="1"/>
  <c r="D4" i="10"/>
  <c r="D5" i="10"/>
  <c r="D6" i="10"/>
  <c r="D7" i="10"/>
  <c r="D8" i="10"/>
  <c r="D10" i="10"/>
  <c r="D11" i="10"/>
  <c r="D12" i="10"/>
  <c r="D13" i="10"/>
  <c r="D14" i="10"/>
  <c r="D15" i="10"/>
  <c r="D16" i="10"/>
  <c r="D17" i="10"/>
  <c r="D18" i="10"/>
  <c r="D19" i="10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C36" i="10"/>
  <c r="D36" i="10" s="1"/>
  <c r="C37" i="10"/>
  <c r="D37" i="10" s="1"/>
  <c r="D38" i="10"/>
  <c r="D39" i="10"/>
  <c r="D40" i="10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E16" i="10"/>
  <c r="E27" i="10"/>
  <c r="E22" i="10"/>
  <c r="D14" i="9"/>
  <c r="E19" i="10"/>
  <c r="E33" i="10"/>
  <c r="D13" i="9"/>
  <c r="D16" i="9"/>
  <c r="E15" i="10"/>
  <c r="E13" i="10"/>
  <c r="E34" i="10"/>
  <c r="E29" i="10"/>
  <c r="E40" i="10"/>
  <c r="E30" i="10"/>
  <c r="G21" i="16"/>
  <c r="G23" i="16"/>
  <c r="E14" i="10"/>
  <c r="Y14" i="36"/>
  <c r="E36" i="10"/>
  <c r="D19" i="9"/>
  <c r="D5" i="9"/>
  <c r="E10" i="10"/>
  <c r="E39" i="10"/>
  <c r="E6" i="10"/>
  <c r="D10" i="9"/>
  <c r="E25" i="10"/>
  <c r="E18" i="10"/>
  <c r="D8" i="9"/>
  <c r="E37" i="10"/>
  <c r="E20" i="10"/>
  <c r="G22" i="16"/>
  <c r="E21" i="10"/>
  <c r="E17" i="10"/>
  <c r="E28" i="10"/>
  <c r="E32" i="10"/>
  <c r="E35" i="10"/>
  <c r="E38" i="10"/>
  <c r="D12" i="9"/>
  <c r="D21" i="9"/>
  <c r="Y12" i="36"/>
  <c r="E5" i="10"/>
  <c r="D20" i="9"/>
  <c r="G20" i="16"/>
  <c r="D11" i="9"/>
  <c r="E11" i="10"/>
  <c r="E12" i="10"/>
  <c r="E31" i="10"/>
  <c r="E23" i="10"/>
  <c r="D6" i="9"/>
  <c r="E7" i="10"/>
  <c r="E8" i="10"/>
  <c r="E26" i="10"/>
  <c r="D18" i="9"/>
  <c r="D7" i="9"/>
  <c r="E24" i="10"/>
  <c r="D4" i="9"/>
  <c r="D15" i="9"/>
  <c r="D17" i="9"/>
  <c r="D9" i="9"/>
  <c r="W33" i="10"/>
  <c r="W32" i="10"/>
  <c r="W14" i="10"/>
  <c r="W30" i="10"/>
  <c r="W7" i="10"/>
  <c r="W21" i="10"/>
  <c r="W17" i="10"/>
  <c r="W26" i="10"/>
  <c r="W36" i="10"/>
  <c r="W37" i="10"/>
  <c r="W27" i="10"/>
  <c r="W15" i="10"/>
  <c r="W13" i="10"/>
  <c r="W11" i="10"/>
  <c r="W16" i="10"/>
  <c r="W8" i="10"/>
  <c r="W25" i="10"/>
  <c r="W23" i="10"/>
  <c r="W24" i="10"/>
  <c r="W31" i="10"/>
  <c r="W28" i="10"/>
  <c r="W10" i="10"/>
  <c r="W35" i="10"/>
  <c r="W22" i="10"/>
  <c r="W12" i="10"/>
  <c r="W18" i="10"/>
  <c r="W29" i="10"/>
  <c r="W20" i="10"/>
  <c r="W19" i="10"/>
  <c r="W38" i="10"/>
  <c r="W34" i="10"/>
  <c r="O7" i="9"/>
  <c r="O4" i="9"/>
  <c r="O20" i="9"/>
  <c r="O11" i="9"/>
  <c r="O16" i="9"/>
  <c r="O15" i="9"/>
  <c r="O18" i="9"/>
  <c r="O21" i="9"/>
  <c r="O6" i="9"/>
  <c r="O9" i="9"/>
  <c r="O14" i="9"/>
  <c r="O5" i="9"/>
  <c r="O17" i="9"/>
  <c r="O10" i="9"/>
  <c r="O19" i="9"/>
  <c r="O8" i="9"/>
  <c r="O12" i="9"/>
  <c r="O13" i="9"/>
  <c r="G4" i="17"/>
  <c r="G4" i="19"/>
  <c r="N3" i="36"/>
  <c r="E11" i="12" l="1"/>
  <c r="E19" i="12"/>
  <c r="E27" i="12"/>
  <c r="E35" i="12"/>
  <c r="E6" i="12"/>
  <c r="E14" i="12"/>
  <c r="E22" i="12"/>
  <c r="E30" i="12"/>
  <c r="E38" i="12"/>
  <c r="E9" i="12"/>
  <c r="E17" i="12"/>
  <c r="E25" i="12"/>
  <c r="E33" i="12"/>
  <c r="E4" i="12"/>
  <c r="E16" i="12"/>
  <c r="E29" i="12"/>
  <c r="E15" i="12"/>
  <c r="E28" i="12"/>
  <c r="E8" i="12"/>
  <c r="E21" i="12"/>
  <c r="E34" i="12"/>
  <c r="E5" i="12"/>
  <c r="E31" i="12"/>
  <c r="E36" i="12"/>
  <c r="E13" i="12"/>
  <c r="E26" i="12"/>
  <c r="E39" i="12"/>
  <c r="E18" i="12"/>
  <c r="E10" i="12"/>
  <c r="E23" i="12"/>
  <c r="E32" i="12"/>
  <c r="E24" i="12"/>
  <c r="E20" i="12"/>
  <c r="E37" i="12"/>
  <c r="E7" i="12"/>
  <c r="E12" i="12"/>
  <c r="F11" i="10"/>
  <c r="F33" i="12"/>
  <c r="F27" i="10"/>
  <c r="F20" i="10"/>
  <c r="F10" i="10"/>
  <c r="F15" i="12"/>
  <c r="F16" i="10"/>
  <c r="F32" i="10"/>
  <c r="F19" i="10"/>
  <c r="E15" i="9"/>
  <c r="F31" i="10"/>
  <c r="F8" i="10"/>
  <c r="F36" i="12"/>
  <c r="F15" i="10"/>
  <c r="E19" i="9"/>
  <c r="E10" i="9"/>
  <c r="F7" i="10"/>
  <c r="F9" i="10"/>
  <c r="F23" i="10"/>
  <c r="F25" i="12"/>
  <c r="E5" i="9"/>
  <c r="F13" i="10"/>
  <c r="F18" i="10"/>
  <c r="F24" i="12"/>
  <c r="E8" i="9"/>
  <c r="F22" i="10"/>
  <c r="F31" i="12"/>
  <c r="F12" i="10"/>
  <c r="F28" i="12"/>
  <c r="F20" i="12"/>
  <c r="F37" i="12"/>
  <c r="F14" i="10"/>
  <c r="F18" i="12"/>
  <c r="F4" i="12"/>
  <c r="E13" i="9"/>
  <c r="F34" i="12"/>
  <c r="F8" i="12"/>
  <c r="F26" i="12"/>
  <c r="E11" i="9"/>
  <c r="E16" i="9"/>
  <c r="F24" i="10"/>
  <c r="E20" i="9"/>
  <c r="F26" i="10"/>
  <c r="F6" i="12"/>
  <c r="F37" i="10"/>
  <c r="F17" i="12"/>
  <c r="F11" i="12"/>
  <c r="F19" i="12"/>
  <c r="F5" i="12"/>
  <c r="F6" i="10"/>
  <c r="F23" i="12"/>
  <c r="F5" i="10"/>
  <c r="E6" i="9"/>
  <c r="F29" i="12"/>
  <c r="F27" i="12"/>
  <c r="E12" i="9"/>
  <c r="F38" i="12"/>
  <c r="F36" i="10"/>
  <c r="E21" i="9"/>
  <c r="F22" i="12"/>
  <c r="F13" i="12"/>
  <c r="F25" i="10"/>
  <c r="F38" i="10"/>
  <c r="E14" i="9"/>
  <c r="F34" i="10"/>
  <c r="F30" i="10"/>
  <c r="F35" i="12"/>
  <c r="E7" i="9"/>
  <c r="F33" i="10"/>
  <c r="E9" i="9"/>
  <c r="F40" i="10"/>
  <c r="F35" i="10"/>
  <c r="F29" i="10"/>
  <c r="F39" i="10"/>
  <c r="E17" i="9"/>
  <c r="F9" i="12"/>
  <c r="F12" i="12"/>
  <c r="F28" i="10"/>
  <c r="F14" i="12"/>
  <c r="F7" i="12"/>
  <c r="F17" i="10"/>
  <c r="F39" i="12"/>
  <c r="F21" i="12"/>
  <c r="F21" i="10"/>
  <c r="F30" i="12"/>
  <c r="F10" i="12"/>
  <c r="F32" i="12"/>
  <c r="E4" i="9"/>
  <c r="F16" i="12"/>
  <c r="E18" i="9"/>
  <c r="Z33" i="12"/>
  <c r="Z38" i="12"/>
  <c r="Z37" i="12"/>
  <c r="Z28" i="12"/>
  <c r="Z30" i="12"/>
  <c r="Z35" i="12"/>
  <c r="Z14" i="12"/>
  <c r="Z4" i="12"/>
  <c r="Z24" i="12"/>
  <c r="Z8" i="12"/>
  <c r="Z21" i="12"/>
  <c r="Z18" i="12"/>
  <c r="Z29" i="12"/>
  <c r="Z22" i="12"/>
  <c r="Z5" i="12"/>
  <c r="Z36" i="12"/>
  <c r="Z32" i="12"/>
  <c r="Z13" i="12"/>
  <c r="Z39" i="12"/>
  <c r="Z27" i="12"/>
  <c r="Z9" i="12"/>
  <c r="Z6" i="12"/>
  <c r="Z7" i="12"/>
  <c r="Z25" i="12"/>
  <c r="Z19" i="12"/>
  <c r="Z12" i="12"/>
  <c r="Z16" i="12"/>
  <c r="Z17" i="12"/>
  <c r="Z10" i="12"/>
  <c r="Z23" i="12"/>
  <c r="Z26" i="12"/>
  <c r="Z20" i="12"/>
  <c r="Z31" i="12"/>
  <c r="Z11" i="12"/>
  <c r="Z34" i="12"/>
  <c r="Z15" i="12"/>
  <c r="D3" i="9"/>
  <c r="E4" i="10"/>
  <c r="F4" i="16"/>
  <c r="C5" i="6" l="1"/>
  <c r="D5" i="6"/>
  <c r="G27" i="12"/>
  <c r="G12" i="12"/>
  <c r="G9" i="12"/>
  <c r="G18" i="12"/>
  <c r="G23" i="12"/>
  <c r="G37" i="12"/>
  <c r="G24" i="12"/>
  <c r="G11" i="12"/>
  <c r="G19" i="12"/>
  <c r="G14" i="12"/>
  <c r="G33" i="12"/>
  <c r="G38" i="12"/>
  <c r="G17" i="12"/>
  <c r="G20" i="12"/>
  <c r="G15" i="12"/>
  <c r="G5" i="12"/>
  <c r="G10" i="12"/>
  <c r="G28" i="12"/>
  <c r="G7" i="12"/>
  <c r="G21" i="12"/>
  <c r="G30" i="12"/>
  <c r="G32" i="12"/>
  <c r="G36" i="12"/>
  <c r="G16" i="12"/>
  <c r="G34" i="12"/>
  <c r="G13" i="12"/>
  <c r="G8" i="12"/>
  <c r="G29" i="12"/>
  <c r="G4" i="12"/>
  <c r="G31" i="12"/>
  <c r="G35" i="12"/>
  <c r="G39" i="12"/>
  <c r="G26" i="12"/>
  <c r="G6" i="12"/>
  <c r="G22" i="12"/>
  <c r="G25" i="12"/>
  <c r="E3" i="9"/>
  <c r="G4" i="16"/>
  <c r="F4" i="10"/>
  <c r="E5" i="6" l="1"/>
  <c r="C6" i="6"/>
  <c r="D6" i="6"/>
  <c r="F5" i="6"/>
  <c r="E6" i="6" l="1"/>
  <c r="E4" i="6"/>
  <c r="C7" i="6"/>
  <c r="D7" i="6"/>
  <c r="F6" i="6"/>
  <c r="G5" i="6"/>
  <c r="E7" i="6" l="1"/>
  <c r="C8" i="6"/>
  <c r="D8" i="6"/>
  <c r="F7" i="6"/>
  <c r="G6" i="6"/>
  <c r="E8" i="6" l="1"/>
  <c r="C9" i="6"/>
  <c r="D9" i="6"/>
  <c r="G7" i="6"/>
  <c r="F8" i="6"/>
  <c r="E9" i="6" l="1"/>
  <c r="C10" i="6"/>
  <c r="D10" i="6"/>
  <c r="G8" i="6"/>
  <c r="F9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F12" i="6"/>
  <c r="G11" i="6"/>
  <c r="E13" i="6" l="1"/>
  <c r="C14" i="6"/>
  <c r="D14" i="6"/>
  <c r="G12" i="6"/>
  <c r="F13" i="6"/>
  <c r="E14" i="6" l="1"/>
  <c r="C15" i="6"/>
  <c r="D15" i="6"/>
  <c r="F14" i="6"/>
  <c r="G13" i="6"/>
  <c r="E15" i="6" l="1"/>
  <c r="C16" i="6"/>
  <c r="D16" i="6"/>
  <c r="G14" i="6"/>
  <c r="F15" i="6"/>
  <c r="E16" i="6" l="1"/>
  <c r="C17" i="6"/>
  <c r="D17" i="6"/>
  <c r="F16" i="6"/>
  <c r="G15" i="6"/>
  <c r="E17" i="6" l="1"/>
  <c r="C18" i="6"/>
  <c r="D18" i="6"/>
  <c r="G16" i="6"/>
  <c r="F17" i="6"/>
  <c r="E18" i="6" l="1"/>
  <c r="C19" i="6"/>
  <c r="D19" i="6"/>
  <c r="G17" i="6"/>
  <c r="F18" i="6"/>
  <c r="E19" i="6" l="1"/>
  <c r="C20" i="6"/>
  <c r="D20" i="6"/>
  <c r="F19" i="6"/>
  <c r="G18" i="6"/>
  <c r="E20" i="6" l="1"/>
  <c r="C21" i="6"/>
  <c r="D21" i="6"/>
  <c r="F20" i="6"/>
  <c r="G19" i="6"/>
  <c r="E21" i="6" l="1"/>
  <c r="C22" i="6"/>
  <c r="D22" i="6"/>
  <c r="F21" i="6"/>
  <c r="G20" i="6"/>
  <c r="E22" i="6" l="1"/>
  <c r="C23" i="6"/>
  <c r="D23" i="6"/>
  <c r="F22" i="6"/>
  <c r="G21" i="6"/>
  <c r="E23" i="6" l="1"/>
  <c r="C24" i="6"/>
  <c r="D24" i="6"/>
  <c r="F23" i="6"/>
  <c r="G22" i="6"/>
  <c r="E24" i="6" l="1"/>
  <c r="C25" i="6"/>
  <c r="D25" i="6"/>
  <c r="F24" i="6"/>
  <c r="G23" i="6"/>
  <c r="E25" i="6" l="1"/>
  <c r="C26" i="6"/>
  <c r="D26" i="6"/>
  <c r="F25" i="6"/>
  <c r="G24" i="6"/>
  <c r="E26" i="6" l="1"/>
  <c r="C27" i="6"/>
  <c r="D27" i="6"/>
  <c r="F26" i="6"/>
  <c r="G25" i="6"/>
  <c r="E27" i="6" l="1"/>
  <c r="C28" i="6"/>
  <c r="D28" i="6"/>
  <c r="F27" i="6"/>
  <c r="G26" i="6"/>
  <c r="E28" i="6" l="1"/>
  <c r="C29" i="6"/>
  <c r="D29" i="6"/>
  <c r="F28" i="6"/>
  <c r="G27" i="6"/>
  <c r="E29" i="6" l="1"/>
  <c r="C30" i="6"/>
  <c r="D30" i="6"/>
  <c r="G28" i="6"/>
  <c r="F29" i="6"/>
  <c r="E30" i="6" l="1"/>
  <c r="C31" i="6"/>
  <c r="D31" i="6"/>
  <c r="G29" i="6"/>
  <c r="F30" i="6"/>
  <c r="E31" i="6" l="1"/>
  <c r="C32" i="6"/>
  <c r="D32" i="6"/>
  <c r="G30" i="6"/>
  <c r="F31" i="6"/>
  <c r="E32" i="6" l="1"/>
  <c r="C33" i="6"/>
  <c r="D33" i="6"/>
  <c r="F32" i="6"/>
  <c r="G31" i="6"/>
  <c r="E33" i="6" l="1"/>
  <c r="C34" i="6"/>
  <c r="D34" i="6"/>
  <c r="G32" i="6"/>
  <c r="F33" i="6"/>
  <c r="E34" i="6" l="1"/>
  <c r="C35" i="6"/>
  <c r="D35" i="6"/>
  <c r="G33" i="6"/>
  <c r="F34" i="6"/>
  <c r="E35" i="6" l="1"/>
  <c r="C36" i="6"/>
  <c r="D36" i="6"/>
  <c r="F35" i="6"/>
  <c r="G34" i="6"/>
  <c r="E36" i="6" l="1"/>
  <c r="C37" i="6"/>
  <c r="D37" i="6"/>
  <c r="F36" i="6"/>
  <c r="G35" i="6"/>
  <c r="E37" i="6" l="1"/>
  <c r="C38" i="6"/>
  <c r="D38" i="6"/>
  <c r="G36" i="6"/>
  <c r="F37" i="6"/>
  <c r="E38" i="6" l="1"/>
  <c r="C39" i="6"/>
  <c r="D39" i="6"/>
  <c r="F38" i="6"/>
  <c r="G37" i="6"/>
  <c r="E39" i="6" l="1"/>
  <c r="C40" i="6"/>
  <c r="D40" i="6"/>
  <c r="G38" i="6"/>
  <c r="F39" i="6"/>
  <c r="E40" i="6" l="1"/>
  <c r="C41" i="6"/>
  <c r="D41" i="6"/>
  <c r="F40" i="6"/>
  <c r="G39" i="6"/>
  <c r="E41" i="6" l="1"/>
  <c r="C42" i="6"/>
  <c r="D42" i="6"/>
  <c r="F41" i="6"/>
  <c r="G40" i="6"/>
  <c r="E42" i="6" l="1"/>
  <c r="C5" i="5"/>
  <c r="D5" i="5"/>
  <c r="G41" i="6"/>
  <c r="F42" i="6"/>
  <c r="E5" i="5" l="1"/>
  <c r="C6" i="5"/>
  <c r="D6" i="5"/>
  <c r="F5" i="5"/>
  <c r="G42" i="6"/>
  <c r="E6" i="5" l="1"/>
  <c r="E4" i="5"/>
  <c r="C7" i="5"/>
  <c r="D7" i="5"/>
  <c r="F6" i="5"/>
  <c r="G5" i="5"/>
  <c r="E7" i="5" l="1"/>
  <c r="C8" i="5"/>
  <c r="D8" i="5"/>
  <c r="G6" i="5"/>
  <c r="F7" i="5"/>
  <c r="E8" i="5" l="1"/>
  <c r="C9" i="5"/>
  <c r="D9" i="5"/>
  <c r="F8" i="5"/>
  <c r="G7" i="5"/>
  <c r="E9" i="5" l="1"/>
  <c r="C10" i="5"/>
  <c r="D10" i="5"/>
  <c r="G8" i="5"/>
  <c r="F9" i="5"/>
  <c r="E10" i="5" l="1"/>
  <c r="C11" i="5"/>
  <c r="D11" i="5"/>
  <c r="G9" i="5"/>
  <c r="F10" i="5"/>
  <c r="E11" i="5" l="1"/>
  <c r="C12" i="5"/>
  <c r="D12" i="5"/>
  <c r="F11" i="5"/>
  <c r="G10" i="5"/>
  <c r="E12" i="5" l="1"/>
  <c r="C13" i="5"/>
  <c r="D13" i="5"/>
  <c r="G11" i="5"/>
  <c r="F12" i="5"/>
  <c r="E13" i="5" l="1"/>
  <c r="C14" i="5"/>
  <c r="D14" i="5"/>
  <c r="F13" i="5"/>
  <c r="G12" i="5"/>
  <c r="E14" i="5" l="1"/>
  <c r="C15" i="5"/>
  <c r="D15" i="5"/>
  <c r="G13" i="5"/>
  <c r="F14" i="5"/>
  <c r="E15" i="5" l="1"/>
  <c r="C16" i="5"/>
  <c r="D16" i="5"/>
  <c r="F15" i="5"/>
  <c r="G14" i="5"/>
  <c r="E16" i="5" l="1"/>
  <c r="C17" i="5"/>
  <c r="D17" i="5"/>
  <c r="F16" i="5"/>
  <c r="G15" i="5"/>
  <c r="E17" i="5" l="1"/>
  <c r="C18" i="5"/>
  <c r="D18" i="5"/>
  <c r="F17" i="5"/>
  <c r="G16" i="5"/>
  <c r="E18" i="5" l="1"/>
  <c r="C19" i="5"/>
  <c r="D19" i="5"/>
  <c r="G17" i="5"/>
  <c r="F18" i="5"/>
  <c r="E19" i="5" l="1"/>
  <c r="C20" i="5"/>
  <c r="D20" i="5"/>
  <c r="G18" i="5"/>
  <c r="F19" i="5"/>
  <c r="E20" i="5" l="1"/>
  <c r="C21" i="5"/>
  <c r="D21" i="5"/>
  <c r="F20" i="5"/>
  <c r="G19" i="5"/>
  <c r="E21" i="5" l="1"/>
  <c r="C22" i="5"/>
  <c r="D22" i="5"/>
  <c r="F21" i="5"/>
  <c r="G20" i="5"/>
  <c r="E22" i="5" l="1"/>
  <c r="C23" i="5"/>
  <c r="D23" i="5"/>
  <c r="G21" i="5"/>
  <c r="F22" i="5"/>
  <c r="E23" i="5" l="1"/>
  <c r="C24" i="5"/>
  <c r="D24" i="5"/>
  <c r="G22" i="5"/>
  <c r="F23" i="5"/>
  <c r="E24" i="5" l="1"/>
  <c r="C25" i="5"/>
  <c r="D25" i="5"/>
  <c r="G23" i="5"/>
  <c r="F24" i="5"/>
  <c r="E25" i="5" l="1"/>
  <c r="C26" i="5"/>
  <c r="D26" i="5"/>
  <c r="G24" i="5"/>
  <c r="F25" i="5"/>
  <c r="E26" i="5" l="1"/>
  <c r="C27" i="5"/>
  <c r="D27" i="5"/>
  <c r="G25" i="5"/>
  <c r="F26" i="5"/>
  <c r="E27" i="5" l="1"/>
  <c r="C28" i="5"/>
  <c r="D28" i="5"/>
  <c r="F27" i="5"/>
  <c r="G26" i="5"/>
  <c r="E28" i="5" l="1"/>
  <c r="C29" i="5"/>
  <c r="D29" i="5"/>
  <c r="G27" i="5"/>
  <c r="F28" i="5"/>
  <c r="E29" i="5" l="1"/>
  <c r="C30" i="5"/>
  <c r="D30" i="5"/>
  <c r="G28" i="5"/>
  <c r="F29" i="5"/>
  <c r="E30" i="5" l="1"/>
  <c r="C31" i="5"/>
  <c r="D31" i="5"/>
  <c r="G29" i="5"/>
  <c r="F30" i="5"/>
  <c r="E31" i="5" l="1"/>
  <c r="C32" i="5"/>
  <c r="D32" i="5"/>
  <c r="F31" i="5"/>
  <c r="G30" i="5"/>
  <c r="E32" i="5" l="1"/>
  <c r="C33" i="5"/>
  <c r="D33" i="5"/>
  <c r="F32" i="5"/>
  <c r="G31" i="5"/>
  <c r="E33" i="5" l="1"/>
  <c r="C34" i="5"/>
  <c r="D34" i="5"/>
  <c r="G32" i="5"/>
  <c r="F33" i="5"/>
  <c r="E34" i="5" l="1"/>
  <c r="C35" i="5"/>
  <c r="D35" i="5"/>
  <c r="F34" i="5"/>
  <c r="G33" i="5"/>
  <c r="E35" i="5" l="1"/>
  <c r="C36" i="5"/>
  <c r="D36" i="5"/>
  <c r="G34" i="5"/>
  <c r="F35" i="5"/>
  <c r="E36" i="5" l="1"/>
  <c r="C37" i="5"/>
  <c r="D37" i="5"/>
  <c r="G35" i="5"/>
  <c r="F36" i="5"/>
  <c r="E37" i="5" l="1"/>
  <c r="C38" i="5"/>
  <c r="D38" i="5"/>
  <c r="F37" i="5"/>
  <c r="G36" i="5"/>
  <c r="E38" i="5" l="1"/>
  <c r="C39" i="5"/>
  <c r="D39" i="5"/>
  <c r="F38" i="5"/>
  <c r="G37" i="5"/>
  <c r="E39" i="5" l="1"/>
  <c r="C40" i="5"/>
  <c r="D40" i="5"/>
  <c r="F39" i="5"/>
  <c r="G38" i="5"/>
  <c r="E40" i="5" l="1"/>
  <c r="C41" i="5"/>
  <c r="D41" i="5"/>
  <c r="G39" i="5"/>
  <c r="F40" i="5"/>
  <c r="E41" i="5" l="1"/>
  <c r="C42" i="5"/>
  <c r="D42" i="5"/>
  <c r="G40" i="5"/>
  <c r="F41" i="5"/>
  <c r="E42" i="5" l="1"/>
  <c r="S3" i="6"/>
  <c r="X5" i="6" a="1"/>
  <c r="S3" i="5"/>
  <c r="F42" i="5"/>
  <c r="G41" i="5"/>
  <c r="V3" i="19"/>
  <c r="V3" i="17"/>
  <c r="W3" i="10"/>
  <c r="O2" i="9"/>
  <c r="V3" i="16"/>
  <c r="F4" i="5"/>
  <c r="L4" i="16"/>
  <c r="I3" i="9"/>
  <c r="L4" i="19"/>
  <c r="L4" i="17"/>
  <c r="M4" i="10"/>
  <c r="S4" i="5"/>
  <c r="S4" i="6"/>
  <c r="F4" i="6"/>
  <c r="F3" i="12"/>
  <c r="X24" i="6" l="1"/>
  <c r="X16" i="6"/>
  <c r="X9" i="6"/>
  <c r="X7" i="6"/>
  <c r="X18" i="6"/>
  <c r="X19" i="6"/>
  <c r="X22" i="6"/>
  <c r="X29" i="6"/>
  <c r="X20" i="6"/>
  <c r="X36" i="6"/>
  <c r="X17" i="6"/>
  <c r="X15" i="6"/>
  <c r="X38" i="6"/>
  <c r="X35" i="6"/>
  <c r="X25" i="6"/>
  <c r="X40" i="6"/>
  <c r="X27" i="6"/>
  <c r="X10" i="6"/>
  <c r="X12" i="6"/>
  <c r="X33" i="6"/>
  <c r="X21" i="6"/>
  <c r="X26" i="6"/>
  <c r="X32" i="6"/>
  <c r="X28" i="6"/>
  <c r="X11" i="6"/>
  <c r="X30" i="6"/>
  <c r="X5" i="6"/>
  <c r="X39" i="6"/>
  <c r="X41" i="6"/>
  <c r="X23" i="6"/>
  <c r="X34" i="6"/>
  <c r="X14" i="6"/>
  <c r="X6" i="6"/>
  <c r="X37" i="6"/>
  <c r="X31" i="6"/>
  <c r="X8" i="6"/>
  <c r="X13" i="6"/>
  <c r="X5" i="5" a="1"/>
  <c r="G42" i="5"/>
  <c r="G4" i="6"/>
  <c r="G4" i="5"/>
  <c r="G3" i="12"/>
  <c r="Y41" i="6" l="1"/>
  <c r="X31" i="5"/>
  <c r="X41" i="5"/>
  <c r="X12" i="5"/>
  <c r="X33" i="5"/>
  <c r="X7" i="5"/>
  <c r="X35" i="5"/>
  <c r="X32" i="5"/>
  <c r="X6" i="5"/>
  <c r="X30" i="5"/>
  <c r="X38" i="5"/>
  <c r="X23" i="5"/>
  <c r="X15" i="5"/>
  <c r="X5" i="5"/>
  <c r="X19" i="5"/>
  <c r="X21" i="5"/>
  <c r="X22" i="5"/>
  <c r="X25" i="5"/>
  <c r="X34" i="5"/>
  <c r="X11" i="5"/>
  <c r="X27" i="5"/>
  <c r="X16" i="5"/>
  <c r="X29" i="5"/>
  <c r="X20" i="5"/>
  <c r="X24" i="5"/>
  <c r="X39" i="5"/>
  <c r="X28" i="5"/>
  <c r="X37" i="5"/>
  <c r="X10" i="5"/>
  <c r="X42" i="5"/>
  <c r="X13" i="5"/>
  <c r="X14" i="5"/>
  <c r="X18" i="5"/>
  <c r="X26" i="5"/>
  <c r="X9" i="5"/>
  <c r="X40" i="5"/>
  <c r="X36" i="5"/>
  <c r="X17" i="5"/>
  <c r="X8" i="5"/>
  <c r="Y40" i="6"/>
  <c r="Z2" i="12"/>
  <c r="O3" i="12"/>
  <c r="T5" i="36"/>
  <c r="Y42" i="6" l="1"/>
  <c r="X42" i="6" s="1"/>
  <c r="AD12" i="5"/>
  <c r="AD9" i="5"/>
  <c r="AD30" i="5"/>
  <c r="AD34" i="5"/>
  <c r="AD38" i="5"/>
  <c r="AD23" i="5"/>
  <c r="AD15" i="5"/>
  <c r="AD33" i="5"/>
  <c r="AD28" i="5"/>
  <c r="AD10" i="5"/>
  <c r="AD37" i="5"/>
  <c r="AD29" i="5"/>
  <c r="AD18" i="5"/>
  <c r="AD8" i="5"/>
  <c r="AD31" i="5"/>
  <c r="AD7" i="5"/>
  <c r="AD42" i="5"/>
  <c r="AD41" i="5"/>
  <c r="AD39" i="5"/>
  <c r="AD40" i="5"/>
  <c r="AD21" i="5"/>
  <c r="AD36" i="5"/>
  <c r="AD19" i="5"/>
  <c r="AD27" i="5"/>
  <c r="AD6" i="5"/>
  <c r="AD25" i="5"/>
  <c r="AD11" i="5"/>
  <c r="AD24" i="5"/>
  <c r="AD5" i="5"/>
  <c r="AD35" i="5"/>
  <c r="AD22" i="5"/>
  <c r="AD20" i="5"/>
  <c r="AD26" i="5"/>
  <c r="AD32" i="5"/>
  <c r="AD13" i="5"/>
  <c r="AD16" i="5"/>
  <c r="AD17" i="5"/>
  <c r="AD14" i="5"/>
  <c r="AD3" i="5" s="1"/>
  <c r="AK15" i="6" l="1"/>
  <c r="AK10" i="6"/>
  <c r="AK17" i="6"/>
  <c r="AK18" i="6"/>
  <c r="AK34" i="6"/>
  <c r="AK21" i="6"/>
  <c r="AK28" i="6"/>
  <c r="AK39" i="6"/>
  <c r="AK40" i="6"/>
  <c r="AK13" i="6"/>
  <c r="AK37" i="6"/>
  <c r="AK38" i="6"/>
  <c r="AK20" i="6"/>
  <c r="AK19" i="6"/>
  <c r="AK14" i="6"/>
  <c r="AK42" i="6"/>
  <c r="AK41" i="6"/>
  <c r="AK9" i="6"/>
  <c r="AK6" i="6"/>
  <c r="AK26" i="6"/>
  <c r="AK11" i="6"/>
  <c r="AK33" i="6"/>
  <c r="AK35" i="6"/>
  <c r="AK24" i="6"/>
  <c r="AK31" i="6"/>
  <c r="AK22" i="6"/>
  <c r="AK12" i="6"/>
  <c r="AK30" i="6"/>
  <c r="AK23" i="6"/>
  <c r="AK36" i="6"/>
  <c r="AK25" i="6"/>
  <c r="AK8" i="6"/>
  <c r="AK16" i="6"/>
  <c r="AK5" i="6"/>
  <c r="AK29" i="6"/>
  <c r="AK7" i="6"/>
  <c r="AK32" i="6"/>
  <c r="AK27" i="6"/>
  <c r="AD27" i="6"/>
  <c r="AD33" i="6"/>
  <c r="AD21" i="6"/>
  <c r="AD29" i="6"/>
  <c r="AD17" i="6"/>
  <c r="AD16" i="6"/>
  <c r="AD42" i="6"/>
  <c r="AD14" i="6"/>
  <c r="AD23" i="6"/>
  <c r="AD37" i="6"/>
  <c r="AD24" i="6"/>
  <c r="AD32" i="6"/>
  <c r="AD11" i="6"/>
  <c r="AD34" i="6"/>
  <c r="AD6" i="6"/>
  <c r="AD9" i="6"/>
  <c r="AD41" i="6"/>
  <c r="AD8" i="6"/>
  <c r="AD36" i="6"/>
  <c r="AD19" i="6"/>
  <c r="AD20" i="6"/>
  <c r="AD22" i="6"/>
  <c r="AD28" i="6"/>
  <c r="AD7" i="6"/>
  <c r="AD26" i="6"/>
  <c r="AD18" i="6"/>
  <c r="AD5" i="6"/>
  <c r="AD10" i="6"/>
  <c r="AD15" i="6"/>
  <c r="AD25" i="6"/>
  <c r="AD30" i="6"/>
  <c r="AD40" i="6"/>
  <c r="AD35" i="6"/>
  <c r="AD12" i="6"/>
  <c r="AD31" i="6"/>
  <c r="AD38" i="6"/>
  <c r="AD13" i="6"/>
  <c r="AD39" i="6"/>
  <c r="AD3" i="6"/>
  <c r="D22" i="40"/>
</calcChain>
</file>

<file path=xl/sharedStrings.xml><?xml version="1.0" encoding="utf-8"?>
<sst xmlns="http://schemas.openxmlformats.org/spreadsheetml/2006/main" count="1159" uniqueCount="205">
  <si>
    <t>PriceTickValue</t>
  </si>
  <si>
    <t>RateTickValue</t>
  </si>
  <si>
    <t>_Quote</t>
  </si>
  <si>
    <t>QuoteSuffix</t>
  </si>
  <si>
    <t>HKD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</si>
  <si>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</si>
  <si>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</si>
  <si>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</si>
  <si>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</si>
  <si>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</si>
  <si>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</si>
  <si>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</si>
  <si>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</si>
  <si>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</si>
  <si>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</si>
  <si>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</si>
  <si>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</si>
  <si>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</si>
  <si>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</si>
  <si>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</si>
  <si>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</si>
  <si>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</si>
  <si>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</si>
  <si>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</si>
  <si>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</si>
  <si>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</si>
  <si>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</si>
  <si>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</si>
  <si>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</si>
  <si>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</si>
  <si>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</si>
  <si>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</si>
  <si>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</si>
  <si>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</si>
  <si>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</si>
  <si>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</si>
  <si>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</si>
  <si>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</si>
  <si>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</si>
  <si>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</si>
  <si>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</si>
  <si>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</si>
  <si>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</si>
  <si>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</si>
  <si>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</si>
  <si>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</si>
  <si>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</si>
  <si>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</si>
  <si>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</si>
  <si>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</si>
  <si>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</si>
  <si>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</si>
  <si>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</si>
  <si>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</si>
  <si>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</si>
  <si>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</si>
  <si>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</si>
  <si>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</si>
  <si>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</si>
  <si>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</si>
  <si>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</si>
  <si>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</si>
  <si>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</si>
  <si>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</si>
  <si>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</si>
  <si>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</si>
  <si>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</si>
  <si>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</si>
  <si>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</si>
  <si>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</si>
  <si>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</si>
  <si>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</si>
  <si>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</si>
  <si>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</si>
  <si>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</si>
  <si>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</si>
  <si>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</si>
  <si>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</si>
  <si>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</si>
  <si>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</si>
  <si>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</si>
  <si>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</si>
  <si>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</si>
  <si>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</si>
  <si>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</si>
  <si>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</si>
  <si>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</si>
  <si>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</si>
  <si>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</si>
  <si>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</si>
  <si>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</si>
  <si>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</si>
  <si>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</si>
  <si>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</si>
  <si>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</si>
  <si>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</si>
  <si>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</si>
  <si>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</si>
  <si>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</si>
  <si>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</si>
  <si>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</si>
  <si>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</si>
  <si>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</si>
  <si>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</si>
  <si>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</si>
  <si>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</si>
  <si>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</si>
  <si>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</si>
  <si>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</si>
  <si>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</si>
  <si>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</si>
  <si>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</si>
  <si>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</si>
  <si>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</si>
  <si>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</si>
  <si>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</si>
  <si>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</si>
  <si>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</si>
  <si>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</si>
  <si>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</si>
  <si>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</si>
  <si>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3H</t>
  </si>
  <si>
    <t>QM</t>
  </si>
  <si>
    <t>ON</t>
  </si>
  <si>
    <t>Hibor</t>
  </si>
  <si>
    <t>FamilyName</t>
  </si>
  <si>
    <t>Actual/365 (Fixed)</t>
  </si>
  <si>
    <t>Following</t>
  </si>
  <si>
    <t>HongKong::HKEx</t>
  </si>
  <si>
    <t>1W</t>
  </si>
  <si>
    <t>dc</t>
  </si>
  <si>
    <t>eom</t>
  </si>
  <si>
    <t>bdc</t>
  </si>
  <si>
    <t>calendar</t>
  </si>
  <si>
    <t>fix days</t>
  </si>
  <si>
    <t>Tenor</t>
  </si>
  <si>
    <t>Change</t>
  </si>
  <si>
    <t>Effective</t>
  </si>
  <si>
    <t>Object ID</t>
  </si>
  <si>
    <t>Static</t>
  </si>
  <si>
    <t>PRIM ACT 1</t>
  </si>
  <si>
    <t>Quote suffix</t>
  </si>
  <si>
    <t>Contributors</t>
  </si>
  <si>
    <t>D</t>
  </si>
  <si>
    <t>LAST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</si>
  <si>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</si>
  <si>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</si>
  <si>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</si>
  <si>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</si>
  <si>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</si>
  <si>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</si>
  <si>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</si>
  <si>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</si>
  <si>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</si>
  <si>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</si>
  <si>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COSMOREX</t>
  </si>
  <si>
    <t>COSZ</t>
  </si>
  <si>
    <t>ASK-BID</t>
  </si>
  <si>
    <t>Mid Safe</t>
  </si>
  <si>
    <t>HST_CLOSE</t>
  </si>
  <si>
    <t>BID</t>
  </si>
  <si>
    <t>EXPIRE DATE</t>
  </si>
  <si>
    <t>Effective Date</t>
  </si>
  <si>
    <t>Mid</t>
  </si>
  <si>
    <t>Mid Equivalent</t>
  </si>
  <si>
    <t>Error</t>
  </si>
  <si>
    <t>ICHK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</si>
  <si>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</si>
  <si>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</si>
  <si>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</si>
  <si>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</si>
  <si>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</si>
  <si>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</si>
  <si>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</si>
  <si>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</si>
  <si>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</si>
  <si>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Add Fixing</t>
  </si>
  <si>
    <t>Fixing Check</t>
  </si>
  <si>
    <t>VALUE_DT1</t>
  </si>
  <si>
    <t>HKD_010_BasisSwapQuotes</t>
  </si>
  <si>
    <t>HKD_010_DepoFRAFuturesQuotes</t>
  </si>
  <si>
    <t>HKD_010_SwapQuotes</t>
  </si>
  <si>
    <t/>
  </si>
  <si>
    <t>R. Handles</t>
  </si>
  <si>
    <t>Indexes</t>
  </si>
  <si>
    <t>Index Last Fixing</t>
  </si>
  <si>
    <t>STD</t>
  </si>
  <si>
    <t>Index</t>
  </si>
  <si>
    <t>Last Fixing</t>
  </si>
  <si>
    <t>The record could not be found</t>
  </si>
  <si>
    <t>Condition:</t>
  </si>
  <si>
    <t>Start:</t>
  </si>
  <si>
    <t>Timestamp</t>
  </si>
  <si>
    <t>Last Quote Close</t>
  </si>
  <si>
    <t>End:</t>
  </si>
  <si>
    <t>Order by:</t>
  </si>
  <si>
    <t>DESC</t>
  </si>
  <si>
    <t>LAST_QUOTE.TIMESTAMP</t>
  </si>
  <si>
    <t>LAST_QUOTE.CLOSE</t>
  </si>
  <si>
    <t>HIHKD3MD=</t>
  </si>
  <si>
    <t>HIHKD1MD=</t>
  </si>
  <si>
    <t>HIHKD6MD=</t>
  </si>
  <si>
    <t>HkdHibor1M</t>
  </si>
  <si>
    <t>HkdHibor3M</t>
  </si>
  <si>
    <t>HkdHibor6M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</si>
</sst>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0.000"/>
    <numFmt numFmtId="174" formatCode="ddd\,\ dd\-mmm\-yyyy\,\ h:mm:ss"/>
    <numFmt numFmtId="175" formatCode="ddd\,\ dd\-mmm\-yy"/>
    <numFmt numFmtId="176" formatCode="0.00000"/>
    <numFmt numFmtId="177" formatCode="0.00000%"/>
  </numFmts>
  <fonts count="25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10"/>
      <name val="MS Sans Serif"/>
      <family val="2"/>
    </font>
    <font>
      <sz val="8"/>
      <name val="MS Sans Serif"/>
      <family val="2"/>
    </font>
    <font>
      <sz val="11"/>
      <color theme="1"/>
      <name val="Calibri"/>
      <family val="2"/>
      <scheme val="minor"/>
    </font>
    <font>
      <sz val="8"/>
      <color indexed="10"/>
      <name val="Courier New"/>
      <family val="3"/>
    </font>
    <font>
      <sz val="8"/>
      <color indexed="55"/>
      <name val="Courier New"/>
      <family val="3"/>
    </font>
    <font>
      <b/>
      <sz val="10"/>
      <name val="Courier New"/>
      <family val="3"/>
    </font>
    <font>
      <b/>
      <sz val="8"/>
      <color indexed="12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3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2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1" fillId="0" borderId="0"/>
  </cellStyleXfs>
  <cellXfs count="383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3" fillId="2" borderId="24" xfId="2" applyFont="1" applyFill="1" applyBorder="1" applyAlignment="1">
      <alignment horizontal="center"/>
    </xf>
    <xf numFmtId="0" fontId="18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1" fillId="3" borderId="0" xfId="1" applyFill="1" applyBorder="1"/>
    <xf numFmtId="0" fontId="18" fillId="3" borderId="0" xfId="1" applyFont="1" applyFill="1" applyBorder="1"/>
    <xf numFmtId="0" fontId="1" fillId="3" borderId="17" xfId="1" applyFill="1" applyBorder="1"/>
    <xf numFmtId="0" fontId="1" fillId="3" borderId="18" xfId="1" applyFill="1" applyBorder="1"/>
    <xf numFmtId="0" fontId="18" fillId="3" borderId="18" xfId="1" applyFont="1" applyFill="1" applyBorder="1"/>
    <xf numFmtId="0" fontId="18" fillId="3" borderId="19" xfId="1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2" fillId="3" borderId="4" xfId="0" applyFont="1" applyFill="1" applyBorder="1"/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3" xfId="9" applyNumberFormat="1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3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2" fillId="9" borderId="0" xfId="2" applyFill="1"/>
    <xf numFmtId="0" fontId="18" fillId="3" borderId="7" xfId="2" applyFont="1" applyFill="1" applyBorder="1"/>
    <xf numFmtId="0" fontId="18" fillId="3" borderId="0" xfId="2" applyFont="1" applyFill="1" applyBorder="1"/>
    <xf numFmtId="0" fontId="18" fillId="3" borderId="4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19" fillId="2" borderId="26" xfId="2" applyFont="1" applyFill="1" applyBorder="1"/>
    <xf numFmtId="1" fontId="19" fillId="3" borderId="14" xfId="2" applyNumberFormat="1" applyFont="1" applyFill="1" applyBorder="1" applyAlignment="1">
      <alignment horizontal="center"/>
    </xf>
    <xf numFmtId="0" fontId="19" fillId="2" borderId="15" xfId="2" applyFont="1" applyFill="1" applyBorder="1"/>
    <xf numFmtId="1" fontId="19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19" fillId="3" borderId="6" xfId="2" applyFont="1" applyFill="1" applyBorder="1" applyAlignment="1">
      <alignment horizontal="center"/>
    </xf>
    <xf numFmtId="0" fontId="19" fillId="3" borderId="5" xfId="2" applyFont="1" applyFill="1" applyBorder="1" applyAlignment="1">
      <alignment horizontal="center"/>
    </xf>
    <xf numFmtId="0" fontId="19" fillId="3" borderId="26" xfId="2" applyFont="1" applyFill="1" applyBorder="1" applyAlignment="1">
      <alignment horizontal="center"/>
    </xf>
    <xf numFmtId="0" fontId="19" fillId="3" borderId="14" xfId="2" applyFont="1" applyFill="1" applyBorder="1" applyAlignment="1">
      <alignment horizontal="center"/>
    </xf>
    <xf numFmtId="0" fontId="19" fillId="3" borderId="15" xfId="2" applyFont="1" applyFill="1" applyBorder="1" applyAlignment="1">
      <alignment horizontal="center"/>
    </xf>
    <xf numFmtId="0" fontId="19" fillId="3" borderId="11" xfId="2" applyFont="1" applyFill="1" applyBorder="1" applyAlignment="1">
      <alignment horizontal="center"/>
    </xf>
    <xf numFmtId="0" fontId="19" fillId="3" borderId="0" xfId="2" applyFont="1" applyFill="1" applyBorder="1" applyAlignment="1">
      <alignment horizontal="center"/>
    </xf>
    <xf numFmtId="0" fontId="2" fillId="3" borderId="3" xfId="2" applyFill="1" applyBorder="1"/>
    <xf numFmtId="0" fontId="2" fillId="3" borderId="0" xfId="2" applyFill="1"/>
    <xf numFmtId="165" fontId="1" fillId="0" borderId="12" xfId="10" applyNumberFormat="1" applyFont="1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5" fontId="1" fillId="0" borderId="12" xfId="10" applyNumberFormat="1" applyFont="1" applyFill="1" applyBorder="1" applyAlignment="1"/>
    <xf numFmtId="165" fontId="1" fillId="0" borderId="0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5" fontId="1" fillId="0" borderId="0" xfId="10" applyNumberFormat="1" applyFont="1" applyFill="1" applyBorder="1" applyAlignment="1"/>
    <xf numFmtId="165" fontId="1" fillId="0" borderId="21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5" fontId="1" fillId="0" borderId="21" xfId="10" applyNumberFormat="1" applyFont="1" applyFill="1" applyBorder="1" applyAlignment="1"/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1" fillId="3" borderId="7" xfId="2" applyFont="1" applyFill="1" applyBorder="1" applyAlignment="1">
      <alignment horizontal="left"/>
    </xf>
    <xf numFmtId="0" fontId="10" fillId="0" borderId="24" xfId="0" applyFont="1" applyBorder="1" applyAlignment="1">
      <alignment horizontal="center" vertical="center" wrapText="1"/>
    </xf>
    <xf numFmtId="0" fontId="19" fillId="2" borderId="25" xfId="2" applyFont="1" applyFill="1" applyBorder="1"/>
    <xf numFmtId="0" fontId="19" fillId="3" borderId="20" xfId="2" quotePrefix="1" applyNumberFormat="1" applyFont="1" applyFill="1" applyBorder="1" applyAlignment="1">
      <alignment horizontal="center"/>
    </xf>
    <xf numFmtId="0" fontId="10" fillId="0" borderId="24" xfId="0" applyFont="1" applyFill="1" applyBorder="1" applyAlignment="1">
      <alignment horizontal="center" vertical="center" wrapText="1"/>
    </xf>
    <xf numFmtId="0" fontId="1" fillId="3" borderId="0" xfId="0" quotePrefix="1" applyFont="1" applyFill="1" applyBorder="1" applyAlignment="1">
      <alignment horizontal="center"/>
    </xf>
    <xf numFmtId="164" fontId="1" fillId="0" borderId="24" xfId="9" applyNumberFormat="1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8" fillId="3" borderId="17" xfId="1" applyFont="1" applyFill="1" applyBorder="1"/>
    <xf numFmtId="0" fontId="18" fillId="3" borderId="4" xfId="1" applyFont="1" applyFill="1" applyBorder="1"/>
    <xf numFmtId="0" fontId="18" fillId="3" borderId="3" xfId="1" applyFont="1" applyFill="1" applyBorder="1"/>
    <xf numFmtId="0" fontId="18" fillId="3" borderId="2" xfId="1" applyFont="1" applyFill="1" applyBorder="1"/>
    <xf numFmtId="0" fontId="18" fillId="3" borderId="1" xfId="1" applyFont="1" applyFill="1" applyBorder="1"/>
    <xf numFmtId="0" fontId="1" fillId="3" borderId="4" xfId="2" quotePrefix="1" applyFont="1" applyFill="1" applyBorder="1"/>
    <xf numFmtId="0" fontId="1" fillId="3" borderId="14" xfId="2" quotePrefix="1" applyFont="1" applyFill="1" applyBorder="1"/>
    <xf numFmtId="0" fontId="1" fillId="3" borderId="14" xfId="2" quotePrefix="1" applyFont="1" applyFill="1" applyBorder="1" applyAlignment="1">
      <alignment horizontal="center"/>
    </xf>
    <xf numFmtId="0" fontId="15" fillId="3" borderId="4" xfId="2" quotePrefix="1" applyFont="1" applyFill="1" applyBorder="1"/>
    <xf numFmtId="0" fontId="1" fillId="3" borderId="4" xfId="1" quotePrefix="1" applyFill="1" applyBorder="1"/>
    <xf numFmtId="0" fontId="3" fillId="3" borderId="4" xfId="2" quotePrefix="1" applyFont="1" applyFill="1" applyBorder="1"/>
    <xf numFmtId="0" fontId="9" fillId="3" borderId="24" xfId="2" applyFont="1" applyFill="1" applyBorder="1" applyAlignment="1">
      <alignment horizontal="center" vertical="center" wrapText="1"/>
    </xf>
    <xf numFmtId="0" fontId="9" fillId="3" borderId="6" xfId="2" applyFont="1" applyFill="1" applyBorder="1" applyAlignment="1">
      <alignment horizontal="center" vertical="center" wrapText="1"/>
    </xf>
    <xf numFmtId="0" fontId="10" fillId="0" borderId="22" xfId="10" applyNumberFormat="1" applyFont="1" applyFill="1" applyBorder="1" applyAlignment="1"/>
    <xf numFmtId="0" fontId="10" fillId="0" borderId="16" xfId="10" applyNumberFormat="1" applyFont="1" applyFill="1" applyBorder="1" applyAlignment="1"/>
    <xf numFmtId="0" fontId="10" fillId="0" borderId="13" xfId="10" applyNumberFormat="1" applyFont="1" applyFill="1" applyBorder="1" applyAlignment="1"/>
    <xf numFmtId="0" fontId="3" fillId="2" borderId="13" xfId="2" applyFont="1" applyFill="1" applyBorder="1" applyAlignment="1">
      <alignment horizontal="center"/>
    </xf>
    <xf numFmtId="176" fontId="1" fillId="0" borderId="21" xfId="10" applyNumberFormat="1" applyFont="1" applyFill="1" applyBorder="1" applyAlignment="1"/>
    <xf numFmtId="176" fontId="1" fillId="0" borderId="0" xfId="10" applyNumberFormat="1" applyFont="1" applyFill="1" applyBorder="1" applyAlignment="1"/>
    <xf numFmtId="176" fontId="1" fillId="0" borderId="12" xfId="10" applyNumberFormat="1" applyFont="1" applyFill="1" applyBorder="1" applyAlignment="1"/>
    <xf numFmtId="177" fontId="1" fillId="0" borderId="20" xfId="10" applyNumberFormat="1" applyFont="1" applyFill="1" applyBorder="1" applyAlignment="1"/>
    <xf numFmtId="177" fontId="1" fillId="0" borderId="14" xfId="10" applyNumberFormat="1" applyFont="1" applyFill="1" applyBorder="1" applyAlignment="1"/>
    <xf numFmtId="177" fontId="1" fillId="0" borderId="11" xfId="10" applyNumberFormat="1" applyFont="1" applyFill="1" applyBorder="1" applyAlignment="1"/>
    <xf numFmtId="0" fontId="1" fillId="3" borderId="6" xfId="2" applyFont="1" applyFill="1" applyBorder="1" applyAlignment="1">
      <alignment horizontal="left"/>
    </xf>
    <xf numFmtId="174" fontId="19" fillId="3" borderId="6" xfId="2" applyNumberFormat="1" applyFont="1" applyFill="1" applyBorder="1" applyAlignment="1">
      <alignment horizontal="center"/>
    </xf>
    <xf numFmtId="0" fontId="1" fillId="3" borderId="6" xfId="2" quotePrefix="1" applyFont="1" applyFill="1" applyBorder="1" applyAlignment="1">
      <alignment horizontal="center"/>
    </xf>
    <xf numFmtId="0" fontId="1" fillId="3" borderId="0" xfId="2" applyFont="1" applyFill="1" applyBorder="1" applyAlignment="1">
      <alignment horizontal="left"/>
    </xf>
    <xf numFmtId="0" fontId="1" fillId="3" borderId="0" xfId="2" quotePrefix="1" applyFont="1" applyFill="1" applyBorder="1" applyAlignment="1">
      <alignment horizontal="center"/>
    </xf>
    <xf numFmtId="0" fontId="15" fillId="0" borderId="0" xfId="11" applyFont="1"/>
    <xf numFmtId="0" fontId="15" fillId="3" borderId="12" xfId="11" applyFont="1" applyFill="1" applyBorder="1"/>
    <xf numFmtId="175" fontId="15" fillId="0" borderId="0" xfId="11" applyNumberFormat="1" applyFont="1" applyAlignment="1">
      <alignment horizontal="center" vertical="center"/>
    </xf>
    <xf numFmtId="0" fontId="15" fillId="0" borderId="0" xfId="11" applyFont="1" applyBorder="1"/>
    <xf numFmtId="0" fontId="21" fillId="3" borderId="0" xfId="11" applyFont="1" applyFill="1" applyAlignment="1">
      <alignment vertical="center" wrapText="1"/>
    </xf>
    <xf numFmtId="0" fontId="22" fillId="3" borderId="0" xfId="11" applyFont="1" applyFill="1" applyBorder="1" applyAlignment="1">
      <alignment vertical="center"/>
    </xf>
    <xf numFmtId="0" fontId="15" fillId="3" borderId="0" xfId="11" applyFont="1" applyFill="1" applyBorder="1" applyAlignment="1">
      <alignment vertical="center"/>
    </xf>
    <xf numFmtId="0" fontId="17" fillId="2" borderId="28" xfId="11" applyFont="1" applyFill="1" applyBorder="1" applyAlignment="1">
      <alignment horizontal="left" vertical="center"/>
    </xf>
    <xf numFmtId="0" fontId="22" fillId="0" borderId="29" xfId="11" applyFont="1" applyBorder="1" applyAlignment="1">
      <alignment wrapText="1"/>
    </xf>
    <xf numFmtId="0" fontId="15" fillId="0" borderId="0" xfId="11" quotePrefix="1" applyFont="1" applyBorder="1"/>
    <xf numFmtId="0" fontId="15" fillId="0" borderId="0" xfId="11" applyFont="1" applyFill="1" applyBorder="1"/>
    <xf numFmtId="0" fontId="17" fillId="2" borderId="30" xfId="11" applyFont="1" applyFill="1" applyBorder="1"/>
    <xf numFmtId="172" fontId="22" fillId="0" borderId="31" xfId="11" quotePrefix="1" applyNumberFormat="1" applyFont="1" applyBorder="1"/>
    <xf numFmtId="175" fontId="15" fillId="0" borderId="32" xfId="11" applyNumberFormat="1" applyFont="1" applyFill="1" applyBorder="1" applyAlignment="1">
      <alignment horizontal="left"/>
    </xf>
    <xf numFmtId="173" fontId="15" fillId="0" borderId="32" xfId="11" applyNumberFormat="1" applyFont="1" applyFill="1" applyBorder="1" applyAlignment="1">
      <alignment horizontal="left"/>
    </xf>
    <xf numFmtId="0" fontId="15" fillId="0" borderId="0" xfId="11" quotePrefix="1" applyFont="1"/>
    <xf numFmtId="0" fontId="22" fillId="0" borderId="31" xfId="11" applyFont="1" applyBorder="1"/>
    <xf numFmtId="0" fontId="1" fillId="0" borderId="0" xfId="11"/>
    <xf numFmtId="14" fontId="1" fillId="0" borderId="0" xfId="11" applyNumberFormat="1"/>
    <xf numFmtId="173" fontId="15" fillId="0" borderId="0" xfId="11" applyNumberFormat="1" applyFont="1" applyFill="1" applyBorder="1" applyAlignment="1">
      <alignment horizontal="left"/>
    </xf>
    <xf numFmtId="0" fontId="15" fillId="3" borderId="19" xfId="11" quotePrefix="1" applyFont="1" applyFill="1" applyBorder="1" applyAlignment="1">
      <alignment vertical="center"/>
    </xf>
    <xf numFmtId="173" fontId="15" fillId="0" borderId="33" xfId="11" applyNumberFormat="1" applyFont="1" applyFill="1" applyBorder="1" applyAlignment="1">
      <alignment horizontal="left"/>
    </xf>
    <xf numFmtId="175" fontId="15" fillId="0" borderId="34" xfId="11" applyNumberFormat="1" applyFont="1" applyFill="1" applyBorder="1" applyAlignment="1">
      <alignment horizontal="left"/>
    </xf>
    <xf numFmtId="173" fontId="15" fillId="0" borderId="34" xfId="11" applyNumberFormat="1" applyFont="1" applyFill="1" applyBorder="1" applyAlignment="1">
      <alignment horizontal="left"/>
    </xf>
    <xf numFmtId="173" fontId="15" fillId="0" borderId="35" xfId="11" applyNumberFormat="1" applyFont="1" applyFill="1" applyBorder="1" applyAlignment="1">
      <alignment horizontal="left"/>
    </xf>
    <xf numFmtId="0" fontId="17" fillId="0" borderId="36" xfId="11" quotePrefix="1" applyFont="1" applyBorder="1" applyAlignment="1">
      <alignment vertical="center"/>
    </xf>
    <xf numFmtId="0" fontId="23" fillId="0" borderId="36" xfId="11" applyFont="1" applyBorder="1" applyAlignment="1">
      <alignment vertical="center"/>
    </xf>
    <xf numFmtId="0" fontId="24" fillId="3" borderId="35" xfId="11" applyFont="1" applyFill="1" applyBorder="1" applyAlignment="1">
      <alignment horizontal="left"/>
    </xf>
    <xf numFmtId="0" fontId="15" fillId="0" borderId="36" xfId="11" applyFont="1" applyFill="1" applyBorder="1"/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</cellXfs>
  <cellStyles count="12"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9525</xdr:rowOff>
        </xdr:from>
        <xdr:to>
          <xdr:col>7</xdr:col>
          <xdr:colOff>171450</xdr:colOff>
          <xdr:row>4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9525</xdr:rowOff>
        </xdr:from>
        <xdr:to>
          <xdr:col>7</xdr:col>
          <xdr:colOff>161925</xdr:colOff>
          <xdr:row>6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D58"/>
  <sheetViews>
    <sheetView workbookViewId="0">
      <selection activeCell="D4" sqref="D4"/>
    </sheetView>
  </sheetViews>
  <sheetFormatPr defaultRowHeight="12.75" x14ac:dyDescent="0.2"/>
  <cols>
    <col min="1" max="2" width="2.7109375" style="299" customWidth="1"/>
    <col min="3" max="3" width="12.140625" style="299" bestFit="1" customWidth="1"/>
    <col min="4" max="4" width="53.7109375" style="299" bestFit="1" customWidth="1"/>
    <col min="5" max="5" width="5.85546875" style="299" customWidth="1"/>
    <col min="6" max="16384" width="9.140625" style="299"/>
  </cols>
  <sheetData>
    <row r="1" spans="1:30" s="280" customFormat="1" ht="13.5" thickBot="1" x14ac:dyDescent="0.25">
      <c r="B1" s="280" t="str">
        <f>_xll.qlxlVersion(TRUE,Trigger)</f>
        <v>QuantLibXL 1.3.0 - MS VC++ 9.0 - Multithreaded Dynamic Runtime library - Release Configuration - Jan 30 2014 20:29:50</v>
      </c>
    </row>
    <row r="2" spans="1:30" s="280" customFormat="1" ht="15.75" x14ac:dyDescent="0.25">
      <c r="B2" s="380" t="s">
        <v>12</v>
      </c>
      <c r="C2" s="381"/>
      <c r="D2" s="381"/>
      <c r="E2" s="382"/>
    </row>
    <row r="3" spans="1:30" s="38" customFormat="1" x14ac:dyDescent="0.2">
      <c r="A3" s="280"/>
      <c r="B3" s="8"/>
      <c r="C3" s="13"/>
      <c r="D3" s="13"/>
      <c r="E3" s="12"/>
      <c r="F3" s="280"/>
      <c r="G3" s="280"/>
      <c r="H3" s="280"/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80"/>
      <c r="T3" s="280"/>
      <c r="U3" s="280"/>
      <c r="V3" s="280"/>
      <c r="W3" s="280"/>
      <c r="X3" s="280"/>
      <c r="Y3" s="280"/>
      <c r="Z3" s="280"/>
      <c r="AA3" s="280"/>
      <c r="AB3" s="280"/>
      <c r="AC3" s="280"/>
      <c r="AD3" s="280"/>
    </row>
    <row r="4" spans="1:30" s="38" customFormat="1" x14ac:dyDescent="0.2">
      <c r="A4" s="280"/>
      <c r="B4" s="8"/>
      <c r="C4" s="7" t="s">
        <v>11</v>
      </c>
      <c r="D4" s="11">
        <v>41673.361446759256</v>
      </c>
      <c r="E4" s="5"/>
      <c r="F4" s="280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80"/>
      <c r="R4" s="280"/>
      <c r="S4" s="280"/>
      <c r="T4" s="280"/>
      <c r="U4" s="280"/>
      <c r="V4" s="280"/>
      <c r="W4" s="280"/>
      <c r="X4" s="280"/>
      <c r="Y4" s="280"/>
      <c r="Z4" s="280"/>
      <c r="AA4" s="280"/>
      <c r="AB4" s="280"/>
      <c r="AC4" s="280"/>
      <c r="AD4" s="280"/>
    </row>
    <row r="5" spans="1:30" s="38" customFormat="1" x14ac:dyDescent="0.2">
      <c r="A5" s="280"/>
      <c r="B5" s="8"/>
      <c r="C5" s="13"/>
      <c r="D5" s="13"/>
      <c r="E5" s="5"/>
      <c r="F5" s="280"/>
      <c r="G5" s="280"/>
      <c r="H5" s="280"/>
      <c r="I5" s="280"/>
      <c r="J5" s="280"/>
      <c r="K5" s="280"/>
      <c r="L5" s="280"/>
      <c r="M5" s="280"/>
      <c r="N5" s="280"/>
      <c r="O5" s="280"/>
      <c r="P5" s="280"/>
      <c r="Q5" s="280"/>
      <c r="R5" s="280"/>
      <c r="S5" s="280"/>
      <c r="T5" s="280"/>
      <c r="U5" s="280"/>
      <c r="V5" s="280"/>
      <c r="W5" s="280"/>
      <c r="X5" s="280"/>
      <c r="Y5" s="280"/>
      <c r="Z5" s="280"/>
      <c r="AA5" s="280"/>
      <c r="AB5" s="280"/>
      <c r="AC5" s="280"/>
      <c r="AD5" s="280"/>
    </row>
    <row r="6" spans="1:30" s="38" customFormat="1" x14ac:dyDescent="0.2">
      <c r="A6" s="280"/>
      <c r="B6" s="8"/>
      <c r="C6" s="346" t="s">
        <v>174</v>
      </c>
      <c r="D6" s="347">
        <v>41606.766168981485</v>
      </c>
      <c r="E6" s="5"/>
      <c r="F6" s="280"/>
      <c r="G6" s="280"/>
      <c r="H6" s="280"/>
      <c r="I6" s="280"/>
      <c r="J6" s="280"/>
      <c r="K6" s="280"/>
      <c r="L6" s="280"/>
      <c r="M6" s="280"/>
      <c r="N6" s="280"/>
      <c r="O6" s="280"/>
      <c r="P6" s="280"/>
      <c r="Q6" s="280"/>
      <c r="R6" s="280"/>
      <c r="S6" s="280"/>
      <c r="T6" s="280"/>
      <c r="U6" s="280"/>
      <c r="V6" s="280"/>
      <c r="W6" s="280"/>
      <c r="X6" s="280"/>
      <c r="Y6" s="280"/>
      <c r="Z6" s="280"/>
      <c r="AA6" s="280"/>
      <c r="AB6" s="280"/>
      <c r="AC6" s="280"/>
      <c r="AD6" s="280"/>
    </row>
    <row r="7" spans="1:30" s="38" customFormat="1" x14ac:dyDescent="0.2">
      <c r="A7" s="280"/>
      <c r="B7" s="8"/>
      <c r="C7" s="346" t="s">
        <v>175</v>
      </c>
      <c r="D7" s="348" t="b">
        <v>0</v>
      </c>
      <c r="E7" s="5"/>
      <c r="F7" s="280"/>
      <c r="G7" s="280"/>
      <c r="H7" s="280"/>
      <c r="I7" s="280"/>
      <c r="J7" s="280"/>
      <c r="K7" s="280"/>
      <c r="L7" s="280"/>
      <c r="M7" s="280"/>
      <c r="N7" s="280"/>
      <c r="O7" s="280"/>
      <c r="P7" s="280"/>
      <c r="Q7" s="280"/>
      <c r="R7" s="280"/>
      <c r="S7" s="280"/>
      <c r="T7" s="280"/>
      <c r="U7" s="280"/>
      <c r="V7" s="280"/>
      <c r="W7" s="280"/>
      <c r="X7" s="280"/>
      <c r="Y7" s="280"/>
      <c r="Z7" s="280"/>
      <c r="AA7" s="280"/>
      <c r="AB7" s="280"/>
      <c r="AC7" s="280"/>
      <c r="AD7" s="280"/>
    </row>
    <row r="8" spans="1:30" s="38" customFormat="1" x14ac:dyDescent="0.2">
      <c r="A8" s="280"/>
      <c r="B8" s="8"/>
      <c r="C8" s="349"/>
      <c r="D8" s="350"/>
      <c r="E8" s="5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0"/>
      <c r="R8" s="280"/>
      <c r="S8" s="280"/>
      <c r="T8" s="280"/>
      <c r="U8" s="280"/>
      <c r="V8" s="280"/>
      <c r="W8" s="280"/>
      <c r="X8" s="280"/>
      <c r="Y8" s="280"/>
      <c r="Z8" s="280"/>
      <c r="AA8" s="280"/>
      <c r="AB8" s="280"/>
      <c r="AC8" s="280"/>
      <c r="AD8" s="280"/>
    </row>
    <row r="9" spans="1:30" s="38" customFormat="1" x14ac:dyDescent="0.2">
      <c r="A9" s="280"/>
      <c r="B9" s="8"/>
      <c r="C9" s="7" t="s">
        <v>10</v>
      </c>
      <c r="D9" s="11" t="b">
        <v>1</v>
      </c>
      <c r="E9" s="5"/>
      <c r="F9" s="280"/>
      <c r="G9" s="280"/>
      <c r="H9" s="280"/>
      <c r="I9" s="280"/>
      <c r="J9" s="280"/>
      <c r="K9" s="280"/>
      <c r="L9" s="280"/>
      <c r="M9" s="280"/>
      <c r="N9" s="280"/>
      <c r="O9" s="280"/>
      <c r="P9" s="280"/>
      <c r="Q9" s="280"/>
      <c r="R9" s="280"/>
      <c r="S9" s="280"/>
      <c r="T9" s="280"/>
      <c r="U9" s="280"/>
      <c r="V9" s="280"/>
      <c r="W9" s="280"/>
      <c r="X9" s="280"/>
      <c r="Y9" s="280"/>
      <c r="Z9" s="280"/>
      <c r="AA9" s="280"/>
      <c r="AB9" s="280"/>
      <c r="AC9" s="280"/>
      <c r="AD9" s="280"/>
    </row>
    <row r="10" spans="1:30" s="38" customFormat="1" x14ac:dyDescent="0.2">
      <c r="A10" s="280"/>
      <c r="B10" s="8"/>
      <c r="C10" s="7" t="s">
        <v>9</v>
      </c>
      <c r="D10" s="11" t="b">
        <v>0</v>
      </c>
      <c r="E10" s="5"/>
      <c r="F10" s="280"/>
      <c r="G10" s="280"/>
      <c r="H10" s="280"/>
      <c r="I10" s="280"/>
      <c r="J10" s="280"/>
      <c r="K10" s="280"/>
      <c r="L10" s="280"/>
      <c r="M10" s="280"/>
      <c r="N10" s="280"/>
      <c r="O10" s="280"/>
      <c r="P10" s="280"/>
      <c r="Q10" s="280"/>
      <c r="R10" s="280"/>
      <c r="S10" s="280"/>
      <c r="T10" s="280"/>
      <c r="U10" s="280"/>
      <c r="V10" s="280"/>
      <c r="W10" s="280"/>
      <c r="X10" s="280"/>
      <c r="Y10" s="280"/>
      <c r="Z10" s="280"/>
      <c r="AA10" s="280"/>
      <c r="AB10" s="280"/>
      <c r="AC10" s="280"/>
      <c r="AD10" s="280"/>
    </row>
    <row r="11" spans="1:30" s="38" customFormat="1" x14ac:dyDescent="0.2">
      <c r="A11" s="280"/>
      <c r="B11" s="8"/>
      <c r="C11" s="13"/>
      <c r="E11" s="12"/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</row>
    <row r="12" spans="1:30" s="38" customFormat="1" x14ac:dyDescent="0.2">
      <c r="A12" s="280"/>
      <c r="B12" s="8"/>
      <c r="C12" s="7" t="s">
        <v>8</v>
      </c>
      <c r="D12" s="11" t="b">
        <v>1</v>
      </c>
      <c r="E12" s="5"/>
      <c r="F12" s="280"/>
      <c r="G12" s="280"/>
      <c r="H12" s="280"/>
      <c r="I12" s="280"/>
      <c r="J12" s="280"/>
      <c r="K12" s="280"/>
      <c r="L12" s="280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</row>
    <row r="13" spans="1:30" s="38" customFormat="1" x14ac:dyDescent="0.2">
      <c r="A13" s="280"/>
      <c r="B13" s="8"/>
      <c r="C13" s="7" t="s">
        <v>7</v>
      </c>
      <c r="D13" s="15" t="str">
        <f ca="1">SUBSTITUTE(LEFT(CELL("filename",A1),FIND("[",CELL("filename",A1),1)-1),"\XLS\","\XML\")</f>
        <v>C:\Users\erik\Documents\repos\quantlib\QuantLibXL\Data2\XML\</v>
      </c>
      <c r="E13" s="5"/>
      <c r="F13" s="280"/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</row>
    <row r="14" spans="1:30" s="38" customFormat="1" x14ac:dyDescent="0.2">
      <c r="A14" s="280"/>
      <c r="B14" s="8"/>
      <c r="C14" s="7" t="s">
        <v>6</v>
      </c>
      <c r="D14" s="10" t="b">
        <v>1</v>
      </c>
      <c r="E14" s="5"/>
      <c r="F14" s="280"/>
      <c r="G14" s="280"/>
      <c r="H14" s="280"/>
      <c r="I14" s="280"/>
      <c r="J14" s="280"/>
      <c r="K14" s="280"/>
      <c r="L14" s="280"/>
      <c r="M14" s="280"/>
      <c r="N14" s="280"/>
      <c r="O14" s="280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</row>
    <row r="15" spans="1:30" s="38" customFormat="1" x14ac:dyDescent="0.2">
      <c r="A15" s="280"/>
      <c r="B15" s="8"/>
      <c r="C15" s="13"/>
      <c r="D15" s="13"/>
      <c r="E15" s="12"/>
      <c r="F15" s="280"/>
      <c r="G15" s="280"/>
      <c r="H15" s="280"/>
      <c r="I15" s="280"/>
      <c r="J15" s="280"/>
      <c r="K15" s="280"/>
      <c r="L15" s="280"/>
      <c r="M15" s="280"/>
      <c r="N15" s="280"/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</row>
    <row r="16" spans="1:30" s="38" customFormat="1" x14ac:dyDescent="0.2">
      <c r="A16" s="280"/>
      <c r="B16" s="8"/>
      <c r="C16" s="7" t="s">
        <v>5</v>
      </c>
      <c r="D16" s="11" t="s">
        <v>4</v>
      </c>
      <c r="E16" s="5"/>
      <c r="F16" s="280"/>
      <c r="G16" s="280"/>
      <c r="H16" s="280"/>
      <c r="I16" s="280"/>
      <c r="J16" s="280"/>
      <c r="K16" s="280"/>
      <c r="L16" s="280"/>
      <c r="M16" s="280"/>
      <c r="N16" s="280"/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</row>
    <row r="17" spans="1:30" s="38" customFormat="1" x14ac:dyDescent="0.2">
      <c r="A17" s="280"/>
      <c r="B17" s="8"/>
      <c r="C17" s="7" t="s">
        <v>3</v>
      </c>
      <c r="D17" s="10" t="s">
        <v>2</v>
      </c>
      <c r="E17" s="5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0"/>
      <c r="S17" s="280"/>
      <c r="T17" s="280"/>
      <c r="U17" s="280"/>
      <c r="V17" s="280"/>
      <c r="W17" s="280"/>
      <c r="X17" s="280"/>
      <c r="Y17" s="280"/>
      <c r="Z17" s="280"/>
      <c r="AA17" s="280"/>
      <c r="AB17" s="280"/>
      <c r="AC17" s="280"/>
      <c r="AD17" s="280"/>
    </row>
    <row r="18" spans="1:30" s="38" customFormat="1" x14ac:dyDescent="0.2">
      <c r="A18" s="280"/>
      <c r="B18" s="8"/>
      <c r="C18" s="7" t="s">
        <v>1</v>
      </c>
      <c r="D18" s="9">
        <v>1E-4</v>
      </c>
      <c r="E18" s="5"/>
      <c r="F18" s="280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  <c r="Z18" s="280"/>
      <c r="AA18" s="280"/>
      <c r="AB18" s="280"/>
      <c r="AC18" s="280"/>
      <c r="AD18" s="280"/>
    </row>
    <row r="19" spans="1:30" s="38" customFormat="1" x14ac:dyDescent="0.2">
      <c r="A19" s="280"/>
      <c r="B19" s="8"/>
      <c r="C19" s="7" t="s">
        <v>0</v>
      </c>
      <c r="D19" s="6">
        <v>-0.01</v>
      </c>
      <c r="E19" s="5"/>
      <c r="F19" s="280"/>
      <c r="G19" s="280"/>
      <c r="H19" s="280"/>
      <c r="I19" s="280"/>
      <c r="J19" s="280"/>
      <c r="K19" s="280"/>
      <c r="L19" s="280"/>
      <c r="M19" s="280"/>
      <c r="N19" s="280"/>
      <c r="O19" s="280"/>
      <c r="P19" s="280"/>
      <c r="Q19" s="280"/>
      <c r="R19" s="280"/>
      <c r="S19" s="280"/>
      <c r="T19" s="280"/>
      <c r="U19" s="280"/>
      <c r="V19" s="280"/>
      <c r="W19" s="280"/>
      <c r="X19" s="280"/>
      <c r="Y19" s="280"/>
      <c r="Z19" s="280"/>
      <c r="AA19" s="280"/>
      <c r="AB19" s="280"/>
      <c r="AC19" s="280"/>
      <c r="AD19" s="280"/>
    </row>
    <row r="20" spans="1:30" s="38" customFormat="1" x14ac:dyDescent="0.2">
      <c r="A20" s="280"/>
      <c r="B20" s="281"/>
      <c r="C20" s="282"/>
      <c r="D20" s="282"/>
      <c r="E20" s="283"/>
      <c r="F20" s="280"/>
      <c r="G20" s="280"/>
      <c r="H20" s="280"/>
      <c r="I20" s="280"/>
      <c r="J20" s="280"/>
      <c r="K20" s="280"/>
      <c r="L20" s="280"/>
      <c r="M20" s="280"/>
      <c r="N20" s="280"/>
      <c r="O20" s="280"/>
      <c r="P20" s="280"/>
      <c r="Q20" s="280"/>
      <c r="R20" s="280"/>
      <c r="S20" s="280"/>
      <c r="T20" s="280"/>
      <c r="U20" s="280"/>
      <c r="V20" s="280"/>
      <c r="W20" s="280"/>
      <c r="X20" s="280"/>
      <c r="Y20" s="280"/>
      <c r="Z20" s="280"/>
      <c r="AA20" s="280"/>
      <c r="AB20" s="280"/>
      <c r="AC20" s="280"/>
      <c r="AD20" s="280"/>
    </row>
    <row r="21" spans="1:30" s="38" customFormat="1" x14ac:dyDescent="0.2">
      <c r="A21" s="280"/>
      <c r="B21" s="281"/>
      <c r="C21" s="317" t="s">
        <v>167</v>
      </c>
      <c r="D21" s="318" t="s">
        <v>168</v>
      </c>
      <c r="E21" s="285"/>
      <c r="F21" s="280"/>
      <c r="G21" s="280"/>
      <c r="H21" s="280"/>
      <c r="I21" s="280"/>
      <c r="J21" s="280"/>
      <c r="K21" s="280"/>
      <c r="L21" s="280"/>
      <c r="M21" s="280"/>
      <c r="N21" s="280"/>
      <c r="O21" s="280"/>
      <c r="P21" s="280"/>
      <c r="Q21" s="280"/>
      <c r="R21" s="280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0"/>
      <c r="AD21" s="280"/>
    </row>
    <row r="22" spans="1:30" s="38" customFormat="1" x14ac:dyDescent="0.2">
      <c r="A22" s="280"/>
      <c r="B22" s="281"/>
      <c r="C22" s="286" t="s">
        <v>169</v>
      </c>
      <c r="D22" s="287">
        <f>_xll.ohTrigger(ISERROR(OIS!V3),ISERROR(Deposits!O2),ISERROR(FRA!W3),ISERROR(Futures3M!Z2),ISERROR(Swaps1M!V3),ISERROR(Swap3M!V3),ISERROR(BasisSwap1M3M!AD3),ISERROR(BasisSwap3M6M!AD3),ISERROR('Hibor Time Series'!J5:L13))</f>
        <v>8</v>
      </c>
      <c r="E22" s="285"/>
      <c r="F22" s="280"/>
      <c r="G22" s="280"/>
      <c r="H22" s="280"/>
      <c r="I22" s="280"/>
      <c r="J22" s="280"/>
      <c r="K22" s="280"/>
      <c r="L22" s="280"/>
      <c r="M22" s="280"/>
      <c r="N22" s="280"/>
      <c r="O22" s="280"/>
      <c r="P22" s="280"/>
      <c r="Q22" s="280"/>
      <c r="R22" s="280"/>
      <c r="S22" s="280"/>
      <c r="T22" s="280"/>
      <c r="U22" s="280"/>
      <c r="V22" s="280"/>
      <c r="W22" s="280"/>
      <c r="X22" s="280"/>
      <c r="Y22" s="280"/>
      <c r="Z22" s="280"/>
      <c r="AA22" s="280"/>
      <c r="AB22" s="280"/>
      <c r="AC22" s="280"/>
      <c r="AD22" s="280"/>
    </row>
    <row r="23" spans="1:30" s="38" customFormat="1" x14ac:dyDescent="0.2">
      <c r="A23" s="280"/>
      <c r="B23" s="281"/>
      <c r="C23" s="288" t="s">
        <v>170</v>
      </c>
      <c r="D23" s="289" t="s">
        <v>171</v>
      </c>
      <c r="E23" s="285"/>
      <c r="F23" s="280"/>
      <c r="G23" s="280"/>
      <c r="H23" s="280"/>
      <c r="I23" s="280"/>
      <c r="J23" s="280"/>
      <c r="K23" s="280"/>
      <c r="L23" s="280"/>
      <c r="M23" s="280"/>
      <c r="N23" s="280"/>
      <c r="O23" s="280"/>
      <c r="P23" s="280"/>
      <c r="Q23" s="280"/>
      <c r="R23" s="280"/>
      <c r="S23" s="280"/>
      <c r="T23" s="280"/>
      <c r="U23" s="280"/>
      <c r="V23" s="280"/>
      <c r="W23" s="280"/>
      <c r="X23" s="280"/>
      <c r="Y23" s="280"/>
      <c r="Z23" s="280"/>
      <c r="AA23" s="280"/>
      <c r="AB23" s="280"/>
      <c r="AC23" s="280"/>
      <c r="AD23" s="280"/>
    </row>
    <row r="24" spans="1:30" s="38" customFormat="1" x14ac:dyDescent="0.2">
      <c r="A24" s="280"/>
      <c r="B24" s="281"/>
      <c r="C24" s="284"/>
      <c r="D24" s="290"/>
      <c r="E24" s="285"/>
      <c r="F24" s="280"/>
      <c r="G24" s="280"/>
      <c r="H24" s="280"/>
      <c r="I24" s="280"/>
      <c r="J24" s="280"/>
      <c r="K24" s="280"/>
      <c r="L24" s="280"/>
      <c r="M24" s="280"/>
      <c r="N24" s="280"/>
      <c r="O24" s="280"/>
      <c r="P24" s="280"/>
      <c r="Q24" s="280"/>
      <c r="R24" s="280"/>
      <c r="S24" s="280"/>
      <c r="T24" s="280"/>
      <c r="U24" s="280"/>
      <c r="V24" s="280"/>
      <c r="W24" s="280"/>
      <c r="X24" s="280"/>
      <c r="Y24" s="280"/>
      <c r="Z24" s="280"/>
      <c r="AA24" s="280"/>
      <c r="AB24" s="280"/>
      <c r="AC24" s="280"/>
      <c r="AD24" s="280"/>
    </row>
    <row r="25" spans="1:30" s="38" customFormat="1" x14ac:dyDescent="0.2">
      <c r="A25" s="280"/>
      <c r="B25" s="281"/>
      <c r="C25" s="291" t="s">
        <v>142</v>
      </c>
      <c r="D25" s="292" t="s">
        <v>172</v>
      </c>
      <c r="E25" s="285"/>
      <c r="F25" s="280"/>
      <c r="G25" s="280"/>
      <c r="H25" s="280"/>
      <c r="I25" s="280"/>
      <c r="J25" s="280"/>
      <c r="K25" s="280"/>
      <c r="L25" s="280"/>
      <c r="M25" s="280"/>
      <c r="N25" s="280"/>
      <c r="O25" s="280"/>
      <c r="P25" s="280"/>
      <c r="Q25" s="280"/>
      <c r="R25" s="280"/>
      <c r="S25" s="280"/>
      <c r="T25" s="280"/>
      <c r="U25" s="280"/>
      <c r="V25" s="280"/>
      <c r="W25" s="280"/>
      <c r="X25" s="280"/>
      <c r="Y25" s="280"/>
      <c r="Z25" s="280"/>
      <c r="AA25" s="280"/>
      <c r="AB25" s="280"/>
      <c r="AC25" s="280"/>
      <c r="AD25" s="280"/>
    </row>
    <row r="26" spans="1:30" s="38" customFormat="1" x14ac:dyDescent="0.2">
      <c r="A26" s="280"/>
      <c r="B26" s="281"/>
      <c r="C26" s="293" t="s">
        <v>146</v>
      </c>
      <c r="D26" s="294" t="str">
        <f>""</f>
        <v/>
      </c>
      <c r="E26" s="285"/>
      <c r="F26" s="280"/>
      <c r="G26" s="280"/>
      <c r="H26" s="280"/>
      <c r="I26" s="280"/>
      <c r="J26" s="280"/>
      <c r="K26" s="280"/>
      <c r="L26" s="280"/>
      <c r="M26" s="280"/>
      <c r="N26" s="280"/>
      <c r="O26" s="280"/>
      <c r="P26" s="280"/>
      <c r="Q26" s="280"/>
      <c r="R26" s="280"/>
      <c r="S26" s="280"/>
      <c r="T26" s="280"/>
      <c r="U26" s="280"/>
      <c r="V26" s="280"/>
      <c r="W26" s="280"/>
      <c r="X26" s="280"/>
      <c r="Y26" s="280"/>
      <c r="Z26" s="280"/>
      <c r="AA26" s="280"/>
      <c r="AB26" s="280"/>
      <c r="AC26" s="280"/>
      <c r="AD26" s="280"/>
    </row>
    <row r="27" spans="1:30" s="38" customFormat="1" ht="11.25" customHeight="1" x14ac:dyDescent="0.2">
      <c r="A27" s="280"/>
      <c r="B27" s="281"/>
      <c r="C27" s="293" t="s">
        <v>147</v>
      </c>
      <c r="D27" s="294" t="s">
        <v>148</v>
      </c>
      <c r="E27" s="285"/>
      <c r="F27" s="280"/>
      <c r="G27" s="280"/>
      <c r="H27" s="280"/>
      <c r="I27" s="280"/>
      <c r="J27" s="280"/>
      <c r="K27" s="280"/>
      <c r="L27" s="280"/>
      <c r="M27" s="280"/>
      <c r="N27" s="280"/>
      <c r="O27" s="280"/>
      <c r="P27" s="280"/>
      <c r="Q27" s="280"/>
      <c r="R27" s="280"/>
      <c r="S27" s="280"/>
      <c r="T27" s="280"/>
      <c r="U27" s="280"/>
      <c r="V27" s="280"/>
      <c r="W27" s="280"/>
      <c r="X27" s="280"/>
      <c r="Y27" s="280"/>
      <c r="Z27" s="280"/>
      <c r="AA27" s="280"/>
      <c r="AB27" s="280"/>
      <c r="AC27" s="280"/>
      <c r="AD27" s="280"/>
    </row>
    <row r="28" spans="1:30" s="280" customFormat="1" x14ac:dyDescent="0.2">
      <c r="B28" s="281"/>
      <c r="C28" s="293" t="s">
        <v>149</v>
      </c>
      <c r="D28" s="294" t="s">
        <v>149</v>
      </c>
      <c r="E28" s="285"/>
    </row>
    <row r="29" spans="1:30" s="280" customFormat="1" x14ac:dyDescent="0.2">
      <c r="B29" s="281"/>
      <c r="C29" s="293" t="s">
        <v>166</v>
      </c>
      <c r="D29" s="294" t="s">
        <v>166</v>
      </c>
      <c r="E29" s="285"/>
    </row>
    <row r="30" spans="1:30" s="280" customFormat="1" x14ac:dyDescent="0.2">
      <c r="B30" s="281"/>
      <c r="C30" s="293" t="s">
        <v>150</v>
      </c>
      <c r="D30" s="294" t="s">
        <v>151</v>
      </c>
      <c r="E30" s="285"/>
    </row>
    <row r="31" spans="1:30" s="280" customFormat="1" x14ac:dyDescent="0.2">
      <c r="B31" s="281"/>
      <c r="C31" s="293" t="s">
        <v>152</v>
      </c>
      <c r="D31" s="294" t="s">
        <v>153</v>
      </c>
      <c r="E31" s="285"/>
    </row>
    <row r="32" spans="1:30" s="280" customFormat="1" x14ac:dyDescent="0.2">
      <c r="B32" s="281"/>
      <c r="C32" s="293" t="s">
        <v>154</v>
      </c>
      <c r="D32" s="294" t="s">
        <v>173</v>
      </c>
      <c r="E32" s="285"/>
    </row>
    <row r="33" spans="2:5" s="280" customFormat="1" x14ac:dyDescent="0.2">
      <c r="B33" s="281"/>
      <c r="C33" s="295" t="s">
        <v>155</v>
      </c>
      <c r="D33" s="296" t="s">
        <v>156</v>
      </c>
      <c r="E33" s="285"/>
    </row>
    <row r="34" spans="2:5" s="280" customFormat="1" x14ac:dyDescent="0.2">
      <c r="B34" s="281"/>
      <c r="C34" s="297"/>
      <c r="D34" s="297"/>
      <c r="E34" s="285"/>
    </row>
    <row r="35" spans="2:5" s="280" customFormat="1" x14ac:dyDescent="0.2">
      <c r="B35" s="281"/>
      <c r="C35" s="297"/>
      <c r="D35" s="297"/>
      <c r="E35" s="297"/>
    </row>
    <row r="36" spans="2:5" s="280" customFormat="1" x14ac:dyDescent="0.2">
      <c r="B36" s="281"/>
      <c r="C36" s="297"/>
      <c r="D36" s="297"/>
      <c r="E36" s="297"/>
    </row>
    <row r="37" spans="2:5" s="280" customFormat="1" x14ac:dyDescent="0.2">
      <c r="B37" s="281"/>
      <c r="C37" s="297"/>
      <c r="D37" s="297"/>
      <c r="E37" s="297"/>
    </row>
    <row r="38" spans="2:5" s="280" customFormat="1" x14ac:dyDescent="0.2">
      <c r="B38" s="281"/>
      <c r="C38" s="297"/>
      <c r="D38" s="297"/>
      <c r="E38" s="297"/>
    </row>
    <row r="39" spans="2:5" s="280" customFormat="1" ht="13.5" thickBot="1" x14ac:dyDescent="0.25">
      <c r="B39" s="298"/>
      <c r="C39" s="63"/>
      <c r="D39" s="63"/>
      <c r="E39" s="61"/>
    </row>
    <row r="40" spans="2:5" s="280" customFormat="1" x14ac:dyDescent="0.2"/>
    <row r="41" spans="2:5" s="280" customFormat="1" x14ac:dyDescent="0.2"/>
    <row r="42" spans="2:5" s="280" customFormat="1" x14ac:dyDescent="0.2"/>
    <row r="43" spans="2:5" s="280" customFormat="1" x14ac:dyDescent="0.2"/>
    <row r="44" spans="2:5" s="280" customFormat="1" x14ac:dyDescent="0.2"/>
    <row r="45" spans="2:5" s="280" customFormat="1" x14ac:dyDescent="0.2"/>
    <row r="46" spans="2:5" s="280" customFormat="1" x14ac:dyDescent="0.2"/>
    <row r="47" spans="2:5" s="280" customFormat="1" x14ac:dyDescent="0.2"/>
    <row r="48" spans="2:5" s="280" customFormat="1" x14ac:dyDescent="0.2"/>
    <row r="49" spans="2:5" s="280" customFormat="1" x14ac:dyDescent="0.2"/>
    <row r="50" spans="2:5" s="280" customFormat="1" x14ac:dyDescent="0.2"/>
    <row r="51" spans="2:5" s="280" customFormat="1" x14ac:dyDescent="0.2"/>
    <row r="52" spans="2:5" s="280" customFormat="1" x14ac:dyDescent="0.2"/>
    <row r="53" spans="2:5" s="280" customFormat="1" x14ac:dyDescent="0.2"/>
    <row r="54" spans="2:5" s="280" customFormat="1" x14ac:dyDescent="0.2"/>
    <row r="55" spans="2:5" s="280" customFormat="1" x14ac:dyDescent="0.2"/>
    <row r="56" spans="2:5" s="280" customFormat="1" x14ac:dyDescent="0.2"/>
    <row r="57" spans="2:5" s="280" customFormat="1" x14ac:dyDescent="0.2"/>
    <row r="58" spans="2:5" s="280" customFormat="1" x14ac:dyDescent="0.2">
      <c r="B58" s="299"/>
      <c r="C58" s="299"/>
      <c r="D58" s="299"/>
      <c r="E58" s="299"/>
    </row>
  </sheetData>
  <mergeCells count="1">
    <mergeCell ref="B2:E2"/>
  </mergeCells>
  <conditionalFormatting sqref="D7:D8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23:D24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16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0</xdr:colOff>
                <xdr:row>4</xdr:row>
                <xdr:rowOff>9525</xdr:rowOff>
              </from>
              <to>
                <xdr:col>7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9525</xdr:colOff>
                <xdr:row>2</xdr:row>
                <xdr:rowOff>9525</xdr:rowOff>
              </from>
              <to>
                <xdr:col>7</xdr:col>
                <xdr:colOff>171450</xdr:colOff>
                <xdr:row>4</xdr:row>
                <xdr:rowOff>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Z17"/>
  <sheetViews>
    <sheetView workbookViewId="0">
      <selection activeCell="E4" sqref="E4"/>
    </sheetView>
  </sheetViews>
  <sheetFormatPr defaultRowHeight="12.75" x14ac:dyDescent="0.2"/>
  <cols>
    <col min="1" max="2" width="2.7109375" style="14" customWidth="1"/>
    <col min="3" max="3" width="5.5703125" style="14" bestFit="1" customWidth="1"/>
    <col min="4" max="4" width="4" style="14" bestFit="1" customWidth="1"/>
    <col min="5" max="5" width="6.5703125" style="14" bestFit="1" customWidth="1"/>
    <col min="6" max="6" width="13.140625" style="14" customWidth="1"/>
    <col min="7" max="7" width="7.28515625" style="14" customWidth="1"/>
    <col min="8" max="8" width="5.28515625" style="14" bestFit="1" customWidth="1"/>
    <col min="9" max="9" width="13.5703125" style="14" bestFit="1" customWidth="1"/>
    <col min="10" max="10" width="13.5703125" style="14" customWidth="1"/>
    <col min="11" max="11" width="11.7109375" style="14" bestFit="1" customWidth="1"/>
    <col min="12" max="12" width="15" style="14" bestFit="1" customWidth="1"/>
    <col min="13" max="13" width="26.7109375" style="14" bestFit="1" customWidth="1"/>
    <col min="14" max="14" width="17.5703125" style="14" customWidth="1"/>
    <col min="15" max="15" width="2.7109375" style="14" customWidth="1"/>
    <col min="16" max="16" width="9.5703125" style="14" customWidth="1"/>
    <col min="17" max="17" width="2.7109375" style="14" customWidth="1"/>
    <col min="18" max="18" width="5.7109375" style="14" bestFit="1" customWidth="1"/>
    <col min="19" max="19" width="14" style="14" bestFit="1" customWidth="1"/>
    <col min="20" max="20" width="9.42578125" style="14" bestFit="1" customWidth="1"/>
    <col min="21" max="21" width="12.28515625" style="14" bestFit="1" customWidth="1"/>
    <col min="22" max="22" width="6.5703125" style="14" bestFit="1" customWidth="1"/>
    <col min="23" max="23" width="6" style="14" bestFit="1" customWidth="1"/>
    <col min="24" max="24" width="9.140625" style="14" bestFit="1" customWidth="1"/>
    <col min="25" max="25" width="8" style="14" bestFit="1" customWidth="1"/>
    <col min="26" max="26" width="2.7109375" style="14" customWidth="1"/>
    <col min="27" max="16384" width="9.140625" style="14"/>
  </cols>
  <sheetData>
    <row r="1" spans="2:26" s="1" customFormat="1" ht="12" thickBot="1" x14ac:dyDescent="0.25"/>
    <row r="2" spans="2:26" s="1" customFormat="1" x14ac:dyDescent="0.2">
      <c r="B2" s="153"/>
      <c r="C2" s="152"/>
      <c r="D2" s="152"/>
      <c r="E2" s="152"/>
      <c r="F2" s="152"/>
      <c r="G2" s="152"/>
      <c r="H2" s="152"/>
      <c r="I2" s="152"/>
      <c r="J2" s="152"/>
      <c r="K2" s="152"/>
      <c r="L2" s="151"/>
      <c r="M2" s="151"/>
      <c r="N2" s="151"/>
      <c r="O2" s="150"/>
      <c r="Q2" s="153"/>
      <c r="R2" s="152"/>
      <c r="S2" s="152"/>
      <c r="T2" s="152"/>
      <c r="U2" s="152"/>
      <c r="V2" s="152"/>
      <c r="W2" s="152"/>
      <c r="X2" s="152"/>
      <c r="Y2" s="152"/>
      <c r="Z2" s="323"/>
    </row>
    <row r="3" spans="2:26" s="1" customFormat="1" x14ac:dyDescent="0.2">
      <c r="B3" s="145"/>
      <c r="C3" s="149"/>
      <c r="D3" s="149"/>
      <c r="E3" s="149"/>
      <c r="F3" s="149"/>
      <c r="G3" s="149"/>
      <c r="H3" s="149"/>
      <c r="I3" s="149"/>
      <c r="J3" s="7" t="s">
        <v>125</v>
      </c>
      <c r="K3" s="142" t="s">
        <v>124</v>
      </c>
      <c r="L3" s="104" t="e">
        <f ca="1">IF(Serialize,_xll.ohObjectSave(K6:M14,SerializationPath&amp;FileName,FileOverwrite,,Serialize),"---")</f>
        <v>#NUM!</v>
      </c>
      <c r="M3" s="147" t="str">
        <f>PROPER(Currency)&amp;FamilyName&amp;".xml"</f>
        <v>HkdHibor.xml</v>
      </c>
      <c r="N3" s="140" t="str">
        <f ca="1">_xll.ohRangeRetrieveError(L3)</f>
        <v>ohObjectSave - ObjectHandler error: attempt to retrieve object with unknown ID 'HKDON'</v>
      </c>
      <c r="O3" s="146"/>
      <c r="Q3" s="145"/>
      <c r="R3" s="149"/>
      <c r="S3" s="149"/>
      <c r="T3" s="149"/>
      <c r="U3" s="149"/>
      <c r="V3" s="149"/>
      <c r="W3" s="149"/>
      <c r="X3" s="149"/>
      <c r="Y3" s="149"/>
      <c r="Z3" s="324"/>
    </row>
    <row r="4" spans="2:26" s="1" customFormat="1" x14ac:dyDescent="0.2">
      <c r="B4" s="145"/>
      <c r="C4" s="149"/>
      <c r="D4" s="149"/>
      <c r="E4" s="149"/>
      <c r="F4" s="149"/>
      <c r="G4" s="149"/>
      <c r="H4" s="149"/>
      <c r="I4" s="149"/>
      <c r="J4" s="149"/>
      <c r="K4" s="149"/>
      <c r="L4" s="148"/>
      <c r="M4" s="148"/>
      <c r="N4" s="148"/>
      <c r="O4" s="146"/>
      <c r="Q4" s="145"/>
      <c r="R4" s="149"/>
      <c r="S4" s="149"/>
      <c r="T4" s="149" t="s">
        <v>143</v>
      </c>
      <c r="U4" s="149"/>
      <c r="V4" s="149"/>
      <c r="W4" s="149"/>
      <c r="X4" s="149"/>
      <c r="Y4" s="149"/>
      <c r="Z4" s="324"/>
    </row>
    <row r="5" spans="2:26" s="1" customFormat="1" ht="22.5" x14ac:dyDescent="0.2">
      <c r="B5" s="145"/>
      <c r="C5" s="334" t="s">
        <v>135</v>
      </c>
      <c r="D5" s="334"/>
      <c r="E5" s="334" t="s">
        <v>134</v>
      </c>
      <c r="F5" s="334" t="s">
        <v>133</v>
      </c>
      <c r="G5" s="334" t="s">
        <v>132</v>
      </c>
      <c r="H5" s="334" t="s">
        <v>131</v>
      </c>
      <c r="I5" s="334" t="s">
        <v>130</v>
      </c>
      <c r="J5" s="334" t="s">
        <v>184</v>
      </c>
      <c r="K5" s="335" t="s">
        <v>183</v>
      </c>
      <c r="L5" s="335" t="s">
        <v>184</v>
      </c>
      <c r="M5" s="335" t="s">
        <v>185</v>
      </c>
      <c r="N5" s="335"/>
      <c r="O5" s="332" t="s">
        <v>182</v>
      </c>
      <c r="Q5" s="145"/>
      <c r="R5" s="314" t="s">
        <v>135</v>
      </c>
      <c r="S5" s="313" t="s">
        <v>187</v>
      </c>
      <c r="T5" s="313" t="e">
        <f ca="1">_xll.RData(T6:T14,U5:V5,"RTFEED:IDN",,,U6)</f>
        <v>#NAME?</v>
      </c>
      <c r="U5" s="313" t="s">
        <v>178</v>
      </c>
      <c r="V5" s="313" t="s">
        <v>144</v>
      </c>
      <c r="W5" s="313" t="s">
        <v>177</v>
      </c>
      <c r="X5" s="312" t="s">
        <v>176</v>
      </c>
      <c r="Y5" s="312" t="s">
        <v>188</v>
      </c>
      <c r="Z5" s="324"/>
    </row>
    <row r="6" spans="2:26" s="1" customFormat="1" ht="15" x14ac:dyDescent="0.25">
      <c r="B6" s="145"/>
      <c r="C6" s="144" t="s">
        <v>123</v>
      </c>
      <c r="D6" s="144" t="str">
        <f>C6</f>
        <v>ON</v>
      </c>
      <c r="E6" s="144">
        <v>0</v>
      </c>
      <c r="F6" s="144" t="s">
        <v>128</v>
      </c>
      <c r="G6" s="144" t="s">
        <v>127</v>
      </c>
      <c r="H6" s="144" t="b">
        <v>1</v>
      </c>
      <c r="I6" s="144" t="s">
        <v>126</v>
      </c>
      <c r="J6" s="339" t="str">
        <f t="shared" ref="J6:J14" si="0">PROPER(Currency)&amp;FamilyName&amp;$C6</f>
        <v>HkdHiborON</v>
      </c>
      <c r="K6" s="131" t="str">
        <f>_xll.qlRelinkableHandleYieldTermStructure(Currency&amp;D6,,Permanent,Trigger,ObjectOverwrite)</f>
        <v>HKDON#0000</v>
      </c>
      <c r="L6" s="131" t="str">
        <f>_xll.qlOvernightIndex(J6,FamilyName,E6,Currency,F6,I6,K6,Permanent,Trigger,FileOverwrite)</f>
        <v>HkdHiborON#0000</v>
      </c>
      <c r="M6" s="143" t="str">
        <f>_xll.qlLastFixingQuote(PROPER(Currency)&amp;FamilyName&amp;$C6&amp;"LastFixing_Quote",L6,Permanent,Trigger,ObjectOverwrite)</f>
        <v>HkdHiborONLastFixing_Quote#0000</v>
      </c>
      <c r="N6" s="140" t="str">
        <f>_xll.ohRangeRetrieveError(L6)</f>
        <v/>
      </c>
      <c r="O6" s="333" t="s">
        <v>182</v>
      </c>
      <c r="Q6" s="145"/>
      <c r="R6" s="336" t="str">
        <f>C6</f>
        <v>ON</v>
      </c>
      <c r="S6" s="308" t="str">
        <f>IFERROR(L6,J6)</f>
        <v>HkdHiborON#0000</v>
      </c>
      <c r="T6" s="308" t="str">
        <f t="shared" ref="T6:T14" si="1">"HI"&amp;Currency&amp;$R6&amp;$T$4&amp;"="</f>
        <v>HIHKDOND=</v>
      </c>
      <c r="U6" s="311">
        <v>41607</v>
      </c>
      <c r="V6" s="340">
        <v>6.8570000000000006E-2</v>
      </c>
      <c r="W6" s="310" t="b">
        <f t="shared" ref="W6:W14" si="2">IF(AND(ISNUMBER($V6),$V6&lt;&gt;0%),TRUE,FALSE)</f>
        <v>1</v>
      </c>
      <c r="X6" s="309" t="b">
        <f>IF(W6,_xll.qlIndexAddFixings(S6,U6,V6/100,TRUE),NA())</f>
        <v>1</v>
      </c>
      <c r="Y6" s="343">
        <f>_xll.qlQuoteValue(M6,X6)</f>
        <v>6.8570000000000002E-4</v>
      </c>
      <c r="Z6" s="324"/>
    </row>
    <row r="7" spans="2:26" s="1" customFormat="1" ht="15" x14ac:dyDescent="0.25">
      <c r="B7" s="145"/>
      <c r="C7" s="144" t="s">
        <v>117</v>
      </c>
      <c r="D7" s="144" t="s">
        <v>129</v>
      </c>
      <c r="E7" s="144">
        <v>0</v>
      </c>
      <c r="F7" s="144" t="s">
        <v>128</v>
      </c>
      <c r="G7" s="144" t="s">
        <v>127</v>
      </c>
      <c r="H7" s="144" t="b">
        <v>1</v>
      </c>
      <c r="I7" s="144" t="s">
        <v>126</v>
      </c>
      <c r="J7" s="339" t="str">
        <f t="shared" si="0"/>
        <v>HkdHiborSW</v>
      </c>
      <c r="K7" s="131" t="str">
        <f>_xll.qlRelinkableHandleYieldTermStructure(Currency&amp;D7,,Permanent,Trigger,ObjectOverwrite)</f>
        <v>HKD1W#0000</v>
      </c>
      <c r="L7" s="131" t="str">
        <f>_xll.qlIborIndex(J7,FamilyName,D7,E7,Currency,F7,G7,H7,I7,K7,Permanent,Trigger,ObjectOverwrite)</f>
        <v>HkdHiborSW#0000</v>
      </c>
      <c r="M7" s="143" t="str">
        <f>_xll.qlLastFixingQuote(PROPER(Currency)&amp;FamilyName&amp;$C7&amp;"LastFixing_Quote",L7,Permanent,Trigger,ObjectOverwrite)</f>
        <v>HkdHiborSWLastFixing_Quote#0000</v>
      </c>
      <c r="N7" s="140" t="str">
        <f>_xll.ohRangeRetrieveError(L7)</f>
        <v/>
      </c>
      <c r="O7" s="333" t="s">
        <v>182</v>
      </c>
      <c r="Q7" s="145"/>
      <c r="R7" s="337" t="s">
        <v>129</v>
      </c>
      <c r="S7" s="304" t="str">
        <f t="shared" ref="S7:S14" si="3">IFERROR(L7,J7)</f>
        <v>HkdHiborSW#0000</v>
      </c>
      <c r="T7" s="304" t="str">
        <f t="shared" si="1"/>
        <v>HIHKD1WD=</v>
      </c>
      <c r="U7" s="307">
        <v>41607</v>
      </c>
      <c r="V7" s="341">
        <v>0.13331000000000001</v>
      </c>
      <c r="W7" s="306" t="b">
        <f t="shared" si="2"/>
        <v>1</v>
      </c>
      <c r="X7" s="305" t="b">
        <f>IF(W7,_xll.qlIndexAddFixings(S7,U7,V7/100,TRUE),NA())</f>
        <v>1</v>
      </c>
      <c r="Y7" s="344">
        <f>_xll.qlQuoteValue(M7,X7)</f>
        <v>1.3331E-3</v>
      </c>
      <c r="Z7" s="324"/>
    </row>
    <row r="8" spans="2:26" s="1" customFormat="1" ht="15" x14ac:dyDescent="0.25">
      <c r="B8" s="145"/>
      <c r="C8" s="144" t="s">
        <v>116</v>
      </c>
      <c r="D8" s="144" t="str">
        <f t="shared" ref="D8:D14" si="4">C8</f>
        <v>2W</v>
      </c>
      <c r="E8" s="144">
        <v>0</v>
      </c>
      <c r="F8" s="144" t="s">
        <v>128</v>
      </c>
      <c r="G8" s="144" t="s">
        <v>127</v>
      </c>
      <c r="H8" s="144" t="b">
        <v>1</v>
      </c>
      <c r="I8" s="144" t="s">
        <v>126</v>
      </c>
      <c r="J8" s="339" t="str">
        <f t="shared" si="0"/>
        <v>HkdHibor2W</v>
      </c>
      <c r="K8" s="131" t="str">
        <f>_xll.qlRelinkableHandleYieldTermStructure(Currency&amp;D8,,Permanent,Trigger,ObjectOverwrite)</f>
        <v>HKD2W#0000</v>
      </c>
      <c r="L8" s="131" t="str">
        <f>_xll.qlIborIndex(J8,FamilyName,D8,E8,Currency,F8,G8,H8,I8,K8,Permanent,Trigger,ObjectOverwrite)</f>
        <v>HkdHibor2W#0000</v>
      </c>
      <c r="M8" s="143" t="str">
        <f>_xll.qlLastFixingQuote(PROPER(Currency)&amp;FamilyName&amp;$C8&amp;"LastFixing_Quote",L8,Permanent,Trigger,ObjectOverwrite)</f>
        <v>HkdHibor2WLastFixing_Quote#0000</v>
      </c>
      <c r="N8" s="140" t="str">
        <f>_xll.ohRangeRetrieveError(L8)</f>
        <v/>
      </c>
      <c r="O8" s="333" t="s">
        <v>182</v>
      </c>
      <c r="Q8" s="145"/>
      <c r="R8" s="337" t="str">
        <f t="shared" ref="R8:R14" si="5">C8</f>
        <v>2W</v>
      </c>
      <c r="S8" s="304" t="str">
        <f t="shared" si="3"/>
        <v>HkdHibor2W#0000</v>
      </c>
      <c r="T8" s="304" t="str">
        <f t="shared" si="1"/>
        <v>HIHKD2WD=</v>
      </c>
      <c r="U8" s="307">
        <v>41607</v>
      </c>
      <c r="V8" s="341">
        <v>0.15434999999999999</v>
      </c>
      <c r="W8" s="306" t="b">
        <f t="shared" si="2"/>
        <v>1</v>
      </c>
      <c r="X8" s="305" t="b">
        <f>IF(W8,_xll.qlIndexAddFixings(S8,U8,V8/100,TRUE),NA())</f>
        <v>1</v>
      </c>
      <c r="Y8" s="344">
        <f>_xll.qlQuoteValue(M8,X8)</f>
        <v>1.5435E-3</v>
      </c>
      <c r="Z8" s="324"/>
    </row>
    <row r="9" spans="2:26" s="1" customFormat="1" ht="15" x14ac:dyDescent="0.25">
      <c r="B9" s="145"/>
      <c r="C9" s="144" t="s">
        <v>103</v>
      </c>
      <c r="D9" s="144" t="str">
        <f t="shared" si="4"/>
        <v>1M</v>
      </c>
      <c r="E9" s="144">
        <v>0</v>
      </c>
      <c r="F9" s="144" t="s">
        <v>128</v>
      </c>
      <c r="G9" s="144" t="s">
        <v>127</v>
      </c>
      <c r="H9" s="144" t="b">
        <v>1</v>
      </c>
      <c r="I9" s="144" t="s">
        <v>126</v>
      </c>
      <c r="J9" s="339" t="str">
        <f t="shared" si="0"/>
        <v>HkdHibor1M</v>
      </c>
      <c r="K9" s="131" t="str">
        <f>_xll.qlRelinkableHandleYieldTermStructure(Currency&amp;D9,,Permanent,Trigger,ObjectOverwrite)</f>
        <v>HKD1M#0000</v>
      </c>
      <c r="L9" s="131" t="str">
        <f>_xll.qlIborIndex(J9,FamilyName,D9,E9,Currency,F9,G9,H9,I9,K9,Permanent,Trigger,ObjectOverwrite)</f>
        <v>HkdHibor1M#0000</v>
      </c>
      <c r="M9" s="143" t="str">
        <f>_xll.qlLastFixingQuote(PROPER(Currency)&amp;FamilyName&amp;$C9&amp;"LastFixing_Quote",L9,Permanent,Trigger,ObjectOverwrite)</f>
        <v>HkdHibor1MLastFixing_Quote#0000</v>
      </c>
      <c r="N9" s="140" t="str">
        <f>_xll.ohRangeRetrieveError(L9)</f>
        <v/>
      </c>
      <c r="O9" s="333" t="s">
        <v>182</v>
      </c>
      <c r="Q9" s="145"/>
      <c r="R9" s="337" t="str">
        <f t="shared" si="5"/>
        <v>1M</v>
      </c>
      <c r="S9" s="304" t="str">
        <f t="shared" si="3"/>
        <v>HkdHibor1M#0000</v>
      </c>
      <c r="T9" s="304" t="str">
        <f t="shared" si="1"/>
        <v>HIHKD1MD=</v>
      </c>
      <c r="U9" s="307">
        <v>41607</v>
      </c>
      <c r="V9" s="341">
        <v>0.21143000000000001</v>
      </c>
      <c r="W9" s="306" t="b">
        <f t="shared" si="2"/>
        <v>1</v>
      </c>
      <c r="X9" s="305" t="b">
        <f>IF(W9,_xll.qlIndexAddFixings(S9,U9,V9/100,TRUE),NA())</f>
        <v>1</v>
      </c>
      <c r="Y9" s="344">
        <f>_xll.qlQuoteValue(M9,X9)</f>
        <v>2.1142999999999999E-3</v>
      </c>
      <c r="Z9" s="324"/>
    </row>
    <row r="10" spans="2:26" s="1" customFormat="1" ht="15" x14ac:dyDescent="0.25">
      <c r="B10" s="145"/>
      <c r="C10" s="144" t="s">
        <v>114</v>
      </c>
      <c r="D10" s="144" t="str">
        <f t="shared" ref="D10" si="6">C10</f>
        <v>2M</v>
      </c>
      <c r="E10" s="144">
        <v>0</v>
      </c>
      <c r="F10" s="144" t="s">
        <v>128</v>
      </c>
      <c r="G10" s="144" t="s">
        <v>127</v>
      </c>
      <c r="H10" s="144" t="b">
        <v>1</v>
      </c>
      <c r="I10" s="144" t="s">
        <v>126</v>
      </c>
      <c r="J10" s="339" t="str">
        <f t="shared" si="0"/>
        <v>HkdHibor2M</v>
      </c>
      <c r="K10" s="131" t="str">
        <f>_xll.qlRelinkableHandleYieldTermStructure(Currency&amp;D10,,Permanent,Trigger,ObjectOverwrite)</f>
        <v>HKD2M#0000</v>
      </c>
      <c r="L10" s="131" t="str">
        <f>_xll.qlIborIndex(J10,FamilyName,D10,E10,Currency,F10,G10,H10,I10,K10,Permanent,Trigger,ObjectOverwrite)</f>
        <v>HkdHibor2M#0000</v>
      </c>
      <c r="M10" s="143" t="str">
        <f>_xll.qlLastFixingQuote(PROPER(Currency)&amp;FamilyName&amp;$C10&amp;"LastFixing_Quote",L10,Permanent,Trigger,ObjectOverwrite)</f>
        <v>HkdHibor2MLastFixing_Quote#0000</v>
      </c>
      <c r="N10" s="140" t="str">
        <f>_xll.ohRangeRetrieveError(L10)</f>
        <v/>
      </c>
      <c r="O10" s="333" t="s">
        <v>182</v>
      </c>
      <c r="Q10" s="145"/>
      <c r="R10" s="337" t="str">
        <f t="shared" si="5"/>
        <v>2M</v>
      </c>
      <c r="S10" s="304" t="str">
        <f t="shared" si="3"/>
        <v>HkdHibor2M#0000</v>
      </c>
      <c r="T10" s="304" t="str">
        <f t="shared" si="1"/>
        <v>HIHKD2MD=</v>
      </c>
      <c r="U10" s="307">
        <v>41607</v>
      </c>
      <c r="V10" s="341">
        <v>0.31286000000000003</v>
      </c>
      <c r="W10" s="306" t="b">
        <f t="shared" si="2"/>
        <v>1</v>
      </c>
      <c r="X10" s="305" t="b">
        <f>IF(W10,_xll.qlIndexAddFixings(S10,U10,V10/100,TRUE),NA())</f>
        <v>1</v>
      </c>
      <c r="Y10" s="344">
        <f>_xll.qlQuoteValue(M10,X10)</f>
        <v>3.1286000000000005E-3</v>
      </c>
      <c r="Z10" s="324"/>
    </row>
    <row r="11" spans="2:26" s="1" customFormat="1" ht="15" x14ac:dyDescent="0.25">
      <c r="B11" s="145"/>
      <c r="C11" s="144" t="s">
        <v>105</v>
      </c>
      <c r="D11" s="144" t="str">
        <f t="shared" si="4"/>
        <v>3M</v>
      </c>
      <c r="E11" s="144">
        <v>0</v>
      </c>
      <c r="F11" s="144" t="s">
        <v>128</v>
      </c>
      <c r="G11" s="144" t="s">
        <v>127</v>
      </c>
      <c r="H11" s="144" t="b">
        <v>1</v>
      </c>
      <c r="I11" s="144" t="s">
        <v>126</v>
      </c>
      <c r="J11" s="339" t="str">
        <f t="shared" si="0"/>
        <v>HkdHibor3M</v>
      </c>
      <c r="K11" s="131" t="str">
        <f>_xll.qlRelinkableHandleYieldTermStructure(Currency&amp;D11,,Permanent,Trigger,ObjectOverwrite)</f>
        <v>HKD3M#0000</v>
      </c>
      <c r="L11" s="131" t="str">
        <f>_xll.qlIborIndex(J11,FamilyName,D11,E11,Currency,F11,G11,H11,I11,K11,Permanent,Trigger,ObjectOverwrite)</f>
        <v>HkdHibor3M#0000</v>
      </c>
      <c r="M11" s="143" t="str">
        <f>_xll.qlLastFixingQuote(PROPER(Currency)&amp;FamilyName&amp;$C11&amp;"LastFixing_Quote",L11,Permanent,Trigger,ObjectOverwrite)</f>
        <v>HkdHibor3MLastFixing_Quote#0000</v>
      </c>
      <c r="N11" s="140" t="str">
        <f>_xll.ohRangeRetrieveError(L11)</f>
        <v/>
      </c>
      <c r="O11" s="333" t="s">
        <v>182</v>
      </c>
      <c r="Q11" s="145"/>
      <c r="R11" s="337" t="str">
        <f t="shared" si="5"/>
        <v>3M</v>
      </c>
      <c r="S11" s="304" t="str">
        <f t="shared" si="3"/>
        <v>HkdHibor3M#0000</v>
      </c>
      <c r="T11" s="304" t="str">
        <f t="shared" si="1"/>
        <v>HIHKD3MD=</v>
      </c>
      <c r="U11" s="307">
        <v>41607</v>
      </c>
      <c r="V11" s="341">
        <v>0.37929000000000002</v>
      </c>
      <c r="W11" s="306" t="b">
        <f t="shared" si="2"/>
        <v>1</v>
      </c>
      <c r="X11" s="305" t="b">
        <f>IF(W11,_xll.qlIndexAddFixings(S11,U11,V11/100,TRUE),NA())</f>
        <v>1</v>
      </c>
      <c r="Y11" s="344">
        <f>_xll.qlQuoteValue(M11,X11)</f>
        <v>3.7929000000000001E-3</v>
      </c>
      <c r="Z11" s="324"/>
    </row>
    <row r="12" spans="2:26" s="1" customFormat="1" ht="15" x14ac:dyDescent="0.25">
      <c r="B12" s="145"/>
      <c r="C12" s="144" t="s">
        <v>60</v>
      </c>
      <c r="D12" s="144" t="str">
        <f t="shared" si="4"/>
        <v>6M</v>
      </c>
      <c r="E12" s="144">
        <v>0</v>
      </c>
      <c r="F12" s="144" t="s">
        <v>128</v>
      </c>
      <c r="G12" s="144" t="s">
        <v>127</v>
      </c>
      <c r="H12" s="144" t="b">
        <v>1</v>
      </c>
      <c r="I12" s="144" t="s">
        <v>126</v>
      </c>
      <c r="J12" s="339" t="str">
        <f t="shared" si="0"/>
        <v>HkdHibor6M</v>
      </c>
      <c r="K12" s="131" t="str">
        <f>_xll.qlRelinkableHandleYieldTermStructure(Currency&amp;D12,,Permanent,Trigger,ObjectOverwrite)</f>
        <v>HKD6M#0000</v>
      </c>
      <c r="L12" s="131" t="str">
        <f>_xll.qlIborIndex(J12,FamilyName,D12,E12,Currency,F12,G12,H12,I12,K12,Permanent,Trigger,ObjectOverwrite)</f>
        <v>HkdHibor6M#0000</v>
      </c>
      <c r="M12" s="143" t="str">
        <f>_xll.qlLastFixingQuote(PROPER(Currency)&amp;FamilyName&amp;$C12&amp;"LastFixing_Quote",L12,Permanent,Trigger,ObjectOverwrite)</f>
        <v>HkdHibor6MLastFixing_Quote#0000</v>
      </c>
      <c r="N12" s="140" t="str">
        <f>_xll.ohRangeRetrieveError(L12)</f>
        <v/>
      </c>
      <c r="O12" s="333" t="s">
        <v>182</v>
      </c>
      <c r="Q12" s="145"/>
      <c r="R12" s="337" t="str">
        <f t="shared" si="5"/>
        <v>6M</v>
      </c>
      <c r="S12" s="304" t="str">
        <f t="shared" si="3"/>
        <v>HkdHibor6M#0000</v>
      </c>
      <c r="T12" s="304" t="str">
        <f t="shared" si="1"/>
        <v>HIHKD6MD=</v>
      </c>
      <c r="U12" s="307">
        <v>41607</v>
      </c>
      <c r="V12" s="341">
        <v>0.54857</v>
      </c>
      <c r="W12" s="306" t="b">
        <f t="shared" si="2"/>
        <v>1</v>
      </c>
      <c r="X12" s="305" t="b">
        <f>IF(W12,_xll.qlIndexAddFixings(S12,U12,V12/100,TRUE),NA())</f>
        <v>1</v>
      </c>
      <c r="Y12" s="344">
        <f>_xll.qlQuoteValue(M12,X12)</f>
        <v>5.4856999999999996E-3</v>
      </c>
      <c r="Z12" s="324"/>
    </row>
    <row r="13" spans="2:26" s="1" customFormat="1" ht="15" x14ac:dyDescent="0.25">
      <c r="B13" s="145"/>
      <c r="C13" s="144" t="s">
        <v>109</v>
      </c>
      <c r="D13" s="144" t="str">
        <f t="shared" ref="D13" si="7">C13</f>
        <v>9M</v>
      </c>
      <c r="E13" s="144">
        <v>0</v>
      </c>
      <c r="F13" s="144" t="s">
        <v>128</v>
      </c>
      <c r="G13" s="144" t="s">
        <v>127</v>
      </c>
      <c r="H13" s="144" t="b">
        <v>1</v>
      </c>
      <c r="I13" s="144" t="s">
        <v>126</v>
      </c>
      <c r="J13" s="339" t="str">
        <f t="shared" si="0"/>
        <v>HkdHibor9M</v>
      </c>
      <c r="K13" s="131" t="str">
        <f>_xll.qlRelinkableHandleYieldTermStructure(Currency&amp;D13,,Permanent,Trigger,ObjectOverwrite)</f>
        <v>HKD9M#0000</v>
      </c>
      <c r="L13" s="131" t="str">
        <f>_xll.qlIborIndex(J13,FamilyName,D13,E13,Currency,F13,G13,H13,I13,K13,Permanent,Trigger,ObjectOverwrite)</f>
        <v>HkdHibor9M#0000</v>
      </c>
      <c r="M13" s="143" t="str">
        <f>_xll.qlLastFixingQuote(PROPER(Currency)&amp;FamilyName&amp;$C13&amp;"LastFixing_Quote",L13,Permanent,Trigger,ObjectOverwrite)</f>
        <v>HkdHibor9MLastFixing_Quote#0000</v>
      </c>
      <c r="N13" s="140" t="str">
        <f>_xll.ohRangeRetrieveError(L13)</f>
        <v/>
      </c>
      <c r="O13" s="333" t="s">
        <v>182</v>
      </c>
      <c r="Q13" s="145"/>
      <c r="R13" s="337" t="str">
        <f t="shared" si="5"/>
        <v>9M</v>
      </c>
      <c r="S13" s="304" t="str">
        <f t="shared" si="3"/>
        <v>HkdHibor9M#0000</v>
      </c>
      <c r="T13" s="304" t="str">
        <f t="shared" si="1"/>
        <v>HIHKD9MD=</v>
      </c>
      <c r="U13" s="307">
        <v>41607</v>
      </c>
      <c r="V13" s="341">
        <v>0.63914000000000004</v>
      </c>
      <c r="W13" s="306" t="b">
        <f t="shared" si="2"/>
        <v>1</v>
      </c>
      <c r="X13" s="305" t="b">
        <f>IF(W13,_xll.qlIndexAddFixings(S13,U13,V13/100,TRUE),NA())</f>
        <v>1</v>
      </c>
      <c r="Y13" s="344">
        <f>_xll.qlQuoteValue(M13,X13)</f>
        <v>6.3914000000000002E-3</v>
      </c>
      <c r="Z13" s="324"/>
    </row>
    <row r="14" spans="2:26" s="1" customFormat="1" ht="15" x14ac:dyDescent="0.25">
      <c r="B14" s="145"/>
      <c r="C14" s="144" t="s">
        <v>59</v>
      </c>
      <c r="D14" s="144" t="str">
        <f t="shared" si="4"/>
        <v>1Y</v>
      </c>
      <c r="E14" s="144">
        <v>0</v>
      </c>
      <c r="F14" s="144" t="s">
        <v>128</v>
      </c>
      <c r="G14" s="144" t="s">
        <v>127</v>
      </c>
      <c r="H14" s="144" t="b">
        <v>1</v>
      </c>
      <c r="I14" s="144" t="s">
        <v>126</v>
      </c>
      <c r="J14" s="339" t="str">
        <f t="shared" si="0"/>
        <v>HkdHibor1Y</v>
      </c>
      <c r="K14" s="131" t="str">
        <f>_xll.qlRelinkableHandleYieldTermStructure(Currency&amp;D14,,Permanent,Trigger,ObjectOverwrite)</f>
        <v>HKD1Y#0000</v>
      </c>
      <c r="L14" s="131" t="str">
        <f>_xll.qlIborIndex(J14,FamilyName,D14,E14,Currency,F14,G14,H14,I14,K14,Permanent,Trigger,ObjectOverwrite)</f>
        <v>HkdHibor1Y#0000</v>
      </c>
      <c r="M14" s="143" t="str">
        <f>_xll.qlLastFixingQuote(PROPER(Currency)&amp;FamilyName&amp;$C14&amp;"LastFixing_Quote",L14,Permanent,Trigger,ObjectOverwrite)</f>
        <v>HkdHibor1YLastFixing_Quote#0000</v>
      </c>
      <c r="N14" s="140" t="str">
        <f>_xll.ohRangeRetrieveError(L14)</f>
        <v/>
      </c>
      <c r="O14" s="333" t="s">
        <v>182</v>
      </c>
      <c r="Q14" s="145"/>
      <c r="R14" s="338" t="str">
        <f t="shared" si="5"/>
        <v>1Y</v>
      </c>
      <c r="S14" s="300" t="str">
        <f t="shared" si="3"/>
        <v>HkdHibor1Y#0000</v>
      </c>
      <c r="T14" s="300" t="str">
        <f t="shared" si="1"/>
        <v>HIHKD1YD=</v>
      </c>
      <c r="U14" s="303">
        <v>41607</v>
      </c>
      <c r="V14" s="342">
        <v>0.86356999999999995</v>
      </c>
      <c r="W14" s="302" t="b">
        <f t="shared" si="2"/>
        <v>1</v>
      </c>
      <c r="X14" s="301" t="b">
        <f>IF(W14,_xll.qlIndexAddFixings(S14,U14,V14/100,TRUE),NA())</f>
        <v>1</v>
      </c>
      <c r="Y14" s="345">
        <f>_xll.qlQuoteValue(M14,X14)</f>
        <v>8.6356999999999996E-3</v>
      </c>
      <c r="Z14" s="324"/>
    </row>
    <row r="15" spans="2:26" s="1" customFormat="1" ht="13.5" thickBot="1" x14ac:dyDescent="0.25">
      <c r="B15" s="145"/>
      <c r="C15" s="144"/>
      <c r="D15" s="144" t="s">
        <v>186</v>
      </c>
      <c r="E15" s="144"/>
      <c r="F15" s="144"/>
      <c r="G15" s="144"/>
      <c r="H15" s="144"/>
      <c r="I15" s="144"/>
      <c r="J15" s="339"/>
      <c r="K15" s="131" t="str">
        <f>_xll.qlRelinkableHandleYieldTermStructure(Currency&amp;D15,,Permanent,Trigger,ObjectOverwrite)</f>
        <v>HKDSTD#0000</v>
      </c>
      <c r="L15" s="131"/>
      <c r="M15" s="143"/>
      <c r="N15" s="140"/>
      <c r="O15" s="333"/>
      <c r="Q15" s="325"/>
      <c r="R15" s="326"/>
      <c r="S15" s="326"/>
      <c r="T15" s="326"/>
      <c r="U15" s="326"/>
      <c r="V15" s="326"/>
      <c r="W15" s="326"/>
      <c r="X15" s="326"/>
      <c r="Y15" s="326"/>
      <c r="Z15" s="327"/>
    </row>
    <row r="16" spans="2:26" s="1" customFormat="1" ht="13.5" thickBot="1" x14ac:dyDescent="0.25">
      <c r="B16" s="4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2"/>
      <c r="R16" s="14"/>
      <c r="S16" s="14"/>
      <c r="T16" s="14"/>
      <c r="U16" s="14"/>
      <c r="V16" s="14"/>
      <c r="W16" s="14"/>
      <c r="X16" s="14"/>
      <c r="Y16" s="14"/>
    </row>
    <row r="17" spans="17:26" s="1" customFormat="1" x14ac:dyDescent="0.2">
      <c r="Q17" s="14"/>
      <c r="R17" s="14"/>
      <c r="S17" s="14"/>
      <c r="T17" s="14"/>
      <c r="U17" s="14"/>
      <c r="V17" s="14"/>
      <c r="W17" s="14"/>
      <c r="X17" s="14"/>
      <c r="Y17" s="14"/>
      <c r="Z17" s="14"/>
    </row>
  </sheetData>
  <dataValidations count="2">
    <dataValidation type="list" allowBlank="1" showInputMessage="1" showErrorMessage="1" sqref="G6:G15">
      <formula1>"Following,Modified Following,Preceding,Modified Preceding,Unadjusted"</formula1>
    </dataValidation>
    <dataValidation type="list" allowBlank="1" showInputMessage="1" showErrorMessage="1" sqref="I6:J1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horizontalDpi="4294967293" verticalDpi="429496729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H342"/>
  <sheetViews>
    <sheetView workbookViewId="0">
      <selection activeCell="J1" sqref="J1"/>
    </sheetView>
  </sheetViews>
  <sheetFormatPr defaultRowHeight="11.25" x14ac:dyDescent="0.2"/>
  <cols>
    <col min="1" max="1" width="2.7109375" style="368" customWidth="1"/>
    <col min="2" max="2" width="21.42578125" style="368" bestFit="1" customWidth="1"/>
    <col min="3" max="3" width="22.5703125" style="368" bestFit="1" customWidth="1"/>
    <col min="4" max="4" width="3.140625" style="368" customWidth="1"/>
    <col min="5" max="5" width="20.42578125" style="368" bestFit="1" customWidth="1"/>
    <col min="6" max="6" width="17.28515625" style="368" bestFit="1" customWidth="1"/>
    <col min="7" max="7" width="17.28515625" style="368" customWidth="1"/>
    <col min="8" max="8" width="17.28515625" style="368" bestFit="1" customWidth="1"/>
    <col min="9" max="9" width="2.7109375" style="368" customWidth="1"/>
    <col min="10" max="12" width="11" style="368" bestFit="1" customWidth="1"/>
    <col min="13" max="16384" width="9.140625" style="368"/>
  </cols>
  <sheetData>
    <row r="1" spans="1:190" s="352" customFormat="1" ht="12" thickBot="1" x14ac:dyDescent="0.25">
      <c r="A1" s="351"/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1"/>
    </row>
    <row r="2" spans="1:190" s="351" customFormat="1" ht="12" thickBot="1" x14ac:dyDescent="0.25">
      <c r="B2" s="353">
        <f>MIN(E5:E271)</f>
        <v>41596</v>
      </c>
      <c r="C2" s="353">
        <f>MAX(E5:E271)</f>
        <v>41606</v>
      </c>
      <c r="D2" s="354"/>
      <c r="E2" s="371" t="e">
        <f ca="1">_xll.RHistory(F2:H2,B8:C8,C3,,"CH:In;Fd TSREPEAT:N SORT:"&amp;C7,E3)</f>
        <v>#NAME?</v>
      </c>
      <c r="F2" s="376" t="s">
        <v>200</v>
      </c>
      <c r="G2" s="376" t="s">
        <v>199</v>
      </c>
      <c r="H2" s="376" t="s">
        <v>201</v>
      </c>
      <c r="P2" s="355"/>
      <c r="Q2" s="356"/>
      <c r="R2" s="357"/>
      <c r="S2" s="355"/>
      <c r="T2" s="356"/>
      <c r="U2" s="357"/>
      <c r="V2" s="355"/>
      <c r="W2" s="356"/>
      <c r="X2" s="357"/>
      <c r="Y2" s="355"/>
      <c r="Z2" s="356"/>
      <c r="AA2" s="357"/>
      <c r="AB2" s="355"/>
      <c r="AC2" s="356"/>
      <c r="AD2" s="357"/>
      <c r="AE2" s="355"/>
      <c r="AF2" s="356"/>
      <c r="AG2" s="357"/>
      <c r="AH2" s="355"/>
      <c r="AI2" s="356"/>
      <c r="AJ2" s="357"/>
      <c r="AK2" s="355"/>
      <c r="AL2" s="356"/>
      <c r="AM2" s="357"/>
      <c r="AN2" s="355"/>
      <c r="AO2" s="356"/>
      <c r="AP2" s="357"/>
      <c r="AQ2" s="355"/>
      <c r="AR2" s="356"/>
      <c r="AS2" s="357"/>
      <c r="AT2" s="355"/>
      <c r="AU2" s="356"/>
      <c r="AV2" s="357"/>
      <c r="AW2" s="355"/>
      <c r="AX2" s="356"/>
      <c r="AY2" s="357"/>
      <c r="AZ2" s="355"/>
      <c r="BA2" s="356"/>
      <c r="BB2" s="357"/>
      <c r="BC2" s="355"/>
      <c r="BD2" s="356"/>
      <c r="BE2" s="357"/>
      <c r="BF2" s="355"/>
      <c r="BG2" s="356"/>
      <c r="BH2" s="357"/>
      <c r="BI2" s="355"/>
      <c r="BJ2" s="356"/>
      <c r="BK2" s="357"/>
      <c r="BL2" s="355"/>
      <c r="BM2" s="356"/>
      <c r="BN2" s="357"/>
      <c r="BO2" s="355"/>
      <c r="BP2" s="356"/>
      <c r="BQ2" s="357"/>
      <c r="BR2" s="355"/>
      <c r="BS2" s="356"/>
      <c r="BT2" s="357"/>
      <c r="BU2" s="355"/>
      <c r="BV2" s="356"/>
      <c r="BW2" s="357"/>
      <c r="BX2" s="355"/>
      <c r="BY2" s="356"/>
      <c r="BZ2" s="357"/>
      <c r="CA2" s="355"/>
      <c r="CB2" s="356"/>
      <c r="CC2" s="357"/>
      <c r="CD2" s="355"/>
      <c r="CE2" s="356"/>
      <c r="CF2" s="357"/>
      <c r="CG2" s="355"/>
      <c r="CH2" s="356"/>
      <c r="CI2" s="357"/>
      <c r="CJ2" s="355"/>
      <c r="CK2" s="356"/>
      <c r="CL2" s="357"/>
      <c r="CM2" s="355"/>
      <c r="CN2" s="356"/>
      <c r="CO2" s="357"/>
      <c r="CP2" s="355"/>
      <c r="CQ2" s="356"/>
      <c r="CR2" s="357"/>
      <c r="CS2" s="355"/>
      <c r="CT2" s="356"/>
      <c r="CU2" s="357"/>
      <c r="CV2" s="355"/>
      <c r="CW2" s="356"/>
      <c r="CX2" s="357"/>
      <c r="CY2" s="355"/>
      <c r="CZ2" s="356"/>
      <c r="DA2" s="357"/>
      <c r="DB2" s="355"/>
      <c r="DC2" s="356"/>
      <c r="DD2" s="357"/>
      <c r="DE2" s="355"/>
      <c r="DF2" s="356"/>
      <c r="DG2" s="357"/>
      <c r="DH2" s="355"/>
      <c r="DI2" s="356"/>
      <c r="DJ2" s="357"/>
      <c r="DK2" s="355"/>
      <c r="DL2" s="356"/>
      <c r="DM2" s="357"/>
      <c r="DN2" s="355"/>
      <c r="DO2" s="356"/>
      <c r="DP2" s="357"/>
      <c r="DQ2" s="355"/>
      <c r="DR2" s="356"/>
      <c r="DS2" s="357"/>
      <c r="DT2" s="355"/>
      <c r="DU2" s="356"/>
      <c r="DV2" s="357"/>
      <c r="DW2" s="355"/>
      <c r="DX2" s="356"/>
      <c r="DY2" s="357"/>
      <c r="DZ2" s="355"/>
      <c r="EA2" s="356"/>
      <c r="EB2" s="357"/>
      <c r="EC2" s="355"/>
      <c r="ED2" s="356"/>
      <c r="EE2" s="357"/>
      <c r="EF2" s="355"/>
      <c r="EG2" s="356"/>
      <c r="EH2" s="357"/>
      <c r="EI2" s="355"/>
      <c r="EJ2" s="356"/>
      <c r="EK2" s="357"/>
      <c r="EL2" s="355"/>
      <c r="EM2" s="356"/>
      <c r="EN2" s="357"/>
      <c r="EO2" s="355"/>
      <c r="EP2" s="356"/>
      <c r="EQ2" s="357"/>
      <c r="ER2" s="355"/>
      <c r="ES2" s="356"/>
      <c r="ET2" s="357"/>
      <c r="EU2" s="355"/>
      <c r="EV2" s="356"/>
      <c r="EW2" s="357"/>
      <c r="EX2" s="355"/>
      <c r="EY2" s="356"/>
      <c r="EZ2" s="357"/>
      <c r="FA2" s="355"/>
      <c r="FB2" s="356"/>
      <c r="FC2" s="357"/>
      <c r="FD2" s="355"/>
      <c r="FE2" s="356"/>
      <c r="FF2" s="357"/>
      <c r="FG2" s="355"/>
      <c r="FH2" s="356"/>
      <c r="FI2" s="357"/>
      <c r="FJ2" s="355"/>
      <c r="FK2" s="356"/>
      <c r="FL2" s="357"/>
      <c r="FM2" s="355"/>
      <c r="FN2" s="356"/>
      <c r="FO2" s="357"/>
      <c r="FP2" s="355"/>
      <c r="FQ2" s="356"/>
      <c r="FR2" s="357"/>
      <c r="FS2" s="355"/>
      <c r="FT2" s="356"/>
      <c r="FU2" s="357"/>
      <c r="FV2" s="355"/>
      <c r="FW2" s="356"/>
      <c r="FX2" s="357"/>
      <c r="FY2" s="355"/>
      <c r="FZ2" s="356"/>
      <c r="GA2" s="357"/>
      <c r="GB2" s="355"/>
      <c r="GC2" s="356"/>
      <c r="GD2" s="357"/>
      <c r="GE2" s="355"/>
      <c r="GF2" s="356"/>
      <c r="GG2" s="357"/>
      <c r="GH2" s="355"/>
    </row>
    <row r="3" spans="1:190" s="351" customFormat="1" ht="22.5" x14ac:dyDescent="0.2">
      <c r="B3" s="358" t="s">
        <v>190</v>
      </c>
      <c r="C3" s="359" t="str">
        <f>"START:"&amp;C4&amp; " END:"&amp;C5&amp;" INTERVAL:1D"</f>
        <v>START:41663 END:41673 INTERVAL:1D</v>
      </c>
      <c r="D3" s="360"/>
      <c r="E3" s="377"/>
      <c r="F3" s="379" t="s">
        <v>200</v>
      </c>
      <c r="G3" s="379" t="s">
        <v>199</v>
      </c>
      <c r="H3" s="379" t="s">
        <v>201</v>
      </c>
      <c r="J3" s="351" t="s">
        <v>202</v>
      </c>
      <c r="K3" s="351" t="s">
        <v>203</v>
      </c>
      <c r="L3" s="351" t="s">
        <v>204</v>
      </c>
    </row>
    <row r="4" spans="1:190" s="351" customFormat="1" ht="12" thickBot="1" x14ac:dyDescent="0.25">
      <c r="B4" s="362" t="s">
        <v>191</v>
      </c>
      <c r="C4" s="363">
        <f>C5-10</f>
        <v>41663</v>
      </c>
      <c r="D4" s="360"/>
      <c r="E4" s="378" t="s">
        <v>192</v>
      </c>
      <c r="F4" s="378" t="s">
        <v>193</v>
      </c>
      <c r="G4" s="378" t="s">
        <v>193</v>
      </c>
      <c r="H4" s="378" t="s">
        <v>193</v>
      </c>
    </row>
    <row r="5" spans="1:190" s="351" customFormat="1" x14ac:dyDescent="0.2">
      <c r="B5" s="362" t="s">
        <v>194</v>
      </c>
      <c r="C5" s="363">
        <f>_xll.qlSettingsEvaluationDate(Trigger)</f>
        <v>41673</v>
      </c>
      <c r="D5" s="360"/>
      <c r="E5" s="364">
        <v>41606</v>
      </c>
      <c r="F5" s="365">
        <v>0.21357000000000001</v>
      </c>
      <c r="G5" s="365">
        <v>0.37857000000000002</v>
      </c>
      <c r="H5" s="372">
        <v>0.54857</v>
      </c>
      <c r="J5" s="351" t="e">
        <f>IF(AND(ISNUMBER($E5),ISNUMBER(F5),Trigger),_xll.qlIndexAddFixings(J$3,$E5,F5/100,TRUE),NA())</f>
        <v>#NUM!</v>
      </c>
      <c r="K5" s="351" t="e">
        <f>IF(AND(ISNUMBER($E5),ISNUMBER(G5),Trigger),_xll.qlIndexAddFixings(K$3,$E5,G5/100,TRUE),NA())</f>
        <v>#NUM!</v>
      </c>
      <c r="L5" s="351" t="e">
        <f>IF(AND(ISNUMBER($E5),ISNUMBER(H5),Trigger),_xll.qlIndexAddFixings(L$3,$E5,H5/100,TRUE),NA())</f>
        <v>#NUM!</v>
      </c>
    </row>
    <row r="6" spans="1:190" s="351" customFormat="1" x14ac:dyDescent="0.2">
      <c r="D6" s="366"/>
      <c r="E6" s="364">
        <v>41605</v>
      </c>
      <c r="F6" s="365">
        <v>0.21285999999999999</v>
      </c>
      <c r="G6" s="365">
        <v>0.37785999999999997</v>
      </c>
      <c r="H6" s="372">
        <v>0.54857</v>
      </c>
      <c r="J6" s="351" t="e">
        <f>IF(AND(ISNUMBER($E6),ISNUMBER(F6),Trigger),_xll.qlIndexAddFixings(J$3,$E6,F6/100,TRUE),NA())</f>
        <v>#NUM!</v>
      </c>
      <c r="K6" s="351" t="e">
        <f>IF(AND(ISNUMBER($E6),ISNUMBER(G6),Trigger),_xll.qlIndexAddFixings(K$3,$E6,G6/100,TRUE),NA())</f>
        <v>#NUM!</v>
      </c>
      <c r="L6" s="351" t="e">
        <f>IF(AND(ISNUMBER($E6),ISNUMBER(H6),Trigger),_xll.qlIndexAddFixings(L$3,$E6,H6/100,TRUE),NA())</f>
        <v>#NUM!</v>
      </c>
    </row>
    <row r="7" spans="1:190" s="351" customFormat="1" x14ac:dyDescent="0.2">
      <c r="B7" s="362" t="s">
        <v>195</v>
      </c>
      <c r="C7" s="367" t="s">
        <v>196</v>
      </c>
      <c r="E7" s="364">
        <v>41604</v>
      </c>
      <c r="F7" s="365">
        <v>0.21071000000000001</v>
      </c>
      <c r="G7" s="365">
        <v>0.37642999999999999</v>
      </c>
      <c r="H7" s="372">
        <v>0.54571000000000003</v>
      </c>
      <c r="J7" s="351" t="e">
        <f>IF(AND(ISNUMBER($E7),ISNUMBER(F7),Trigger),_xll.qlIndexAddFixings(J$3,$E7,F7/100,TRUE),NA())</f>
        <v>#NUM!</v>
      </c>
      <c r="K7" s="351" t="e">
        <f>IF(AND(ISNUMBER($E7),ISNUMBER(G7),Trigger),_xll.qlIndexAddFixings(K$3,$E7,G7/100,TRUE),NA())</f>
        <v>#NUM!</v>
      </c>
      <c r="L7" s="351" t="e">
        <f>IF(AND(ISNUMBER($E7),ISNUMBER(H7),Trigger),_xll.qlIndexAddFixings(L$3,$E7,H7/100,TRUE),NA())</f>
        <v>#NUM!</v>
      </c>
    </row>
    <row r="8" spans="1:190" s="351" customFormat="1" x14ac:dyDescent="0.2">
      <c r="B8" s="355" t="s">
        <v>197</v>
      </c>
      <c r="C8" s="356" t="s">
        <v>198</v>
      </c>
      <c r="E8" s="364">
        <v>41603</v>
      </c>
      <c r="F8" s="365">
        <v>0.21429000000000001</v>
      </c>
      <c r="G8" s="365">
        <v>0.37929000000000002</v>
      </c>
      <c r="H8" s="372">
        <v>0.54857</v>
      </c>
      <c r="J8" s="351" t="e">
        <f>IF(AND(ISNUMBER($E8),ISNUMBER(F8),Trigger),_xll.qlIndexAddFixings(J$3,$E8,F8/100,TRUE),NA())</f>
        <v>#NUM!</v>
      </c>
      <c r="K8" s="351" t="e">
        <f>IF(AND(ISNUMBER($E8),ISNUMBER(G8),Trigger),_xll.qlIndexAddFixings(K$3,$E8,G8/100,TRUE),NA())</f>
        <v>#NUM!</v>
      </c>
      <c r="L8" s="351" t="e">
        <f>IF(AND(ISNUMBER($E8),ISNUMBER(H8),Trigger),_xll.qlIndexAddFixings(L$3,$E8,H8/100,TRUE),NA())</f>
        <v>#NUM!</v>
      </c>
    </row>
    <row r="9" spans="1:190" s="351" customFormat="1" x14ac:dyDescent="0.2">
      <c r="B9" s="361"/>
      <c r="C9" s="361"/>
      <c r="E9" s="364">
        <v>41600</v>
      </c>
      <c r="F9" s="365">
        <v>0.21643000000000001</v>
      </c>
      <c r="G9" s="365">
        <v>0.38213999999999998</v>
      </c>
      <c r="H9" s="372">
        <v>0.54857</v>
      </c>
      <c r="J9" s="351" t="e">
        <f>IF(AND(ISNUMBER($E9),ISNUMBER(F9),Trigger),_xll.qlIndexAddFixings(J$3,$E9,F9/100,TRUE),NA())</f>
        <v>#NUM!</v>
      </c>
      <c r="K9" s="351" t="e">
        <f>IF(AND(ISNUMBER($E9),ISNUMBER(G9),Trigger),_xll.qlIndexAddFixings(K$3,$E9,G9/100,TRUE),NA())</f>
        <v>#NUM!</v>
      </c>
      <c r="L9" s="351" t="e">
        <f>IF(AND(ISNUMBER($E9),ISNUMBER(H9),Trigger),_xll.qlIndexAddFixings(L$3,$E9,H9/100,TRUE),NA())</f>
        <v>#NUM!</v>
      </c>
    </row>
    <row r="10" spans="1:190" s="351" customFormat="1" x14ac:dyDescent="0.2">
      <c r="E10" s="364">
        <v>41599</v>
      </c>
      <c r="F10" s="365">
        <v>0.21786</v>
      </c>
      <c r="G10" s="365">
        <v>0.38142999999999999</v>
      </c>
      <c r="H10" s="372">
        <v>0.55071000000000003</v>
      </c>
      <c r="J10" s="351" t="e">
        <f>IF(AND(ISNUMBER($E10),ISNUMBER(F10),Trigger),_xll.qlIndexAddFixings(J$3,$E10,F10/100,TRUE),NA())</f>
        <v>#NUM!</v>
      </c>
      <c r="K10" s="351" t="e">
        <f>IF(AND(ISNUMBER($E10),ISNUMBER(G10),Trigger),_xll.qlIndexAddFixings(K$3,$E10,G10/100,TRUE),NA())</f>
        <v>#NUM!</v>
      </c>
      <c r="L10" s="351" t="e">
        <f>IF(AND(ISNUMBER($E10),ISNUMBER(H10),Trigger),_xll.qlIndexAddFixings(L$3,$E10,H10/100,TRUE),NA())</f>
        <v>#NUM!</v>
      </c>
    </row>
    <row r="11" spans="1:190" s="351" customFormat="1" x14ac:dyDescent="0.2">
      <c r="E11" s="364">
        <v>41598</v>
      </c>
      <c r="F11" s="365">
        <v>0.215</v>
      </c>
      <c r="G11" s="365">
        <v>0.37929000000000002</v>
      </c>
      <c r="H11" s="372">
        <v>0.54857</v>
      </c>
      <c r="J11" s="351" t="e">
        <f>IF(AND(ISNUMBER($E11),ISNUMBER(F11),Trigger),_xll.qlIndexAddFixings(J$3,$E11,F11/100,TRUE),NA())</f>
        <v>#NUM!</v>
      </c>
      <c r="K11" s="351" t="e">
        <f>IF(AND(ISNUMBER($E11),ISNUMBER(G11),Trigger),_xll.qlIndexAddFixings(K$3,$E11,G11/100,TRUE),NA())</f>
        <v>#NUM!</v>
      </c>
      <c r="L11" s="351" t="e">
        <f>IF(AND(ISNUMBER($E11),ISNUMBER(H11),Trigger),_xll.qlIndexAddFixings(L$3,$E11,H11/100,TRUE),NA())</f>
        <v>#NUM!</v>
      </c>
    </row>
    <row r="12" spans="1:190" s="351" customFormat="1" x14ac:dyDescent="0.2">
      <c r="E12" s="364">
        <v>41597</v>
      </c>
      <c r="F12" s="365">
        <v>0.21357000000000001</v>
      </c>
      <c r="G12" s="365">
        <v>0.37785999999999997</v>
      </c>
      <c r="H12" s="372">
        <v>0.54786000000000001</v>
      </c>
      <c r="J12" s="351" t="e">
        <f>IF(AND(ISNUMBER($E12),ISNUMBER(F12),Trigger),_xll.qlIndexAddFixings(J$3,$E12,F12/100,TRUE),NA())</f>
        <v>#NUM!</v>
      </c>
      <c r="K12" s="351" t="e">
        <f>IF(AND(ISNUMBER($E12),ISNUMBER(G12),Trigger),_xll.qlIndexAddFixings(K$3,$E12,G12/100,TRUE),NA())</f>
        <v>#NUM!</v>
      </c>
      <c r="L12" s="351" t="e">
        <f>IF(AND(ISNUMBER($E12),ISNUMBER(H12),Trigger),_xll.qlIndexAddFixings(L$3,$E12,H12/100,TRUE),NA())</f>
        <v>#NUM!</v>
      </c>
    </row>
    <row r="13" spans="1:190" s="351" customFormat="1" ht="11.25" customHeight="1" x14ac:dyDescent="0.2">
      <c r="E13" s="364">
        <v>41596</v>
      </c>
      <c r="F13" s="365">
        <v>0.21143000000000001</v>
      </c>
      <c r="G13" s="365">
        <v>0.37929000000000002</v>
      </c>
      <c r="H13" s="372">
        <v>0.54903999999999997</v>
      </c>
      <c r="J13" s="351" t="e">
        <f>IF(AND(ISNUMBER($E13),ISNUMBER(F13),Trigger),_xll.qlIndexAddFixings(J$3,$E13,F13/100,TRUE),NA())</f>
        <v>#NUM!</v>
      </c>
      <c r="K13" s="351" t="e">
        <f>IF(AND(ISNUMBER($E13),ISNUMBER(G13),Trigger),_xll.qlIndexAddFixings(K$3,$E13,G13/100,TRUE),NA())</f>
        <v>#NUM!</v>
      </c>
      <c r="L13" s="351" t="e">
        <f>IF(AND(ISNUMBER($E13),ISNUMBER(H13),Trigger),_xll.qlIndexAddFixings(L$3,$E13,H13/100,TRUE),NA())</f>
        <v>#NUM!</v>
      </c>
    </row>
    <row r="14" spans="1:190" s="351" customFormat="1" x14ac:dyDescent="0.2">
      <c r="E14" s="364"/>
      <c r="F14" s="365"/>
      <c r="G14" s="365"/>
      <c r="H14" s="372"/>
      <c r="J14" s="351" t="e">
        <f>IF(AND(ISNUMBER($E14),ISNUMBER(F14),Trigger),_xll.qlIndexAddFixings(J$3,$E14,F14/100,TRUE),NA())</f>
        <v>#N/A</v>
      </c>
      <c r="K14" s="351" t="e">
        <f>IF(AND(ISNUMBER($E14),ISNUMBER(G14),Trigger),_xll.qlIndexAddFixings(K$3,$E14,G14/100,TRUE),NA())</f>
        <v>#N/A</v>
      </c>
      <c r="L14" s="351" t="e">
        <f>IF(AND(ISNUMBER($E14),ISNUMBER(H14),Trigger),_xll.qlIndexAddFixings(L$3,$E14,H14/100,TRUE),NA())</f>
        <v>#N/A</v>
      </c>
    </row>
    <row r="15" spans="1:190" s="351" customFormat="1" x14ac:dyDescent="0.2">
      <c r="E15" s="364"/>
      <c r="F15" s="365"/>
      <c r="G15" s="365"/>
      <c r="H15" s="372"/>
      <c r="I15" s="370"/>
      <c r="J15" s="351" t="e">
        <f>IF(AND(ISNUMBER($E15),ISNUMBER(F15),Trigger),_xll.qlIndexAddFixings(J$3,$E15,F15/100,TRUE),NA())</f>
        <v>#N/A</v>
      </c>
      <c r="K15" s="351" t="e">
        <f>IF(AND(ISNUMBER($E15),ISNUMBER(G15),Trigger),_xll.qlIndexAddFixings(K$3,$E15,G15/100,TRUE),NA())</f>
        <v>#N/A</v>
      </c>
      <c r="L15" s="351" t="e">
        <f>IF(AND(ISNUMBER($E15),ISNUMBER(H15),Trigger),_xll.qlIndexAddFixings(L$3,$E15,H15/100,TRUE),NA())</f>
        <v>#N/A</v>
      </c>
    </row>
    <row r="16" spans="1:190" s="351" customFormat="1" x14ac:dyDescent="0.2">
      <c r="E16" s="364"/>
      <c r="F16" s="365"/>
      <c r="G16" s="365"/>
      <c r="H16" s="372"/>
      <c r="I16" s="370"/>
      <c r="J16" s="351" t="e">
        <f>IF(AND(ISNUMBER($E16),ISNUMBER(F16),Trigger),_xll.qlIndexAddFixings(J$3,$E16,F16/100,TRUE),NA())</f>
        <v>#N/A</v>
      </c>
      <c r="K16" s="351" t="e">
        <f>IF(AND(ISNUMBER($E16),ISNUMBER(G16),Trigger),_xll.qlIndexAddFixings(K$3,$E16,G16/100,TRUE),NA())</f>
        <v>#N/A</v>
      </c>
      <c r="L16" s="351" t="e">
        <f>IF(AND(ISNUMBER($E16),ISNUMBER(H16),Trigger),_xll.qlIndexAddFixings(L$3,$E16,H16/100,TRUE),NA())</f>
        <v>#N/A</v>
      </c>
    </row>
    <row r="17" spans="5:9" s="351" customFormat="1" x14ac:dyDescent="0.2">
      <c r="E17" s="364"/>
      <c r="F17" s="365"/>
      <c r="G17" s="365"/>
      <c r="H17" s="372"/>
      <c r="I17" s="370"/>
    </row>
    <row r="18" spans="5:9" s="351" customFormat="1" x14ac:dyDescent="0.2">
      <c r="E18" s="364"/>
      <c r="F18" s="365"/>
      <c r="G18" s="365"/>
      <c r="H18" s="372"/>
      <c r="I18" s="370"/>
    </row>
    <row r="19" spans="5:9" s="351" customFormat="1" x14ac:dyDescent="0.2">
      <c r="E19" s="364"/>
      <c r="F19" s="365"/>
      <c r="G19" s="365"/>
      <c r="H19" s="372"/>
      <c r="I19" s="370"/>
    </row>
    <row r="20" spans="5:9" s="351" customFormat="1" x14ac:dyDescent="0.2">
      <c r="E20" s="364"/>
      <c r="F20" s="365"/>
      <c r="G20" s="365"/>
      <c r="H20" s="372"/>
      <c r="I20" s="370"/>
    </row>
    <row r="21" spans="5:9" s="351" customFormat="1" x14ac:dyDescent="0.2">
      <c r="E21" s="364"/>
      <c r="F21" s="365"/>
      <c r="G21" s="365"/>
      <c r="H21" s="372"/>
      <c r="I21" s="370"/>
    </row>
    <row r="22" spans="5:9" s="351" customFormat="1" x14ac:dyDescent="0.2">
      <c r="E22" s="364"/>
      <c r="F22" s="365"/>
      <c r="G22" s="365"/>
      <c r="H22" s="372"/>
      <c r="I22" s="370"/>
    </row>
    <row r="23" spans="5:9" s="351" customFormat="1" x14ac:dyDescent="0.2">
      <c r="E23" s="364"/>
      <c r="F23" s="365"/>
      <c r="G23" s="365"/>
      <c r="H23" s="372"/>
      <c r="I23" s="370"/>
    </row>
    <row r="24" spans="5:9" s="351" customFormat="1" x14ac:dyDescent="0.2">
      <c r="E24" s="364"/>
      <c r="F24" s="365"/>
      <c r="G24" s="365"/>
      <c r="H24" s="372"/>
      <c r="I24" s="370"/>
    </row>
    <row r="25" spans="5:9" s="351" customFormat="1" x14ac:dyDescent="0.2">
      <c r="E25" s="364"/>
      <c r="F25" s="365"/>
      <c r="G25" s="365"/>
      <c r="H25" s="372"/>
      <c r="I25" s="370"/>
    </row>
    <row r="26" spans="5:9" s="351" customFormat="1" x14ac:dyDescent="0.2">
      <c r="E26" s="364"/>
      <c r="F26" s="365"/>
      <c r="G26" s="365"/>
      <c r="H26" s="372"/>
      <c r="I26" s="370"/>
    </row>
    <row r="27" spans="5:9" s="351" customFormat="1" x14ac:dyDescent="0.2">
      <c r="E27" s="364"/>
      <c r="F27" s="365"/>
      <c r="G27" s="365"/>
      <c r="H27" s="372"/>
      <c r="I27" s="370"/>
    </row>
    <row r="28" spans="5:9" s="351" customFormat="1" x14ac:dyDescent="0.2">
      <c r="E28" s="364"/>
      <c r="F28" s="365"/>
      <c r="G28" s="365"/>
      <c r="H28" s="372"/>
      <c r="I28" s="370"/>
    </row>
    <row r="29" spans="5:9" s="351" customFormat="1" x14ac:dyDescent="0.2">
      <c r="E29" s="364"/>
      <c r="F29" s="365"/>
      <c r="G29" s="365"/>
      <c r="H29" s="372"/>
      <c r="I29" s="370"/>
    </row>
    <row r="30" spans="5:9" s="351" customFormat="1" x14ac:dyDescent="0.2">
      <c r="E30" s="364"/>
      <c r="F30" s="365"/>
      <c r="G30" s="365"/>
      <c r="H30" s="372"/>
      <c r="I30" s="370"/>
    </row>
    <row r="31" spans="5:9" s="351" customFormat="1" x14ac:dyDescent="0.2">
      <c r="E31" s="364"/>
      <c r="F31" s="365"/>
      <c r="G31" s="365"/>
      <c r="H31" s="372"/>
      <c r="I31" s="370"/>
    </row>
    <row r="32" spans="5:9" s="351" customFormat="1" x14ac:dyDescent="0.2">
      <c r="E32" s="364"/>
      <c r="F32" s="365"/>
      <c r="G32" s="365"/>
      <c r="H32" s="372"/>
      <c r="I32" s="370"/>
    </row>
    <row r="33" spans="5:9" s="351" customFormat="1" x14ac:dyDescent="0.2">
      <c r="E33" s="364"/>
      <c r="F33" s="365"/>
      <c r="G33" s="365"/>
      <c r="H33" s="372"/>
      <c r="I33" s="370"/>
    </row>
    <row r="34" spans="5:9" s="351" customFormat="1" x14ac:dyDescent="0.2">
      <c r="E34" s="364"/>
      <c r="F34" s="365"/>
      <c r="G34" s="365"/>
      <c r="H34" s="372"/>
      <c r="I34" s="370"/>
    </row>
    <row r="35" spans="5:9" s="351" customFormat="1" x14ac:dyDescent="0.2">
      <c r="E35" s="364"/>
      <c r="F35" s="365"/>
      <c r="G35" s="365"/>
      <c r="H35" s="372"/>
      <c r="I35" s="370"/>
    </row>
    <row r="36" spans="5:9" s="351" customFormat="1" x14ac:dyDescent="0.2">
      <c r="E36" s="364"/>
      <c r="F36" s="365"/>
      <c r="G36" s="365"/>
      <c r="H36" s="372"/>
      <c r="I36" s="370"/>
    </row>
    <row r="37" spans="5:9" s="351" customFormat="1" x14ac:dyDescent="0.2">
      <c r="E37" s="364"/>
      <c r="F37" s="365"/>
      <c r="G37" s="365"/>
      <c r="H37" s="372"/>
      <c r="I37" s="370"/>
    </row>
    <row r="38" spans="5:9" s="351" customFormat="1" x14ac:dyDescent="0.2">
      <c r="E38" s="364"/>
      <c r="F38" s="365"/>
      <c r="G38" s="365"/>
      <c r="H38" s="372"/>
      <c r="I38" s="370"/>
    </row>
    <row r="39" spans="5:9" s="351" customFormat="1" x14ac:dyDescent="0.2">
      <c r="E39" s="364"/>
      <c r="F39" s="365"/>
      <c r="G39" s="365"/>
      <c r="H39" s="372"/>
      <c r="I39" s="370"/>
    </row>
    <row r="40" spans="5:9" s="351" customFormat="1" x14ac:dyDescent="0.2">
      <c r="E40" s="364"/>
      <c r="F40" s="365"/>
      <c r="G40" s="365"/>
      <c r="H40" s="372"/>
      <c r="I40" s="370"/>
    </row>
    <row r="41" spans="5:9" s="351" customFormat="1" x14ac:dyDescent="0.2">
      <c r="E41" s="364"/>
      <c r="F41" s="365"/>
      <c r="G41" s="365"/>
      <c r="H41" s="372"/>
      <c r="I41" s="370"/>
    </row>
    <row r="42" spans="5:9" s="351" customFormat="1" x14ac:dyDescent="0.2">
      <c r="E42" s="364"/>
      <c r="F42" s="365"/>
      <c r="G42" s="365"/>
      <c r="H42" s="372"/>
      <c r="I42" s="370"/>
    </row>
    <row r="43" spans="5:9" s="351" customFormat="1" x14ac:dyDescent="0.2">
      <c r="E43" s="364"/>
      <c r="F43" s="365"/>
      <c r="G43" s="365"/>
      <c r="H43" s="372"/>
      <c r="I43" s="370"/>
    </row>
    <row r="44" spans="5:9" s="351" customFormat="1" x14ac:dyDescent="0.2">
      <c r="E44" s="364"/>
      <c r="F44" s="365"/>
      <c r="G44" s="365"/>
      <c r="H44" s="372"/>
      <c r="I44" s="370"/>
    </row>
    <row r="45" spans="5:9" s="351" customFormat="1" x14ac:dyDescent="0.2">
      <c r="E45" s="364"/>
      <c r="F45" s="365"/>
      <c r="G45" s="365"/>
      <c r="H45" s="372"/>
      <c r="I45" s="370"/>
    </row>
    <row r="46" spans="5:9" s="351" customFormat="1" x14ac:dyDescent="0.2">
      <c r="E46" s="364"/>
      <c r="F46" s="365"/>
      <c r="G46" s="365"/>
      <c r="H46" s="372"/>
      <c r="I46" s="370"/>
    </row>
    <row r="47" spans="5:9" s="351" customFormat="1" x14ac:dyDescent="0.2">
      <c r="E47" s="364"/>
      <c r="F47" s="365"/>
      <c r="G47" s="365"/>
      <c r="H47" s="372"/>
      <c r="I47" s="370"/>
    </row>
    <row r="48" spans="5:9" s="351" customFormat="1" x14ac:dyDescent="0.2">
      <c r="E48" s="364"/>
      <c r="F48" s="365"/>
      <c r="G48" s="365"/>
      <c r="H48" s="372"/>
      <c r="I48" s="370"/>
    </row>
    <row r="49" spans="2:9" s="351" customFormat="1" x14ac:dyDescent="0.2">
      <c r="B49" s="354"/>
      <c r="C49" s="354"/>
      <c r="E49" s="364"/>
      <c r="F49" s="365"/>
      <c r="G49" s="365"/>
      <c r="H49" s="372"/>
      <c r="I49" s="370"/>
    </row>
    <row r="50" spans="2:9" s="351" customFormat="1" x14ac:dyDescent="0.2">
      <c r="B50" s="361"/>
      <c r="C50" s="361"/>
      <c r="E50" s="364"/>
      <c r="F50" s="365"/>
      <c r="G50" s="365"/>
      <c r="H50" s="372"/>
      <c r="I50" s="370"/>
    </row>
    <row r="51" spans="2:9" s="351" customFormat="1" x14ac:dyDescent="0.2">
      <c r="B51" s="361"/>
      <c r="C51" s="361"/>
      <c r="E51" s="364"/>
      <c r="F51" s="365"/>
      <c r="G51" s="365"/>
      <c r="H51" s="372"/>
      <c r="I51" s="370"/>
    </row>
    <row r="52" spans="2:9" s="351" customFormat="1" x14ac:dyDescent="0.2">
      <c r="B52" s="361"/>
      <c r="C52" s="361"/>
      <c r="E52" s="364"/>
      <c r="F52" s="365"/>
      <c r="G52" s="365"/>
      <c r="H52" s="372"/>
      <c r="I52" s="370"/>
    </row>
    <row r="53" spans="2:9" s="351" customFormat="1" x14ac:dyDescent="0.2">
      <c r="B53" s="361"/>
      <c r="C53" s="361"/>
      <c r="E53" s="364"/>
      <c r="F53" s="365"/>
      <c r="G53" s="365"/>
      <c r="H53" s="372"/>
      <c r="I53" s="370"/>
    </row>
    <row r="54" spans="2:9" s="351" customFormat="1" x14ac:dyDescent="0.2">
      <c r="B54" s="361"/>
      <c r="C54" s="361"/>
      <c r="E54" s="364"/>
      <c r="F54" s="365"/>
      <c r="G54" s="365"/>
      <c r="H54" s="372"/>
      <c r="I54" s="370"/>
    </row>
    <row r="55" spans="2:9" s="351" customFormat="1" x14ac:dyDescent="0.2">
      <c r="B55" s="361"/>
      <c r="C55" s="361"/>
      <c r="E55" s="364"/>
      <c r="F55" s="365"/>
      <c r="G55" s="365"/>
      <c r="H55" s="372"/>
      <c r="I55" s="370"/>
    </row>
    <row r="56" spans="2:9" s="351" customFormat="1" x14ac:dyDescent="0.2">
      <c r="B56" s="361"/>
      <c r="C56" s="361"/>
      <c r="E56" s="364"/>
      <c r="F56" s="365"/>
      <c r="G56" s="365"/>
      <c r="H56" s="372"/>
      <c r="I56" s="370"/>
    </row>
    <row r="57" spans="2:9" s="354" customFormat="1" x14ac:dyDescent="0.2">
      <c r="B57" s="361"/>
      <c r="C57" s="361"/>
      <c r="E57" s="364"/>
      <c r="F57" s="365"/>
      <c r="G57" s="365"/>
      <c r="H57" s="372"/>
      <c r="I57" s="370"/>
    </row>
    <row r="58" spans="2:9" s="361" customFormat="1" x14ac:dyDescent="0.2">
      <c r="E58" s="364"/>
      <c r="F58" s="365"/>
      <c r="G58" s="365"/>
      <c r="H58" s="372"/>
      <c r="I58" s="370"/>
    </row>
    <row r="59" spans="2:9" s="361" customFormat="1" x14ac:dyDescent="0.2">
      <c r="E59" s="364"/>
      <c r="F59" s="365"/>
      <c r="G59" s="365"/>
      <c r="H59" s="372"/>
      <c r="I59" s="370"/>
    </row>
    <row r="60" spans="2:9" s="361" customFormat="1" x14ac:dyDescent="0.2">
      <c r="E60" s="364"/>
      <c r="F60" s="365"/>
      <c r="G60" s="365"/>
      <c r="H60" s="372"/>
      <c r="I60" s="370"/>
    </row>
    <row r="61" spans="2:9" s="361" customFormat="1" x14ac:dyDescent="0.2">
      <c r="E61" s="364"/>
      <c r="F61" s="365"/>
      <c r="G61" s="365"/>
      <c r="H61" s="372"/>
      <c r="I61" s="370"/>
    </row>
    <row r="62" spans="2:9" s="361" customFormat="1" x14ac:dyDescent="0.2">
      <c r="E62" s="364"/>
      <c r="F62" s="365"/>
      <c r="G62" s="365"/>
      <c r="H62" s="372"/>
      <c r="I62" s="370"/>
    </row>
    <row r="63" spans="2:9" s="361" customFormat="1" x14ac:dyDescent="0.2">
      <c r="E63" s="364"/>
      <c r="F63" s="365"/>
      <c r="G63" s="365"/>
      <c r="H63" s="372"/>
      <c r="I63" s="370"/>
    </row>
    <row r="64" spans="2:9" s="361" customFormat="1" x14ac:dyDescent="0.2">
      <c r="E64" s="364"/>
      <c r="F64" s="365"/>
      <c r="G64" s="365"/>
      <c r="H64" s="372"/>
      <c r="I64" s="370"/>
    </row>
    <row r="65" spans="5:9" s="361" customFormat="1" x14ac:dyDescent="0.2">
      <c r="E65" s="364"/>
      <c r="F65" s="365"/>
      <c r="G65" s="365"/>
      <c r="H65" s="372"/>
      <c r="I65" s="370"/>
    </row>
    <row r="66" spans="5:9" s="361" customFormat="1" x14ac:dyDescent="0.2">
      <c r="E66" s="364"/>
      <c r="F66" s="365"/>
      <c r="G66" s="365"/>
      <c r="H66" s="372"/>
      <c r="I66" s="370"/>
    </row>
    <row r="67" spans="5:9" s="361" customFormat="1" x14ac:dyDescent="0.2">
      <c r="E67" s="364"/>
      <c r="F67" s="365"/>
      <c r="G67" s="365"/>
      <c r="H67" s="372"/>
      <c r="I67" s="370"/>
    </row>
    <row r="68" spans="5:9" s="361" customFormat="1" x14ac:dyDescent="0.2">
      <c r="E68" s="364"/>
      <c r="F68" s="365"/>
      <c r="G68" s="365"/>
      <c r="H68" s="372"/>
      <c r="I68" s="370"/>
    </row>
    <row r="69" spans="5:9" s="361" customFormat="1" x14ac:dyDescent="0.2">
      <c r="E69" s="364"/>
      <c r="F69" s="365"/>
      <c r="G69" s="365"/>
      <c r="H69" s="372"/>
      <c r="I69" s="370"/>
    </row>
    <row r="70" spans="5:9" s="361" customFormat="1" x14ac:dyDescent="0.2">
      <c r="E70" s="364"/>
      <c r="F70" s="365"/>
      <c r="G70" s="365"/>
      <c r="H70" s="372"/>
      <c r="I70" s="370"/>
    </row>
    <row r="71" spans="5:9" s="361" customFormat="1" x14ac:dyDescent="0.2">
      <c r="E71" s="364"/>
      <c r="F71" s="365"/>
      <c r="G71" s="365"/>
      <c r="H71" s="372"/>
      <c r="I71" s="370"/>
    </row>
    <row r="72" spans="5:9" s="361" customFormat="1" x14ac:dyDescent="0.2">
      <c r="E72" s="364"/>
      <c r="F72" s="365"/>
      <c r="G72" s="365"/>
      <c r="H72" s="372"/>
      <c r="I72" s="370"/>
    </row>
    <row r="73" spans="5:9" s="361" customFormat="1" x14ac:dyDescent="0.2">
      <c r="E73" s="364"/>
      <c r="F73" s="365"/>
      <c r="G73" s="365"/>
      <c r="H73" s="372"/>
      <c r="I73" s="370"/>
    </row>
    <row r="74" spans="5:9" s="361" customFormat="1" x14ac:dyDescent="0.2">
      <c r="E74" s="364"/>
      <c r="F74" s="365"/>
      <c r="G74" s="365"/>
      <c r="H74" s="372"/>
      <c r="I74" s="370"/>
    </row>
    <row r="75" spans="5:9" s="361" customFormat="1" x14ac:dyDescent="0.2">
      <c r="E75" s="364"/>
      <c r="F75" s="365"/>
      <c r="G75" s="365"/>
      <c r="H75" s="372"/>
      <c r="I75" s="370"/>
    </row>
    <row r="76" spans="5:9" s="361" customFormat="1" x14ac:dyDescent="0.2">
      <c r="E76" s="364"/>
      <c r="F76" s="365"/>
      <c r="G76" s="365"/>
      <c r="H76" s="372"/>
      <c r="I76" s="370"/>
    </row>
    <row r="77" spans="5:9" s="361" customFormat="1" x14ac:dyDescent="0.2">
      <c r="E77" s="364"/>
      <c r="F77" s="365"/>
      <c r="G77" s="365"/>
      <c r="H77" s="372"/>
      <c r="I77" s="370"/>
    </row>
    <row r="78" spans="5:9" s="361" customFormat="1" x14ac:dyDescent="0.2">
      <c r="E78" s="364"/>
      <c r="F78" s="365"/>
      <c r="G78" s="365"/>
      <c r="H78" s="372"/>
      <c r="I78" s="370"/>
    </row>
    <row r="79" spans="5:9" s="361" customFormat="1" x14ac:dyDescent="0.2">
      <c r="E79" s="364"/>
      <c r="F79" s="365"/>
      <c r="G79" s="365"/>
      <c r="H79" s="372"/>
      <c r="I79" s="370"/>
    </row>
    <row r="80" spans="5:9" s="361" customFormat="1" x14ac:dyDescent="0.2">
      <c r="E80" s="364"/>
      <c r="F80" s="365"/>
      <c r="G80" s="365"/>
      <c r="H80" s="372"/>
      <c r="I80" s="370"/>
    </row>
    <row r="81" spans="5:9" s="361" customFormat="1" x14ac:dyDescent="0.2">
      <c r="E81" s="364"/>
      <c r="F81" s="365"/>
      <c r="G81" s="365"/>
      <c r="H81" s="372"/>
      <c r="I81" s="370"/>
    </row>
    <row r="82" spans="5:9" s="361" customFormat="1" x14ac:dyDescent="0.2">
      <c r="E82" s="364"/>
      <c r="F82" s="365"/>
      <c r="G82" s="365"/>
      <c r="H82" s="372"/>
      <c r="I82" s="370"/>
    </row>
    <row r="83" spans="5:9" s="361" customFormat="1" x14ac:dyDescent="0.2">
      <c r="E83" s="364"/>
      <c r="F83" s="365"/>
      <c r="G83" s="365"/>
      <c r="H83" s="372"/>
      <c r="I83" s="370"/>
    </row>
    <row r="84" spans="5:9" s="361" customFormat="1" x14ac:dyDescent="0.2">
      <c r="E84" s="364"/>
      <c r="F84" s="365"/>
      <c r="G84" s="365"/>
      <c r="H84" s="372"/>
      <c r="I84" s="370"/>
    </row>
    <row r="85" spans="5:9" s="361" customFormat="1" x14ac:dyDescent="0.2">
      <c r="E85" s="364"/>
      <c r="F85" s="365"/>
      <c r="G85" s="365"/>
      <c r="H85" s="372"/>
      <c r="I85" s="370"/>
    </row>
    <row r="86" spans="5:9" s="361" customFormat="1" x14ac:dyDescent="0.2">
      <c r="E86" s="364"/>
      <c r="F86" s="365"/>
      <c r="G86" s="365"/>
      <c r="H86" s="372"/>
      <c r="I86" s="370"/>
    </row>
    <row r="87" spans="5:9" s="361" customFormat="1" x14ac:dyDescent="0.2">
      <c r="E87" s="364"/>
      <c r="F87" s="365"/>
      <c r="G87" s="365"/>
      <c r="H87" s="372"/>
      <c r="I87" s="370"/>
    </row>
    <row r="88" spans="5:9" s="361" customFormat="1" x14ac:dyDescent="0.2">
      <c r="E88" s="364"/>
      <c r="F88" s="365"/>
      <c r="G88" s="365"/>
      <c r="H88" s="372"/>
      <c r="I88" s="370"/>
    </row>
    <row r="89" spans="5:9" s="361" customFormat="1" x14ac:dyDescent="0.2">
      <c r="E89" s="364"/>
      <c r="F89" s="365"/>
      <c r="G89" s="365"/>
      <c r="H89" s="372"/>
      <c r="I89" s="370"/>
    </row>
    <row r="90" spans="5:9" s="361" customFormat="1" x14ac:dyDescent="0.2">
      <c r="E90" s="364"/>
      <c r="F90" s="365"/>
      <c r="G90" s="365"/>
      <c r="H90" s="372"/>
      <c r="I90" s="370"/>
    </row>
    <row r="91" spans="5:9" s="361" customFormat="1" x14ac:dyDescent="0.2">
      <c r="E91" s="364"/>
      <c r="F91" s="365"/>
      <c r="G91" s="365"/>
      <c r="H91" s="372"/>
      <c r="I91" s="370"/>
    </row>
    <row r="92" spans="5:9" s="361" customFormat="1" x14ac:dyDescent="0.2">
      <c r="E92" s="364"/>
      <c r="F92" s="365"/>
      <c r="G92" s="365"/>
      <c r="H92" s="372"/>
      <c r="I92" s="370"/>
    </row>
    <row r="93" spans="5:9" s="361" customFormat="1" x14ac:dyDescent="0.2">
      <c r="E93" s="364"/>
      <c r="F93" s="365"/>
      <c r="G93" s="365"/>
      <c r="H93" s="372"/>
      <c r="I93" s="370"/>
    </row>
    <row r="94" spans="5:9" s="361" customFormat="1" x14ac:dyDescent="0.2">
      <c r="E94" s="364"/>
      <c r="F94" s="365"/>
      <c r="G94" s="365"/>
      <c r="H94" s="372"/>
      <c r="I94" s="370"/>
    </row>
    <row r="95" spans="5:9" s="361" customFormat="1" x14ac:dyDescent="0.2">
      <c r="E95" s="364"/>
      <c r="F95" s="365"/>
      <c r="G95" s="365"/>
      <c r="H95" s="372"/>
      <c r="I95" s="370"/>
    </row>
    <row r="96" spans="5:9" s="361" customFormat="1" x14ac:dyDescent="0.2">
      <c r="E96" s="364"/>
      <c r="F96" s="365"/>
      <c r="G96" s="365"/>
      <c r="H96" s="372"/>
      <c r="I96" s="370"/>
    </row>
    <row r="97" spans="5:9" s="361" customFormat="1" x14ac:dyDescent="0.2">
      <c r="E97" s="364"/>
      <c r="F97" s="365"/>
      <c r="G97" s="365"/>
      <c r="H97" s="372"/>
      <c r="I97" s="370"/>
    </row>
    <row r="98" spans="5:9" s="361" customFormat="1" x14ac:dyDescent="0.2">
      <c r="E98" s="364"/>
      <c r="F98" s="365"/>
      <c r="G98" s="365"/>
      <c r="H98" s="372"/>
      <c r="I98" s="370"/>
    </row>
    <row r="99" spans="5:9" s="361" customFormat="1" x14ac:dyDescent="0.2">
      <c r="E99" s="364"/>
      <c r="F99" s="365"/>
      <c r="G99" s="365"/>
      <c r="H99" s="372"/>
      <c r="I99" s="370"/>
    </row>
    <row r="100" spans="5:9" s="361" customFormat="1" x14ac:dyDescent="0.2">
      <c r="E100" s="364"/>
      <c r="F100" s="365"/>
      <c r="G100" s="365"/>
      <c r="H100" s="372"/>
      <c r="I100" s="370"/>
    </row>
    <row r="101" spans="5:9" s="361" customFormat="1" x14ac:dyDescent="0.2">
      <c r="E101" s="364"/>
      <c r="F101" s="365"/>
      <c r="G101" s="365"/>
      <c r="H101" s="372"/>
      <c r="I101" s="370"/>
    </row>
    <row r="102" spans="5:9" s="361" customFormat="1" x14ac:dyDescent="0.2">
      <c r="E102" s="364"/>
      <c r="F102" s="365"/>
      <c r="G102" s="365"/>
      <c r="H102" s="372"/>
      <c r="I102" s="370"/>
    </row>
    <row r="103" spans="5:9" s="361" customFormat="1" x14ac:dyDescent="0.2">
      <c r="E103" s="364"/>
      <c r="F103" s="365"/>
      <c r="G103" s="365"/>
      <c r="H103" s="372"/>
      <c r="I103" s="370"/>
    </row>
    <row r="104" spans="5:9" s="361" customFormat="1" x14ac:dyDescent="0.2">
      <c r="E104" s="364"/>
      <c r="F104" s="365"/>
      <c r="G104" s="365"/>
      <c r="H104" s="372"/>
      <c r="I104" s="370"/>
    </row>
    <row r="105" spans="5:9" s="361" customFormat="1" x14ac:dyDescent="0.2">
      <c r="E105" s="364"/>
      <c r="F105" s="365"/>
      <c r="G105" s="365"/>
      <c r="H105" s="372"/>
      <c r="I105" s="370"/>
    </row>
    <row r="106" spans="5:9" s="361" customFormat="1" x14ac:dyDescent="0.2">
      <c r="E106" s="364"/>
      <c r="F106" s="365"/>
      <c r="G106" s="365"/>
      <c r="H106" s="372"/>
      <c r="I106" s="370"/>
    </row>
    <row r="107" spans="5:9" s="361" customFormat="1" x14ac:dyDescent="0.2">
      <c r="E107" s="364"/>
      <c r="F107" s="365"/>
      <c r="G107" s="365"/>
      <c r="H107" s="372"/>
      <c r="I107" s="370"/>
    </row>
    <row r="108" spans="5:9" s="361" customFormat="1" x14ac:dyDescent="0.2">
      <c r="E108" s="364"/>
      <c r="F108" s="365"/>
      <c r="G108" s="365"/>
      <c r="H108" s="372"/>
      <c r="I108" s="370"/>
    </row>
    <row r="109" spans="5:9" s="361" customFormat="1" x14ac:dyDescent="0.2">
      <c r="E109" s="364"/>
      <c r="F109" s="365"/>
      <c r="G109" s="365"/>
      <c r="H109" s="372"/>
      <c r="I109" s="370"/>
    </row>
    <row r="110" spans="5:9" s="361" customFormat="1" x14ac:dyDescent="0.2">
      <c r="E110" s="364"/>
      <c r="F110" s="365"/>
      <c r="G110" s="365"/>
      <c r="H110" s="372"/>
      <c r="I110" s="370"/>
    </row>
    <row r="111" spans="5:9" s="361" customFormat="1" x14ac:dyDescent="0.2">
      <c r="E111" s="364"/>
      <c r="F111" s="365"/>
      <c r="G111" s="365"/>
      <c r="H111" s="372"/>
      <c r="I111" s="370"/>
    </row>
    <row r="112" spans="5:9" s="361" customFormat="1" x14ac:dyDescent="0.2">
      <c r="E112" s="364"/>
      <c r="F112" s="365"/>
      <c r="G112" s="365"/>
      <c r="H112" s="372"/>
      <c r="I112" s="370"/>
    </row>
    <row r="113" spans="5:9" s="361" customFormat="1" x14ac:dyDescent="0.2">
      <c r="E113" s="364"/>
      <c r="F113" s="365"/>
      <c r="G113" s="365"/>
      <c r="H113" s="372"/>
      <c r="I113" s="370"/>
    </row>
    <row r="114" spans="5:9" s="361" customFormat="1" x14ac:dyDescent="0.2">
      <c r="E114" s="364"/>
      <c r="F114" s="365"/>
      <c r="G114" s="365"/>
      <c r="H114" s="372"/>
      <c r="I114" s="370"/>
    </row>
    <row r="115" spans="5:9" s="361" customFormat="1" x14ac:dyDescent="0.2">
      <c r="E115" s="364"/>
      <c r="F115" s="365"/>
      <c r="G115" s="365"/>
      <c r="H115" s="372"/>
      <c r="I115" s="370"/>
    </row>
    <row r="116" spans="5:9" s="361" customFormat="1" x14ac:dyDescent="0.2">
      <c r="E116" s="364"/>
      <c r="F116" s="365"/>
      <c r="G116" s="365"/>
      <c r="H116" s="372"/>
      <c r="I116" s="370"/>
    </row>
    <row r="117" spans="5:9" s="361" customFormat="1" x14ac:dyDescent="0.2">
      <c r="E117" s="364"/>
      <c r="F117" s="365"/>
      <c r="G117" s="365"/>
      <c r="H117" s="372"/>
      <c r="I117" s="370"/>
    </row>
    <row r="118" spans="5:9" s="361" customFormat="1" x14ac:dyDescent="0.2">
      <c r="E118" s="364"/>
      <c r="F118" s="365"/>
      <c r="G118" s="365"/>
      <c r="H118" s="372"/>
      <c r="I118" s="370"/>
    </row>
    <row r="119" spans="5:9" s="361" customFormat="1" x14ac:dyDescent="0.2">
      <c r="E119" s="364"/>
      <c r="F119" s="365"/>
      <c r="G119" s="365"/>
      <c r="H119" s="372"/>
      <c r="I119" s="370"/>
    </row>
    <row r="120" spans="5:9" s="361" customFormat="1" x14ac:dyDescent="0.2">
      <c r="E120" s="364"/>
      <c r="F120" s="365"/>
      <c r="G120" s="365"/>
      <c r="H120" s="372"/>
      <c r="I120" s="370"/>
    </row>
    <row r="121" spans="5:9" s="361" customFormat="1" x14ac:dyDescent="0.2">
      <c r="E121" s="364"/>
      <c r="F121" s="365"/>
      <c r="G121" s="365"/>
      <c r="H121" s="372"/>
      <c r="I121" s="370"/>
    </row>
    <row r="122" spans="5:9" s="361" customFormat="1" x14ac:dyDescent="0.2">
      <c r="E122" s="364"/>
      <c r="F122" s="365"/>
      <c r="G122" s="365"/>
      <c r="H122" s="372"/>
      <c r="I122" s="370"/>
    </row>
    <row r="123" spans="5:9" s="361" customFormat="1" x14ac:dyDescent="0.2">
      <c r="E123" s="364"/>
      <c r="F123" s="365"/>
      <c r="G123" s="365"/>
      <c r="H123" s="372"/>
      <c r="I123" s="370"/>
    </row>
    <row r="124" spans="5:9" s="361" customFormat="1" x14ac:dyDescent="0.2">
      <c r="E124" s="364"/>
      <c r="F124" s="365"/>
      <c r="G124" s="365"/>
      <c r="H124" s="372"/>
      <c r="I124" s="370"/>
    </row>
    <row r="125" spans="5:9" s="361" customFormat="1" x14ac:dyDescent="0.2">
      <c r="E125" s="364"/>
      <c r="F125" s="365"/>
      <c r="G125" s="365"/>
      <c r="H125" s="372"/>
      <c r="I125" s="370"/>
    </row>
    <row r="126" spans="5:9" s="361" customFormat="1" x14ac:dyDescent="0.2">
      <c r="E126" s="364"/>
      <c r="F126" s="365"/>
      <c r="G126" s="365"/>
      <c r="H126" s="372"/>
      <c r="I126" s="370"/>
    </row>
    <row r="127" spans="5:9" s="361" customFormat="1" x14ac:dyDescent="0.2">
      <c r="E127" s="364"/>
      <c r="F127" s="365"/>
      <c r="G127" s="365"/>
      <c r="H127" s="372"/>
      <c r="I127" s="370"/>
    </row>
    <row r="128" spans="5:9" s="361" customFormat="1" x14ac:dyDescent="0.2">
      <c r="E128" s="364"/>
      <c r="F128" s="365"/>
      <c r="G128" s="365"/>
      <c r="H128" s="372"/>
      <c r="I128" s="370"/>
    </row>
    <row r="129" spans="5:9" s="361" customFormat="1" x14ac:dyDescent="0.2">
      <c r="E129" s="364"/>
      <c r="F129" s="365"/>
      <c r="G129" s="365"/>
      <c r="H129" s="372"/>
      <c r="I129" s="370"/>
    </row>
    <row r="130" spans="5:9" s="361" customFormat="1" x14ac:dyDescent="0.2">
      <c r="E130" s="364"/>
      <c r="F130" s="365"/>
      <c r="G130" s="365"/>
      <c r="H130" s="372"/>
      <c r="I130" s="370"/>
    </row>
    <row r="131" spans="5:9" s="361" customFormat="1" x14ac:dyDescent="0.2">
      <c r="E131" s="364"/>
      <c r="F131" s="365"/>
      <c r="G131" s="365"/>
      <c r="H131" s="372"/>
      <c r="I131" s="370"/>
    </row>
    <row r="132" spans="5:9" s="361" customFormat="1" x14ac:dyDescent="0.2">
      <c r="E132" s="364"/>
      <c r="F132" s="365"/>
      <c r="G132" s="365"/>
      <c r="H132" s="372"/>
      <c r="I132" s="370"/>
    </row>
    <row r="133" spans="5:9" s="361" customFormat="1" x14ac:dyDescent="0.2">
      <c r="E133" s="364"/>
      <c r="F133" s="365"/>
      <c r="G133" s="365"/>
      <c r="H133" s="372"/>
      <c r="I133" s="370"/>
    </row>
    <row r="134" spans="5:9" s="361" customFormat="1" x14ac:dyDescent="0.2">
      <c r="E134" s="364"/>
      <c r="F134" s="365"/>
      <c r="G134" s="365"/>
      <c r="H134" s="372"/>
      <c r="I134" s="370"/>
    </row>
    <row r="135" spans="5:9" s="361" customFormat="1" x14ac:dyDescent="0.2">
      <c r="E135" s="364"/>
      <c r="F135" s="365"/>
      <c r="G135" s="365"/>
      <c r="H135" s="372"/>
      <c r="I135" s="370"/>
    </row>
    <row r="136" spans="5:9" s="361" customFormat="1" x14ac:dyDescent="0.2">
      <c r="E136" s="364"/>
      <c r="F136" s="365"/>
      <c r="G136" s="365"/>
      <c r="H136" s="372"/>
      <c r="I136" s="370"/>
    </row>
    <row r="137" spans="5:9" s="361" customFormat="1" x14ac:dyDescent="0.2">
      <c r="E137" s="364"/>
      <c r="F137" s="365"/>
      <c r="G137" s="365"/>
      <c r="H137" s="372"/>
      <c r="I137" s="370"/>
    </row>
    <row r="138" spans="5:9" s="361" customFormat="1" x14ac:dyDescent="0.2">
      <c r="E138" s="364"/>
      <c r="F138" s="365"/>
      <c r="G138" s="365"/>
      <c r="H138" s="372"/>
      <c r="I138" s="370"/>
    </row>
    <row r="139" spans="5:9" s="361" customFormat="1" x14ac:dyDescent="0.2">
      <c r="E139" s="364"/>
      <c r="F139" s="365"/>
      <c r="G139" s="365"/>
      <c r="H139" s="372"/>
      <c r="I139" s="370"/>
    </row>
    <row r="140" spans="5:9" s="361" customFormat="1" x14ac:dyDescent="0.2">
      <c r="E140" s="364"/>
      <c r="F140" s="365"/>
      <c r="G140" s="365"/>
      <c r="H140" s="372"/>
      <c r="I140" s="370"/>
    </row>
    <row r="141" spans="5:9" s="361" customFormat="1" x14ac:dyDescent="0.2">
      <c r="E141" s="364"/>
      <c r="F141" s="365"/>
      <c r="G141" s="365"/>
      <c r="H141" s="372"/>
      <c r="I141" s="370"/>
    </row>
    <row r="142" spans="5:9" s="361" customFormat="1" x14ac:dyDescent="0.2">
      <c r="E142" s="364"/>
      <c r="F142" s="365"/>
      <c r="G142" s="365"/>
      <c r="H142" s="372"/>
      <c r="I142" s="370"/>
    </row>
    <row r="143" spans="5:9" s="361" customFormat="1" x14ac:dyDescent="0.2">
      <c r="E143" s="364"/>
      <c r="F143" s="365"/>
      <c r="G143" s="365"/>
      <c r="H143" s="372"/>
      <c r="I143" s="370"/>
    </row>
    <row r="144" spans="5:9" s="361" customFormat="1" x14ac:dyDescent="0.2">
      <c r="E144" s="364"/>
      <c r="F144" s="365"/>
      <c r="G144" s="365"/>
      <c r="H144" s="372"/>
      <c r="I144" s="370"/>
    </row>
    <row r="145" spans="5:9" s="361" customFormat="1" x14ac:dyDescent="0.2">
      <c r="E145" s="364"/>
      <c r="F145" s="365"/>
      <c r="G145" s="365"/>
      <c r="H145" s="372"/>
      <c r="I145" s="370"/>
    </row>
    <row r="146" spans="5:9" s="361" customFormat="1" x14ac:dyDescent="0.2">
      <c r="E146" s="364"/>
      <c r="F146" s="365"/>
      <c r="G146" s="365"/>
      <c r="H146" s="372"/>
      <c r="I146" s="370"/>
    </row>
    <row r="147" spans="5:9" s="361" customFormat="1" x14ac:dyDescent="0.2">
      <c r="E147" s="364"/>
      <c r="F147" s="365"/>
      <c r="G147" s="365"/>
      <c r="H147" s="372"/>
      <c r="I147" s="370"/>
    </row>
    <row r="148" spans="5:9" s="361" customFormat="1" x14ac:dyDescent="0.2">
      <c r="E148" s="364"/>
      <c r="F148" s="365"/>
      <c r="G148" s="365"/>
      <c r="H148" s="372"/>
      <c r="I148" s="370"/>
    </row>
    <row r="149" spans="5:9" s="361" customFormat="1" x14ac:dyDescent="0.2">
      <c r="E149" s="364"/>
      <c r="F149" s="365"/>
      <c r="G149" s="365"/>
      <c r="H149" s="372"/>
      <c r="I149" s="370"/>
    </row>
    <row r="150" spans="5:9" s="361" customFormat="1" x14ac:dyDescent="0.2">
      <c r="E150" s="364"/>
      <c r="F150" s="365"/>
      <c r="G150" s="365"/>
      <c r="H150" s="372"/>
      <c r="I150" s="370"/>
    </row>
    <row r="151" spans="5:9" s="361" customFormat="1" x14ac:dyDescent="0.2">
      <c r="E151" s="364"/>
      <c r="F151" s="365"/>
      <c r="G151" s="365"/>
      <c r="H151" s="372"/>
      <c r="I151" s="370"/>
    </row>
    <row r="152" spans="5:9" s="361" customFormat="1" x14ac:dyDescent="0.2">
      <c r="E152" s="364"/>
      <c r="F152" s="365"/>
      <c r="G152" s="365"/>
      <c r="H152" s="372"/>
      <c r="I152" s="370"/>
    </row>
    <row r="153" spans="5:9" s="361" customFormat="1" x14ac:dyDescent="0.2">
      <c r="E153" s="364"/>
      <c r="F153" s="365"/>
      <c r="G153" s="365"/>
      <c r="H153" s="372"/>
      <c r="I153" s="370"/>
    </row>
    <row r="154" spans="5:9" s="361" customFormat="1" x14ac:dyDescent="0.2">
      <c r="E154" s="364"/>
      <c r="F154" s="365"/>
      <c r="G154" s="365"/>
      <c r="H154" s="372"/>
      <c r="I154" s="370"/>
    </row>
    <row r="155" spans="5:9" s="361" customFormat="1" x14ac:dyDescent="0.2">
      <c r="E155" s="364"/>
      <c r="F155" s="365"/>
      <c r="G155" s="365"/>
      <c r="H155" s="372"/>
      <c r="I155" s="370"/>
    </row>
    <row r="156" spans="5:9" s="361" customFormat="1" x14ac:dyDescent="0.2">
      <c r="E156" s="364"/>
      <c r="F156" s="365"/>
      <c r="G156" s="365"/>
      <c r="H156" s="372"/>
      <c r="I156" s="370"/>
    </row>
    <row r="157" spans="5:9" s="361" customFormat="1" x14ac:dyDescent="0.2">
      <c r="E157" s="364"/>
      <c r="F157" s="365"/>
      <c r="G157" s="365"/>
      <c r="H157" s="372"/>
      <c r="I157" s="370"/>
    </row>
    <row r="158" spans="5:9" s="361" customFormat="1" x14ac:dyDescent="0.2">
      <c r="E158" s="364"/>
      <c r="F158" s="365"/>
      <c r="G158" s="365"/>
      <c r="H158" s="372"/>
      <c r="I158" s="370"/>
    </row>
    <row r="159" spans="5:9" s="361" customFormat="1" x14ac:dyDescent="0.2">
      <c r="E159" s="364"/>
      <c r="F159" s="365"/>
      <c r="G159" s="365"/>
      <c r="H159" s="372"/>
      <c r="I159" s="370"/>
    </row>
    <row r="160" spans="5:9" s="361" customFormat="1" x14ac:dyDescent="0.2">
      <c r="E160" s="364"/>
      <c r="F160" s="365"/>
      <c r="G160" s="365"/>
      <c r="H160" s="372"/>
      <c r="I160" s="370"/>
    </row>
    <row r="161" spans="5:9" s="361" customFormat="1" x14ac:dyDescent="0.2">
      <c r="E161" s="364"/>
      <c r="F161" s="365"/>
      <c r="G161" s="365"/>
      <c r="H161" s="372"/>
      <c r="I161" s="370"/>
    </row>
    <row r="162" spans="5:9" s="361" customFormat="1" x14ac:dyDescent="0.2">
      <c r="E162" s="364"/>
      <c r="F162" s="365"/>
      <c r="G162" s="365"/>
      <c r="H162" s="372"/>
      <c r="I162" s="370"/>
    </row>
    <row r="163" spans="5:9" s="361" customFormat="1" x14ac:dyDescent="0.2">
      <c r="E163" s="364"/>
      <c r="F163" s="365"/>
      <c r="G163" s="365"/>
      <c r="H163" s="372"/>
      <c r="I163" s="370"/>
    </row>
    <row r="164" spans="5:9" s="361" customFormat="1" x14ac:dyDescent="0.2">
      <c r="E164" s="364"/>
      <c r="F164" s="365"/>
      <c r="G164" s="365"/>
      <c r="H164" s="372"/>
      <c r="I164" s="370"/>
    </row>
    <row r="165" spans="5:9" s="361" customFormat="1" x14ac:dyDescent="0.2">
      <c r="E165" s="364"/>
      <c r="F165" s="365"/>
      <c r="G165" s="365"/>
      <c r="H165" s="372"/>
      <c r="I165" s="370"/>
    </row>
    <row r="166" spans="5:9" s="361" customFormat="1" x14ac:dyDescent="0.2">
      <c r="E166" s="364"/>
      <c r="F166" s="365"/>
      <c r="G166" s="365"/>
      <c r="H166" s="372"/>
      <c r="I166" s="370"/>
    </row>
    <row r="167" spans="5:9" s="361" customFormat="1" x14ac:dyDescent="0.2">
      <c r="E167" s="364"/>
      <c r="F167" s="365"/>
      <c r="G167" s="365"/>
      <c r="H167" s="372"/>
      <c r="I167" s="370"/>
    </row>
    <row r="168" spans="5:9" s="361" customFormat="1" x14ac:dyDescent="0.2">
      <c r="E168" s="364"/>
      <c r="F168" s="365"/>
      <c r="G168" s="365"/>
      <c r="H168" s="372"/>
      <c r="I168" s="370"/>
    </row>
    <row r="169" spans="5:9" s="361" customFormat="1" x14ac:dyDescent="0.2">
      <c r="E169" s="364"/>
      <c r="F169" s="365"/>
      <c r="G169" s="365"/>
      <c r="H169" s="372"/>
      <c r="I169" s="370"/>
    </row>
    <row r="170" spans="5:9" s="361" customFormat="1" x14ac:dyDescent="0.2">
      <c r="E170" s="364"/>
      <c r="F170" s="365"/>
      <c r="G170" s="365"/>
      <c r="H170" s="372"/>
      <c r="I170" s="370"/>
    </row>
    <row r="171" spans="5:9" s="361" customFormat="1" x14ac:dyDescent="0.2">
      <c r="E171" s="364"/>
      <c r="F171" s="365"/>
      <c r="G171" s="365"/>
      <c r="H171" s="372"/>
      <c r="I171" s="370"/>
    </row>
    <row r="172" spans="5:9" s="361" customFormat="1" x14ac:dyDescent="0.2">
      <c r="E172" s="364"/>
      <c r="F172" s="365"/>
      <c r="G172" s="365"/>
      <c r="H172" s="372"/>
      <c r="I172" s="370"/>
    </row>
    <row r="173" spans="5:9" s="361" customFormat="1" x14ac:dyDescent="0.2">
      <c r="E173" s="364"/>
      <c r="F173" s="365"/>
      <c r="G173" s="365"/>
      <c r="H173" s="372"/>
      <c r="I173" s="370"/>
    </row>
    <row r="174" spans="5:9" s="361" customFormat="1" x14ac:dyDescent="0.2">
      <c r="E174" s="364"/>
      <c r="F174" s="365"/>
      <c r="G174" s="365"/>
      <c r="H174" s="372"/>
      <c r="I174" s="370"/>
    </row>
    <row r="175" spans="5:9" s="361" customFormat="1" x14ac:dyDescent="0.2">
      <c r="E175" s="364"/>
      <c r="F175" s="365"/>
      <c r="G175" s="365"/>
      <c r="H175" s="372"/>
      <c r="I175" s="370"/>
    </row>
    <row r="176" spans="5:9" s="361" customFormat="1" x14ac:dyDescent="0.2">
      <c r="E176" s="364"/>
      <c r="F176" s="365"/>
      <c r="G176" s="365"/>
      <c r="H176" s="372"/>
      <c r="I176" s="370"/>
    </row>
    <row r="177" spans="5:9" s="361" customFormat="1" x14ac:dyDescent="0.2">
      <c r="E177" s="364"/>
      <c r="F177" s="365"/>
      <c r="G177" s="365"/>
      <c r="H177" s="372"/>
      <c r="I177" s="370"/>
    </row>
    <row r="178" spans="5:9" s="361" customFormat="1" x14ac:dyDescent="0.2">
      <c r="E178" s="364"/>
      <c r="F178" s="365"/>
      <c r="G178" s="365"/>
      <c r="H178" s="372"/>
      <c r="I178" s="370"/>
    </row>
    <row r="179" spans="5:9" s="361" customFormat="1" x14ac:dyDescent="0.2">
      <c r="E179" s="364"/>
      <c r="F179" s="365"/>
      <c r="G179" s="365"/>
      <c r="H179" s="372"/>
      <c r="I179" s="370"/>
    </row>
    <row r="180" spans="5:9" s="361" customFormat="1" x14ac:dyDescent="0.2">
      <c r="E180" s="364"/>
      <c r="F180" s="365"/>
      <c r="G180" s="365"/>
      <c r="H180" s="372"/>
      <c r="I180" s="370"/>
    </row>
    <row r="181" spans="5:9" s="361" customFormat="1" x14ac:dyDescent="0.2">
      <c r="E181" s="364"/>
      <c r="F181" s="365"/>
      <c r="G181" s="365"/>
      <c r="H181" s="372"/>
      <c r="I181" s="370"/>
    </row>
    <row r="182" spans="5:9" s="361" customFormat="1" x14ac:dyDescent="0.2">
      <c r="E182" s="364"/>
      <c r="F182" s="365"/>
      <c r="G182" s="365"/>
      <c r="H182" s="372"/>
      <c r="I182" s="370"/>
    </row>
    <row r="183" spans="5:9" s="361" customFormat="1" x14ac:dyDescent="0.2">
      <c r="E183" s="364"/>
      <c r="F183" s="365"/>
      <c r="G183" s="365"/>
      <c r="H183" s="372"/>
      <c r="I183" s="370"/>
    </row>
    <row r="184" spans="5:9" s="361" customFormat="1" x14ac:dyDescent="0.2">
      <c r="E184" s="364"/>
      <c r="F184" s="365"/>
      <c r="G184" s="365"/>
      <c r="H184" s="372"/>
      <c r="I184" s="370"/>
    </row>
    <row r="185" spans="5:9" s="361" customFormat="1" x14ac:dyDescent="0.2">
      <c r="E185" s="364"/>
      <c r="F185" s="365"/>
      <c r="G185" s="365"/>
      <c r="H185" s="372"/>
      <c r="I185" s="370"/>
    </row>
    <row r="186" spans="5:9" s="361" customFormat="1" x14ac:dyDescent="0.2">
      <c r="E186" s="364"/>
      <c r="F186" s="365"/>
      <c r="G186" s="365"/>
      <c r="H186" s="372"/>
      <c r="I186" s="370"/>
    </row>
    <row r="187" spans="5:9" s="361" customFormat="1" x14ac:dyDescent="0.2">
      <c r="E187" s="364"/>
      <c r="F187" s="365"/>
      <c r="G187" s="365"/>
      <c r="H187" s="372"/>
      <c r="I187" s="370"/>
    </row>
    <row r="188" spans="5:9" s="361" customFormat="1" x14ac:dyDescent="0.2">
      <c r="E188" s="364"/>
      <c r="F188" s="365"/>
      <c r="G188" s="365"/>
      <c r="H188" s="372"/>
      <c r="I188" s="370"/>
    </row>
    <row r="189" spans="5:9" s="361" customFormat="1" x14ac:dyDescent="0.2">
      <c r="E189" s="364"/>
      <c r="F189" s="365"/>
      <c r="G189" s="365"/>
      <c r="H189" s="372"/>
      <c r="I189" s="370"/>
    </row>
    <row r="190" spans="5:9" s="361" customFormat="1" x14ac:dyDescent="0.2">
      <c r="E190" s="364"/>
      <c r="F190" s="365"/>
      <c r="G190" s="365"/>
      <c r="H190" s="372"/>
      <c r="I190" s="370"/>
    </row>
    <row r="191" spans="5:9" s="361" customFormat="1" x14ac:dyDescent="0.2">
      <c r="E191" s="364"/>
      <c r="F191" s="365"/>
      <c r="G191" s="365"/>
      <c r="H191" s="372"/>
      <c r="I191" s="370"/>
    </row>
    <row r="192" spans="5:9" s="361" customFormat="1" x14ac:dyDescent="0.2">
      <c r="E192" s="364"/>
      <c r="F192" s="365"/>
      <c r="G192" s="365"/>
      <c r="H192" s="372"/>
      <c r="I192" s="370"/>
    </row>
    <row r="193" spans="5:9" s="361" customFormat="1" x14ac:dyDescent="0.2">
      <c r="E193" s="364"/>
      <c r="F193" s="365"/>
      <c r="G193" s="365"/>
      <c r="H193" s="372"/>
      <c r="I193" s="370"/>
    </row>
    <row r="194" spans="5:9" s="361" customFormat="1" x14ac:dyDescent="0.2">
      <c r="E194" s="364"/>
      <c r="F194" s="365"/>
      <c r="G194" s="365"/>
      <c r="H194" s="372"/>
      <c r="I194" s="370"/>
    </row>
    <row r="195" spans="5:9" s="361" customFormat="1" x14ac:dyDescent="0.2">
      <c r="E195" s="364"/>
      <c r="F195" s="365"/>
      <c r="G195" s="365"/>
      <c r="H195" s="372"/>
      <c r="I195" s="370"/>
    </row>
    <row r="196" spans="5:9" s="361" customFormat="1" x14ac:dyDescent="0.2">
      <c r="E196" s="364"/>
      <c r="F196" s="365"/>
      <c r="G196" s="365"/>
      <c r="H196" s="372"/>
      <c r="I196" s="370"/>
    </row>
    <row r="197" spans="5:9" s="361" customFormat="1" x14ac:dyDescent="0.2">
      <c r="E197" s="364"/>
      <c r="F197" s="365"/>
      <c r="G197" s="365"/>
      <c r="H197" s="372"/>
      <c r="I197" s="370"/>
    </row>
    <row r="198" spans="5:9" s="361" customFormat="1" x14ac:dyDescent="0.2">
      <c r="E198" s="364"/>
      <c r="F198" s="365"/>
      <c r="G198" s="365"/>
      <c r="H198" s="372"/>
      <c r="I198" s="370"/>
    </row>
    <row r="199" spans="5:9" s="361" customFormat="1" x14ac:dyDescent="0.2">
      <c r="E199" s="364"/>
      <c r="F199" s="365"/>
      <c r="G199" s="365"/>
      <c r="H199" s="372"/>
      <c r="I199" s="370"/>
    </row>
    <row r="200" spans="5:9" s="361" customFormat="1" x14ac:dyDescent="0.2">
      <c r="E200" s="364"/>
      <c r="F200" s="365"/>
      <c r="G200" s="365"/>
      <c r="H200" s="372"/>
      <c r="I200" s="370"/>
    </row>
    <row r="201" spans="5:9" s="361" customFormat="1" x14ac:dyDescent="0.2">
      <c r="E201" s="364"/>
      <c r="F201" s="365"/>
      <c r="G201" s="365"/>
      <c r="H201" s="372"/>
      <c r="I201" s="370"/>
    </row>
    <row r="202" spans="5:9" s="361" customFormat="1" x14ac:dyDescent="0.2">
      <c r="E202" s="364"/>
      <c r="F202" s="365"/>
      <c r="G202" s="365"/>
      <c r="H202" s="372"/>
      <c r="I202" s="370"/>
    </row>
    <row r="203" spans="5:9" s="361" customFormat="1" x14ac:dyDescent="0.2">
      <c r="E203" s="364"/>
      <c r="F203" s="365"/>
      <c r="G203" s="365"/>
      <c r="H203" s="372"/>
      <c r="I203" s="370"/>
    </row>
    <row r="204" spans="5:9" s="361" customFormat="1" x14ac:dyDescent="0.2">
      <c r="E204" s="364"/>
      <c r="F204" s="365"/>
      <c r="G204" s="365"/>
      <c r="H204" s="372"/>
      <c r="I204" s="370"/>
    </row>
    <row r="205" spans="5:9" s="361" customFormat="1" x14ac:dyDescent="0.2">
      <c r="E205" s="364"/>
      <c r="F205" s="365"/>
      <c r="G205" s="365"/>
      <c r="H205" s="372"/>
      <c r="I205" s="370"/>
    </row>
    <row r="206" spans="5:9" s="361" customFormat="1" x14ac:dyDescent="0.2">
      <c r="E206" s="364"/>
      <c r="F206" s="365"/>
      <c r="G206" s="365"/>
      <c r="H206" s="372"/>
      <c r="I206" s="370"/>
    </row>
    <row r="207" spans="5:9" s="361" customFormat="1" x14ac:dyDescent="0.2">
      <c r="E207" s="364"/>
      <c r="F207" s="365"/>
      <c r="G207" s="365"/>
      <c r="H207" s="372"/>
      <c r="I207" s="370"/>
    </row>
    <row r="208" spans="5:9" s="361" customFormat="1" x14ac:dyDescent="0.2">
      <c r="E208" s="364"/>
      <c r="F208" s="365"/>
      <c r="G208" s="365"/>
      <c r="H208" s="372"/>
      <c r="I208" s="370"/>
    </row>
    <row r="209" spans="5:9" s="361" customFormat="1" x14ac:dyDescent="0.2">
      <c r="E209" s="364"/>
      <c r="F209" s="365"/>
      <c r="G209" s="365"/>
      <c r="H209" s="372"/>
      <c r="I209" s="370"/>
    </row>
    <row r="210" spans="5:9" s="361" customFormat="1" x14ac:dyDescent="0.2">
      <c r="E210" s="364"/>
      <c r="F210" s="365"/>
      <c r="G210" s="365"/>
      <c r="H210" s="372"/>
      <c r="I210" s="370"/>
    </row>
    <row r="211" spans="5:9" s="361" customFormat="1" x14ac:dyDescent="0.2">
      <c r="E211" s="364"/>
      <c r="F211" s="365"/>
      <c r="G211" s="365"/>
      <c r="H211" s="372"/>
      <c r="I211" s="370"/>
    </row>
    <row r="212" spans="5:9" s="361" customFormat="1" x14ac:dyDescent="0.2">
      <c r="E212" s="364"/>
      <c r="F212" s="365"/>
      <c r="G212" s="365"/>
      <c r="H212" s="372"/>
      <c r="I212" s="370"/>
    </row>
    <row r="213" spans="5:9" s="361" customFormat="1" x14ac:dyDescent="0.2">
      <c r="E213" s="364"/>
      <c r="F213" s="365"/>
      <c r="G213" s="365"/>
      <c r="H213" s="372"/>
      <c r="I213" s="370"/>
    </row>
    <row r="214" spans="5:9" s="361" customFormat="1" x14ac:dyDescent="0.2">
      <c r="E214" s="364"/>
      <c r="F214" s="365"/>
      <c r="G214" s="365"/>
      <c r="H214" s="372"/>
      <c r="I214" s="370"/>
    </row>
    <row r="215" spans="5:9" s="361" customFormat="1" x14ac:dyDescent="0.2">
      <c r="E215" s="364"/>
      <c r="F215" s="365"/>
      <c r="G215" s="365"/>
      <c r="H215" s="372"/>
      <c r="I215" s="370"/>
    </row>
    <row r="216" spans="5:9" s="361" customFormat="1" x14ac:dyDescent="0.2">
      <c r="E216" s="364"/>
      <c r="F216" s="365"/>
      <c r="G216" s="365"/>
      <c r="H216" s="372"/>
      <c r="I216" s="370"/>
    </row>
    <row r="217" spans="5:9" s="361" customFormat="1" x14ac:dyDescent="0.2">
      <c r="E217" s="364"/>
      <c r="F217" s="365"/>
      <c r="G217" s="365"/>
      <c r="H217" s="372"/>
      <c r="I217" s="370"/>
    </row>
    <row r="218" spans="5:9" s="361" customFormat="1" x14ac:dyDescent="0.2">
      <c r="E218" s="364"/>
      <c r="F218" s="365"/>
      <c r="G218" s="365"/>
      <c r="H218" s="372"/>
      <c r="I218" s="370"/>
    </row>
    <row r="219" spans="5:9" s="361" customFormat="1" x14ac:dyDescent="0.2">
      <c r="E219" s="364"/>
      <c r="F219" s="365"/>
      <c r="G219" s="365"/>
      <c r="H219" s="372"/>
      <c r="I219" s="370"/>
    </row>
    <row r="220" spans="5:9" s="361" customFormat="1" x14ac:dyDescent="0.2">
      <c r="E220" s="364"/>
      <c r="F220" s="365"/>
      <c r="G220" s="365"/>
      <c r="H220" s="372"/>
      <c r="I220" s="370"/>
    </row>
    <row r="221" spans="5:9" s="361" customFormat="1" x14ac:dyDescent="0.2">
      <c r="E221" s="364"/>
      <c r="F221" s="365"/>
      <c r="G221" s="365"/>
      <c r="H221" s="372"/>
      <c r="I221" s="370"/>
    </row>
    <row r="222" spans="5:9" s="361" customFormat="1" x14ac:dyDescent="0.2">
      <c r="E222" s="364"/>
      <c r="F222" s="365"/>
      <c r="G222" s="365"/>
      <c r="H222" s="372"/>
      <c r="I222" s="370"/>
    </row>
    <row r="223" spans="5:9" s="361" customFormat="1" x14ac:dyDescent="0.2">
      <c r="E223" s="364"/>
      <c r="F223" s="365"/>
      <c r="G223" s="365"/>
      <c r="H223" s="372"/>
      <c r="I223" s="370"/>
    </row>
    <row r="224" spans="5:9" s="361" customFormat="1" x14ac:dyDescent="0.2">
      <c r="E224" s="364"/>
      <c r="F224" s="365"/>
      <c r="G224" s="365"/>
      <c r="H224" s="372"/>
      <c r="I224" s="370"/>
    </row>
    <row r="225" spans="5:9" s="361" customFormat="1" x14ac:dyDescent="0.2">
      <c r="E225" s="364"/>
      <c r="F225" s="365"/>
      <c r="G225" s="365"/>
      <c r="H225" s="372"/>
      <c r="I225" s="370"/>
    </row>
    <row r="226" spans="5:9" s="361" customFormat="1" x14ac:dyDescent="0.2">
      <c r="E226" s="364"/>
      <c r="F226" s="365"/>
      <c r="G226" s="365"/>
      <c r="H226" s="372"/>
      <c r="I226" s="370"/>
    </row>
    <row r="227" spans="5:9" s="361" customFormat="1" x14ac:dyDescent="0.2">
      <c r="E227" s="364"/>
      <c r="F227" s="365"/>
      <c r="G227" s="365"/>
      <c r="H227" s="372"/>
      <c r="I227" s="370"/>
    </row>
    <row r="228" spans="5:9" s="361" customFormat="1" x14ac:dyDescent="0.2">
      <c r="E228" s="364"/>
      <c r="F228" s="365"/>
      <c r="G228" s="365"/>
      <c r="H228" s="372"/>
      <c r="I228" s="370"/>
    </row>
    <row r="229" spans="5:9" s="361" customFormat="1" x14ac:dyDescent="0.2">
      <c r="E229" s="364"/>
      <c r="F229" s="365"/>
      <c r="G229" s="365"/>
      <c r="H229" s="372"/>
      <c r="I229" s="370"/>
    </row>
    <row r="230" spans="5:9" s="361" customFormat="1" x14ac:dyDescent="0.2">
      <c r="E230" s="364"/>
      <c r="F230" s="365"/>
      <c r="G230" s="365"/>
      <c r="H230" s="372"/>
      <c r="I230" s="370"/>
    </row>
    <row r="231" spans="5:9" s="361" customFormat="1" x14ac:dyDescent="0.2">
      <c r="E231" s="364"/>
      <c r="F231" s="365"/>
      <c r="G231" s="365"/>
      <c r="H231" s="372"/>
      <c r="I231" s="370"/>
    </row>
    <row r="232" spans="5:9" s="361" customFormat="1" x14ac:dyDescent="0.2">
      <c r="E232" s="364"/>
      <c r="F232" s="365"/>
      <c r="G232" s="365"/>
      <c r="H232" s="372"/>
      <c r="I232" s="370"/>
    </row>
    <row r="233" spans="5:9" s="361" customFormat="1" x14ac:dyDescent="0.2">
      <c r="E233" s="364"/>
      <c r="F233" s="365"/>
      <c r="G233" s="365"/>
      <c r="H233" s="372"/>
      <c r="I233" s="370"/>
    </row>
    <row r="234" spans="5:9" s="361" customFormat="1" x14ac:dyDescent="0.2">
      <c r="E234" s="364"/>
      <c r="F234" s="365"/>
      <c r="G234" s="365"/>
      <c r="H234" s="372"/>
      <c r="I234" s="370"/>
    </row>
    <row r="235" spans="5:9" s="361" customFormat="1" x14ac:dyDescent="0.2">
      <c r="E235" s="364"/>
      <c r="F235" s="365"/>
      <c r="G235" s="365"/>
      <c r="H235" s="372"/>
      <c r="I235" s="370"/>
    </row>
    <row r="236" spans="5:9" s="361" customFormat="1" x14ac:dyDescent="0.2">
      <c r="E236" s="364"/>
      <c r="F236" s="365"/>
      <c r="G236" s="365"/>
      <c r="H236" s="372"/>
      <c r="I236" s="370"/>
    </row>
    <row r="237" spans="5:9" s="361" customFormat="1" x14ac:dyDescent="0.2">
      <c r="E237" s="364"/>
      <c r="F237" s="365"/>
      <c r="G237" s="365"/>
      <c r="H237" s="372"/>
      <c r="I237" s="370"/>
    </row>
    <row r="238" spans="5:9" s="361" customFormat="1" x14ac:dyDescent="0.2">
      <c r="E238" s="364"/>
      <c r="F238" s="365"/>
      <c r="G238" s="365"/>
      <c r="H238" s="372"/>
      <c r="I238" s="370"/>
    </row>
    <row r="239" spans="5:9" s="361" customFormat="1" x14ac:dyDescent="0.2">
      <c r="E239" s="364"/>
      <c r="F239" s="365"/>
      <c r="G239" s="365"/>
      <c r="H239" s="372"/>
      <c r="I239" s="370"/>
    </row>
    <row r="240" spans="5:9" s="361" customFormat="1" x14ac:dyDescent="0.2">
      <c r="E240" s="364"/>
      <c r="F240" s="365"/>
      <c r="G240" s="365"/>
      <c r="H240" s="372"/>
      <c r="I240" s="370"/>
    </row>
    <row r="241" spans="5:9" s="361" customFormat="1" x14ac:dyDescent="0.2">
      <c r="E241" s="364"/>
      <c r="F241" s="365"/>
      <c r="G241" s="365"/>
      <c r="H241" s="372"/>
      <c r="I241" s="370"/>
    </row>
    <row r="242" spans="5:9" s="361" customFormat="1" x14ac:dyDescent="0.2">
      <c r="E242" s="364"/>
      <c r="F242" s="365"/>
      <c r="G242" s="365"/>
      <c r="H242" s="372"/>
      <c r="I242" s="370"/>
    </row>
    <row r="243" spans="5:9" s="361" customFormat="1" x14ac:dyDescent="0.2">
      <c r="E243" s="364"/>
      <c r="F243" s="365"/>
      <c r="G243" s="365"/>
      <c r="H243" s="372"/>
      <c r="I243" s="370"/>
    </row>
    <row r="244" spans="5:9" s="361" customFormat="1" x14ac:dyDescent="0.2">
      <c r="E244" s="364"/>
      <c r="F244" s="365"/>
      <c r="G244" s="365"/>
      <c r="H244" s="372"/>
      <c r="I244" s="370"/>
    </row>
    <row r="245" spans="5:9" s="361" customFormat="1" x14ac:dyDescent="0.2">
      <c r="E245" s="364"/>
      <c r="F245" s="365"/>
      <c r="G245" s="365"/>
      <c r="H245" s="372"/>
      <c r="I245" s="370"/>
    </row>
    <row r="246" spans="5:9" s="361" customFormat="1" x14ac:dyDescent="0.2">
      <c r="E246" s="364"/>
      <c r="F246" s="365"/>
      <c r="G246" s="365"/>
      <c r="H246" s="372"/>
      <c r="I246" s="370"/>
    </row>
    <row r="247" spans="5:9" s="361" customFormat="1" x14ac:dyDescent="0.2">
      <c r="E247" s="364"/>
      <c r="F247" s="365"/>
      <c r="G247" s="365"/>
      <c r="H247" s="372"/>
      <c r="I247" s="370"/>
    </row>
    <row r="248" spans="5:9" s="361" customFormat="1" x14ac:dyDescent="0.2">
      <c r="E248" s="364"/>
      <c r="F248" s="365"/>
      <c r="G248" s="365"/>
      <c r="H248" s="372"/>
      <c r="I248" s="370"/>
    </row>
    <row r="249" spans="5:9" s="361" customFormat="1" x14ac:dyDescent="0.2">
      <c r="E249" s="364"/>
      <c r="F249" s="365"/>
      <c r="G249" s="365"/>
      <c r="H249" s="372"/>
      <c r="I249" s="370"/>
    </row>
    <row r="250" spans="5:9" s="361" customFormat="1" x14ac:dyDescent="0.2">
      <c r="E250" s="364"/>
      <c r="F250" s="365"/>
      <c r="G250" s="365"/>
      <c r="H250" s="372"/>
      <c r="I250" s="370"/>
    </row>
    <row r="251" spans="5:9" s="361" customFormat="1" x14ac:dyDescent="0.2">
      <c r="E251" s="364"/>
      <c r="F251" s="365"/>
      <c r="G251" s="365"/>
      <c r="H251" s="372"/>
      <c r="I251" s="370"/>
    </row>
    <row r="252" spans="5:9" s="361" customFormat="1" x14ac:dyDescent="0.2">
      <c r="E252" s="364"/>
      <c r="F252" s="365"/>
      <c r="G252" s="365"/>
      <c r="H252" s="372"/>
      <c r="I252" s="370"/>
    </row>
    <row r="253" spans="5:9" s="361" customFormat="1" x14ac:dyDescent="0.2">
      <c r="E253" s="364"/>
      <c r="F253" s="365"/>
      <c r="G253" s="365"/>
      <c r="H253" s="372"/>
      <c r="I253" s="370"/>
    </row>
    <row r="254" spans="5:9" s="361" customFormat="1" x14ac:dyDescent="0.2">
      <c r="E254" s="364"/>
      <c r="F254" s="365"/>
      <c r="G254" s="365"/>
      <c r="H254" s="372"/>
      <c r="I254" s="370"/>
    </row>
    <row r="255" spans="5:9" s="361" customFormat="1" x14ac:dyDescent="0.2">
      <c r="E255" s="364"/>
      <c r="F255" s="365"/>
      <c r="G255" s="365"/>
      <c r="H255" s="372"/>
      <c r="I255" s="370"/>
    </row>
    <row r="256" spans="5:9" s="361" customFormat="1" x14ac:dyDescent="0.2">
      <c r="E256" s="364"/>
      <c r="F256" s="365"/>
      <c r="G256" s="365"/>
      <c r="H256" s="372"/>
      <c r="I256" s="370"/>
    </row>
    <row r="257" spans="2:9" s="361" customFormat="1" x14ac:dyDescent="0.2">
      <c r="E257" s="364"/>
      <c r="F257" s="365"/>
      <c r="G257" s="365"/>
      <c r="H257" s="372"/>
      <c r="I257" s="370"/>
    </row>
    <row r="258" spans="2:9" s="361" customFormat="1" x14ac:dyDescent="0.2">
      <c r="E258" s="364"/>
      <c r="F258" s="365"/>
      <c r="G258" s="365"/>
      <c r="H258" s="372"/>
      <c r="I258" s="370"/>
    </row>
    <row r="259" spans="2:9" s="361" customFormat="1" x14ac:dyDescent="0.2">
      <c r="E259" s="364"/>
      <c r="F259" s="365"/>
      <c r="G259" s="365"/>
      <c r="H259" s="372"/>
      <c r="I259" s="370"/>
    </row>
    <row r="260" spans="2:9" s="361" customFormat="1" x14ac:dyDescent="0.2">
      <c r="E260" s="364"/>
      <c r="F260" s="365"/>
      <c r="G260" s="365"/>
      <c r="H260" s="372"/>
      <c r="I260" s="370"/>
    </row>
    <row r="261" spans="2:9" s="361" customFormat="1" x14ac:dyDescent="0.2">
      <c r="E261" s="364"/>
      <c r="F261" s="365"/>
      <c r="G261" s="365"/>
      <c r="H261" s="372"/>
      <c r="I261" s="370"/>
    </row>
    <row r="262" spans="2:9" s="361" customFormat="1" x14ac:dyDescent="0.2">
      <c r="E262" s="364"/>
      <c r="F262" s="365"/>
      <c r="G262" s="365"/>
      <c r="H262" s="372"/>
      <c r="I262" s="370"/>
    </row>
    <row r="263" spans="2:9" s="361" customFormat="1" x14ac:dyDescent="0.2">
      <c r="E263" s="364"/>
      <c r="F263" s="365"/>
      <c r="G263" s="365"/>
      <c r="H263" s="372"/>
      <c r="I263" s="370"/>
    </row>
    <row r="264" spans="2:9" s="361" customFormat="1" x14ac:dyDescent="0.2">
      <c r="E264" s="364"/>
      <c r="F264" s="365"/>
      <c r="G264" s="365"/>
      <c r="H264" s="372"/>
      <c r="I264" s="370"/>
    </row>
    <row r="265" spans="2:9" s="361" customFormat="1" x14ac:dyDescent="0.2">
      <c r="E265" s="364"/>
      <c r="F265" s="365"/>
      <c r="G265" s="365"/>
      <c r="H265" s="372"/>
      <c r="I265" s="370"/>
    </row>
    <row r="266" spans="2:9" s="361" customFormat="1" x14ac:dyDescent="0.2">
      <c r="E266" s="364"/>
      <c r="F266" s="365"/>
      <c r="G266" s="365"/>
      <c r="H266" s="372"/>
      <c r="I266" s="370"/>
    </row>
    <row r="267" spans="2:9" s="361" customFormat="1" x14ac:dyDescent="0.2">
      <c r="B267" s="368"/>
      <c r="C267" s="368"/>
      <c r="E267" s="364"/>
      <c r="F267" s="365"/>
      <c r="G267" s="365"/>
      <c r="H267" s="372"/>
      <c r="I267" s="370"/>
    </row>
    <row r="268" spans="2:9" s="361" customFormat="1" x14ac:dyDescent="0.2">
      <c r="B268" s="368"/>
      <c r="C268" s="368"/>
      <c r="E268" s="364"/>
      <c r="F268" s="365"/>
      <c r="G268" s="365"/>
      <c r="H268" s="372"/>
      <c r="I268" s="370"/>
    </row>
    <row r="269" spans="2:9" s="361" customFormat="1" x14ac:dyDescent="0.2">
      <c r="B269" s="368"/>
      <c r="C269" s="368"/>
      <c r="E269" s="364"/>
      <c r="F269" s="365"/>
      <c r="G269" s="365"/>
      <c r="H269" s="372"/>
      <c r="I269" s="370"/>
    </row>
    <row r="270" spans="2:9" s="361" customFormat="1" x14ac:dyDescent="0.2">
      <c r="B270" s="368"/>
      <c r="C270" s="368"/>
      <c r="E270" s="364"/>
      <c r="F270" s="365"/>
      <c r="G270" s="365"/>
      <c r="H270" s="372"/>
      <c r="I270" s="370"/>
    </row>
    <row r="271" spans="2:9" s="361" customFormat="1" ht="12" thickBot="1" x14ac:dyDescent="0.25">
      <c r="B271" s="368"/>
      <c r="C271" s="368"/>
      <c r="E271" s="373"/>
      <c r="F271" s="374"/>
      <c r="G271" s="374"/>
      <c r="H271" s="375"/>
      <c r="I271" s="370"/>
    </row>
    <row r="272" spans="2:9" x14ac:dyDescent="0.2">
      <c r="E272" s="369"/>
    </row>
    <row r="273" spans="5:5" x14ac:dyDescent="0.2">
      <c r="E273" s="369"/>
    </row>
    <row r="274" spans="5:5" x14ac:dyDescent="0.2">
      <c r="E274" s="369"/>
    </row>
    <row r="275" spans="5:5" x14ac:dyDescent="0.2">
      <c r="E275" s="369"/>
    </row>
    <row r="276" spans="5:5" x14ac:dyDescent="0.2">
      <c r="E276" s="369"/>
    </row>
    <row r="277" spans="5:5" x14ac:dyDescent="0.2">
      <c r="E277" s="369"/>
    </row>
    <row r="278" spans="5:5" x14ac:dyDescent="0.2">
      <c r="E278" s="369"/>
    </row>
    <row r="279" spans="5:5" x14ac:dyDescent="0.2">
      <c r="E279" s="369"/>
    </row>
    <row r="280" spans="5:5" x14ac:dyDescent="0.2">
      <c r="E280" s="369"/>
    </row>
    <row r="281" spans="5:5" x14ac:dyDescent="0.2">
      <c r="E281" s="369"/>
    </row>
    <row r="282" spans="5:5" x14ac:dyDescent="0.2">
      <c r="E282" s="369"/>
    </row>
    <row r="283" spans="5:5" x14ac:dyDescent="0.2">
      <c r="E283" s="369"/>
    </row>
    <row r="284" spans="5:5" x14ac:dyDescent="0.2">
      <c r="E284" s="369"/>
    </row>
    <row r="285" spans="5:5" x14ac:dyDescent="0.2">
      <c r="E285" s="369"/>
    </row>
    <row r="286" spans="5:5" x14ac:dyDescent="0.2">
      <c r="E286" s="369"/>
    </row>
    <row r="287" spans="5:5" x14ac:dyDescent="0.2">
      <c r="E287" s="369"/>
    </row>
    <row r="288" spans="5:5" x14ac:dyDescent="0.2">
      <c r="E288" s="369"/>
    </row>
    <row r="289" spans="5:5" x14ac:dyDescent="0.2">
      <c r="E289" s="369"/>
    </row>
    <row r="290" spans="5:5" x14ac:dyDescent="0.2">
      <c r="E290" s="369"/>
    </row>
    <row r="291" spans="5:5" x14ac:dyDescent="0.2">
      <c r="E291" s="369"/>
    </row>
    <row r="292" spans="5:5" x14ac:dyDescent="0.2">
      <c r="E292" s="369"/>
    </row>
    <row r="293" spans="5:5" x14ac:dyDescent="0.2">
      <c r="E293" s="369"/>
    </row>
    <row r="294" spans="5:5" x14ac:dyDescent="0.2">
      <c r="E294" s="369"/>
    </row>
    <row r="295" spans="5:5" x14ac:dyDescent="0.2">
      <c r="E295" s="369"/>
    </row>
    <row r="296" spans="5:5" x14ac:dyDescent="0.2">
      <c r="E296" s="369"/>
    </row>
    <row r="297" spans="5:5" x14ac:dyDescent="0.2">
      <c r="E297" s="369"/>
    </row>
    <row r="298" spans="5:5" x14ac:dyDescent="0.2">
      <c r="E298" s="369"/>
    </row>
    <row r="299" spans="5:5" x14ac:dyDescent="0.2">
      <c r="E299" s="369"/>
    </row>
    <row r="300" spans="5:5" x14ac:dyDescent="0.2">
      <c r="E300" s="369"/>
    </row>
    <row r="301" spans="5:5" x14ac:dyDescent="0.2">
      <c r="E301" s="369"/>
    </row>
    <row r="302" spans="5:5" x14ac:dyDescent="0.2">
      <c r="E302" s="369"/>
    </row>
    <row r="303" spans="5:5" x14ac:dyDescent="0.2">
      <c r="E303" s="369"/>
    </row>
    <row r="304" spans="5:5" x14ac:dyDescent="0.2">
      <c r="E304" s="369"/>
    </row>
    <row r="305" spans="5:5" x14ac:dyDescent="0.2">
      <c r="E305" s="369"/>
    </row>
    <row r="306" spans="5:5" x14ac:dyDescent="0.2">
      <c r="E306" s="369"/>
    </row>
    <row r="307" spans="5:5" x14ac:dyDescent="0.2">
      <c r="E307" s="369"/>
    </row>
    <row r="308" spans="5:5" x14ac:dyDescent="0.2">
      <c r="E308" s="369"/>
    </row>
    <row r="309" spans="5:5" x14ac:dyDescent="0.2">
      <c r="E309" s="369"/>
    </row>
    <row r="310" spans="5:5" x14ac:dyDescent="0.2">
      <c r="E310" s="369"/>
    </row>
    <row r="311" spans="5:5" x14ac:dyDescent="0.2">
      <c r="E311" s="369"/>
    </row>
    <row r="312" spans="5:5" x14ac:dyDescent="0.2">
      <c r="E312" s="369"/>
    </row>
    <row r="313" spans="5:5" x14ac:dyDescent="0.2">
      <c r="E313" s="369"/>
    </row>
    <row r="314" spans="5:5" x14ac:dyDescent="0.2">
      <c r="E314" s="369"/>
    </row>
    <row r="315" spans="5:5" x14ac:dyDescent="0.2">
      <c r="E315" s="369"/>
    </row>
    <row r="316" spans="5:5" x14ac:dyDescent="0.2">
      <c r="E316" s="369"/>
    </row>
    <row r="317" spans="5:5" x14ac:dyDescent="0.2">
      <c r="E317" s="369"/>
    </row>
    <row r="318" spans="5:5" x14ac:dyDescent="0.2">
      <c r="E318" s="369"/>
    </row>
    <row r="319" spans="5:5" x14ac:dyDescent="0.2">
      <c r="E319" s="369"/>
    </row>
    <row r="320" spans="5:5" x14ac:dyDescent="0.2">
      <c r="E320" s="369"/>
    </row>
    <row r="321" spans="5:5" x14ac:dyDescent="0.2">
      <c r="E321" s="369"/>
    </row>
    <row r="322" spans="5:5" x14ac:dyDescent="0.2">
      <c r="E322" s="369"/>
    </row>
    <row r="323" spans="5:5" x14ac:dyDescent="0.2">
      <c r="E323" s="369"/>
    </row>
    <row r="324" spans="5:5" x14ac:dyDescent="0.2">
      <c r="E324" s="369"/>
    </row>
    <row r="325" spans="5:5" x14ac:dyDescent="0.2">
      <c r="E325" s="369"/>
    </row>
    <row r="326" spans="5:5" x14ac:dyDescent="0.2">
      <c r="E326" s="369"/>
    </row>
    <row r="327" spans="5:5" x14ac:dyDescent="0.2">
      <c r="E327" s="369"/>
    </row>
    <row r="328" spans="5:5" x14ac:dyDescent="0.2">
      <c r="E328" s="369"/>
    </row>
    <row r="329" spans="5:5" x14ac:dyDescent="0.2">
      <c r="E329" s="369"/>
    </row>
    <row r="330" spans="5:5" x14ac:dyDescent="0.2">
      <c r="E330" s="369"/>
    </row>
    <row r="331" spans="5:5" x14ac:dyDescent="0.2">
      <c r="E331" s="369"/>
    </row>
    <row r="332" spans="5:5" x14ac:dyDescent="0.2">
      <c r="E332" s="369"/>
    </row>
    <row r="333" spans="5:5" x14ac:dyDescent="0.2">
      <c r="E333" s="369"/>
    </row>
    <row r="334" spans="5:5" x14ac:dyDescent="0.2">
      <c r="E334" s="369"/>
    </row>
    <row r="335" spans="5:5" x14ac:dyDescent="0.2">
      <c r="E335" s="369"/>
    </row>
    <row r="336" spans="5:5" x14ac:dyDescent="0.2">
      <c r="E336" s="369"/>
    </row>
    <row r="337" spans="5:5" x14ac:dyDescent="0.2">
      <c r="E337" s="369"/>
    </row>
    <row r="338" spans="5:5" x14ac:dyDescent="0.2">
      <c r="E338" s="369"/>
    </row>
    <row r="339" spans="5:5" x14ac:dyDescent="0.2">
      <c r="E339" s="369"/>
    </row>
    <row r="340" spans="5:5" x14ac:dyDescent="0.2">
      <c r="E340" s="369"/>
    </row>
    <row r="341" spans="5:5" x14ac:dyDescent="0.2">
      <c r="E341" s="369"/>
    </row>
    <row r="342" spans="5:5" x14ac:dyDescent="0.2">
      <c r="E342" s="369"/>
    </row>
  </sheetData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42"/>
  <sheetViews>
    <sheetView topLeftCell="J1" workbookViewId="0">
      <selection activeCell="A2" sqref="A2"/>
    </sheetView>
  </sheetViews>
  <sheetFormatPr defaultRowHeight="13.5" outlineLevelCol="1" x14ac:dyDescent="0.25"/>
  <cols>
    <col min="1" max="2" width="2.7109375" style="105" hidden="1" customWidth="1" outlineLevel="1"/>
    <col min="3" max="4" width="4" style="105" hidden="1" customWidth="1" outlineLevel="1"/>
    <col min="5" max="5" width="16.7109375" style="105" hidden="1" customWidth="1" outlineLevel="1"/>
    <col min="6" max="6" width="21.42578125" style="106" hidden="1" customWidth="1" outlineLevel="1"/>
    <col min="7" max="7" width="85.5703125" style="105" hidden="1" customWidth="1" outlineLevel="1"/>
    <col min="8" max="8" width="2.7109375" style="105" hidden="1" customWidth="1" outlineLevel="1" collapsed="1"/>
    <col min="9" max="9" width="2.7109375" style="105" hidden="1" customWidth="1" outlineLevel="1"/>
    <col min="10" max="10" width="2.7109375" style="105" customWidth="1" collapsed="1"/>
    <col min="11" max="11" width="9.28515625" style="105" bestFit="1" customWidth="1"/>
    <col min="12" max="12" width="13.5703125" style="105" bestFit="1" customWidth="1"/>
    <col min="13" max="15" width="6" style="105" customWidth="1"/>
    <col min="16" max="16" width="10.140625" style="105" customWidth="1"/>
    <col min="17" max="17" width="7.7109375" style="105" bestFit="1" customWidth="1"/>
    <col min="18" max="18" width="2.7109375" style="105" customWidth="1"/>
    <col min="19" max="19" width="5.85546875" style="105" bestFit="1" customWidth="1"/>
    <col min="20" max="20" width="2.7109375" style="105" customWidth="1"/>
    <col min="21" max="21" width="7.7109375" style="105" bestFit="1" customWidth="1"/>
    <col min="22" max="22" width="7" style="105" bestFit="1" customWidth="1"/>
    <col min="23" max="23" width="2.7109375" style="105" customWidth="1"/>
    <col min="24" max="16384" width="9.140625" style="105"/>
  </cols>
  <sheetData>
    <row r="1" spans="1:24" ht="15" x14ac:dyDescent="0.25"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/>
    </row>
    <row r="2" spans="1:24" ht="15.75" thickBot="1" x14ac:dyDescent="0.3">
      <c r="J2" s="185"/>
      <c r="K2" s="220"/>
      <c r="L2" s="184" t="s">
        <v>166</v>
      </c>
      <c r="M2" s="220"/>
      <c r="N2" s="220"/>
      <c r="O2" s="220"/>
      <c r="P2" s="220"/>
      <c r="Q2" s="220"/>
      <c r="R2" s="162"/>
      <c r="S2" s="162"/>
      <c r="T2" s="162"/>
      <c r="U2" s="162"/>
      <c r="V2" s="220"/>
      <c r="W2" s="183"/>
      <c r="X2"/>
    </row>
    <row r="3" spans="1:24" ht="15" x14ac:dyDescent="0.25">
      <c r="A3" s="126"/>
      <c r="B3" s="125"/>
      <c r="C3" s="125"/>
      <c r="D3" s="125"/>
      <c r="E3" s="123"/>
      <c r="F3" s="124"/>
      <c r="G3" s="123"/>
      <c r="H3" s="122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_xll.ohTrigger(V5:V23)</f>
        <v>1</v>
      </c>
      <c r="W3" s="158"/>
      <c r="X3"/>
    </row>
    <row r="4" spans="1:24" ht="22.5" x14ac:dyDescent="0.25">
      <c r="A4" s="115"/>
      <c r="B4" s="121"/>
      <c r="C4" s="121"/>
      <c r="D4" s="120"/>
      <c r="E4" s="119" t="str">
        <f>Currency&amp;"_010_"&amp;"OIS.xml"</f>
        <v>HKD_010_OIS.xml</v>
      </c>
      <c r="F4" s="118" t="e">
        <f ca="1">IF(Serialize,_xll.ohObjectSave(_xll.ohPack(F5:F23),SerializationPath&amp;E4,FileOverwrite,,Serialize),"---")</f>
        <v>#NUM!</v>
      </c>
      <c r="G4" s="117" t="str">
        <f ca="1">_xll.ohRangeRetrieveError(F4)</f>
        <v>ohObjectSave - ObjectHandler error: attempt to retrieve object with unknown ID 'HKDOISSW_Quote'</v>
      </c>
      <c r="H4" s="331" t="s">
        <v>182</v>
      </c>
      <c r="J4" s="167"/>
      <c r="K4" s="219"/>
      <c r="L4" s="180" t="e">
        <f ca="1">_xll.RData(L5:L23,M4:P4,,ReutersRtMode,,M5)</f>
        <v>#NAME?</v>
      </c>
      <c r="M4" s="216" t="s">
        <v>160</v>
      </c>
      <c r="N4" s="216" t="s">
        <v>145</v>
      </c>
      <c r="O4" s="216" t="s">
        <v>144</v>
      </c>
      <c r="P4" s="216" t="s">
        <v>159</v>
      </c>
      <c r="Q4" s="176" t="s">
        <v>158</v>
      </c>
      <c r="R4" s="162"/>
      <c r="S4" s="178" t="s">
        <v>139</v>
      </c>
      <c r="T4" s="162"/>
      <c r="U4" s="319" t="s">
        <v>137</v>
      </c>
      <c r="V4" s="261" t="s">
        <v>136</v>
      </c>
      <c r="W4" s="158"/>
      <c r="X4"/>
    </row>
    <row r="5" spans="1:24" ht="15" x14ac:dyDescent="0.25">
      <c r="A5" s="115"/>
      <c r="B5" s="114"/>
      <c r="C5" s="114" t="s">
        <v>106</v>
      </c>
      <c r="D5" s="116" t="s">
        <v>117</v>
      </c>
      <c r="E5" s="113" t="str">
        <f t="shared" ref="E5:E23" si="0">Currency&amp;$B5&amp;$C5&amp;$D5&amp;QuoteSuffix</f>
        <v>HKDOISSW_Quote</v>
      </c>
      <c r="F5" s="113" t="str">
        <f>_xll.qlSimpleQuote(Currency&amp;$B5&amp;$C5&amp;$D5&amp;QuoteSuffix,,RateTickValue,Permanent,Trigger,ObjectOverwrite)</f>
        <v>HKDOISSW_Quote#0000</v>
      </c>
      <c r="G5" s="112" t="str">
        <f>_xll.ohRangeRetrieveError(F5)</f>
        <v/>
      </c>
      <c r="H5" s="111"/>
      <c r="J5" s="167"/>
      <c r="K5" s="166" t="str">
        <f t="shared" ref="K5:K23" si="1">Currency&amp;D5&amp;C5</f>
        <v>HKDSWOIS</v>
      </c>
      <c r="L5" s="200" t="str">
        <f t="shared" ref="L5:L23" si="2">K5&amp;"="&amp;VLOOKUP(Contributor,ContributorTable,2,FALSE)</f>
        <v>HKDSWOIS=ICHK</v>
      </c>
      <c r="M5" s="169" t="s">
        <v>189</v>
      </c>
      <c r="N5" s="169" t="s">
        <v>189</v>
      </c>
      <c r="O5" s="169" t="s">
        <v>189</v>
      </c>
      <c r="P5" s="169" t="s">
        <v>189</v>
      </c>
      <c r="Q5" s="164" t="e">
        <f t="shared" ref="Q5:Q23" si="3">AVERAGE($M5,$N5)</f>
        <v>#DIV/0!</v>
      </c>
      <c r="R5" s="162"/>
      <c r="S5" s="174" t="e">
        <v>#DIV/0!</v>
      </c>
      <c r="T5" s="162"/>
      <c r="U5" s="241" t="e">
        <f t="array" ref="U5:U23">QuoteStatic</f>
        <v>#DIV/0!</v>
      </c>
      <c r="V5" s="172" t="e">
        <f>_xll.qlSimpleQuoteSetValue(E5,$U5/100,ISERROR(F5))</f>
        <v>#NUM!</v>
      </c>
      <c r="W5" s="158"/>
      <c r="X5"/>
    </row>
    <row r="6" spans="1:24" ht="15" x14ac:dyDescent="0.25">
      <c r="A6" s="115"/>
      <c r="B6" s="114"/>
      <c r="C6" s="114" t="s">
        <v>106</v>
      </c>
      <c r="D6" s="116" t="s">
        <v>116</v>
      </c>
      <c r="E6" s="113" t="str">
        <f t="shared" si="0"/>
        <v>HKDOIS2W_Quote</v>
      </c>
      <c r="F6" s="113" t="str">
        <f>_xll.qlSimpleQuote(Currency&amp;$B6&amp;$C6&amp;$D6&amp;QuoteSuffix,,RateTickValue,Permanent,Trigger,ObjectOverwrite)</f>
        <v>HKDOIS2W_Quote#0000</v>
      </c>
      <c r="G6" s="112" t="str">
        <f>_xll.ohRangeRetrieveError(F6)</f>
        <v/>
      </c>
      <c r="H6" s="111"/>
      <c r="J6" s="167"/>
      <c r="K6" s="166" t="str">
        <f t="shared" si="1"/>
        <v>HKD2WOIS</v>
      </c>
      <c r="L6" s="200" t="str">
        <f t="shared" si="2"/>
        <v>HKD2WOIS=ICHK</v>
      </c>
      <c r="M6" s="169" t="s">
        <v>189</v>
      </c>
      <c r="N6" s="169" t="s">
        <v>189</v>
      </c>
      <c r="O6" s="169" t="s">
        <v>189</v>
      </c>
      <c r="P6" s="169" t="s">
        <v>189</v>
      </c>
      <c r="Q6" s="164" t="e">
        <f t="shared" si="3"/>
        <v>#DIV/0!</v>
      </c>
      <c r="R6" s="162"/>
      <c r="S6" s="171" t="e">
        <v>#DIV/0!</v>
      </c>
      <c r="T6" s="162"/>
      <c r="U6" s="230" t="e">
        <v>#DIV/0!</v>
      </c>
      <c r="V6" s="168" t="e">
        <f>_xll.qlSimpleQuoteSetValue(E6,$U6/100,ISERROR(F6))</f>
        <v>#NUM!</v>
      </c>
      <c r="W6" s="158"/>
      <c r="X6"/>
    </row>
    <row r="7" spans="1:24" ht="15" x14ac:dyDescent="0.25">
      <c r="A7" s="115"/>
      <c r="B7" s="114"/>
      <c r="C7" s="114" t="s">
        <v>106</v>
      </c>
      <c r="D7" s="116" t="s">
        <v>115</v>
      </c>
      <c r="E7" s="113" t="str">
        <f t="shared" si="0"/>
        <v>HKDOIS3W_Quote</v>
      </c>
      <c r="F7" s="113" t="str">
        <f>_xll.qlSimpleQuote(Currency&amp;$B7&amp;$C7&amp;$D7&amp;QuoteSuffix,,RateTickValue,Permanent,Trigger,ObjectOverwrite)</f>
        <v>HKDOIS3W_Quote#0000</v>
      </c>
      <c r="G7" s="112" t="str">
        <f>_xll.ohRangeRetrieveError(F7)</f>
        <v/>
      </c>
      <c r="H7" s="111"/>
      <c r="J7" s="167"/>
      <c r="K7" s="166" t="str">
        <f t="shared" si="1"/>
        <v>HKD3WOIS</v>
      </c>
      <c r="L7" s="200" t="str">
        <f t="shared" si="2"/>
        <v>HKD3WOIS=ICHK</v>
      </c>
      <c r="M7" s="169" t="s">
        <v>189</v>
      </c>
      <c r="N7" s="169" t="s">
        <v>189</v>
      </c>
      <c r="O7" s="169" t="s">
        <v>189</v>
      </c>
      <c r="P7" s="169" t="s">
        <v>189</v>
      </c>
      <c r="Q7" s="164" t="e">
        <f t="shared" si="3"/>
        <v>#DIV/0!</v>
      </c>
      <c r="R7" s="162"/>
      <c r="S7" s="171" t="e">
        <v>#DIV/0!</v>
      </c>
      <c r="T7" s="162"/>
      <c r="U7" s="230" t="e">
        <v>#DIV/0!</v>
      </c>
      <c r="V7" s="168" t="e">
        <f>_xll.qlSimpleQuoteSetValue(E7,$U7/100,ISERROR(F7))</f>
        <v>#NUM!</v>
      </c>
      <c r="W7" s="158"/>
      <c r="X7"/>
    </row>
    <row r="8" spans="1:24" ht="15" x14ac:dyDescent="0.25">
      <c r="A8" s="115"/>
      <c r="B8" s="114"/>
      <c r="C8" s="114" t="s">
        <v>106</v>
      </c>
      <c r="D8" s="116" t="s">
        <v>103</v>
      </c>
      <c r="E8" s="113" t="str">
        <f t="shared" si="0"/>
        <v>HKDOIS1M_Quote</v>
      </c>
      <c r="F8" s="113" t="str">
        <f>_xll.qlSimpleQuote(Currency&amp;$B8&amp;$C8&amp;$D8&amp;QuoteSuffix,,RateTickValue,Permanent,Trigger,ObjectOverwrite)</f>
        <v>HKDOIS1M_Quote#0000</v>
      </c>
      <c r="G8" s="112" t="str">
        <f>_xll.ohRangeRetrieveError(F8)</f>
        <v/>
      </c>
      <c r="H8" s="111"/>
      <c r="J8" s="167"/>
      <c r="K8" s="166" t="str">
        <f t="shared" si="1"/>
        <v>HKD1MOIS</v>
      </c>
      <c r="L8" s="200" t="str">
        <f t="shared" si="2"/>
        <v>HKD1MOIS=ICHK</v>
      </c>
      <c r="M8" s="169">
        <v>0</v>
      </c>
      <c r="N8" s="169">
        <v>0.1</v>
      </c>
      <c r="O8" s="169">
        <v>0</v>
      </c>
      <c r="P8" s="169">
        <v>0</v>
      </c>
      <c r="Q8" s="164">
        <f t="shared" si="3"/>
        <v>0.05</v>
      </c>
      <c r="R8" s="162"/>
      <c r="S8" s="171">
        <v>0.05</v>
      </c>
      <c r="T8" s="162"/>
      <c r="U8" s="230">
        <v>0.05</v>
      </c>
      <c r="V8" s="168" t="e">
        <f>_xll.qlSimpleQuoteSetValue(E8,$U8/100,ISERROR(F8))</f>
        <v>#N/A</v>
      </c>
      <c r="W8" s="158"/>
      <c r="X8"/>
    </row>
    <row r="9" spans="1:24" ht="15" x14ac:dyDescent="0.25">
      <c r="A9" s="115"/>
      <c r="B9" s="114"/>
      <c r="C9" s="114" t="s">
        <v>106</v>
      </c>
      <c r="D9" s="116" t="s">
        <v>114</v>
      </c>
      <c r="E9" s="113" t="str">
        <f t="shared" si="0"/>
        <v>HKDOIS2M_Quote</v>
      </c>
      <c r="F9" s="113" t="str">
        <f>_xll.qlSimpleQuote(Currency&amp;$B9&amp;$C9&amp;$D9&amp;QuoteSuffix,,RateTickValue,Permanent,Trigger,ObjectOverwrite)</f>
        <v>HKDOIS2M_Quote#0000</v>
      </c>
      <c r="G9" s="112" t="str">
        <f>_xll.ohRangeRetrieveError(F9)</f>
        <v/>
      </c>
      <c r="H9" s="111"/>
      <c r="J9" s="167"/>
      <c r="K9" s="166" t="str">
        <f t="shared" si="1"/>
        <v>HKD2MOIS</v>
      </c>
      <c r="L9" s="200" t="str">
        <f t="shared" si="2"/>
        <v>HKD2MOIS=ICHK</v>
      </c>
      <c r="M9" s="169">
        <v>0.02</v>
      </c>
      <c r="N9" s="169">
        <v>0.12</v>
      </c>
      <c r="O9" s="169">
        <v>0</v>
      </c>
      <c r="P9" s="169">
        <v>0</v>
      </c>
      <c r="Q9" s="164">
        <f t="shared" si="3"/>
        <v>6.9999999999999993E-2</v>
      </c>
      <c r="R9" s="162"/>
      <c r="S9" s="171">
        <v>6.9999999999999993E-2</v>
      </c>
      <c r="T9" s="162"/>
      <c r="U9" s="230">
        <v>6.9999999999999993E-2</v>
      </c>
      <c r="V9" s="168" t="e">
        <f>_xll.qlSimpleQuoteSetValue(E9,$U9/100,ISERROR(F9))</f>
        <v>#N/A</v>
      </c>
      <c r="W9" s="158"/>
      <c r="X9"/>
    </row>
    <row r="10" spans="1:24" ht="15" x14ac:dyDescent="0.25">
      <c r="A10" s="115"/>
      <c r="B10" s="114"/>
      <c r="C10" s="114" t="s">
        <v>106</v>
      </c>
      <c r="D10" s="116" t="s">
        <v>105</v>
      </c>
      <c r="E10" s="113" t="str">
        <f t="shared" si="0"/>
        <v>HKDOIS3M_Quote</v>
      </c>
      <c r="F10" s="113" t="str">
        <f>_xll.qlSimpleQuote(Currency&amp;$B10&amp;$C10&amp;$D10&amp;QuoteSuffix,,RateTickValue,Permanent,Trigger,ObjectOverwrite)</f>
        <v>HKDOIS3M_Quote#0000</v>
      </c>
      <c r="G10" s="112" t="str">
        <f>_xll.ohRangeRetrieveError(F10)</f>
        <v/>
      </c>
      <c r="H10" s="111"/>
      <c r="J10" s="167"/>
      <c r="K10" s="166" t="str">
        <f t="shared" si="1"/>
        <v>HKD3MOIS</v>
      </c>
      <c r="L10" s="200" t="str">
        <f t="shared" si="2"/>
        <v>HKD3MOIS=ICHK</v>
      </c>
      <c r="M10" s="169">
        <v>0.04</v>
      </c>
      <c r="N10" s="169">
        <v>0.14000000000000001</v>
      </c>
      <c r="O10" s="169">
        <v>0</v>
      </c>
      <c r="P10" s="169">
        <v>0</v>
      </c>
      <c r="Q10" s="164">
        <f t="shared" si="3"/>
        <v>9.0000000000000011E-2</v>
      </c>
      <c r="R10" s="162"/>
      <c r="S10" s="171">
        <v>9.0000000000000011E-2</v>
      </c>
      <c r="T10" s="162"/>
      <c r="U10" s="230">
        <v>9.0000000000000011E-2</v>
      </c>
      <c r="V10" s="168" t="e">
        <f>_xll.qlSimpleQuoteSetValue(E10,$U10/100,ISERROR(F10))</f>
        <v>#N/A</v>
      </c>
      <c r="W10" s="158"/>
      <c r="X10"/>
    </row>
    <row r="11" spans="1:24" ht="15" x14ac:dyDescent="0.25">
      <c r="A11" s="115"/>
      <c r="B11" s="114"/>
      <c r="C11" s="114" t="s">
        <v>106</v>
      </c>
      <c r="D11" s="116" t="s">
        <v>113</v>
      </c>
      <c r="E11" s="113" t="str">
        <f t="shared" si="0"/>
        <v>HKDOIS4M_Quote</v>
      </c>
      <c r="F11" s="113" t="str">
        <f>_xll.qlSimpleQuote(Currency&amp;$B11&amp;$C11&amp;$D11&amp;QuoteSuffix,,RateTickValue,Permanent,Trigger,ObjectOverwrite)</f>
        <v>HKDOIS4M_Quote#0000</v>
      </c>
      <c r="G11" s="112" t="str">
        <f>_xll.ohRangeRetrieveError(F11)</f>
        <v/>
      </c>
      <c r="H11" s="111"/>
      <c r="J11" s="167"/>
      <c r="K11" s="166" t="str">
        <f t="shared" si="1"/>
        <v>HKD4MOIS</v>
      </c>
      <c r="L11" s="200" t="str">
        <f t="shared" si="2"/>
        <v>HKD4MOIS=ICHK</v>
      </c>
      <c r="M11" s="169">
        <v>7.0000000000000007E-2</v>
      </c>
      <c r="N11" s="169">
        <v>0.17</v>
      </c>
      <c r="O11" s="169">
        <v>0</v>
      </c>
      <c r="P11" s="169">
        <v>0</v>
      </c>
      <c r="Q11" s="164">
        <f t="shared" si="3"/>
        <v>0.12000000000000001</v>
      </c>
      <c r="R11" s="162"/>
      <c r="S11" s="171">
        <v>0.12000000000000001</v>
      </c>
      <c r="T11" s="162"/>
      <c r="U11" s="230">
        <v>0.12000000000000001</v>
      </c>
      <c r="V11" s="168" t="e">
        <f>_xll.qlSimpleQuoteSetValue(E11,$U11/100,ISERROR(F11))</f>
        <v>#N/A</v>
      </c>
      <c r="W11" s="158"/>
      <c r="X11"/>
    </row>
    <row r="12" spans="1:24" ht="15" x14ac:dyDescent="0.25">
      <c r="A12" s="115"/>
      <c r="B12" s="114"/>
      <c r="C12" s="114" t="s">
        <v>106</v>
      </c>
      <c r="D12" s="116" t="s">
        <v>112</v>
      </c>
      <c r="E12" s="113" t="str">
        <f t="shared" si="0"/>
        <v>HKDOIS5M_Quote</v>
      </c>
      <c r="F12" s="113" t="str">
        <f>_xll.qlSimpleQuote(Currency&amp;$B12&amp;$C12&amp;$D12&amp;QuoteSuffix,,RateTickValue,Permanent,Trigger,ObjectOverwrite)</f>
        <v>HKDOIS5M_Quote#0000</v>
      </c>
      <c r="G12" s="112" t="str">
        <f>_xll.ohRangeRetrieveError(F12)</f>
        <v/>
      </c>
      <c r="H12" s="111"/>
      <c r="J12" s="167"/>
      <c r="K12" s="166" t="str">
        <f t="shared" si="1"/>
        <v>HKD5MOIS</v>
      </c>
      <c r="L12" s="200" t="str">
        <f t="shared" si="2"/>
        <v>HKD5MOIS=ICHK</v>
      </c>
      <c r="M12" s="169">
        <v>0.05</v>
      </c>
      <c r="N12" s="169">
        <v>0.15</v>
      </c>
      <c r="O12" s="169">
        <v>0</v>
      </c>
      <c r="P12" s="169">
        <v>0</v>
      </c>
      <c r="Q12" s="164">
        <f t="shared" si="3"/>
        <v>0.1</v>
      </c>
      <c r="R12" s="162"/>
      <c r="S12" s="171">
        <v>0.1</v>
      </c>
      <c r="T12" s="162"/>
      <c r="U12" s="230">
        <v>0.1</v>
      </c>
      <c r="V12" s="168" t="e">
        <f>_xll.qlSimpleQuoteSetValue(E12,$U12/100,ISERROR(F12))</f>
        <v>#N/A</v>
      </c>
      <c r="W12" s="158"/>
      <c r="X12"/>
    </row>
    <row r="13" spans="1:24" ht="15" x14ac:dyDescent="0.25">
      <c r="A13" s="115"/>
      <c r="B13" s="114"/>
      <c r="C13" s="114" t="s">
        <v>106</v>
      </c>
      <c r="D13" s="116" t="s">
        <v>60</v>
      </c>
      <c r="E13" s="113" t="str">
        <f t="shared" si="0"/>
        <v>HKDOIS6M_Quote</v>
      </c>
      <c r="F13" s="113" t="str">
        <f>_xll.qlSimpleQuote(Currency&amp;$B13&amp;$C13&amp;$D13&amp;QuoteSuffix,,RateTickValue,Permanent,Trigger,ObjectOverwrite)</f>
        <v>HKDOIS6M_Quote#0000</v>
      </c>
      <c r="G13" s="112" t="str">
        <f>_xll.ohRangeRetrieveError(F13)</f>
        <v/>
      </c>
      <c r="H13" s="111"/>
      <c r="J13" s="167"/>
      <c r="K13" s="166" t="str">
        <f t="shared" si="1"/>
        <v>HKD6MOIS</v>
      </c>
      <c r="L13" s="200" t="str">
        <f t="shared" si="2"/>
        <v>HKD6MOIS=ICHK</v>
      </c>
      <c r="M13" s="169">
        <v>0.06</v>
      </c>
      <c r="N13" s="169">
        <v>0.16</v>
      </c>
      <c r="O13" s="169">
        <v>0</v>
      </c>
      <c r="P13" s="169">
        <v>0</v>
      </c>
      <c r="Q13" s="164">
        <f t="shared" si="3"/>
        <v>0.11</v>
      </c>
      <c r="R13" s="162"/>
      <c r="S13" s="171">
        <v>0.11</v>
      </c>
      <c r="T13" s="162"/>
      <c r="U13" s="230">
        <v>0.11</v>
      </c>
      <c r="V13" s="168" t="e">
        <f>_xll.qlSimpleQuoteSetValue(E13,$U13/100,ISERROR(F13))</f>
        <v>#N/A</v>
      </c>
      <c r="W13" s="158"/>
      <c r="X13"/>
    </row>
    <row r="14" spans="1:24" ht="15" x14ac:dyDescent="0.25">
      <c r="A14" s="115"/>
      <c r="B14" s="114"/>
      <c r="C14" s="114" t="s">
        <v>106</v>
      </c>
      <c r="D14" s="116" t="s">
        <v>111</v>
      </c>
      <c r="E14" s="113" t="str">
        <f t="shared" si="0"/>
        <v>HKDOIS7M_Quote</v>
      </c>
      <c r="F14" s="113" t="str">
        <f>_xll.qlSimpleQuote(Currency&amp;$B14&amp;$C14&amp;$D14&amp;QuoteSuffix,,RateTickValue,Permanent,Trigger,ObjectOverwrite)</f>
        <v>HKDOIS7M_Quote#0000</v>
      </c>
      <c r="G14" s="112" t="str">
        <f>_xll.ohRangeRetrieveError(F14)</f>
        <v/>
      </c>
      <c r="H14" s="111"/>
      <c r="J14" s="167"/>
      <c r="K14" s="166" t="str">
        <f t="shared" si="1"/>
        <v>HKD7MOIS</v>
      </c>
      <c r="L14" s="200" t="str">
        <f t="shared" si="2"/>
        <v>HKD7MOIS=ICHK</v>
      </c>
      <c r="M14" s="169" t="s">
        <v>189</v>
      </c>
      <c r="N14" s="169" t="s">
        <v>189</v>
      </c>
      <c r="O14" s="169" t="s">
        <v>189</v>
      </c>
      <c r="P14" s="169" t="s">
        <v>189</v>
      </c>
      <c r="Q14" s="164" t="e">
        <f t="shared" si="3"/>
        <v>#DIV/0!</v>
      </c>
      <c r="R14" s="162"/>
      <c r="S14" s="171" t="e">
        <v>#DIV/0!</v>
      </c>
      <c r="T14" s="162"/>
      <c r="U14" s="230" t="e">
        <v>#DIV/0!</v>
      </c>
      <c r="V14" s="168" t="e">
        <f>_xll.qlSimpleQuoteSetValue(E14,$U14/100,ISERROR(F14))</f>
        <v>#NUM!</v>
      </c>
      <c r="W14" s="158"/>
      <c r="X14"/>
    </row>
    <row r="15" spans="1:24" ht="15" x14ac:dyDescent="0.25">
      <c r="A15" s="115"/>
      <c r="B15" s="114"/>
      <c r="C15" s="114" t="s">
        <v>106</v>
      </c>
      <c r="D15" s="116" t="s">
        <v>110</v>
      </c>
      <c r="E15" s="113" t="str">
        <f t="shared" si="0"/>
        <v>HKDOIS8M_Quote</v>
      </c>
      <c r="F15" s="113" t="str">
        <f>_xll.qlSimpleQuote(Currency&amp;$B15&amp;$C15&amp;$D15&amp;QuoteSuffix,,RateTickValue,Permanent,Trigger,ObjectOverwrite)</f>
        <v>HKDOIS8M_Quote#0000</v>
      </c>
      <c r="G15" s="112" t="str">
        <f>_xll.ohRangeRetrieveError(F15)</f>
        <v/>
      </c>
      <c r="H15" s="111"/>
      <c r="J15" s="167"/>
      <c r="K15" s="166" t="str">
        <f t="shared" si="1"/>
        <v>HKD8MOIS</v>
      </c>
      <c r="L15" s="200" t="str">
        <f t="shared" si="2"/>
        <v>HKD8MOIS=ICHK</v>
      </c>
      <c r="M15" s="169" t="s">
        <v>189</v>
      </c>
      <c r="N15" s="169" t="s">
        <v>189</v>
      </c>
      <c r="O15" s="169" t="s">
        <v>189</v>
      </c>
      <c r="P15" s="169" t="s">
        <v>189</v>
      </c>
      <c r="Q15" s="164" t="e">
        <f t="shared" si="3"/>
        <v>#DIV/0!</v>
      </c>
      <c r="R15" s="162"/>
      <c r="S15" s="171" t="e">
        <v>#DIV/0!</v>
      </c>
      <c r="T15" s="162"/>
      <c r="U15" s="230" t="e">
        <v>#DIV/0!</v>
      </c>
      <c r="V15" s="168" t="e">
        <f>_xll.qlSimpleQuoteSetValue(E15,$U15/100,ISERROR(F15))</f>
        <v>#NUM!</v>
      </c>
      <c r="W15" s="158"/>
      <c r="X15"/>
    </row>
    <row r="16" spans="1:24" ht="15" x14ac:dyDescent="0.25">
      <c r="A16" s="115"/>
      <c r="B16" s="114"/>
      <c r="C16" s="114" t="s">
        <v>106</v>
      </c>
      <c r="D16" s="116" t="s">
        <v>109</v>
      </c>
      <c r="E16" s="113" t="str">
        <f t="shared" si="0"/>
        <v>HKDOIS9M_Quote</v>
      </c>
      <c r="F16" s="113" t="str">
        <f>_xll.qlSimpleQuote(Currency&amp;$B16&amp;$C16&amp;$D16&amp;QuoteSuffix,,RateTickValue,Permanent,Trigger,ObjectOverwrite)</f>
        <v>HKDOIS9M_Quote#0000</v>
      </c>
      <c r="G16" s="112" t="str">
        <f>_xll.ohRangeRetrieveError(F16)</f>
        <v/>
      </c>
      <c r="H16" s="111"/>
      <c r="J16" s="167"/>
      <c r="K16" s="166" t="str">
        <f t="shared" si="1"/>
        <v>HKD9MOIS</v>
      </c>
      <c r="L16" s="200" t="str">
        <f t="shared" si="2"/>
        <v>HKD9MOIS=ICHK</v>
      </c>
      <c r="M16" s="169">
        <v>0.12</v>
      </c>
      <c r="N16" s="169">
        <v>0.22</v>
      </c>
      <c r="O16" s="169">
        <v>0</v>
      </c>
      <c r="P16" s="169">
        <v>0</v>
      </c>
      <c r="Q16" s="164">
        <f t="shared" si="3"/>
        <v>0.16999999999999998</v>
      </c>
      <c r="R16" s="162"/>
      <c r="S16" s="171">
        <v>0.16999999999999998</v>
      </c>
      <c r="T16" s="162"/>
      <c r="U16" s="230">
        <v>0.16999999999999998</v>
      </c>
      <c r="V16" s="168" t="e">
        <f>_xll.qlSimpleQuoteSetValue(E16,$U16/100,ISERROR(F16))</f>
        <v>#N/A</v>
      </c>
      <c r="W16" s="158"/>
      <c r="X16"/>
    </row>
    <row r="17" spans="1:24" ht="15" x14ac:dyDescent="0.25">
      <c r="A17" s="115"/>
      <c r="B17" s="114"/>
      <c r="C17" s="114" t="s">
        <v>106</v>
      </c>
      <c r="D17" s="116" t="s">
        <v>108</v>
      </c>
      <c r="E17" s="113" t="str">
        <f t="shared" si="0"/>
        <v>HKDOIS10M_Quote</v>
      </c>
      <c r="F17" s="113" t="str">
        <f>_xll.qlSimpleQuote(Currency&amp;$B17&amp;$C17&amp;$D17&amp;QuoteSuffix,,RateTickValue,Permanent,Trigger,ObjectOverwrite)</f>
        <v>HKDOIS10M_Quote#0000</v>
      </c>
      <c r="G17" s="112" t="str">
        <f>_xll.ohRangeRetrieveError(F17)</f>
        <v/>
      </c>
      <c r="H17" s="111"/>
      <c r="J17" s="167"/>
      <c r="K17" s="166" t="str">
        <f t="shared" si="1"/>
        <v>HKD10MOIS</v>
      </c>
      <c r="L17" s="200" t="str">
        <f t="shared" si="2"/>
        <v>HKD10MOIS=ICHK</v>
      </c>
      <c r="M17" s="169" t="s">
        <v>189</v>
      </c>
      <c r="N17" s="169" t="s">
        <v>189</v>
      </c>
      <c r="O17" s="169" t="s">
        <v>189</v>
      </c>
      <c r="P17" s="169" t="s">
        <v>189</v>
      </c>
      <c r="Q17" s="164" t="e">
        <f t="shared" si="3"/>
        <v>#DIV/0!</v>
      </c>
      <c r="R17" s="162"/>
      <c r="S17" s="171" t="e">
        <v>#DIV/0!</v>
      </c>
      <c r="T17" s="162"/>
      <c r="U17" s="230" t="e">
        <v>#DIV/0!</v>
      </c>
      <c r="V17" s="168" t="e">
        <f>_xll.qlSimpleQuoteSetValue(E17,$U17/100,ISERROR(F17))</f>
        <v>#NUM!</v>
      </c>
      <c r="W17" s="158"/>
      <c r="X17"/>
    </row>
    <row r="18" spans="1:24" ht="15" x14ac:dyDescent="0.25">
      <c r="A18" s="115"/>
      <c r="B18" s="114"/>
      <c r="C18" s="114" t="s">
        <v>106</v>
      </c>
      <c r="D18" s="116" t="s">
        <v>107</v>
      </c>
      <c r="E18" s="113" t="str">
        <f t="shared" si="0"/>
        <v>HKDOIS11M_Quote</v>
      </c>
      <c r="F18" s="113" t="str">
        <f>_xll.qlSimpleQuote(Currency&amp;$B18&amp;$C18&amp;$D18&amp;QuoteSuffix,,RateTickValue,Permanent,Trigger,ObjectOverwrite)</f>
        <v>HKDOIS11M_Quote#0000</v>
      </c>
      <c r="G18" s="112" t="str">
        <f>_xll.ohRangeRetrieveError(F18)</f>
        <v/>
      </c>
      <c r="H18" s="111"/>
      <c r="J18" s="167"/>
      <c r="K18" s="166" t="str">
        <f t="shared" si="1"/>
        <v>HKD11MOIS</v>
      </c>
      <c r="L18" s="200" t="str">
        <f t="shared" si="2"/>
        <v>HKD11MOIS=ICHK</v>
      </c>
      <c r="M18" s="169" t="s">
        <v>189</v>
      </c>
      <c r="N18" s="169" t="s">
        <v>189</v>
      </c>
      <c r="O18" s="169" t="s">
        <v>189</v>
      </c>
      <c r="P18" s="169" t="s">
        <v>189</v>
      </c>
      <c r="Q18" s="164" t="e">
        <f t="shared" si="3"/>
        <v>#DIV/0!</v>
      </c>
      <c r="R18" s="162"/>
      <c r="S18" s="171" t="e">
        <v>#DIV/0!</v>
      </c>
      <c r="T18" s="162"/>
      <c r="U18" s="230" t="e">
        <v>#DIV/0!</v>
      </c>
      <c r="V18" s="168" t="e">
        <f>_xll.qlSimpleQuoteSetValue(E18,$U18/100,ISERROR(F18))</f>
        <v>#NUM!</v>
      </c>
      <c r="W18" s="158"/>
      <c r="X18"/>
    </row>
    <row r="19" spans="1:24" ht="15" x14ac:dyDescent="0.25">
      <c r="A19" s="115"/>
      <c r="B19" s="114"/>
      <c r="C19" s="114" t="s">
        <v>106</v>
      </c>
      <c r="D19" s="116" t="s">
        <v>59</v>
      </c>
      <c r="E19" s="113" t="str">
        <f t="shared" si="0"/>
        <v>HKDOIS1Y_Quote</v>
      </c>
      <c r="F19" s="113" t="str">
        <f>_xll.qlSimpleQuote(Currency&amp;$B19&amp;$C19&amp;$D19&amp;QuoteSuffix,,RateTickValue,Permanent,Trigger,ObjectOverwrite)</f>
        <v>HKDOIS1Y_Quote#0000</v>
      </c>
      <c r="G19" s="112" t="str">
        <f>_xll.ohRangeRetrieveError(F19)</f>
        <v/>
      </c>
      <c r="H19" s="111"/>
      <c r="J19" s="167"/>
      <c r="K19" s="166" t="str">
        <f t="shared" si="1"/>
        <v>HKD1YOIS</v>
      </c>
      <c r="L19" s="200" t="str">
        <f t="shared" si="2"/>
        <v>HKD1YOIS=ICHK</v>
      </c>
      <c r="M19" s="169">
        <v>0.15</v>
      </c>
      <c r="N19" s="169">
        <v>0.25</v>
      </c>
      <c r="O19" s="169">
        <v>0</v>
      </c>
      <c r="P19" s="169">
        <v>0</v>
      </c>
      <c r="Q19" s="164">
        <f t="shared" si="3"/>
        <v>0.2</v>
      </c>
      <c r="R19" s="162"/>
      <c r="S19" s="171">
        <v>0.2</v>
      </c>
      <c r="T19" s="162"/>
      <c r="U19" s="230">
        <v>0.2</v>
      </c>
      <c r="V19" s="168" t="e">
        <f>_xll.qlSimpleQuoteSetValue(E19,$U19/100,ISERROR(F19))</f>
        <v>#N/A</v>
      </c>
      <c r="W19" s="158"/>
      <c r="X19"/>
    </row>
    <row r="20" spans="1:24" ht="15" x14ac:dyDescent="0.25">
      <c r="A20" s="115"/>
      <c r="B20" s="114"/>
      <c r="C20" s="114" t="s">
        <v>106</v>
      </c>
      <c r="D20" s="116" t="s">
        <v>58</v>
      </c>
      <c r="E20" s="113" t="str">
        <f t="shared" si="0"/>
        <v>HKDOIS15M_Quote</v>
      </c>
      <c r="F20" s="113" t="str">
        <f>_xll.qlSimpleQuote(Currency&amp;$B20&amp;$C20&amp;$D20&amp;QuoteSuffix,,RateTickValue,Permanent,Trigger,ObjectOverwrite)</f>
        <v>HKDOIS15M_Quote#0000</v>
      </c>
      <c r="G20" s="112" t="str">
        <f>_xll.ohRangeRetrieveError(F20)</f>
        <v/>
      </c>
      <c r="H20" s="111"/>
      <c r="J20" s="167"/>
      <c r="K20" s="166" t="str">
        <f t="shared" si="1"/>
        <v>HKD15MOIS</v>
      </c>
      <c r="L20" s="200" t="str">
        <f t="shared" si="2"/>
        <v>HKD15MOIS=ICHK</v>
      </c>
      <c r="M20" s="169" t="s">
        <v>189</v>
      </c>
      <c r="N20" s="169" t="s">
        <v>189</v>
      </c>
      <c r="O20" s="169" t="s">
        <v>189</v>
      </c>
      <c r="P20" s="169" t="s">
        <v>189</v>
      </c>
      <c r="Q20" s="164" t="e">
        <f t="shared" si="3"/>
        <v>#DIV/0!</v>
      </c>
      <c r="R20" s="162"/>
      <c r="S20" s="171" t="e">
        <v>#DIV/0!</v>
      </c>
      <c r="T20" s="162"/>
      <c r="U20" s="230" t="e">
        <v>#DIV/0!</v>
      </c>
      <c r="V20" s="168" t="e">
        <f>_xll.qlSimpleQuoteSetValue(E20,$U20/100,ISERROR(F20))</f>
        <v>#NUM!</v>
      </c>
      <c r="W20" s="158"/>
      <c r="X20"/>
    </row>
    <row r="21" spans="1:24" ht="15" x14ac:dyDescent="0.25">
      <c r="A21" s="115"/>
      <c r="B21" s="114"/>
      <c r="C21" s="114" t="s">
        <v>106</v>
      </c>
      <c r="D21" s="116" t="s">
        <v>57</v>
      </c>
      <c r="E21" s="113" t="str">
        <f t="shared" si="0"/>
        <v>HKDOIS18M_Quote</v>
      </c>
      <c r="F21" s="113" t="str">
        <f>_xll.qlSimpleQuote(Currency&amp;$B21&amp;$C21&amp;$D21&amp;QuoteSuffix,,RateTickValue,Permanent,Trigger,ObjectOverwrite)</f>
        <v>HKDOIS18M_Quote#0000</v>
      </c>
      <c r="G21" s="112" t="str">
        <f>_xll.ohRangeRetrieveError(F21)</f>
        <v/>
      </c>
      <c r="H21" s="111"/>
      <c r="J21" s="167"/>
      <c r="K21" s="166" t="str">
        <f t="shared" si="1"/>
        <v>HKD18MOIS</v>
      </c>
      <c r="L21" s="200" t="str">
        <f t="shared" si="2"/>
        <v>HKD18MOIS=ICHK</v>
      </c>
      <c r="M21" s="169" t="s">
        <v>189</v>
      </c>
      <c r="N21" s="169" t="s">
        <v>189</v>
      </c>
      <c r="O21" s="169" t="s">
        <v>189</v>
      </c>
      <c r="P21" s="169" t="s">
        <v>189</v>
      </c>
      <c r="Q21" s="164" t="e">
        <f t="shared" si="3"/>
        <v>#DIV/0!</v>
      </c>
      <c r="R21" s="162"/>
      <c r="S21" s="171" t="e">
        <v>#DIV/0!</v>
      </c>
      <c r="T21" s="162"/>
      <c r="U21" s="230" t="e">
        <v>#DIV/0!</v>
      </c>
      <c r="V21" s="168" t="e">
        <f>_xll.qlSimpleQuoteSetValue(E21,$U21/100,ISERROR(F21))</f>
        <v>#NUM!</v>
      </c>
      <c r="W21" s="158"/>
      <c r="X21"/>
    </row>
    <row r="22" spans="1:24" ht="15" x14ac:dyDescent="0.25">
      <c r="A22" s="115"/>
      <c r="B22" s="114"/>
      <c r="C22" s="114" t="s">
        <v>106</v>
      </c>
      <c r="D22" s="116" t="s">
        <v>56</v>
      </c>
      <c r="E22" s="113" t="str">
        <f t="shared" si="0"/>
        <v>HKDOIS21M_Quote</v>
      </c>
      <c r="F22" s="113" t="str">
        <f>_xll.qlSimpleQuote(Currency&amp;$B22&amp;$C22&amp;$D22&amp;QuoteSuffix,,RateTickValue,Permanent,Trigger,ObjectOverwrite)</f>
        <v>HKDOIS21M_Quote#0000</v>
      </c>
      <c r="G22" s="112" t="str">
        <f>_xll.ohRangeRetrieveError(F22)</f>
        <v/>
      </c>
      <c r="H22" s="111"/>
      <c r="J22" s="167"/>
      <c r="K22" s="166" t="str">
        <f t="shared" si="1"/>
        <v>HKD21MOIS</v>
      </c>
      <c r="L22" s="200" t="str">
        <f t="shared" si="2"/>
        <v>HKD21MOIS=ICHK</v>
      </c>
      <c r="M22" s="169" t="s">
        <v>189</v>
      </c>
      <c r="N22" s="169" t="s">
        <v>189</v>
      </c>
      <c r="O22" s="169" t="s">
        <v>189</v>
      </c>
      <c r="P22" s="169" t="s">
        <v>189</v>
      </c>
      <c r="Q22" s="164" t="e">
        <f t="shared" si="3"/>
        <v>#DIV/0!</v>
      </c>
      <c r="R22" s="162"/>
      <c r="S22" s="171" t="e">
        <v>#DIV/0!</v>
      </c>
      <c r="T22" s="162"/>
      <c r="U22" s="230" t="e">
        <v>#DIV/0!</v>
      </c>
      <c r="V22" s="168" t="e">
        <f>_xll.qlSimpleQuoteSetValue(E22,$U22/100,ISERROR(F22))</f>
        <v>#NUM!</v>
      </c>
      <c r="W22" s="158"/>
      <c r="X22"/>
    </row>
    <row r="23" spans="1:24" ht="15" x14ac:dyDescent="0.25">
      <c r="A23" s="115"/>
      <c r="B23" s="114"/>
      <c r="C23" s="114" t="s">
        <v>106</v>
      </c>
      <c r="D23" s="116" t="s">
        <v>55</v>
      </c>
      <c r="E23" s="113" t="str">
        <f t="shared" si="0"/>
        <v>HKDOIS2Y_Quote</v>
      </c>
      <c r="F23" s="113" t="str">
        <f>_xll.qlSimpleQuote(Currency&amp;$B23&amp;$C23&amp;$D23&amp;QuoteSuffix,,RateTickValue,Permanent,Trigger,ObjectOverwrite)</f>
        <v>HKDOIS2Y_Quote#0000</v>
      </c>
      <c r="G23" s="112" t="str">
        <f>_xll.ohRangeRetrieveError(F23)</f>
        <v/>
      </c>
      <c r="H23" s="111"/>
      <c r="J23" s="167"/>
      <c r="K23" s="266" t="str">
        <f t="shared" si="1"/>
        <v>HKD2YOIS</v>
      </c>
      <c r="L23" s="206" t="str">
        <f t="shared" si="2"/>
        <v>HKD2YOIS=ICHK</v>
      </c>
      <c r="M23" s="160" t="s">
        <v>189</v>
      </c>
      <c r="N23" s="160" t="s">
        <v>189</v>
      </c>
      <c r="O23" s="160" t="s">
        <v>189</v>
      </c>
      <c r="P23" s="160" t="s">
        <v>189</v>
      </c>
      <c r="Q23" s="205" t="e">
        <f t="shared" si="3"/>
        <v>#DIV/0!</v>
      </c>
      <c r="R23" s="162"/>
      <c r="S23" s="171" t="e">
        <v>#DIV/0!</v>
      </c>
      <c r="T23" s="162"/>
      <c r="U23" s="223" t="e">
        <v>#DIV/0!</v>
      </c>
      <c r="V23" s="159" t="e">
        <f>_xll.qlSimpleQuoteSetValue(E23,$U23/100,ISERROR(F23))</f>
        <v>#NUM!</v>
      </c>
      <c r="W23" s="158"/>
      <c r="X23"/>
    </row>
    <row r="24" spans="1:24" ht="15.75" thickBot="1" x14ac:dyDescent="0.3">
      <c r="A24" s="110"/>
      <c r="B24" s="109"/>
      <c r="C24" s="109"/>
      <c r="D24" s="109"/>
      <c r="E24" s="109"/>
      <c r="F24" s="108"/>
      <c r="G24" s="108"/>
      <c r="H24" s="107"/>
      <c r="J24" s="157"/>
      <c r="K24" s="156"/>
      <c r="L24" s="156"/>
      <c r="M24" s="156"/>
      <c r="N24" s="156"/>
      <c r="O24" s="156"/>
      <c r="P24" s="156"/>
      <c r="Q24" s="156"/>
      <c r="R24" s="155"/>
      <c r="S24" s="156"/>
      <c r="T24" s="155"/>
      <c r="U24" s="156"/>
      <c r="V24" s="156"/>
      <c r="W24" s="257"/>
      <c r="X24"/>
    </row>
    <row r="25" spans="1:24" ht="15" x14ac:dyDescent="0.25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ht="15" x14ac:dyDescent="0.25">
      <c r="X26"/>
    </row>
    <row r="27" spans="1:24" ht="15" x14ac:dyDescent="0.25">
      <c r="X27"/>
    </row>
    <row r="28" spans="1:24" ht="15" x14ac:dyDescent="0.25">
      <c r="X28"/>
    </row>
    <row r="29" spans="1:24" ht="15" x14ac:dyDescent="0.25">
      <c r="X29"/>
    </row>
    <row r="30" spans="1:24" ht="15" x14ac:dyDescent="0.25">
      <c r="X30"/>
    </row>
    <row r="31" spans="1:24" ht="15" x14ac:dyDescent="0.25">
      <c r="X31"/>
    </row>
    <row r="32" spans="1:24" ht="15" x14ac:dyDescent="0.25">
      <c r="X32"/>
    </row>
    <row r="33" spans="24:24" ht="15" x14ac:dyDescent="0.25">
      <c r="X33"/>
    </row>
    <row r="34" spans="24:24" ht="15" x14ac:dyDescent="0.25">
      <c r="X34"/>
    </row>
    <row r="35" spans="24:24" ht="15" x14ac:dyDescent="0.25">
      <c r="X35"/>
    </row>
    <row r="36" spans="24:24" ht="15" x14ac:dyDescent="0.25">
      <c r="X36"/>
    </row>
    <row r="37" spans="24:24" ht="15" x14ac:dyDescent="0.25">
      <c r="X37"/>
    </row>
    <row r="38" spans="24:24" ht="15" x14ac:dyDescent="0.25">
      <c r="X38"/>
    </row>
    <row r="39" spans="24:24" ht="15" x14ac:dyDescent="0.25">
      <c r="X39"/>
    </row>
    <row r="40" spans="24:24" ht="15" x14ac:dyDescent="0.25">
      <c r="X40"/>
    </row>
    <row r="41" spans="24:24" ht="15" x14ac:dyDescent="0.25">
      <c r="X41"/>
    </row>
    <row r="42" spans="24:24" ht="15" x14ac:dyDescent="0.25">
      <c r="X42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2"/>
  <sheetViews>
    <sheetView workbookViewId="0"/>
  </sheetViews>
  <sheetFormatPr defaultRowHeight="11.25" x14ac:dyDescent="0.2"/>
  <cols>
    <col min="1" max="1" width="2.7109375" style="16" customWidth="1"/>
    <col min="2" max="2" width="5.140625" style="16" bestFit="1" customWidth="1"/>
    <col min="3" max="3" width="17.85546875" style="16" bestFit="1" customWidth="1"/>
    <col min="4" max="4" width="17.42578125" style="16" bestFit="1" customWidth="1"/>
    <col min="5" max="5" width="36.85546875" style="16" bestFit="1" customWidth="1"/>
    <col min="6" max="8" width="2.7109375" style="16" customWidth="1"/>
    <col min="9" max="9" width="9.7109375" style="16" customWidth="1"/>
    <col min="10" max="10" width="10.28515625" style="16" customWidth="1"/>
    <col min="11" max="11" width="2.7109375" style="16" customWidth="1"/>
    <col min="12" max="12" width="8.140625" style="16" customWidth="1"/>
    <col min="13" max="13" width="2.7109375" style="16" customWidth="1"/>
    <col min="14" max="14" width="9" style="16" customWidth="1"/>
    <col min="15" max="15" width="8.140625" style="16" customWidth="1"/>
    <col min="16" max="16" width="2.7109375" style="16" customWidth="1"/>
    <col min="17" max="16384" width="9.140625" style="16"/>
  </cols>
  <sheetData>
    <row r="1" spans="1:16" s="141" customFormat="1" x14ac:dyDescent="0.2">
      <c r="H1" s="188"/>
      <c r="I1" s="187"/>
      <c r="J1" s="187"/>
      <c r="K1" s="187"/>
      <c r="L1" s="187"/>
      <c r="M1" s="187"/>
      <c r="N1" s="187"/>
      <c r="O1" s="187"/>
      <c r="P1" s="186"/>
    </row>
    <row r="2" spans="1:16" x14ac:dyDescent="0.2">
      <c r="A2" s="58"/>
      <c r="B2" s="47"/>
      <c r="C2" s="47"/>
      <c r="D2" s="47"/>
      <c r="E2" s="47"/>
      <c r="F2" s="44"/>
      <c r="H2" s="167"/>
      <c r="I2" s="182"/>
      <c r="J2" s="182"/>
      <c r="K2" s="162"/>
      <c r="L2" s="162"/>
      <c r="M2" s="162"/>
      <c r="N2" s="182"/>
      <c r="O2" s="181">
        <f>_xll.ohTrigger(O4:O21)</f>
        <v>1</v>
      </c>
      <c r="P2" s="158"/>
    </row>
    <row r="3" spans="1:16" x14ac:dyDescent="0.2">
      <c r="A3" s="28"/>
      <c r="B3" s="57"/>
      <c r="C3" s="41" t="str">
        <f>Currency&amp;"_010_"&amp;"Deposits.xml"</f>
        <v>HKD_010_Deposits.xml</v>
      </c>
      <c r="D3" s="56" t="e">
        <f ca="1">IF(Serialize,_xll.ohObjectSave(D4:D21,SerializationPath&amp;C3,FileOverwrite,,Serialize),"---")</f>
        <v>#NUM!</v>
      </c>
      <c r="E3" s="55" t="str">
        <f ca="1">_xll.ohRangeRetrieveError(D3)</f>
        <v>ohObjectSave - ObjectHandler error: attempt to retrieve object with unknown ID 'HKDOND_Quote'</v>
      </c>
      <c r="F3" s="330" t="s">
        <v>182</v>
      </c>
      <c r="H3" s="167"/>
      <c r="I3" s="316" t="e">
        <f ca="1">_xll.RData(I4:I21,J3:J3,,ReutersRtMode,,J4)</f>
        <v>#NAME?</v>
      </c>
      <c r="J3" s="179" t="s">
        <v>140</v>
      </c>
      <c r="K3" s="162"/>
      <c r="L3" s="178" t="s">
        <v>139</v>
      </c>
      <c r="M3" s="162"/>
      <c r="N3" s="177" t="s">
        <v>137</v>
      </c>
      <c r="O3" s="176" t="s">
        <v>136</v>
      </c>
      <c r="P3" s="158"/>
    </row>
    <row r="4" spans="1:16" x14ac:dyDescent="0.2">
      <c r="A4" s="28"/>
      <c r="B4" s="54" t="s">
        <v>80</v>
      </c>
      <c r="C4" s="53" t="str">
        <f t="shared" ref="C4:C21" si="0">Currency&amp;$B4&amp;QuoteSuffix</f>
        <v>HKDOND_Quote</v>
      </c>
      <c r="D4" s="53" t="str">
        <f>_xll.qlSimpleQuote(C4,,RateTickValue,Permanent,Trigger,ObjectOverwrite)</f>
        <v>HKDOND_Quote#0000</v>
      </c>
      <c r="E4" s="52" t="str">
        <f>_xll.ohRangeRetrieveError(D4)</f>
        <v/>
      </c>
      <c r="F4" s="51"/>
      <c r="H4" s="167"/>
      <c r="I4" s="170" t="str">
        <f>"HIHKD"&amp;B4&amp;"="</f>
        <v>HIHKDOND=</v>
      </c>
      <c r="J4" s="175">
        <v>6.8570000000000006E-2</v>
      </c>
      <c r="K4" s="162" t="s">
        <v>182</v>
      </c>
      <c r="L4" s="174">
        <v>7.4289999999999995E-2</v>
      </c>
      <c r="M4" s="162" t="s">
        <v>182</v>
      </c>
      <c r="N4" s="241">
        <f t="array" ref="N4:N21">QuoteStatic</f>
        <v>7.4289999999999995E-2</v>
      </c>
      <c r="O4" s="172" t="e">
        <f>_xll.qlSimpleQuoteSetValue(C4,N4/100,ISERROR(D4))</f>
        <v>#N/A</v>
      </c>
      <c r="P4" s="158"/>
    </row>
    <row r="5" spans="1:16" x14ac:dyDescent="0.2">
      <c r="A5" s="28"/>
      <c r="B5" s="54" t="s">
        <v>79</v>
      </c>
      <c r="C5" s="53" t="str">
        <f t="shared" si="0"/>
        <v>HKDTND_Quote</v>
      </c>
      <c r="D5" s="53" t="str">
        <f>_xll.qlSimpleQuote(C5,,RateTickValue,Permanent,Trigger,ObjectOverwrite)</f>
        <v>HKDTND_Quote#0000</v>
      </c>
      <c r="E5" s="52" t="str">
        <f>_xll.ohRangeRetrieveError(D5)</f>
        <v/>
      </c>
      <c r="F5" s="51"/>
      <c r="H5" s="167"/>
      <c r="I5" s="170" t="str">
        <f t="shared" ref="I5:I21" si="1">"HIHKD"&amp;B5&amp;"="</f>
        <v>HIHKDTND=</v>
      </c>
      <c r="J5" s="164" t="s">
        <v>189</v>
      </c>
      <c r="K5" s="320" t="s">
        <v>182</v>
      </c>
      <c r="L5" s="171" t="s">
        <v>189</v>
      </c>
      <c r="M5" s="320" t="s">
        <v>182</v>
      </c>
      <c r="N5" s="230" t="str">
        <v>The record could not be found</v>
      </c>
      <c r="O5" s="168" t="e">
        <f>_xll.qlSimpleQuoteSetValue(C5,N5/100,ISERROR(D5))</f>
        <v>#NUM!</v>
      </c>
      <c r="P5" s="158"/>
    </row>
    <row r="6" spans="1:16" x14ac:dyDescent="0.2">
      <c r="A6" s="28"/>
      <c r="B6" s="54" t="s">
        <v>78</v>
      </c>
      <c r="C6" s="53" t="str">
        <f t="shared" si="0"/>
        <v>HKDSND_Quote</v>
      </c>
      <c r="D6" s="53" t="str">
        <f>_xll.qlSimpleQuote(C6,,RateTickValue,Permanent,Trigger,ObjectOverwrite)</f>
        <v>HKDSND_Quote#0000</v>
      </c>
      <c r="E6" s="52" t="str">
        <f>_xll.ohRangeRetrieveError(D6)</f>
        <v/>
      </c>
      <c r="F6" s="51"/>
      <c r="H6" s="167"/>
      <c r="I6" s="170" t="str">
        <f t="shared" si="1"/>
        <v>HIHKDSND=</v>
      </c>
      <c r="J6" s="164" t="s">
        <v>189</v>
      </c>
      <c r="K6" s="162" t="s">
        <v>182</v>
      </c>
      <c r="L6" s="171" t="s">
        <v>189</v>
      </c>
      <c r="M6" s="162" t="s">
        <v>182</v>
      </c>
      <c r="N6" s="230" t="str">
        <v>The record could not be found</v>
      </c>
      <c r="O6" s="168" t="e">
        <f>_xll.qlSimpleQuoteSetValue(C6,N6/100,ISERROR(D6))</f>
        <v>#NUM!</v>
      </c>
      <c r="P6" s="158"/>
    </row>
    <row r="7" spans="1:16" x14ac:dyDescent="0.2">
      <c r="A7" s="28"/>
      <c r="B7" s="54" t="s">
        <v>77</v>
      </c>
      <c r="C7" s="53" t="str">
        <f t="shared" si="0"/>
        <v>HKDSWD_Quote</v>
      </c>
      <c r="D7" s="53" t="str">
        <f>_xll.qlSimpleQuote(C7,,RateTickValue,Permanent,Trigger,ObjectOverwrite)</f>
        <v>HKDSWD_Quote#0000</v>
      </c>
      <c r="E7" s="52" t="str">
        <f>_xll.ohRangeRetrieveError(D7)</f>
        <v/>
      </c>
      <c r="F7" s="51"/>
      <c r="H7" s="167"/>
      <c r="I7" s="170" t="str">
        <f t="shared" si="1"/>
        <v>HIHKDSWD=</v>
      </c>
      <c r="J7" s="164" t="s">
        <v>189</v>
      </c>
      <c r="K7" s="162" t="s">
        <v>182</v>
      </c>
      <c r="L7" s="171" t="s">
        <v>189</v>
      </c>
      <c r="M7" s="162" t="s">
        <v>182</v>
      </c>
      <c r="N7" s="230" t="str">
        <v>The record could not be found</v>
      </c>
      <c r="O7" s="168" t="e">
        <f>_xll.qlSimpleQuoteSetValue(C7,N7/100,ISERROR(D7))</f>
        <v>#NUM!</v>
      </c>
      <c r="P7" s="158"/>
    </row>
    <row r="8" spans="1:16" x14ac:dyDescent="0.2">
      <c r="A8" s="28"/>
      <c r="B8" s="54" t="s">
        <v>76</v>
      </c>
      <c r="C8" s="53" t="str">
        <f t="shared" si="0"/>
        <v>HKD2WD_Quote</v>
      </c>
      <c r="D8" s="53" t="str">
        <f>_xll.qlSimpleQuote(C8,,RateTickValue,Permanent,Trigger,ObjectOverwrite)</f>
        <v>HKD2WD_Quote#0000</v>
      </c>
      <c r="E8" s="52" t="str">
        <f>_xll.ohRangeRetrieveError(D8)</f>
        <v/>
      </c>
      <c r="F8" s="51"/>
      <c r="H8" s="167"/>
      <c r="I8" s="170" t="str">
        <f t="shared" si="1"/>
        <v>HIHKD2WD=</v>
      </c>
      <c r="J8" s="164">
        <v>0.15434999999999999</v>
      </c>
      <c r="K8" s="162" t="s">
        <v>182</v>
      </c>
      <c r="L8" s="171">
        <v>0.15928999999999999</v>
      </c>
      <c r="M8" s="162" t="s">
        <v>182</v>
      </c>
      <c r="N8" s="230">
        <v>0.15928999999999999</v>
      </c>
      <c r="O8" s="168" t="e">
        <f>_xll.qlSimpleQuoteSetValue(C8,N8/100,ISERROR(D8))</f>
        <v>#N/A</v>
      </c>
      <c r="P8" s="158"/>
    </row>
    <row r="9" spans="1:16" x14ac:dyDescent="0.2">
      <c r="A9" s="28"/>
      <c r="B9" s="54" t="s">
        <v>75</v>
      </c>
      <c r="C9" s="53" t="str">
        <f t="shared" si="0"/>
        <v>HKD3WD_Quote</v>
      </c>
      <c r="D9" s="53" t="str">
        <f>_xll.qlSimpleQuote(C9,,RateTickValue,Permanent,Trigger,ObjectOverwrite)</f>
        <v>HKD3WD_Quote#0000</v>
      </c>
      <c r="E9" s="52" t="str">
        <f>_xll.ohRangeRetrieveError(D9)</f>
        <v/>
      </c>
      <c r="F9" s="51"/>
      <c r="H9" s="167"/>
      <c r="I9" s="170" t="str">
        <f t="shared" si="1"/>
        <v>HIHKD3WD=</v>
      </c>
      <c r="J9" s="164" t="s">
        <v>189</v>
      </c>
      <c r="K9" s="162" t="s">
        <v>182</v>
      </c>
      <c r="L9" s="171" t="s">
        <v>189</v>
      </c>
      <c r="M9" s="162" t="s">
        <v>182</v>
      </c>
      <c r="N9" s="230" t="str">
        <v>The record could not be found</v>
      </c>
      <c r="O9" s="168" t="e">
        <f>_xll.qlSimpleQuoteSetValue(C9,N9/100,ISERROR(D9))</f>
        <v>#NUM!</v>
      </c>
      <c r="P9" s="158"/>
    </row>
    <row r="10" spans="1:16" x14ac:dyDescent="0.2">
      <c r="A10" s="28"/>
      <c r="B10" s="54" t="s">
        <v>74</v>
      </c>
      <c r="C10" s="53" t="str">
        <f t="shared" si="0"/>
        <v>HKD1MD_Quote</v>
      </c>
      <c r="D10" s="53" t="str">
        <f>_xll.qlSimpleQuote(C10,,RateTickValue,Permanent,Trigger,ObjectOverwrite)</f>
        <v>HKD1MD_Quote#0000</v>
      </c>
      <c r="E10" s="52" t="str">
        <f>_xll.ohRangeRetrieveError(D10)</f>
        <v/>
      </c>
      <c r="F10" s="51"/>
      <c r="H10" s="167"/>
      <c r="I10" s="170" t="str">
        <f t="shared" si="1"/>
        <v>HIHKD1MD=</v>
      </c>
      <c r="J10" s="164">
        <v>0.21143000000000001</v>
      </c>
      <c r="K10" s="162" t="s">
        <v>182</v>
      </c>
      <c r="L10" s="171">
        <v>0.21357000000000001</v>
      </c>
      <c r="M10" s="162" t="s">
        <v>182</v>
      </c>
      <c r="N10" s="230">
        <v>0.21357000000000001</v>
      </c>
      <c r="O10" s="168" t="e">
        <f>_xll.qlSimpleQuoteSetValue(C10,N10/100,ISERROR(D10))</f>
        <v>#N/A</v>
      </c>
      <c r="P10" s="158"/>
    </row>
    <row r="11" spans="1:16" x14ac:dyDescent="0.2">
      <c r="A11" s="28"/>
      <c r="B11" s="54" t="s">
        <v>73</v>
      </c>
      <c r="C11" s="53" t="str">
        <f t="shared" si="0"/>
        <v>HKD2MD_Quote</v>
      </c>
      <c r="D11" s="53" t="str">
        <f>_xll.qlSimpleQuote(C11,,RateTickValue,Permanent,Trigger,ObjectOverwrite)</f>
        <v>HKD2MD_Quote#0000</v>
      </c>
      <c r="E11" s="52" t="str">
        <f>_xll.ohRangeRetrieveError(D11)</f>
        <v/>
      </c>
      <c r="F11" s="51"/>
      <c r="H11" s="167"/>
      <c r="I11" s="170" t="str">
        <f t="shared" si="1"/>
        <v>HIHKD2MD=</v>
      </c>
      <c r="J11" s="164">
        <v>0.31286000000000003</v>
      </c>
      <c r="K11" s="162" t="s">
        <v>182</v>
      </c>
      <c r="L11" s="171">
        <v>0.31429000000000001</v>
      </c>
      <c r="M11" s="162" t="s">
        <v>182</v>
      </c>
      <c r="N11" s="230">
        <v>0.31429000000000001</v>
      </c>
      <c r="O11" s="168" t="e">
        <f>_xll.qlSimpleQuoteSetValue(C11,N11/100,ISERROR(D11))</f>
        <v>#N/A</v>
      </c>
      <c r="P11" s="158"/>
    </row>
    <row r="12" spans="1:16" x14ac:dyDescent="0.2">
      <c r="A12" s="28"/>
      <c r="B12" s="54" t="s">
        <v>72</v>
      </c>
      <c r="C12" s="53" t="str">
        <f t="shared" si="0"/>
        <v>HKD3MD_Quote</v>
      </c>
      <c r="D12" s="53" t="str">
        <f>_xll.qlSimpleQuote(C12,,RateTickValue,Permanent,Trigger,ObjectOverwrite)</f>
        <v>HKD3MD_Quote#0000</v>
      </c>
      <c r="E12" s="52" t="str">
        <f>_xll.ohRangeRetrieveError(D12)</f>
        <v/>
      </c>
      <c r="F12" s="51"/>
      <c r="H12" s="167"/>
      <c r="I12" s="170" t="str">
        <f t="shared" si="1"/>
        <v>HIHKD3MD=</v>
      </c>
      <c r="J12" s="164">
        <v>0.37929000000000002</v>
      </c>
      <c r="K12" s="162" t="s">
        <v>182</v>
      </c>
      <c r="L12" s="171">
        <v>0.37857000000000002</v>
      </c>
      <c r="M12" s="162" t="s">
        <v>182</v>
      </c>
      <c r="N12" s="230">
        <v>0.37857000000000002</v>
      </c>
      <c r="O12" s="168" t="e">
        <f>_xll.qlSimpleQuoteSetValue(C12,N12/100,ISERROR(D12))</f>
        <v>#N/A</v>
      </c>
      <c r="P12" s="158"/>
    </row>
    <row r="13" spans="1:16" x14ac:dyDescent="0.2">
      <c r="A13" s="28"/>
      <c r="B13" s="54" t="s">
        <v>71</v>
      </c>
      <c r="C13" s="53" t="str">
        <f t="shared" si="0"/>
        <v>HKD4MD_Quote</v>
      </c>
      <c r="D13" s="53" t="str">
        <f>_xll.qlSimpleQuote(C13,,RateTickValue,Permanent,Trigger,ObjectOverwrite)</f>
        <v>HKD4MD_Quote#0000</v>
      </c>
      <c r="E13" s="52" t="str">
        <f>_xll.ohRangeRetrieveError(D13)</f>
        <v/>
      </c>
      <c r="F13" s="51"/>
      <c r="H13" s="167"/>
      <c r="I13" s="170" t="str">
        <f t="shared" si="1"/>
        <v>HIHKD4MD=</v>
      </c>
      <c r="J13" s="164">
        <v>0.41266999999999998</v>
      </c>
      <c r="K13" s="162" t="s">
        <v>182</v>
      </c>
      <c r="L13" s="171">
        <v>0.41293000000000002</v>
      </c>
      <c r="M13" s="162" t="s">
        <v>182</v>
      </c>
      <c r="N13" s="230">
        <v>0.41293000000000002</v>
      </c>
      <c r="O13" s="168" t="e">
        <f>_xll.qlSimpleQuoteSetValue(C13,N13/100,ISERROR(D13))</f>
        <v>#N/A</v>
      </c>
      <c r="P13" s="158"/>
    </row>
    <row r="14" spans="1:16" x14ac:dyDescent="0.2">
      <c r="A14" s="28"/>
      <c r="B14" s="54" t="s">
        <v>70</v>
      </c>
      <c r="C14" s="53" t="str">
        <f t="shared" si="0"/>
        <v>HKD5MD_Quote</v>
      </c>
      <c r="D14" s="53" t="str">
        <f>_xll.qlSimpleQuote(C14,,RateTickValue,Permanent,Trigger,ObjectOverwrite)</f>
        <v>HKD5MD_Quote#0000</v>
      </c>
      <c r="E14" s="52" t="str">
        <f>_xll.ohRangeRetrieveError(D14)</f>
        <v/>
      </c>
      <c r="F14" s="51"/>
      <c r="H14" s="167"/>
      <c r="I14" s="170" t="str">
        <f t="shared" si="1"/>
        <v>HIHKD5MD=</v>
      </c>
      <c r="J14" s="164">
        <v>0.46143000000000001</v>
      </c>
      <c r="K14" s="162" t="s">
        <v>182</v>
      </c>
      <c r="L14" s="171">
        <v>0.46126</v>
      </c>
      <c r="M14" s="162" t="s">
        <v>182</v>
      </c>
      <c r="N14" s="230">
        <v>0.46126</v>
      </c>
      <c r="O14" s="168" t="e">
        <f>_xll.qlSimpleQuoteSetValue(C14,N14/100,ISERROR(D14))</f>
        <v>#N/A</v>
      </c>
      <c r="P14" s="158"/>
    </row>
    <row r="15" spans="1:16" x14ac:dyDescent="0.2">
      <c r="A15" s="28"/>
      <c r="B15" s="54" t="s">
        <v>69</v>
      </c>
      <c r="C15" s="53" t="str">
        <f t="shared" si="0"/>
        <v>HKD6MD_Quote</v>
      </c>
      <c r="D15" s="53" t="str">
        <f>_xll.qlSimpleQuote(C15,,RateTickValue,Permanent,Trigger,ObjectOverwrite)</f>
        <v>HKD6MD_Quote#0000</v>
      </c>
      <c r="E15" s="52" t="str">
        <f>_xll.ohRangeRetrieveError(D15)</f>
        <v/>
      </c>
      <c r="F15" s="51"/>
      <c r="H15" s="167"/>
      <c r="I15" s="170" t="str">
        <f t="shared" si="1"/>
        <v>HIHKD6MD=</v>
      </c>
      <c r="J15" s="164">
        <v>0.54857</v>
      </c>
      <c r="K15" s="162" t="s">
        <v>182</v>
      </c>
      <c r="L15" s="171">
        <v>0.54857</v>
      </c>
      <c r="M15" s="162" t="s">
        <v>182</v>
      </c>
      <c r="N15" s="230">
        <v>0.54857</v>
      </c>
      <c r="O15" s="168" t="e">
        <f>_xll.qlSimpleQuoteSetValue(C15,N15/100,ISERROR(D15))</f>
        <v>#N/A</v>
      </c>
      <c r="P15" s="158"/>
    </row>
    <row r="16" spans="1:16" x14ac:dyDescent="0.2">
      <c r="A16" s="28"/>
      <c r="B16" s="54" t="s">
        <v>68</v>
      </c>
      <c r="C16" s="53" t="str">
        <f t="shared" si="0"/>
        <v>HKD7MD_Quote</v>
      </c>
      <c r="D16" s="53" t="str">
        <f>_xll.qlSimpleQuote(C16,,RateTickValue,Permanent,Trigger,ObjectOverwrite)</f>
        <v>HKD7MD_Quote#0000</v>
      </c>
      <c r="E16" s="52" t="str">
        <f>_xll.ohRangeRetrieveError(D16)</f>
        <v/>
      </c>
      <c r="F16" s="51"/>
      <c r="H16" s="167"/>
      <c r="I16" s="170" t="str">
        <f t="shared" si="1"/>
        <v>HIHKD7MD=</v>
      </c>
      <c r="J16" s="164">
        <v>0.57643</v>
      </c>
      <c r="K16" s="162" t="s">
        <v>182</v>
      </c>
      <c r="L16" s="171">
        <v>0.57643</v>
      </c>
      <c r="M16" s="162" t="s">
        <v>182</v>
      </c>
      <c r="N16" s="230">
        <v>0.57643</v>
      </c>
      <c r="O16" s="168" t="e">
        <f>_xll.qlSimpleQuoteSetValue(C16,N16/100,ISERROR(D16))</f>
        <v>#N/A</v>
      </c>
      <c r="P16" s="158"/>
    </row>
    <row r="17" spans="1:16" x14ac:dyDescent="0.2">
      <c r="A17" s="28"/>
      <c r="B17" s="54" t="s">
        <v>67</v>
      </c>
      <c r="C17" s="53" t="str">
        <f t="shared" si="0"/>
        <v>HKD8MD_Quote</v>
      </c>
      <c r="D17" s="53" t="str">
        <f>_xll.qlSimpleQuote(C17,,RateTickValue,Permanent,Trigger,ObjectOverwrite)</f>
        <v>HKD8MD_Quote#0000</v>
      </c>
      <c r="E17" s="52" t="str">
        <f>_xll.ohRangeRetrieveError(D17)</f>
        <v/>
      </c>
      <c r="F17" s="51"/>
      <c r="H17" s="167"/>
      <c r="I17" s="170" t="str">
        <f t="shared" si="1"/>
        <v>HIHKD8MD=</v>
      </c>
      <c r="J17" s="164">
        <v>0.61024</v>
      </c>
      <c r="K17" s="162" t="s">
        <v>182</v>
      </c>
      <c r="L17" s="171">
        <v>0.60958000000000001</v>
      </c>
      <c r="M17" s="162" t="s">
        <v>182</v>
      </c>
      <c r="N17" s="230">
        <v>0.60958000000000001</v>
      </c>
      <c r="O17" s="168" t="e">
        <f>_xll.qlSimpleQuoteSetValue(C17,N17/100,ISERROR(D17))</f>
        <v>#N/A</v>
      </c>
      <c r="P17" s="158"/>
    </row>
    <row r="18" spans="1:16" x14ac:dyDescent="0.2">
      <c r="A18" s="28"/>
      <c r="B18" s="54" t="s">
        <v>66</v>
      </c>
      <c r="C18" s="53" t="str">
        <f t="shared" si="0"/>
        <v>HKD9MD_Quote</v>
      </c>
      <c r="D18" s="53" t="str">
        <f>_xll.qlSimpleQuote(C18,,RateTickValue,Permanent,Trigger,ObjectOverwrite)</f>
        <v>HKD9MD_Quote#0000</v>
      </c>
      <c r="E18" s="52" t="str">
        <f>_xll.ohRangeRetrieveError(D18)</f>
        <v/>
      </c>
      <c r="F18" s="51"/>
      <c r="H18" s="167"/>
      <c r="I18" s="170" t="str">
        <f t="shared" si="1"/>
        <v>HIHKD9MD=</v>
      </c>
      <c r="J18" s="164">
        <v>0.63914000000000004</v>
      </c>
      <c r="K18" s="162" t="s">
        <v>182</v>
      </c>
      <c r="L18" s="171">
        <v>0.63846999999999998</v>
      </c>
      <c r="M18" s="162" t="s">
        <v>182</v>
      </c>
      <c r="N18" s="230">
        <v>0.63846999999999998</v>
      </c>
      <c r="O18" s="168" t="e">
        <f>_xll.qlSimpleQuoteSetValue(C18,N18/100,ISERROR(D18))</f>
        <v>#N/A</v>
      </c>
      <c r="P18" s="158"/>
    </row>
    <row r="19" spans="1:16" x14ac:dyDescent="0.2">
      <c r="A19" s="28"/>
      <c r="B19" s="54" t="s">
        <v>65</v>
      </c>
      <c r="C19" s="53" t="str">
        <f t="shared" si="0"/>
        <v>HKD10MD_Quote</v>
      </c>
      <c r="D19" s="53" t="str">
        <f>_xll.qlSimpleQuote(C19,,RateTickValue,Permanent,Trigger,ObjectOverwrite)</f>
        <v>HKD10MD_Quote#0000</v>
      </c>
      <c r="E19" s="52" t="str">
        <f>_xll.ohRangeRetrieveError(D19)</f>
        <v/>
      </c>
      <c r="F19" s="51"/>
      <c r="H19" s="167"/>
      <c r="I19" s="170" t="str">
        <f t="shared" si="1"/>
        <v>HIHKD10MD=</v>
      </c>
      <c r="J19" s="164">
        <v>0.71260999999999997</v>
      </c>
      <c r="K19" s="162" t="s">
        <v>182</v>
      </c>
      <c r="L19" s="171">
        <v>0.71267999999999998</v>
      </c>
      <c r="M19" s="162" t="s">
        <v>182</v>
      </c>
      <c r="N19" s="230">
        <v>0.71267999999999998</v>
      </c>
      <c r="O19" s="168" t="e">
        <f>_xll.qlSimpleQuoteSetValue(C19,N19/100,ISERROR(D19))</f>
        <v>#N/A</v>
      </c>
      <c r="P19" s="158"/>
    </row>
    <row r="20" spans="1:16" x14ac:dyDescent="0.2">
      <c r="A20" s="28"/>
      <c r="B20" s="54" t="s">
        <v>64</v>
      </c>
      <c r="C20" s="53" t="str">
        <f t="shared" si="0"/>
        <v>HKD11MD_Quote</v>
      </c>
      <c r="D20" s="53" t="str">
        <f>_xll.qlSimpleQuote(C20,,RateTickValue,Permanent,Trigger,ObjectOverwrite)</f>
        <v>HKD11MD_Quote#0000</v>
      </c>
      <c r="E20" s="52" t="str">
        <f>_xll.ohRangeRetrieveError(D20)</f>
        <v/>
      </c>
      <c r="F20" s="51"/>
      <c r="H20" s="167"/>
      <c r="I20" s="170" t="str">
        <f t="shared" si="1"/>
        <v>HIHKD11MD=</v>
      </c>
      <c r="J20" s="164">
        <v>0.78929000000000005</v>
      </c>
      <c r="K20" s="162" t="s">
        <v>182</v>
      </c>
      <c r="L20" s="171">
        <v>0.79</v>
      </c>
      <c r="M20" s="162" t="s">
        <v>182</v>
      </c>
      <c r="N20" s="230">
        <v>0.79</v>
      </c>
      <c r="O20" s="168" t="e">
        <f>_xll.qlSimpleQuoteSetValue(C20,N20/100,ISERROR(D20))</f>
        <v>#N/A</v>
      </c>
      <c r="P20" s="158"/>
    </row>
    <row r="21" spans="1:16" x14ac:dyDescent="0.2">
      <c r="A21" s="28"/>
      <c r="B21" s="54" t="s">
        <v>63</v>
      </c>
      <c r="C21" s="53" t="str">
        <f t="shared" si="0"/>
        <v>HKD1YD_Quote</v>
      </c>
      <c r="D21" s="53" t="str">
        <f>_xll.qlSimpleQuote(C21,,RateTickValue,Permanent,Trigger,ObjectOverwrite)</f>
        <v>HKD1YD_Quote#0000</v>
      </c>
      <c r="E21" s="52" t="str">
        <f>_xll.ohRangeRetrieveError(D21)</f>
        <v/>
      </c>
      <c r="F21" s="51"/>
      <c r="H21" s="167"/>
      <c r="I21" s="161" t="str">
        <f t="shared" si="1"/>
        <v>HIHKD1YD=</v>
      </c>
      <c r="J21" s="164">
        <v>0.86356999999999995</v>
      </c>
      <c r="K21" s="162" t="s">
        <v>182</v>
      </c>
      <c r="L21" s="163">
        <v>0.86570999999999998</v>
      </c>
      <c r="M21" s="162" t="s">
        <v>182</v>
      </c>
      <c r="N21" s="223">
        <v>0.86570999999999998</v>
      </c>
      <c r="O21" s="159" t="e">
        <f>_xll.qlSimpleQuoteSetValue(C21,N21/100,ISERROR(D21))</f>
        <v>#N/A</v>
      </c>
      <c r="P21" s="158"/>
    </row>
    <row r="22" spans="1:16" ht="12" thickBot="1" x14ac:dyDescent="0.25">
      <c r="A22" s="21"/>
      <c r="B22" s="20"/>
      <c r="C22" s="20"/>
      <c r="D22" s="20"/>
      <c r="E22" s="20"/>
      <c r="F22" s="18"/>
      <c r="H22" s="157"/>
      <c r="I22" s="156"/>
      <c r="J22" s="156"/>
      <c r="K22" s="155"/>
      <c r="L22" s="155"/>
      <c r="M22" s="155"/>
      <c r="N22" s="155"/>
      <c r="O22" s="155"/>
      <c r="P22" s="154"/>
    </row>
  </sheetData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5"/>
  <sheetViews>
    <sheetView workbookViewId="0"/>
  </sheetViews>
  <sheetFormatPr defaultRowHeight="12.75" x14ac:dyDescent="0.2"/>
  <cols>
    <col min="1" max="1" width="2.7109375" style="38" customWidth="1"/>
    <col min="2" max="2" width="5.85546875" style="38" bestFit="1" customWidth="1"/>
    <col min="3" max="3" width="4.42578125" style="38" bestFit="1" customWidth="1"/>
    <col min="4" max="4" width="15.5703125" style="60" bestFit="1" customWidth="1"/>
    <col min="5" max="5" width="21.7109375" style="38" bestFit="1" customWidth="1"/>
    <col min="6" max="6" width="57.42578125" style="59" customWidth="1"/>
    <col min="7" max="9" width="2.7109375" style="38" customWidth="1"/>
    <col min="10" max="10" width="5.5703125" style="38" bestFit="1" customWidth="1"/>
    <col min="11" max="11" width="4.7109375" style="38" bestFit="1" customWidth="1"/>
    <col min="12" max="12" width="9.140625" style="38"/>
    <col min="13" max="13" width="14.5703125" style="38" bestFit="1" customWidth="1"/>
    <col min="14" max="16" width="9.140625" style="38"/>
    <col min="17" max="17" width="15.28515625" style="38" customWidth="1"/>
    <col min="18" max="18" width="9.140625" style="38"/>
    <col min="19" max="19" width="2.7109375" style="38" customWidth="1"/>
    <col min="20" max="20" width="9.140625" style="38"/>
    <col min="21" max="21" width="2.7109375" style="38" customWidth="1"/>
    <col min="22" max="23" width="9.140625" style="38"/>
    <col min="24" max="24" width="2.7109375" style="38" customWidth="1"/>
    <col min="25" max="16384" width="9.140625" style="38"/>
  </cols>
  <sheetData>
    <row r="1" spans="1:27" x14ac:dyDescent="0.2">
      <c r="A1" s="315" t="s">
        <v>180</v>
      </c>
      <c r="B1" s="86"/>
      <c r="C1" s="86"/>
      <c r="D1" s="86"/>
      <c r="E1" s="86"/>
      <c r="F1" s="86"/>
      <c r="G1" s="65"/>
      <c r="I1" s="16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6"/>
      <c r="Y1" s="190"/>
      <c r="Z1" s="190"/>
      <c r="AA1" s="190"/>
    </row>
    <row r="2" spans="1:27" x14ac:dyDescent="0.2">
      <c r="A2" s="315"/>
      <c r="B2" s="86"/>
      <c r="C2" s="86"/>
      <c r="D2" s="86"/>
      <c r="E2" s="86"/>
      <c r="F2" s="86"/>
      <c r="G2" s="65"/>
      <c r="I2" s="167"/>
      <c r="J2" s="220"/>
      <c r="K2" s="220"/>
      <c r="L2" s="220"/>
      <c r="M2" s="184" t="s">
        <v>154</v>
      </c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183"/>
      <c r="Y2" s="190"/>
      <c r="Z2" s="190"/>
      <c r="AA2" s="190"/>
    </row>
    <row r="3" spans="1:27" x14ac:dyDescent="0.2">
      <c r="A3" s="315"/>
      <c r="B3" s="86"/>
      <c r="C3" s="86"/>
      <c r="D3" s="86"/>
      <c r="E3" s="86"/>
      <c r="F3" s="86"/>
      <c r="G3" s="65"/>
      <c r="I3" s="167"/>
      <c r="J3" s="220"/>
      <c r="K3" s="162"/>
      <c r="L3" s="220"/>
      <c r="M3" s="220"/>
      <c r="N3" s="220"/>
      <c r="O3" s="220"/>
      <c r="P3" s="220"/>
      <c r="Q3" s="220"/>
      <c r="R3" s="220"/>
      <c r="S3" s="162"/>
      <c r="T3" s="162"/>
      <c r="U3" s="162"/>
      <c r="V3" s="220"/>
      <c r="W3" s="181">
        <f>_xll.ohTrigger(W7:W28)</f>
        <v>1</v>
      </c>
      <c r="X3" s="183"/>
      <c r="Y3" s="190"/>
      <c r="Z3" s="190"/>
      <c r="AA3" s="190"/>
    </row>
    <row r="4" spans="1:27" ht="24" customHeight="1" x14ac:dyDescent="0.2">
      <c r="A4" s="71"/>
      <c r="B4" s="85"/>
      <c r="C4" s="84"/>
      <c r="D4" s="83" t="str">
        <f>Currency&amp;"_010_"&amp;"FRA.xml"</f>
        <v>HKD_010_FRA.xml</v>
      </c>
      <c r="E4" s="82" t="e">
        <f ca="1">IF(Serialize,_xll.ohObjectSave(E5:E40,SerializationPath&amp;D4,FileOverwrite,,Serialize),"---")</f>
        <v>#NUM!</v>
      </c>
      <c r="F4" s="81" t="str">
        <f ca="1">_xll.ohRangeRetrieveError(E4)</f>
        <v>ohObjectSave - ObjectHandler error: attempt to retrieve object with unknown ID 'HKDT1F1_Quote'</v>
      </c>
      <c r="G4" s="328" t="s">
        <v>182</v>
      </c>
      <c r="I4" s="185"/>
      <c r="J4" s="219"/>
      <c r="K4" s="218"/>
      <c r="L4" s="217"/>
      <c r="M4" s="180" t="e">
        <f ca="1">_xll.RData(M7:M38,N4:Q4,,ReutersRtMode,,N7)</f>
        <v>#NAME?</v>
      </c>
      <c r="N4" s="216" t="s">
        <v>160</v>
      </c>
      <c r="O4" s="216" t="s">
        <v>145</v>
      </c>
      <c r="P4" s="216" t="s">
        <v>144</v>
      </c>
      <c r="Q4" s="216" t="s">
        <v>159</v>
      </c>
      <c r="R4" s="176" t="s">
        <v>158</v>
      </c>
      <c r="S4" s="162"/>
      <c r="T4" s="178" t="s">
        <v>139</v>
      </c>
      <c r="U4" s="162"/>
      <c r="V4" s="319" t="s">
        <v>137</v>
      </c>
      <c r="W4" s="261" t="s">
        <v>136</v>
      </c>
      <c r="X4" s="183"/>
      <c r="Y4" s="190"/>
      <c r="Z4" s="190"/>
      <c r="AA4" s="190"/>
    </row>
    <row r="5" spans="1:27" x14ac:dyDescent="0.2">
      <c r="A5" s="71"/>
      <c r="B5" s="75" t="s">
        <v>99</v>
      </c>
      <c r="C5" s="76" t="s">
        <v>82</v>
      </c>
      <c r="D5" s="75" t="str">
        <f t="shared" ref="D5:D40" si="0">Currency&amp;$B5&amp;$C5&amp;QuoteSuffix</f>
        <v>HKDT1F1_Quote</v>
      </c>
      <c r="E5" s="74" t="str">
        <f>_xll.qlSimpleQuote(D5,,RateTickValue,Permanent,Trigger,ObjectOverwrite)</f>
        <v>HKDT1F1_Quote#0000</v>
      </c>
      <c r="F5" s="73" t="str">
        <f>_xll.ohRangeRetrieveError(E5)</f>
        <v/>
      </c>
      <c r="G5" s="65"/>
      <c r="I5" s="167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0"/>
      <c r="U5" s="220"/>
      <c r="V5" s="220"/>
      <c r="W5" s="220"/>
      <c r="X5" s="158"/>
      <c r="Y5" s="190"/>
      <c r="Z5" s="190"/>
      <c r="AA5" s="190"/>
    </row>
    <row r="6" spans="1:27" x14ac:dyDescent="0.2">
      <c r="A6" s="71"/>
      <c r="B6" s="68" t="s">
        <v>98</v>
      </c>
      <c r="C6" s="72" t="s">
        <v>82</v>
      </c>
      <c r="D6" s="68" t="str">
        <f t="shared" si="0"/>
        <v>HKDTOM1F1_Quote</v>
      </c>
      <c r="E6" s="67" t="str">
        <f>_xll.qlSimpleQuote(D6,,RateTickValue,Permanent,Trigger,ObjectOverwrite)</f>
        <v>HKDTOM1F1_Quote#0000</v>
      </c>
      <c r="F6" s="66" t="str">
        <f>_xll.ohRangeRetrieveError(E6)</f>
        <v/>
      </c>
      <c r="G6" s="65"/>
      <c r="I6" s="167"/>
      <c r="J6" s="220"/>
      <c r="K6" s="220"/>
      <c r="L6" s="220"/>
      <c r="M6" s="220"/>
      <c r="N6" s="220"/>
      <c r="O6" s="220"/>
      <c r="P6" s="220"/>
      <c r="Q6" s="220"/>
      <c r="R6" s="220"/>
      <c r="S6" s="220"/>
      <c r="T6" s="220"/>
      <c r="U6" s="220"/>
      <c r="V6" s="220"/>
      <c r="W6" s="220"/>
      <c r="X6" s="158"/>
      <c r="Y6" s="190"/>
      <c r="Z6" s="322" t="s">
        <v>157</v>
      </c>
      <c r="AA6" s="190"/>
    </row>
    <row r="7" spans="1:27" x14ac:dyDescent="0.2">
      <c r="A7" s="71"/>
      <c r="B7" s="75" t="s">
        <v>97</v>
      </c>
      <c r="C7" s="76" t="s">
        <v>82</v>
      </c>
      <c r="D7" s="75" t="str">
        <f t="shared" si="0"/>
        <v>HKDT3F1_Quote</v>
      </c>
      <c r="E7" s="74" t="str">
        <f>_xll.qlSimpleQuote(D7,,RateTickValue,Permanent,Trigger,ObjectOverwrite)</f>
        <v>HKDT3F1_Quote#0000</v>
      </c>
      <c r="F7" s="73" t="str">
        <f>_xll.ohRangeRetrieveError(E7)</f>
        <v/>
      </c>
      <c r="G7" s="65"/>
      <c r="I7" s="167"/>
      <c r="J7" s="214" t="s">
        <v>97</v>
      </c>
      <c r="K7" s="213" t="s">
        <v>82</v>
      </c>
      <c r="L7" s="211" t="str">
        <f t="shared" ref="L7:L38" si="1">Currency&amp;$J7&amp;$K7</f>
        <v>HKDT3F1</v>
      </c>
      <c r="M7" s="211" t="str">
        <f t="array" ref="M7:M38">UPPER(Instruments)&amp;"="&amp;VLOOKUP(Contributor,ContributorTable,2,FALSE)</f>
        <v>HKDT3F1=PREA</v>
      </c>
      <c r="N7" s="212" t="s">
        <v>189</v>
      </c>
      <c r="O7" s="212" t="s">
        <v>189</v>
      </c>
      <c r="P7" s="211" t="s">
        <v>189</v>
      </c>
      <c r="Q7" s="211" t="s">
        <v>189</v>
      </c>
      <c r="R7" s="175" t="e">
        <f>_xll.qlMidSafe($N7,$O7)</f>
        <v>#NUM!</v>
      </c>
      <c r="S7" s="162"/>
      <c r="T7" s="210" t="e">
        <v>#NUM!</v>
      </c>
      <c r="U7" s="162"/>
      <c r="V7" s="241" t="e">
        <f t="array" ref="V7:V38">QuoteStatic</f>
        <v>#NUM!</v>
      </c>
      <c r="W7" s="172" t="e">
        <f>_xll.qlSimpleQuoteSetValue(D7,V7/100,ISERROR(E7))</f>
        <v>#NUM!</v>
      </c>
      <c r="X7" s="158"/>
      <c r="Y7" s="190"/>
      <c r="Z7" s="191" t="e">
        <f t="shared" ref="Z7:Z17" si="2">(O7-R7)/50</f>
        <v>#VALUE!</v>
      </c>
      <c r="AA7" s="190"/>
    </row>
    <row r="8" spans="1:27" x14ac:dyDescent="0.2">
      <c r="A8" s="71"/>
      <c r="B8" s="68" t="s">
        <v>96</v>
      </c>
      <c r="C8" s="72" t="s">
        <v>82</v>
      </c>
      <c r="D8" s="68" t="str">
        <f t="shared" si="0"/>
        <v>HKDTOM3F1_Quote</v>
      </c>
      <c r="E8" s="67" t="str">
        <f>_xll.qlSimpleQuote(D8,,RateTickValue,Permanent,Trigger,ObjectOverwrite)</f>
        <v>HKDTOM3F1_Quote#0000</v>
      </c>
      <c r="F8" s="66" t="str">
        <f>_xll.ohRangeRetrieveError(E8)</f>
        <v/>
      </c>
      <c r="G8" s="65"/>
      <c r="I8" s="167"/>
      <c r="J8" s="209" t="s">
        <v>96</v>
      </c>
      <c r="K8" s="208" t="s">
        <v>82</v>
      </c>
      <c r="L8" s="206" t="str">
        <f t="shared" si="1"/>
        <v>HKDTOM3F1</v>
      </c>
      <c r="M8" s="206" t="str">
        <v>HKDTOM3F1=PREA</v>
      </c>
      <c r="N8" s="207" t="s">
        <v>189</v>
      </c>
      <c r="O8" s="207" t="s">
        <v>189</v>
      </c>
      <c r="P8" s="206" t="s">
        <v>189</v>
      </c>
      <c r="Q8" s="206" t="s">
        <v>189</v>
      </c>
      <c r="R8" s="205" t="e">
        <f>_xll.qlMidSafe($N8,$O8)</f>
        <v>#NUM!</v>
      </c>
      <c r="S8" s="162"/>
      <c r="T8" s="204" t="e">
        <v>#NUM!</v>
      </c>
      <c r="U8" s="162"/>
      <c r="V8" s="223" t="e">
        <v>#NUM!</v>
      </c>
      <c r="W8" s="159" t="e">
        <f>_xll.qlSimpleQuoteSetValue(D8,V8/100,ISERROR(E8))</f>
        <v>#NUM!</v>
      </c>
      <c r="X8" s="158"/>
      <c r="Y8" s="190"/>
      <c r="Z8" s="191" t="e">
        <f t="shared" si="2"/>
        <v>#VALUE!</v>
      </c>
      <c r="AA8" s="190"/>
    </row>
    <row r="9" spans="1:27" x14ac:dyDescent="0.2">
      <c r="A9" s="71"/>
      <c r="B9" s="75">
        <v>1</v>
      </c>
      <c r="C9" s="76" t="s">
        <v>95</v>
      </c>
      <c r="D9" s="75" t="str">
        <f t="shared" si="0"/>
        <v>HKD1x4F_Quote</v>
      </c>
      <c r="E9" s="74" t="str">
        <f>_xll.qlSimpleQuote(D9,,RateTickValue,Permanent,Trigger,ObjectOverwrite)</f>
        <v>HKD1x4F_Quote#0000</v>
      </c>
      <c r="F9" s="73" t="str">
        <f>_xll.ohRangeRetrieveError(E9)</f>
        <v/>
      </c>
      <c r="G9" s="65"/>
      <c r="I9" s="167"/>
      <c r="J9" s="214">
        <v>1</v>
      </c>
      <c r="K9" s="213" t="s">
        <v>95</v>
      </c>
      <c r="L9" s="211" t="str">
        <f t="shared" si="1"/>
        <v>HKD1x4F</v>
      </c>
      <c r="M9" s="211" t="str">
        <v>HKD1X4F=PREA</v>
      </c>
      <c r="N9" s="212">
        <v>0.36</v>
      </c>
      <c r="O9" s="212">
        <v>0.46</v>
      </c>
      <c r="P9" s="211">
        <v>0</v>
      </c>
      <c r="Q9" s="211">
        <v>0</v>
      </c>
      <c r="R9" s="175">
        <f>_xll.qlMidSafe($N9,$O9)</f>
        <v>0.41000000000000003</v>
      </c>
      <c r="S9" s="162"/>
      <c r="T9" s="199">
        <v>0.41000000000000003</v>
      </c>
      <c r="U9" s="162"/>
      <c r="V9" s="230">
        <v>0.41000000000000003</v>
      </c>
      <c r="W9" s="168" t="e">
        <f>_xll.qlSimpleQuoteSetValue(D9,V9/100,ISERROR(E9))</f>
        <v>#N/A</v>
      </c>
      <c r="X9" s="158"/>
      <c r="Y9" s="190"/>
      <c r="Z9" s="191">
        <f t="shared" si="2"/>
        <v>9.999999999999998E-4</v>
      </c>
      <c r="AA9" s="190"/>
    </row>
    <row r="10" spans="1:27" x14ac:dyDescent="0.2">
      <c r="A10" s="71"/>
      <c r="B10" s="79">
        <v>2</v>
      </c>
      <c r="C10" s="80" t="s">
        <v>94</v>
      </c>
      <c r="D10" s="79" t="str">
        <f t="shared" si="0"/>
        <v>HKD2x5F_Quote</v>
      </c>
      <c r="E10" s="78" t="str">
        <f>_xll.qlSimpleQuote(D10,,RateTickValue,Permanent,Trigger,ObjectOverwrite)</f>
        <v>HKD2x5F_Quote#0000</v>
      </c>
      <c r="F10" s="77" t="str">
        <f>_xll.ohRangeRetrieveError(E10)</f>
        <v/>
      </c>
      <c r="G10" s="65"/>
      <c r="I10" s="167"/>
      <c r="J10" s="203">
        <v>2</v>
      </c>
      <c r="K10" s="202" t="s">
        <v>94</v>
      </c>
      <c r="L10" s="200" t="str">
        <f t="shared" si="1"/>
        <v>HKD2x5F</v>
      </c>
      <c r="M10" s="200" t="str">
        <v>HKD2X5F=PREA</v>
      </c>
      <c r="N10" s="201">
        <v>0.36</v>
      </c>
      <c r="O10" s="201">
        <v>0.46</v>
      </c>
      <c r="P10" s="200">
        <v>0</v>
      </c>
      <c r="Q10" s="200">
        <v>0</v>
      </c>
      <c r="R10" s="164">
        <f>_xll.qlMidSafe($N10,$O10)</f>
        <v>0.41000000000000003</v>
      </c>
      <c r="S10" s="162"/>
      <c r="T10" s="199">
        <v>0.41000000000000003</v>
      </c>
      <c r="U10" s="162"/>
      <c r="V10" s="230">
        <v>0.41000000000000003</v>
      </c>
      <c r="W10" s="168" t="e">
        <f>_xll.qlSimpleQuoteSetValue(D10,V10/100,ISERROR(E10))</f>
        <v>#N/A</v>
      </c>
      <c r="X10" s="158"/>
      <c r="Y10" s="190"/>
      <c r="Z10" s="191">
        <f t="shared" si="2"/>
        <v>9.999999999999998E-4</v>
      </c>
      <c r="AA10" s="190"/>
    </row>
    <row r="11" spans="1:27" x14ac:dyDescent="0.2">
      <c r="A11" s="71"/>
      <c r="B11" s="79">
        <v>3</v>
      </c>
      <c r="C11" s="80" t="s">
        <v>93</v>
      </c>
      <c r="D11" s="79" t="str">
        <f t="shared" si="0"/>
        <v>HKD3x6F_Quote</v>
      </c>
      <c r="E11" s="78" t="str">
        <f>_xll.qlSimpleQuote(D11,,RateTickValue,Permanent,Trigger,ObjectOverwrite)</f>
        <v>HKD3x6F_Quote#0000</v>
      </c>
      <c r="F11" s="77" t="str">
        <f>_xll.ohRangeRetrieveError(E11)</f>
        <v/>
      </c>
      <c r="G11" s="65"/>
      <c r="I11" s="167"/>
      <c r="J11" s="203">
        <v>3</v>
      </c>
      <c r="K11" s="202" t="s">
        <v>93</v>
      </c>
      <c r="L11" s="200" t="str">
        <f t="shared" si="1"/>
        <v>HKD3x6F</v>
      </c>
      <c r="M11" s="200" t="str">
        <v>HKD3X6F=PREA</v>
      </c>
      <c r="N11" s="201">
        <v>0.36</v>
      </c>
      <c r="O11" s="201">
        <v>0.46</v>
      </c>
      <c r="P11" s="200">
        <v>0</v>
      </c>
      <c r="Q11" s="200">
        <v>0</v>
      </c>
      <c r="R11" s="164">
        <f>_xll.qlMidSafe($N11,$O11)</f>
        <v>0.41000000000000003</v>
      </c>
      <c r="S11" s="162"/>
      <c r="T11" s="199">
        <v>0.41000000000000003</v>
      </c>
      <c r="U11" s="162"/>
      <c r="V11" s="230">
        <v>0.41000000000000003</v>
      </c>
      <c r="W11" s="168" t="e">
        <f>_xll.qlSimpleQuoteSetValue(D11,V11/100,ISERROR(E11))</f>
        <v>#N/A</v>
      </c>
      <c r="X11" s="158"/>
      <c r="Y11" s="190"/>
      <c r="Z11" s="191">
        <f t="shared" si="2"/>
        <v>9.999999999999998E-4</v>
      </c>
      <c r="AA11" s="190"/>
    </row>
    <row r="12" spans="1:27" x14ac:dyDescent="0.2">
      <c r="A12" s="71"/>
      <c r="B12" s="79">
        <v>4</v>
      </c>
      <c r="C12" s="80" t="s">
        <v>92</v>
      </c>
      <c r="D12" s="79" t="str">
        <f t="shared" si="0"/>
        <v>HKD4x7F_Quote</v>
      </c>
      <c r="E12" s="78" t="str">
        <f>_xll.qlSimpleQuote(D12,,RateTickValue,Permanent,Trigger,ObjectOverwrite)</f>
        <v>HKD4x7F_Quote#0000</v>
      </c>
      <c r="F12" s="77" t="str">
        <f>_xll.ohRangeRetrieveError(E12)</f>
        <v/>
      </c>
      <c r="G12" s="65"/>
      <c r="I12" s="167"/>
      <c r="J12" s="203">
        <v>4</v>
      </c>
      <c r="K12" s="202" t="s">
        <v>92</v>
      </c>
      <c r="L12" s="200" t="str">
        <f t="shared" si="1"/>
        <v>HKD4x7F</v>
      </c>
      <c r="M12" s="200" t="str">
        <v>HKD4X7F=PREA</v>
      </c>
      <c r="N12" s="201">
        <v>0.37</v>
      </c>
      <c r="O12" s="201">
        <v>0.47</v>
      </c>
      <c r="P12" s="200">
        <v>0</v>
      </c>
      <c r="Q12" s="200">
        <v>0</v>
      </c>
      <c r="R12" s="164">
        <f>_xll.qlMidSafe($N12,$O12)</f>
        <v>0.42</v>
      </c>
      <c r="S12" s="162"/>
      <c r="T12" s="199">
        <v>0.42</v>
      </c>
      <c r="U12" s="162"/>
      <c r="V12" s="230">
        <v>0.42</v>
      </c>
      <c r="W12" s="168" t="e">
        <f>_xll.qlSimpleQuoteSetValue(D12,V12/100,ISERROR(E12))</f>
        <v>#N/A</v>
      </c>
      <c r="X12" s="158"/>
      <c r="Y12" s="190"/>
      <c r="Z12" s="191">
        <f t="shared" si="2"/>
        <v>9.999999999999998E-4</v>
      </c>
      <c r="AA12" s="190"/>
    </row>
    <row r="13" spans="1:27" x14ac:dyDescent="0.2">
      <c r="A13" s="71"/>
      <c r="B13" s="79">
        <v>5</v>
      </c>
      <c r="C13" s="80" t="s">
        <v>91</v>
      </c>
      <c r="D13" s="79" t="str">
        <f t="shared" si="0"/>
        <v>HKD5x8F_Quote</v>
      </c>
      <c r="E13" s="78" t="str">
        <f>_xll.qlSimpleQuote(D13,,RateTickValue,Permanent,Trigger,ObjectOverwrite)</f>
        <v>HKD5x8F_Quote#0000</v>
      </c>
      <c r="F13" s="77" t="str">
        <f>_xll.ohRangeRetrieveError(E13)</f>
        <v/>
      </c>
      <c r="G13" s="65"/>
      <c r="I13" s="167"/>
      <c r="J13" s="203">
        <v>5</v>
      </c>
      <c r="K13" s="202" t="s">
        <v>91</v>
      </c>
      <c r="L13" s="200" t="str">
        <f t="shared" si="1"/>
        <v>HKD5x8F</v>
      </c>
      <c r="M13" s="200" t="str">
        <v>HKD5X8F=PREA</v>
      </c>
      <c r="N13" s="201">
        <v>0.39</v>
      </c>
      <c r="O13" s="201">
        <v>0.49</v>
      </c>
      <c r="P13" s="200">
        <v>0</v>
      </c>
      <c r="Q13" s="200">
        <v>0</v>
      </c>
      <c r="R13" s="164">
        <f>_xll.qlMidSafe($N13,$O13)</f>
        <v>0.44</v>
      </c>
      <c r="S13" s="162"/>
      <c r="T13" s="199">
        <v>0.44</v>
      </c>
      <c r="U13" s="162"/>
      <c r="V13" s="230">
        <v>0.44</v>
      </c>
      <c r="W13" s="168" t="e">
        <f>_xll.qlSimpleQuoteSetValue(D13,V13/100,ISERROR(E13))</f>
        <v>#N/A</v>
      </c>
      <c r="X13" s="158"/>
      <c r="Y13" s="190"/>
      <c r="Z13" s="191">
        <f t="shared" si="2"/>
        <v>9.999999999999998E-4</v>
      </c>
      <c r="AA13" s="190"/>
    </row>
    <row r="14" spans="1:27" x14ac:dyDescent="0.2">
      <c r="A14" s="71"/>
      <c r="B14" s="79">
        <v>6</v>
      </c>
      <c r="C14" s="80" t="s">
        <v>90</v>
      </c>
      <c r="D14" s="79" t="str">
        <f t="shared" si="0"/>
        <v>HKD6x9F_Quote</v>
      </c>
      <c r="E14" s="78" t="str">
        <f>_xll.qlSimpleQuote(D14,,RateTickValue,Permanent,Trigger,ObjectOverwrite)</f>
        <v>HKD6x9F_Quote#0000</v>
      </c>
      <c r="F14" s="77" t="str">
        <f>_xll.ohRangeRetrieveError(E14)</f>
        <v/>
      </c>
      <c r="G14" s="65"/>
      <c r="I14" s="167"/>
      <c r="J14" s="203">
        <v>6</v>
      </c>
      <c r="K14" s="202" t="s">
        <v>90</v>
      </c>
      <c r="L14" s="200" t="str">
        <f t="shared" si="1"/>
        <v>HKD6x9F</v>
      </c>
      <c r="M14" s="200" t="str">
        <v>HKD6X9F=PREA</v>
      </c>
      <c r="N14" s="201">
        <v>0.4</v>
      </c>
      <c r="O14" s="201">
        <v>0.5</v>
      </c>
      <c r="P14" s="200">
        <v>0</v>
      </c>
      <c r="Q14" s="200">
        <v>0</v>
      </c>
      <c r="R14" s="164">
        <f>_xll.qlMidSafe($N14,$O14)</f>
        <v>0.45</v>
      </c>
      <c r="S14" s="162"/>
      <c r="T14" s="199">
        <v>0.45</v>
      </c>
      <c r="U14" s="162"/>
      <c r="V14" s="230">
        <v>0.45</v>
      </c>
      <c r="W14" s="168" t="e">
        <f>_xll.qlSimpleQuoteSetValue(D14,V14/100,ISERROR(E14))</f>
        <v>#N/A</v>
      </c>
      <c r="X14" s="158"/>
      <c r="Y14" s="190"/>
      <c r="Z14" s="191">
        <f t="shared" si="2"/>
        <v>9.999999999999998E-4</v>
      </c>
      <c r="AA14" s="190"/>
    </row>
    <row r="15" spans="1:27" x14ac:dyDescent="0.2">
      <c r="A15" s="71"/>
      <c r="B15" s="79">
        <v>7</v>
      </c>
      <c r="C15" s="80" t="s">
        <v>89</v>
      </c>
      <c r="D15" s="79" t="str">
        <f t="shared" si="0"/>
        <v>HKD7x10F_Quote</v>
      </c>
      <c r="E15" s="78" t="str">
        <f>_xll.qlSimpleQuote(D15,,RateTickValue,Permanent,Trigger,ObjectOverwrite)</f>
        <v>HKD7x10F_Quote#0000</v>
      </c>
      <c r="F15" s="77" t="str">
        <f>_xll.ohRangeRetrieveError(E15)</f>
        <v/>
      </c>
      <c r="G15" s="65"/>
      <c r="I15" s="167"/>
      <c r="J15" s="203">
        <v>7</v>
      </c>
      <c r="K15" s="202" t="s">
        <v>89</v>
      </c>
      <c r="L15" s="200" t="str">
        <f t="shared" si="1"/>
        <v>HKD7x10F</v>
      </c>
      <c r="M15" s="200" t="str">
        <v>HKD7X10F=PREA</v>
      </c>
      <c r="N15" s="201">
        <v>0.41</v>
      </c>
      <c r="O15" s="201">
        <v>0.51</v>
      </c>
      <c r="P15" s="200">
        <v>0</v>
      </c>
      <c r="Q15" s="200">
        <v>0</v>
      </c>
      <c r="R15" s="164">
        <f>_xll.qlMidSafe($N15,$O15)</f>
        <v>0.45999999999999996</v>
      </c>
      <c r="S15" s="162"/>
      <c r="T15" s="199">
        <v>0.45999999999999996</v>
      </c>
      <c r="U15" s="162"/>
      <c r="V15" s="230">
        <v>0.45999999999999996</v>
      </c>
      <c r="W15" s="168" t="e">
        <f>_xll.qlSimpleQuoteSetValue(D15,V15/100,ISERROR(E15))</f>
        <v>#N/A</v>
      </c>
      <c r="X15" s="158"/>
      <c r="Y15" s="190"/>
      <c r="Z15" s="191">
        <f t="shared" si="2"/>
        <v>1.0000000000000009E-3</v>
      </c>
      <c r="AA15" s="190"/>
    </row>
    <row r="16" spans="1:27" x14ac:dyDescent="0.2">
      <c r="A16" s="71"/>
      <c r="B16" s="79">
        <v>8</v>
      </c>
      <c r="C16" s="80" t="s">
        <v>88</v>
      </c>
      <c r="D16" s="79" t="str">
        <f t="shared" si="0"/>
        <v>HKD8x11F_Quote</v>
      </c>
      <c r="E16" s="78" t="str">
        <f>_xll.qlSimpleQuote(D16,,RateTickValue,Permanent,Trigger,ObjectOverwrite)</f>
        <v>HKD8x11F_Quote#0000</v>
      </c>
      <c r="F16" s="77" t="str">
        <f>_xll.ohRangeRetrieveError(E16)</f>
        <v/>
      </c>
      <c r="G16" s="65"/>
      <c r="I16" s="167"/>
      <c r="J16" s="203">
        <v>8</v>
      </c>
      <c r="K16" s="202" t="s">
        <v>88</v>
      </c>
      <c r="L16" s="200" t="str">
        <f t="shared" si="1"/>
        <v>HKD8x11F</v>
      </c>
      <c r="M16" s="200" t="str">
        <v>HKD8X11F=PREA</v>
      </c>
      <c r="N16" s="201">
        <v>0.42</v>
      </c>
      <c r="O16" s="201">
        <v>0.52</v>
      </c>
      <c r="P16" s="200">
        <v>0</v>
      </c>
      <c r="Q16" s="200">
        <v>0</v>
      </c>
      <c r="R16" s="164">
        <f>_xll.qlMidSafe($N16,$O16)</f>
        <v>0.47</v>
      </c>
      <c r="S16" s="162"/>
      <c r="T16" s="199">
        <v>0.47</v>
      </c>
      <c r="U16" s="162"/>
      <c r="V16" s="230">
        <v>0.47</v>
      </c>
      <c r="W16" s="168" t="e">
        <f>_xll.qlSimpleQuoteSetValue(D16,V16/100,ISERROR(E16))</f>
        <v>#N/A</v>
      </c>
      <c r="X16" s="158"/>
      <c r="Y16" s="190"/>
      <c r="Z16" s="191">
        <f t="shared" si="2"/>
        <v>1.0000000000000009E-3</v>
      </c>
      <c r="AA16" s="190"/>
    </row>
    <row r="17" spans="1:27" x14ac:dyDescent="0.2">
      <c r="A17" s="71"/>
      <c r="B17" s="68">
        <v>9</v>
      </c>
      <c r="C17" s="72" t="s">
        <v>87</v>
      </c>
      <c r="D17" s="68" t="str">
        <f t="shared" si="0"/>
        <v>HKD9x12F_Quote</v>
      </c>
      <c r="E17" s="67" t="str">
        <f>_xll.qlSimpleQuote(D17,,RateTickValue,Permanent,Trigger,ObjectOverwrite)</f>
        <v>HKD9x12F_Quote#0000</v>
      </c>
      <c r="F17" s="66" t="str">
        <f>_xll.ohRangeRetrieveError(E17)</f>
        <v/>
      </c>
      <c r="G17" s="65"/>
      <c r="I17" s="167"/>
      <c r="J17" s="209">
        <v>9</v>
      </c>
      <c r="K17" s="208" t="s">
        <v>87</v>
      </c>
      <c r="L17" s="206" t="str">
        <f t="shared" si="1"/>
        <v>HKD9x12F</v>
      </c>
      <c r="M17" s="206" t="str">
        <v>HKD9X12F=PREA</v>
      </c>
      <c r="N17" s="207">
        <v>0.43</v>
      </c>
      <c r="O17" s="207">
        <v>0.53</v>
      </c>
      <c r="P17" s="206">
        <v>0</v>
      </c>
      <c r="Q17" s="206">
        <v>0</v>
      </c>
      <c r="R17" s="205">
        <f>_xll.qlMidSafe($N17,$O17)</f>
        <v>0.48</v>
      </c>
      <c r="S17" s="162"/>
      <c r="T17" s="204">
        <v>0.48</v>
      </c>
      <c r="U17" s="162"/>
      <c r="V17" s="230">
        <v>0.48</v>
      </c>
      <c r="W17" s="168" t="e">
        <f>_xll.qlSimpleQuoteSetValue(D17,V17/100,ISERROR(E17))</f>
        <v>#N/A</v>
      </c>
      <c r="X17" s="158"/>
      <c r="Y17" s="190"/>
      <c r="Z17" s="191">
        <f t="shared" si="2"/>
        <v>1.0000000000000009E-3</v>
      </c>
      <c r="AA17" s="190"/>
    </row>
    <row r="18" spans="1:27" x14ac:dyDescent="0.2">
      <c r="A18" s="71"/>
      <c r="B18" s="75" t="s">
        <v>86</v>
      </c>
      <c r="C18" s="76" t="s">
        <v>82</v>
      </c>
      <c r="D18" s="75" t="str">
        <f t="shared" si="0"/>
        <v>HKDT6F1_Quote</v>
      </c>
      <c r="E18" s="74" t="str">
        <f>_xll.qlSimpleQuote(D18,,RateTickValue,Permanent,Trigger,ObjectOverwrite)</f>
        <v>HKDT6F1_Quote#0000</v>
      </c>
      <c r="F18" s="73" t="str">
        <f>_xll.ohRangeRetrieveError(E18)</f>
        <v/>
      </c>
      <c r="G18" s="65"/>
      <c r="I18" s="167"/>
      <c r="J18" s="214" t="s">
        <v>86</v>
      </c>
      <c r="K18" s="213" t="s">
        <v>82</v>
      </c>
      <c r="L18" s="211" t="str">
        <f t="shared" si="1"/>
        <v>HKDT6F1</v>
      </c>
      <c r="M18" s="211" t="str">
        <v>HKDT6F1=PREA</v>
      </c>
      <c r="N18" s="212" t="s">
        <v>189</v>
      </c>
      <c r="O18" s="212" t="s">
        <v>189</v>
      </c>
      <c r="P18" s="211" t="s">
        <v>189</v>
      </c>
      <c r="Q18" s="211" t="s">
        <v>189</v>
      </c>
      <c r="R18" s="175" t="e">
        <f>_xll.qlMidSafe($N18,$O18)</f>
        <v>#NUM!</v>
      </c>
      <c r="S18" s="162"/>
      <c r="T18" s="210" t="e">
        <v>#NUM!</v>
      </c>
      <c r="U18" s="162"/>
      <c r="V18" s="241" t="e">
        <v>#NUM!</v>
      </c>
      <c r="W18" s="172" t="e">
        <f>_xll.qlSimpleQuoteSetValue(D18,V18/100,ISERROR(E18))</f>
        <v>#NUM!</v>
      </c>
      <c r="X18" s="158"/>
      <c r="Y18" s="190"/>
      <c r="Z18" s="191" t="e">
        <f t="shared" ref="Z18:Z38" si="3">(O18-R18)/50</f>
        <v>#VALUE!</v>
      </c>
      <c r="AA18" s="190"/>
    </row>
    <row r="19" spans="1:27" x14ac:dyDescent="0.2">
      <c r="A19" s="71"/>
      <c r="B19" s="68" t="s">
        <v>85</v>
      </c>
      <c r="C19" s="72" t="s">
        <v>82</v>
      </c>
      <c r="D19" s="68" t="str">
        <f t="shared" si="0"/>
        <v>HKDTOM6F1_Quote</v>
      </c>
      <c r="E19" s="67" t="str">
        <f>_xll.qlSimpleQuote(D19,,RateTickValue,Permanent,Trigger,ObjectOverwrite)</f>
        <v>HKDTOM6F1_Quote#0000</v>
      </c>
      <c r="F19" s="66" t="str">
        <f>_xll.ohRangeRetrieveError(E19)</f>
        <v/>
      </c>
      <c r="G19" s="65"/>
      <c r="I19" s="167"/>
      <c r="J19" s="209" t="s">
        <v>85</v>
      </c>
      <c r="K19" s="208" t="s">
        <v>82</v>
      </c>
      <c r="L19" s="206" t="str">
        <f t="shared" si="1"/>
        <v>HKDTOM6F1</v>
      </c>
      <c r="M19" s="206" t="str">
        <v>HKDTOM6F1=PREA</v>
      </c>
      <c r="N19" s="207" t="s">
        <v>189</v>
      </c>
      <c r="O19" s="207" t="s">
        <v>189</v>
      </c>
      <c r="P19" s="206" t="s">
        <v>189</v>
      </c>
      <c r="Q19" s="206" t="s">
        <v>189</v>
      </c>
      <c r="R19" s="205" t="e">
        <f>_xll.qlMidSafe($N19,$O19)</f>
        <v>#NUM!</v>
      </c>
      <c r="S19" s="162"/>
      <c r="T19" s="204" t="e">
        <v>#NUM!</v>
      </c>
      <c r="U19" s="162"/>
      <c r="V19" s="223" t="e">
        <v>#NUM!</v>
      </c>
      <c r="W19" s="159" t="e">
        <f>_xll.qlSimpleQuoteSetValue(D19,V19/100,ISERROR(E19))</f>
        <v>#NUM!</v>
      </c>
      <c r="X19" s="158"/>
      <c r="Y19" s="190"/>
      <c r="Z19" s="191" t="e">
        <f t="shared" si="3"/>
        <v>#VALUE!</v>
      </c>
      <c r="AA19" s="190"/>
    </row>
    <row r="20" spans="1:27" x14ac:dyDescent="0.2">
      <c r="A20" s="71"/>
      <c r="B20" s="75">
        <v>1</v>
      </c>
      <c r="C20" s="76" t="str">
        <f t="shared" ref="C20:C37" si="4">"x"&amp;B20+6&amp;"F"</f>
        <v>x7F</v>
      </c>
      <c r="D20" s="75" t="str">
        <f t="shared" si="0"/>
        <v>HKD1x7F_Quote</v>
      </c>
      <c r="E20" s="74" t="str">
        <f>_xll.qlSimpleQuote(D20,,RateTickValue,Permanent,Trigger,ObjectOverwrite)</f>
        <v>HKD1x7F_Quote#0000</v>
      </c>
      <c r="F20" s="73" t="str">
        <f>_xll.ohRangeRetrieveError(E20)</f>
        <v/>
      </c>
      <c r="G20" s="65"/>
      <c r="I20" s="167"/>
      <c r="J20" s="203">
        <v>1</v>
      </c>
      <c r="K20" s="202" t="str">
        <f t="shared" ref="K20:K37" si="5">"x"&amp;J20+6&amp;"F"</f>
        <v>x7F</v>
      </c>
      <c r="L20" s="200" t="str">
        <f t="shared" si="1"/>
        <v>HKD1x7F</v>
      </c>
      <c r="M20" s="200" t="str">
        <v>HKD1X7F=PREA</v>
      </c>
      <c r="N20" s="201">
        <v>0.44</v>
      </c>
      <c r="O20" s="201">
        <v>0.54</v>
      </c>
      <c r="P20" s="200">
        <v>0</v>
      </c>
      <c r="Q20" s="200">
        <v>0</v>
      </c>
      <c r="R20" s="164">
        <f>_xll.qlMidSafe($N20,$O20)</f>
        <v>0.49</v>
      </c>
      <c r="S20" s="162"/>
      <c r="T20" s="199">
        <v>0.49</v>
      </c>
      <c r="U20" s="162"/>
      <c r="V20" s="230">
        <v>0.49</v>
      </c>
      <c r="W20" s="168" t="e">
        <f>_xll.qlSimpleQuoteSetValue(D20,V20/100,ISERROR(E20))</f>
        <v>#N/A</v>
      </c>
      <c r="X20" s="158"/>
      <c r="Y20" s="190"/>
      <c r="Z20" s="191">
        <f t="shared" si="3"/>
        <v>1.0000000000000009E-3</v>
      </c>
      <c r="AA20" s="190"/>
    </row>
    <row r="21" spans="1:27" x14ac:dyDescent="0.2">
      <c r="A21" s="71"/>
      <c r="B21" s="79">
        <v>2</v>
      </c>
      <c r="C21" s="80" t="str">
        <f t="shared" si="4"/>
        <v>x8F</v>
      </c>
      <c r="D21" s="79" t="str">
        <f t="shared" si="0"/>
        <v>HKD2x8F_Quote</v>
      </c>
      <c r="E21" s="78" t="str">
        <f>_xll.qlSimpleQuote(D21,,RateTickValue,Permanent,Trigger,ObjectOverwrite)</f>
        <v>HKD2x8F_Quote#0000</v>
      </c>
      <c r="F21" s="77" t="str">
        <f>_xll.ohRangeRetrieveError(E21)</f>
        <v/>
      </c>
      <c r="G21" s="65"/>
      <c r="I21" s="167"/>
      <c r="J21" s="203">
        <v>2</v>
      </c>
      <c r="K21" s="202" t="str">
        <f t="shared" si="5"/>
        <v>x8F</v>
      </c>
      <c r="L21" s="200" t="str">
        <f t="shared" si="1"/>
        <v>HKD2x8F</v>
      </c>
      <c r="M21" s="200" t="str">
        <v>HKD2X8F=PREA</v>
      </c>
      <c r="N21" s="201">
        <v>0.44</v>
      </c>
      <c r="O21" s="201">
        <v>0.54</v>
      </c>
      <c r="P21" s="200">
        <v>0</v>
      </c>
      <c r="Q21" s="200">
        <v>0</v>
      </c>
      <c r="R21" s="164">
        <f>_xll.qlMidSafe($N21,$O21)</f>
        <v>0.49</v>
      </c>
      <c r="S21" s="162"/>
      <c r="T21" s="199">
        <v>0.49</v>
      </c>
      <c r="U21" s="162"/>
      <c r="V21" s="230">
        <v>0.49</v>
      </c>
      <c r="W21" s="168" t="e">
        <f>_xll.qlSimpleQuoteSetValue(D21,V21/100,ISERROR(E21))</f>
        <v>#N/A</v>
      </c>
      <c r="X21" s="158"/>
      <c r="Y21" s="190"/>
      <c r="Z21" s="191">
        <f t="shared" si="3"/>
        <v>1.0000000000000009E-3</v>
      </c>
      <c r="AA21" s="190"/>
    </row>
    <row r="22" spans="1:27" x14ac:dyDescent="0.2">
      <c r="A22" s="71"/>
      <c r="B22" s="79">
        <v>3</v>
      </c>
      <c r="C22" s="80" t="str">
        <f t="shared" si="4"/>
        <v>x9F</v>
      </c>
      <c r="D22" s="79" t="str">
        <f t="shared" si="0"/>
        <v>HKD3x9F_Quote</v>
      </c>
      <c r="E22" s="78" t="str">
        <f>_xll.qlSimpleQuote(D22,,RateTickValue,Permanent,Trigger,ObjectOverwrite)</f>
        <v>HKD3x9F_Quote#0000</v>
      </c>
      <c r="F22" s="77" t="str">
        <f>_xll.ohRangeRetrieveError(E22)</f>
        <v/>
      </c>
      <c r="G22" s="65"/>
      <c r="I22" s="167"/>
      <c r="J22" s="203">
        <v>3</v>
      </c>
      <c r="K22" s="202" t="str">
        <f t="shared" si="5"/>
        <v>x9F</v>
      </c>
      <c r="L22" s="200" t="str">
        <f t="shared" si="1"/>
        <v>HKD3x9F</v>
      </c>
      <c r="M22" s="200" t="str">
        <v>HKD3X9F=PREA</v>
      </c>
      <c r="N22" s="201">
        <v>0.45</v>
      </c>
      <c r="O22" s="201">
        <v>0.55000000000000004</v>
      </c>
      <c r="P22" s="200">
        <v>0</v>
      </c>
      <c r="Q22" s="200">
        <v>0</v>
      </c>
      <c r="R22" s="164">
        <f>_xll.qlMidSafe($N22,$O22)</f>
        <v>0.5</v>
      </c>
      <c r="S22" s="162"/>
      <c r="T22" s="199">
        <v>0.5</v>
      </c>
      <c r="U22" s="162"/>
      <c r="V22" s="230">
        <v>0.5</v>
      </c>
      <c r="W22" s="168" t="e">
        <f>_xll.qlSimpleQuoteSetValue(D22,V22/100,ISERROR(E22))</f>
        <v>#N/A</v>
      </c>
      <c r="X22" s="158"/>
      <c r="Y22" s="190"/>
      <c r="Z22" s="191">
        <f t="shared" si="3"/>
        <v>1.0000000000000009E-3</v>
      </c>
      <c r="AA22" s="190"/>
    </row>
    <row r="23" spans="1:27" x14ac:dyDescent="0.2">
      <c r="A23" s="71"/>
      <c r="B23" s="79">
        <v>4</v>
      </c>
      <c r="C23" s="80" t="str">
        <f t="shared" si="4"/>
        <v>x10F</v>
      </c>
      <c r="D23" s="79" t="str">
        <f t="shared" si="0"/>
        <v>HKD4x10F_Quote</v>
      </c>
      <c r="E23" s="78" t="str">
        <f>_xll.qlSimpleQuote(D23,,RateTickValue,Permanent,Trigger,ObjectOverwrite)</f>
        <v>HKD4x10F_Quote#0000</v>
      </c>
      <c r="F23" s="77" t="str">
        <f>_xll.ohRangeRetrieveError(E23)</f>
        <v/>
      </c>
      <c r="G23" s="65"/>
      <c r="I23" s="167"/>
      <c r="J23" s="203">
        <v>4</v>
      </c>
      <c r="K23" s="202" t="str">
        <f t="shared" si="5"/>
        <v>x10F</v>
      </c>
      <c r="L23" s="200" t="str">
        <f t="shared" si="1"/>
        <v>HKD4x10F</v>
      </c>
      <c r="M23" s="200" t="str">
        <v>HKD4X10F=PREA</v>
      </c>
      <c r="N23" s="201">
        <v>0.46</v>
      </c>
      <c r="O23" s="201">
        <v>0.56000000000000005</v>
      </c>
      <c r="P23" s="200">
        <v>0</v>
      </c>
      <c r="Q23" s="200">
        <v>0</v>
      </c>
      <c r="R23" s="164">
        <f>_xll.qlMidSafe($N23,$O23)</f>
        <v>0.51</v>
      </c>
      <c r="S23" s="162"/>
      <c r="T23" s="199">
        <v>0.51</v>
      </c>
      <c r="U23" s="162"/>
      <c r="V23" s="230">
        <v>0.51</v>
      </c>
      <c r="W23" s="168" t="e">
        <f>_xll.qlSimpleQuoteSetValue(D23,V23/100,ISERROR(E23))</f>
        <v>#N/A</v>
      </c>
      <c r="X23" s="158"/>
      <c r="Y23" s="190"/>
      <c r="Z23" s="191">
        <f t="shared" si="3"/>
        <v>1.0000000000000009E-3</v>
      </c>
      <c r="AA23" s="190"/>
    </row>
    <row r="24" spans="1:27" x14ac:dyDescent="0.2">
      <c r="A24" s="71"/>
      <c r="B24" s="79">
        <v>5</v>
      </c>
      <c r="C24" s="80" t="str">
        <f t="shared" si="4"/>
        <v>x11F</v>
      </c>
      <c r="D24" s="79" t="str">
        <f t="shared" si="0"/>
        <v>HKD5x11F_Quote</v>
      </c>
      <c r="E24" s="78" t="str">
        <f>_xll.qlSimpleQuote(D24,,RateTickValue,Permanent,Trigger,ObjectOverwrite)</f>
        <v>HKD5x11F_Quote#0000</v>
      </c>
      <c r="F24" s="77" t="str">
        <f>_xll.ohRangeRetrieveError(E24)</f>
        <v/>
      </c>
      <c r="G24" s="65"/>
      <c r="I24" s="167"/>
      <c r="J24" s="203">
        <v>5</v>
      </c>
      <c r="K24" s="202" t="str">
        <f t="shared" si="5"/>
        <v>x11F</v>
      </c>
      <c r="L24" s="200" t="str">
        <f t="shared" si="1"/>
        <v>HKD5x11F</v>
      </c>
      <c r="M24" s="200" t="str">
        <v>HKD5X11F=PREA</v>
      </c>
      <c r="N24" s="201">
        <v>0.47</v>
      </c>
      <c r="O24" s="201">
        <v>0.56999999999999995</v>
      </c>
      <c r="P24" s="200">
        <v>0</v>
      </c>
      <c r="Q24" s="200">
        <v>0</v>
      </c>
      <c r="R24" s="164">
        <f>_xll.qlMidSafe($N24,$O24)</f>
        <v>0.52</v>
      </c>
      <c r="S24" s="162"/>
      <c r="T24" s="199">
        <v>0.52</v>
      </c>
      <c r="U24" s="162"/>
      <c r="V24" s="230">
        <v>0.52</v>
      </c>
      <c r="W24" s="168" t="e">
        <f>_xll.qlSimpleQuoteSetValue(D24,V24/100,ISERROR(E24))</f>
        <v>#N/A</v>
      </c>
      <c r="X24" s="158"/>
      <c r="Y24" s="190"/>
      <c r="Z24" s="191">
        <f t="shared" si="3"/>
        <v>9.9999999999999872E-4</v>
      </c>
      <c r="AA24" s="190"/>
    </row>
    <row r="25" spans="1:27" x14ac:dyDescent="0.2">
      <c r="A25" s="71"/>
      <c r="B25" s="79">
        <v>6</v>
      </c>
      <c r="C25" s="80" t="str">
        <f t="shared" si="4"/>
        <v>x12F</v>
      </c>
      <c r="D25" s="79" t="str">
        <f t="shared" si="0"/>
        <v>HKD6x12F_Quote</v>
      </c>
      <c r="E25" s="78" t="str">
        <f>_xll.qlSimpleQuote(D25,,RateTickValue,Permanent,Trigger,ObjectOverwrite)</f>
        <v>HKD6x12F_Quote#0000</v>
      </c>
      <c r="F25" s="77" t="str">
        <f>_xll.ohRangeRetrieveError(E25)</f>
        <v/>
      </c>
      <c r="G25" s="65"/>
      <c r="I25" s="167"/>
      <c r="J25" s="203">
        <v>6</v>
      </c>
      <c r="K25" s="202" t="str">
        <f t="shared" si="5"/>
        <v>x12F</v>
      </c>
      <c r="L25" s="200" t="str">
        <f t="shared" si="1"/>
        <v>HKD6x12F</v>
      </c>
      <c r="M25" s="200" t="str">
        <v>HKD6X12F=PREA</v>
      </c>
      <c r="N25" s="201">
        <v>0.49</v>
      </c>
      <c r="O25" s="201">
        <v>0.59</v>
      </c>
      <c r="P25" s="200">
        <v>0</v>
      </c>
      <c r="Q25" s="200">
        <v>0</v>
      </c>
      <c r="R25" s="164">
        <f>_xll.qlMidSafe($N25,$O25)</f>
        <v>0.54</v>
      </c>
      <c r="S25" s="162"/>
      <c r="T25" s="199">
        <v>0.54</v>
      </c>
      <c r="U25" s="162"/>
      <c r="V25" s="230">
        <v>0.54</v>
      </c>
      <c r="W25" s="168" t="e">
        <f>_xll.qlSimpleQuoteSetValue(D25,V25/100,ISERROR(E25))</f>
        <v>#N/A</v>
      </c>
      <c r="X25" s="158"/>
      <c r="Y25" s="190"/>
      <c r="Z25" s="191">
        <f t="shared" si="3"/>
        <v>9.9999999999999872E-4</v>
      </c>
      <c r="AA25" s="190"/>
    </row>
    <row r="26" spans="1:27" x14ac:dyDescent="0.2">
      <c r="A26" s="71"/>
      <c r="B26" s="79">
        <v>7</v>
      </c>
      <c r="C26" s="80" t="str">
        <f t="shared" si="4"/>
        <v>x13F</v>
      </c>
      <c r="D26" s="79" t="str">
        <f t="shared" si="0"/>
        <v>HKD7x13F_Quote</v>
      </c>
      <c r="E26" s="78" t="str">
        <f>_xll.qlSimpleQuote(D26,,RateTickValue,Permanent,Trigger,ObjectOverwrite)</f>
        <v>HKD7x13F_Quote#0000</v>
      </c>
      <c r="F26" s="77" t="str">
        <f>_xll.ohRangeRetrieveError(E26)</f>
        <v/>
      </c>
      <c r="G26" s="65"/>
      <c r="I26" s="167"/>
      <c r="J26" s="203">
        <v>7</v>
      </c>
      <c r="K26" s="202" t="str">
        <f t="shared" si="5"/>
        <v>x13F</v>
      </c>
      <c r="L26" s="200" t="str">
        <f t="shared" si="1"/>
        <v>HKD7x13F</v>
      </c>
      <c r="M26" s="200" t="str">
        <v>HKD7X13F=PREA</v>
      </c>
      <c r="N26" s="201" t="s">
        <v>189</v>
      </c>
      <c r="O26" s="201" t="s">
        <v>189</v>
      </c>
      <c r="P26" s="200" t="s">
        <v>189</v>
      </c>
      <c r="Q26" s="200" t="s">
        <v>189</v>
      </c>
      <c r="R26" s="164" t="e">
        <f>_xll.qlMidSafe($N26,$O26)</f>
        <v>#NUM!</v>
      </c>
      <c r="S26" s="162"/>
      <c r="T26" s="199" t="e">
        <v>#NUM!</v>
      </c>
      <c r="U26" s="162"/>
      <c r="V26" s="230" t="e">
        <v>#NUM!</v>
      </c>
      <c r="W26" s="168" t="e">
        <f>_xll.qlSimpleQuoteSetValue(D26,V26/100,ISERROR(E26))</f>
        <v>#NUM!</v>
      </c>
      <c r="X26" s="158"/>
      <c r="Y26" s="190"/>
      <c r="Z26" s="191" t="e">
        <f t="shared" si="3"/>
        <v>#VALUE!</v>
      </c>
      <c r="AA26" s="190"/>
    </row>
    <row r="27" spans="1:27" x14ac:dyDescent="0.2">
      <c r="A27" s="71"/>
      <c r="B27" s="79">
        <v>8</v>
      </c>
      <c r="C27" s="80" t="str">
        <f t="shared" si="4"/>
        <v>x14F</v>
      </c>
      <c r="D27" s="79" t="str">
        <f t="shared" si="0"/>
        <v>HKD8x14F_Quote</v>
      </c>
      <c r="E27" s="78" t="str">
        <f>_xll.qlSimpleQuote(D27,,RateTickValue,Permanent,Trigger,ObjectOverwrite)</f>
        <v>HKD8x14F_Quote#0000</v>
      </c>
      <c r="F27" s="77" t="str">
        <f>_xll.ohRangeRetrieveError(E27)</f>
        <v/>
      </c>
      <c r="G27" s="65"/>
      <c r="I27" s="167"/>
      <c r="J27" s="203">
        <v>8</v>
      </c>
      <c r="K27" s="202" t="str">
        <f t="shared" si="5"/>
        <v>x14F</v>
      </c>
      <c r="L27" s="200" t="str">
        <f t="shared" si="1"/>
        <v>HKD8x14F</v>
      </c>
      <c r="M27" s="200" t="str">
        <v>HKD8X14F=PREA</v>
      </c>
      <c r="N27" s="201" t="s">
        <v>189</v>
      </c>
      <c r="O27" s="201" t="s">
        <v>189</v>
      </c>
      <c r="P27" s="200" t="s">
        <v>189</v>
      </c>
      <c r="Q27" s="200" t="s">
        <v>189</v>
      </c>
      <c r="R27" s="164" t="e">
        <f>_xll.qlMidSafe($N27,$O27)</f>
        <v>#NUM!</v>
      </c>
      <c r="S27" s="162"/>
      <c r="T27" s="199" t="e">
        <v>#NUM!</v>
      </c>
      <c r="U27" s="162"/>
      <c r="V27" s="230" t="e">
        <v>#NUM!</v>
      </c>
      <c r="W27" s="168" t="e">
        <f>_xll.qlSimpleQuoteSetValue(D27,V27/100,ISERROR(E27))</f>
        <v>#NUM!</v>
      </c>
      <c r="X27" s="158"/>
      <c r="Y27" s="190"/>
      <c r="Z27" s="191" t="e">
        <f t="shared" si="3"/>
        <v>#VALUE!</v>
      </c>
      <c r="AA27" s="190"/>
    </row>
    <row r="28" spans="1:27" x14ac:dyDescent="0.2">
      <c r="A28" s="71"/>
      <c r="B28" s="79">
        <v>9</v>
      </c>
      <c r="C28" s="80" t="str">
        <f t="shared" si="4"/>
        <v>x15F</v>
      </c>
      <c r="D28" s="79" t="str">
        <f t="shared" si="0"/>
        <v>HKD9x15F_Quote</v>
      </c>
      <c r="E28" s="78" t="str">
        <f>_xll.qlSimpleQuote(D28,,RateTickValue,Permanent,Trigger,ObjectOverwrite)</f>
        <v>HKD9x15F_Quote#0000</v>
      </c>
      <c r="F28" s="77" t="str">
        <f>_xll.ohRangeRetrieveError(E28)</f>
        <v/>
      </c>
      <c r="G28" s="65"/>
      <c r="I28" s="167"/>
      <c r="J28" s="203">
        <v>9</v>
      </c>
      <c r="K28" s="202" t="str">
        <f t="shared" si="5"/>
        <v>x15F</v>
      </c>
      <c r="L28" s="200" t="str">
        <f t="shared" si="1"/>
        <v>HKD9x15F</v>
      </c>
      <c r="M28" s="200" t="str">
        <v>HKD9X15F=PREA</v>
      </c>
      <c r="N28" s="201" t="s">
        <v>189</v>
      </c>
      <c r="O28" s="201" t="s">
        <v>189</v>
      </c>
      <c r="P28" s="200" t="s">
        <v>189</v>
      </c>
      <c r="Q28" s="200" t="s">
        <v>189</v>
      </c>
      <c r="R28" s="164" t="e">
        <f>_xll.qlMidSafe($N28,$O28)</f>
        <v>#NUM!</v>
      </c>
      <c r="S28" s="162"/>
      <c r="T28" s="199" t="e">
        <v>#NUM!</v>
      </c>
      <c r="U28" s="162"/>
      <c r="V28" s="230" t="e">
        <v>#NUM!</v>
      </c>
      <c r="W28" s="168" t="e">
        <f>_xll.qlSimpleQuoteSetValue(D28,V28/100,ISERROR(E28))</f>
        <v>#NUM!</v>
      </c>
      <c r="X28" s="158"/>
      <c r="Y28" s="190"/>
      <c r="Z28" s="191" t="e">
        <f t="shared" si="3"/>
        <v>#VALUE!</v>
      </c>
      <c r="AA28" s="190"/>
    </row>
    <row r="29" spans="1:27" x14ac:dyDescent="0.2">
      <c r="A29" s="71"/>
      <c r="B29" s="79">
        <v>10</v>
      </c>
      <c r="C29" s="80" t="str">
        <f t="shared" si="4"/>
        <v>x16F</v>
      </c>
      <c r="D29" s="79" t="str">
        <f t="shared" si="0"/>
        <v>HKD10x16F_Quote</v>
      </c>
      <c r="E29" s="78" t="str">
        <f>_xll.qlSimpleQuote(D29,,RateTickValue,Permanent,Trigger,ObjectOverwrite)</f>
        <v>HKD10x16F_Quote#0000</v>
      </c>
      <c r="F29" s="77" t="str">
        <f>_xll.ohRangeRetrieveError(E29)</f>
        <v/>
      </c>
      <c r="G29" s="65"/>
      <c r="I29" s="167"/>
      <c r="J29" s="203">
        <v>10</v>
      </c>
      <c r="K29" s="202" t="str">
        <f t="shared" si="5"/>
        <v>x16F</v>
      </c>
      <c r="L29" s="200" t="str">
        <f t="shared" si="1"/>
        <v>HKD10x16F</v>
      </c>
      <c r="M29" s="200" t="str">
        <v>HKD10X16F=PREA</v>
      </c>
      <c r="N29" s="201" t="s">
        <v>189</v>
      </c>
      <c r="O29" s="201" t="s">
        <v>189</v>
      </c>
      <c r="P29" s="200" t="s">
        <v>189</v>
      </c>
      <c r="Q29" s="200" t="s">
        <v>189</v>
      </c>
      <c r="R29" s="164" t="e">
        <f>_xll.qlMidSafe($N29,$O29)</f>
        <v>#NUM!</v>
      </c>
      <c r="S29" s="162"/>
      <c r="T29" s="199" t="e">
        <v>#NUM!</v>
      </c>
      <c r="U29" s="162"/>
      <c r="V29" s="230" t="e">
        <v>#NUM!</v>
      </c>
      <c r="W29" s="168" t="e">
        <f>_xll.qlSimpleQuoteSetValue(D29,V29/100,ISERROR(E29))</f>
        <v>#NUM!</v>
      </c>
      <c r="X29" s="158"/>
      <c r="Y29" s="190"/>
      <c r="Z29" s="191" t="e">
        <f t="shared" si="3"/>
        <v>#VALUE!</v>
      </c>
      <c r="AA29" s="190"/>
    </row>
    <row r="30" spans="1:27" x14ac:dyDescent="0.2">
      <c r="A30" s="71"/>
      <c r="B30" s="79">
        <v>11</v>
      </c>
      <c r="C30" s="80" t="str">
        <f t="shared" si="4"/>
        <v>x17F</v>
      </c>
      <c r="D30" s="79" t="str">
        <f t="shared" si="0"/>
        <v>HKD11x17F_Quote</v>
      </c>
      <c r="E30" s="78" t="str">
        <f>_xll.qlSimpleQuote(D30,,RateTickValue,Permanent,Trigger,ObjectOverwrite)</f>
        <v>HKD11x17F_Quote#0000</v>
      </c>
      <c r="F30" s="77" t="str">
        <f>_xll.ohRangeRetrieveError(E30)</f>
        <v/>
      </c>
      <c r="G30" s="65"/>
      <c r="I30" s="167"/>
      <c r="J30" s="203">
        <v>11</v>
      </c>
      <c r="K30" s="202" t="str">
        <f t="shared" si="5"/>
        <v>x17F</v>
      </c>
      <c r="L30" s="200" t="str">
        <f t="shared" si="1"/>
        <v>HKD11x17F</v>
      </c>
      <c r="M30" s="200" t="str">
        <v>HKD11X17F=PREA</v>
      </c>
      <c r="N30" s="201" t="s">
        <v>189</v>
      </c>
      <c r="O30" s="201" t="s">
        <v>189</v>
      </c>
      <c r="P30" s="200" t="s">
        <v>189</v>
      </c>
      <c r="Q30" s="200" t="s">
        <v>189</v>
      </c>
      <c r="R30" s="164" t="e">
        <f>_xll.qlMidSafe($N30,$O30)</f>
        <v>#NUM!</v>
      </c>
      <c r="S30" s="162"/>
      <c r="T30" s="199" t="e">
        <v>#NUM!</v>
      </c>
      <c r="U30" s="162"/>
      <c r="V30" s="230" t="e">
        <v>#NUM!</v>
      </c>
      <c r="W30" s="168" t="e">
        <f>_xll.qlSimpleQuoteSetValue(D30,V30/100,ISERROR(E30))</f>
        <v>#NUM!</v>
      </c>
      <c r="X30" s="158"/>
      <c r="Y30" s="190"/>
      <c r="Z30" s="191" t="e">
        <f t="shared" si="3"/>
        <v>#VALUE!</v>
      </c>
      <c r="AA30" s="190"/>
    </row>
    <row r="31" spans="1:27" x14ac:dyDescent="0.2">
      <c r="A31" s="71"/>
      <c r="B31" s="79">
        <v>12</v>
      </c>
      <c r="C31" s="80" t="str">
        <f t="shared" si="4"/>
        <v>x18F</v>
      </c>
      <c r="D31" s="79" t="str">
        <f t="shared" si="0"/>
        <v>HKD12x18F_Quote</v>
      </c>
      <c r="E31" s="78" t="str">
        <f>_xll.qlSimpleQuote(D31,,RateTickValue,Permanent,Trigger,ObjectOverwrite)</f>
        <v>HKD12x18F_Quote#0000</v>
      </c>
      <c r="F31" s="77" t="str">
        <f>_xll.ohRangeRetrieveError(E31)</f>
        <v/>
      </c>
      <c r="G31" s="65"/>
      <c r="I31" s="167"/>
      <c r="J31" s="203">
        <v>12</v>
      </c>
      <c r="K31" s="202" t="str">
        <f t="shared" si="5"/>
        <v>x18F</v>
      </c>
      <c r="L31" s="200" t="str">
        <f t="shared" si="1"/>
        <v>HKD12x18F</v>
      </c>
      <c r="M31" s="200" t="str">
        <v>HKD12X18F=PREA</v>
      </c>
      <c r="N31" s="201">
        <v>0.56999999999999995</v>
      </c>
      <c r="O31" s="201">
        <v>0.67</v>
      </c>
      <c r="P31" s="200">
        <v>0</v>
      </c>
      <c r="Q31" s="200">
        <v>0</v>
      </c>
      <c r="R31" s="164">
        <f>_xll.qlMidSafe($N31,$O31)</f>
        <v>0.62</v>
      </c>
      <c r="S31" s="162"/>
      <c r="T31" s="199">
        <v>0.6100000000000001</v>
      </c>
      <c r="U31" s="162"/>
      <c r="V31" s="230">
        <v>0.6100000000000001</v>
      </c>
      <c r="W31" s="168" t="e">
        <f>_xll.qlSimpleQuoteSetValue(D31,V31/100,ISERROR(E31))</f>
        <v>#N/A</v>
      </c>
      <c r="X31" s="158"/>
      <c r="Y31" s="190"/>
      <c r="Z31" s="191">
        <f t="shared" si="3"/>
        <v>1.0000000000000009E-3</v>
      </c>
      <c r="AA31" s="190"/>
    </row>
    <row r="32" spans="1:27" x14ac:dyDescent="0.2">
      <c r="A32" s="71"/>
      <c r="B32" s="79">
        <v>13</v>
      </c>
      <c r="C32" s="80" t="str">
        <f t="shared" si="4"/>
        <v>x19F</v>
      </c>
      <c r="D32" s="79" t="str">
        <f t="shared" si="0"/>
        <v>HKD13x19F_Quote</v>
      </c>
      <c r="E32" s="78" t="str">
        <f>_xll.qlSimpleQuote(D32,,RateTickValue,Permanent,Trigger,ObjectOverwrite)</f>
        <v>HKD13x19F_Quote#0000</v>
      </c>
      <c r="F32" s="77" t="str">
        <f>_xll.ohRangeRetrieveError(E32)</f>
        <v/>
      </c>
      <c r="G32" s="65"/>
      <c r="I32" s="167"/>
      <c r="J32" s="203">
        <v>13</v>
      </c>
      <c r="K32" s="202" t="str">
        <f t="shared" si="5"/>
        <v>x19F</v>
      </c>
      <c r="L32" s="200" t="str">
        <f t="shared" si="1"/>
        <v>HKD13x19F</v>
      </c>
      <c r="M32" s="200" t="str">
        <v>HKD13X19F=PREA</v>
      </c>
      <c r="N32" s="201" t="s">
        <v>189</v>
      </c>
      <c r="O32" s="201" t="s">
        <v>189</v>
      </c>
      <c r="P32" s="200" t="s">
        <v>189</v>
      </c>
      <c r="Q32" s="200" t="s">
        <v>189</v>
      </c>
      <c r="R32" s="164" t="e">
        <f>_xll.qlMidSafe($N32,$O32)</f>
        <v>#NUM!</v>
      </c>
      <c r="S32" s="162"/>
      <c r="T32" s="199" t="e">
        <v>#NUM!</v>
      </c>
      <c r="U32" s="162"/>
      <c r="V32" s="230" t="e">
        <v>#NUM!</v>
      </c>
      <c r="W32" s="168" t="e">
        <f>_xll.qlSimpleQuoteSetValue(D32,V32/100,ISERROR(E32))</f>
        <v>#NUM!</v>
      </c>
      <c r="X32" s="158"/>
      <c r="Y32" s="190"/>
      <c r="Z32" s="191" t="e">
        <f t="shared" si="3"/>
        <v>#VALUE!</v>
      </c>
      <c r="AA32" s="190"/>
    </row>
    <row r="33" spans="1:27" x14ac:dyDescent="0.2">
      <c r="A33" s="71"/>
      <c r="B33" s="79">
        <v>14</v>
      </c>
      <c r="C33" s="80" t="str">
        <f t="shared" si="4"/>
        <v>x20F</v>
      </c>
      <c r="D33" s="79" t="str">
        <f t="shared" si="0"/>
        <v>HKD14x20F_Quote</v>
      </c>
      <c r="E33" s="78" t="str">
        <f>_xll.qlSimpleQuote(D33,,RateTickValue,Permanent,Trigger,ObjectOverwrite)</f>
        <v>HKD14x20F_Quote#0000</v>
      </c>
      <c r="F33" s="77" t="str">
        <f>_xll.ohRangeRetrieveError(E33)</f>
        <v/>
      </c>
      <c r="G33" s="65"/>
      <c r="I33" s="167"/>
      <c r="J33" s="203">
        <v>14</v>
      </c>
      <c r="K33" s="202" t="str">
        <f t="shared" si="5"/>
        <v>x20F</v>
      </c>
      <c r="L33" s="200" t="str">
        <f t="shared" si="1"/>
        <v>HKD14x20F</v>
      </c>
      <c r="M33" s="200" t="str">
        <v>HKD14X20F=PREA</v>
      </c>
      <c r="N33" s="201" t="s">
        <v>189</v>
      </c>
      <c r="O33" s="201" t="s">
        <v>189</v>
      </c>
      <c r="P33" s="200" t="s">
        <v>189</v>
      </c>
      <c r="Q33" s="200" t="s">
        <v>189</v>
      </c>
      <c r="R33" s="164" t="e">
        <f>_xll.qlMidSafe($N33,$O33)</f>
        <v>#NUM!</v>
      </c>
      <c r="S33" s="162"/>
      <c r="T33" s="199" t="e">
        <v>#NUM!</v>
      </c>
      <c r="U33" s="162"/>
      <c r="V33" s="230" t="e">
        <v>#NUM!</v>
      </c>
      <c r="W33" s="168" t="e">
        <f>_xll.qlSimpleQuoteSetValue(D33,V33/100,ISERROR(E33))</f>
        <v>#NUM!</v>
      </c>
      <c r="X33" s="158"/>
      <c r="Y33" s="190"/>
      <c r="Z33" s="191" t="e">
        <f t="shared" si="3"/>
        <v>#VALUE!</v>
      </c>
      <c r="AA33" s="190"/>
    </row>
    <row r="34" spans="1:27" x14ac:dyDescent="0.2">
      <c r="A34" s="71"/>
      <c r="B34" s="79">
        <v>15</v>
      </c>
      <c r="C34" s="80" t="str">
        <f t="shared" si="4"/>
        <v>x21F</v>
      </c>
      <c r="D34" s="79" t="str">
        <f t="shared" si="0"/>
        <v>HKD15x21F_Quote</v>
      </c>
      <c r="E34" s="78" t="str">
        <f>_xll.qlSimpleQuote(D34,,RateTickValue,Permanent,Trigger,ObjectOverwrite)</f>
        <v>HKD15x21F_Quote#0000</v>
      </c>
      <c r="F34" s="77" t="str">
        <f>_xll.ohRangeRetrieveError(E34)</f>
        <v/>
      </c>
      <c r="G34" s="65"/>
      <c r="I34" s="167"/>
      <c r="J34" s="203">
        <v>15</v>
      </c>
      <c r="K34" s="202" t="str">
        <f t="shared" si="5"/>
        <v>x21F</v>
      </c>
      <c r="L34" s="200" t="str">
        <f t="shared" si="1"/>
        <v>HKD15x21F</v>
      </c>
      <c r="M34" s="200" t="str">
        <v>HKD15X21F=PREA</v>
      </c>
      <c r="N34" s="201" t="s">
        <v>189</v>
      </c>
      <c r="O34" s="201" t="s">
        <v>189</v>
      </c>
      <c r="P34" s="200" t="s">
        <v>189</v>
      </c>
      <c r="Q34" s="200" t="s">
        <v>189</v>
      </c>
      <c r="R34" s="164" t="e">
        <f>_xll.qlMidSafe($N34,$O34)</f>
        <v>#NUM!</v>
      </c>
      <c r="S34" s="162"/>
      <c r="T34" s="199" t="e">
        <v>#NUM!</v>
      </c>
      <c r="U34" s="162"/>
      <c r="V34" s="230" t="e">
        <v>#NUM!</v>
      </c>
      <c r="W34" s="168" t="e">
        <f>_xll.qlSimpleQuoteSetValue(D34,V34/100,ISERROR(E34))</f>
        <v>#NUM!</v>
      </c>
      <c r="X34" s="158"/>
      <c r="Y34" s="190"/>
      <c r="Z34" s="191" t="e">
        <f t="shared" si="3"/>
        <v>#VALUE!</v>
      </c>
      <c r="AA34" s="190"/>
    </row>
    <row r="35" spans="1:27" x14ac:dyDescent="0.2">
      <c r="A35" s="71"/>
      <c r="B35" s="79">
        <v>16</v>
      </c>
      <c r="C35" s="80" t="str">
        <f t="shared" si="4"/>
        <v>x22F</v>
      </c>
      <c r="D35" s="79" t="str">
        <f t="shared" si="0"/>
        <v>HKD16x22F_Quote</v>
      </c>
      <c r="E35" s="78" t="str">
        <f>_xll.qlSimpleQuote(D35,,RateTickValue,Permanent,Trigger,ObjectOverwrite)</f>
        <v>HKD16x22F_Quote#0000</v>
      </c>
      <c r="F35" s="77" t="str">
        <f>_xll.ohRangeRetrieveError(E35)</f>
        <v/>
      </c>
      <c r="G35" s="65"/>
      <c r="I35" s="167"/>
      <c r="J35" s="203">
        <v>16</v>
      </c>
      <c r="K35" s="202" t="str">
        <f t="shared" si="5"/>
        <v>x22F</v>
      </c>
      <c r="L35" s="200" t="str">
        <f t="shared" si="1"/>
        <v>HKD16x22F</v>
      </c>
      <c r="M35" s="200" t="str">
        <v>HKD16X22F=PREA</v>
      </c>
      <c r="N35" s="201" t="s">
        <v>189</v>
      </c>
      <c r="O35" s="201" t="s">
        <v>189</v>
      </c>
      <c r="P35" s="200" t="s">
        <v>189</v>
      </c>
      <c r="Q35" s="200" t="s">
        <v>189</v>
      </c>
      <c r="R35" s="164" t="e">
        <f>_xll.qlMidSafe($N35,$O35)</f>
        <v>#NUM!</v>
      </c>
      <c r="S35" s="162"/>
      <c r="T35" s="199" t="e">
        <v>#NUM!</v>
      </c>
      <c r="U35" s="162"/>
      <c r="V35" s="230" t="e">
        <v>#NUM!</v>
      </c>
      <c r="W35" s="168" t="e">
        <f>_xll.qlSimpleQuoteSetValue(D35,V35/100,ISERROR(E35))</f>
        <v>#NUM!</v>
      </c>
      <c r="X35" s="158"/>
      <c r="Y35" s="190"/>
      <c r="Z35" s="191" t="e">
        <f t="shared" si="3"/>
        <v>#VALUE!</v>
      </c>
      <c r="AA35" s="190"/>
    </row>
    <row r="36" spans="1:27" x14ac:dyDescent="0.2">
      <c r="A36" s="71"/>
      <c r="B36" s="79">
        <v>17</v>
      </c>
      <c r="C36" s="80" t="str">
        <f t="shared" si="4"/>
        <v>x23F</v>
      </c>
      <c r="D36" s="79" t="str">
        <f t="shared" si="0"/>
        <v>HKD17x23F_Quote</v>
      </c>
      <c r="E36" s="78" t="str">
        <f>_xll.qlSimpleQuote(D36,,RateTickValue,Permanent,Trigger,ObjectOverwrite)</f>
        <v>HKD17x23F_Quote#0000</v>
      </c>
      <c r="F36" s="77" t="str">
        <f>_xll.ohRangeRetrieveError(E36)</f>
        <v/>
      </c>
      <c r="G36" s="65"/>
      <c r="I36" s="167"/>
      <c r="J36" s="203">
        <v>17</v>
      </c>
      <c r="K36" s="202" t="str">
        <f t="shared" si="5"/>
        <v>x23F</v>
      </c>
      <c r="L36" s="200" t="str">
        <f t="shared" si="1"/>
        <v>HKD17x23F</v>
      </c>
      <c r="M36" s="200" t="str">
        <v>HKD17X23F=PREA</v>
      </c>
      <c r="N36" s="201" t="s">
        <v>189</v>
      </c>
      <c r="O36" s="201" t="s">
        <v>189</v>
      </c>
      <c r="P36" s="200" t="s">
        <v>189</v>
      </c>
      <c r="Q36" s="200" t="s">
        <v>189</v>
      </c>
      <c r="R36" s="164" t="e">
        <f>_xll.qlMidSafe($N36,$O36)</f>
        <v>#NUM!</v>
      </c>
      <c r="S36" s="162"/>
      <c r="T36" s="199" t="e">
        <v>#NUM!</v>
      </c>
      <c r="U36" s="162"/>
      <c r="V36" s="230" t="e">
        <v>#NUM!</v>
      </c>
      <c r="W36" s="168" t="e">
        <f>_xll.qlSimpleQuoteSetValue(D36,V36/100,ISERROR(E36))</f>
        <v>#NUM!</v>
      </c>
      <c r="X36" s="158"/>
      <c r="Y36" s="190"/>
      <c r="Z36" s="191" t="e">
        <f t="shared" si="3"/>
        <v>#VALUE!</v>
      </c>
      <c r="AA36" s="190"/>
    </row>
    <row r="37" spans="1:27" x14ac:dyDescent="0.2">
      <c r="A37" s="71"/>
      <c r="B37" s="68">
        <v>18</v>
      </c>
      <c r="C37" s="72" t="str">
        <f t="shared" si="4"/>
        <v>x24F</v>
      </c>
      <c r="D37" s="68" t="str">
        <f t="shared" si="0"/>
        <v>HKD18x24F_Quote</v>
      </c>
      <c r="E37" s="67" t="str">
        <f>_xll.qlSimpleQuote(D37,,RateTickValue,Permanent,Trigger,ObjectOverwrite)</f>
        <v>HKD18x24F_Quote#0000</v>
      </c>
      <c r="F37" s="66" t="str">
        <f>_xll.ohRangeRetrieveError(E37)</f>
        <v/>
      </c>
      <c r="G37" s="65"/>
      <c r="I37" s="167"/>
      <c r="J37" s="203">
        <v>18</v>
      </c>
      <c r="K37" s="202" t="str">
        <f t="shared" si="5"/>
        <v>x24F</v>
      </c>
      <c r="L37" s="200" t="str">
        <f t="shared" si="1"/>
        <v>HKD18x24F</v>
      </c>
      <c r="M37" s="200" t="str">
        <v>HKD18X24F=PREA</v>
      </c>
      <c r="N37" s="201">
        <v>0.73</v>
      </c>
      <c r="O37" s="201">
        <v>0.83</v>
      </c>
      <c r="P37" s="200">
        <v>0</v>
      </c>
      <c r="Q37" s="200">
        <v>0</v>
      </c>
      <c r="R37" s="164">
        <f>_xll.qlMidSafe($N37,$O37)</f>
        <v>0.78</v>
      </c>
      <c r="S37" s="162"/>
      <c r="T37" s="199">
        <v>0.77</v>
      </c>
      <c r="U37" s="162"/>
      <c r="V37" s="230">
        <v>0.77</v>
      </c>
      <c r="W37" s="168" t="e">
        <f>_xll.qlSimpleQuoteSetValue(D37,V37/100,ISERROR(E37))</f>
        <v>#N/A</v>
      </c>
      <c r="X37" s="158"/>
      <c r="Y37" s="190"/>
      <c r="Z37" s="191">
        <f t="shared" si="3"/>
        <v>9.9999999999999872E-4</v>
      </c>
      <c r="AA37" s="190"/>
    </row>
    <row r="38" spans="1:27" x14ac:dyDescent="0.2">
      <c r="A38" s="71"/>
      <c r="B38" s="75" t="s">
        <v>84</v>
      </c>
      <c r="C38" s="76" t="s">
        <v>82</v>
      </c>
      <c r="D38" s="75" t="str">
        <f t="shared" si="0"/>
        <v>HKDT12F1_Quote</v>
      </c>
      <c r="E38" s="74" t="str">
        <f>_xll.qlSimpleQuote(D38,,RateTickValue,Permanent,Trigger,ObjectOverwrite)</f>
        <v>HKDT12F1_Quote#0000</v>
      </c>
      <c r="F38" s="73" t="str">
        <f>_xll.ohRangeRetrieveError(E38)</f>
        <v/>
      </c>
      <c r="G38" s="65"/>
      <c r="I38" s="167"/>
      <c r="J38" s="198">
        <v>12</v>
      </c>
      <c r="K38" s="197" t="str">
        <f>"x"&amp;J38+12&amp;"F"</f>
        <v>x24F</v>
      </c>
      <c r="L38" s="195" t="str">
        <f t="shared" si="1"/>
        <v>HKD12x24F</v>
      </c>
      <c r="M38" s="195" t="str">
        <v>HKD12X24F=PREA</v>
      </c>
      <c r="N38" s="196" t="s">
        <v>189</v>
      </c>
      <c r="O38" s="196" t="s">
        <v>189</v>
      </c>
      <c r="P38" s="195" t="s">
        <v>189</v>
      </c>
      <c r="Q38" s="195" t="s">
        <v>189</v>
      </c>
      <c r="R38" s="194" t="e">
        <f>_xll.qlMidSafe($N38,$O38)</f>
        <v>#NUM!</v>
      </c>
      <c r="S38" s="162"/>
      <c r="T38" s="193" t="e">
        <v>#NUM!</v>
      </c>
      <c r="U38" s="162"/>
      <c r="V38" s="321" t="e">
        <v>#NUM!</v>
      </c>
      <c r="W38" s="192" t="e">
        <f>_xll.qlSimpleQuoteSetValue(D38,V38/100,ISERROR(E38))</f>
        <v>#NUM!</v>
      </c>
      <c r="X38" s="158"/>
      <c r="Y38" s="190"/>
      <c r="Z38" s="191" t="e">
        <f t="shared" si="3"/>
        <v>#VALUE!</v>
      </c>
      <c r="AA38" s="190"/>
    </row>
    <row r="39" spans="1:27" ht="13.5" thickBot="1" x14ac:dyDescent="0.25">
      <c r="A39" s="71"/>
      <c r="B39" s="68" t="s">
        <v>83</v>
      </c>
      <c r="C39" s="72" t="s">
        <v>82</v>
      </c>
      <c r="D39" s="68" t="str">
        <f t="shared" si="0"/>
        <v>HKDTOM12F1_Quote</v>
      </c>
      <c r="E39" s="67" t="str">
        <f>_xll.qlSimpleQuote(D39,,RateTickValue,Permanent,Trigger,ObjectOverwrite)</f>
        <v>HKDTOM12F1_Quote#0000</v>
      </c>
      <c r="F39" s="66" t="str">
        <f>_xll.ohRangeRetrieveError(E39)</f>
        <v/>
      </c>
      <c r="G39" s="65"/>
      <c r="I39" s="157"/>
      <c r="J39" s="156"/>
      <c r="K39" s="156"/>
      <c r="L39" s="156"/>
      <c r="M39" s="156"/>
      <c r="N39" s="156"/>
      <c r="O39" s="156"/>
      <c r="P39" s="156"/>
      <c r="Q39" s="156"/>
      <c r="R39" s="156"/>
      <c r="S39" s="155"/>
      <c r="T39" s="156"/>
      <c r="U39" s="155"/>
      <c r="V39" s="156"/>
      <c r="W39" s="156"/>
      <c r="X39" s="154"/>
      <c r="Y39" s="190"/>
      <c r="Z39" s="190"/>
      <c r="AA39" s="190"/>
    </row>
    <row r="40" spans="1:27" x14ac:dyDescent="0.2">
      <c r="A40" s="71"/>
      <c r="B40" s="70">
        <v>12</v>
      </c>
      <c r="C40" s="69" t="s">
        <v>81</v>
      </c>
      <c r="D40" s="68" t="str">
        <f t="shared" si="0"/>
        <v>HKD12x24F_Quote</v>
      </c>
      <c r="E40" s="67" t="str">
        <f>_xll.qlSimpleQuote(D40,,RateTickValue,Permanent,Trigger,ObjectOverwrite)</f>
        <v>HKD12x24F_Quote#0000</v>
      </c>
      <c r="F40" s="66" t="str">
        <f>_xll.ohRangeRetrieveError(E40)</f>
        <v/>
      </c>
      <c r="G40" s="65"/>
      <c r="I40" s="190"/>
      <c r="J40" s="190"/>
      <c r="K40" s="190"/>
      <c r="L40" s="190"/>
      <c r="M40" s="190"/>
      <c r="N40" s="190"/>
      <c r="O40" s="190"/>
      <c r="P40" s="190"/>
      <c r="Q40" s="190"/>
      <c r="R40" s="190"/>
      <c r="S40" s="190"/>
      <c r="T40" s="190"/>
      <c r="U40" s="190"/>
      <c r="V40" s="190"/>
      <c r="W40" s="190"/>
      <c r="X40" s="190"/>
      <c r="Y40" s="190"/>
      <c r="Z40" s="190"/>
      <c r="AA40" s="190"/>
    </row>
    <row r="41" spans="1:27" ht="13.5" thickBot="1" x14ac:dyDescent="0.25">
      <c r="A41" s="64"/>
      <c r="B41" s="63"/>
      <c r="C41" s="63"/>
      <c r="D41" s="63"/>
      <c r="E41" s="62"/>
      <c r="F41" s="62"/>
      <c r="G41" s="61"/>
      <c r="I41" s="190"/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0"/>
      <c r="AA41" s="190"/>
    </row>
    <row r="42" spans="1:27" ht="15" x14ac:dyDescent="0.25">
      <c r="I42" s="190"/>
      <c r="J42" s="190"/>
      <c r="K42" s="190"/>
      <c r="L42" s="190"/>
      <c r="M42" s="190"/>
      <c r="N42" s="190"/>
      <c r="O42" s="190"/>
      <c r="P42" s="190"/>
      <c r="Q42" s="190"/>
      <c r="R42" s="190"/>
      <c r="S42" s="190"/>
      <c r="T42" s="190"/>
      <c r="U42" s="190"/>
      <c r="V42" s="190"/>
      <c r="W42"/>
      <c r="X42" s="190"/>
      <c r="Y42" s="190"/>
      <c r="Z42" s="190"/>
      <c r="AA42" s="190"/>
    </row>
    <row r="43" spans="1:27" ht="15" x14ac:dyDescent="0.25">
      <c r="I43" s="190"/>
      <c r="J43" s="190"/>
      <c r="K43" s="190"/>
      <c r="L43" s="190"/>
      <c r="M43" s="190"/>
      <c r="N43" s="190"/>
      <c r="O43" s="190"/>
      <c r="P43" s="190"/>
      <c r="Q43" s="190"/>
      <c r="R43" s="190"/>
      <c r="S43" s="190"/>
      <c r="T43" s="190"/>
      <c r="U43" s="190"/>
      <c r="V43" s="190"/>
      <c r="W43"/>
      <c r="X43" s="190"/>
      <c r="Y43" s="190"/>
      <c r="Z43" s="190"/>
      <c r="AA43" s="190"/>
    </row>
    <row r="44" spans="1:27" x14ac:dyDescent="0.2"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</row>
    <row r="45" spans="1:27" x14ac:dyDescent="0.2"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</row>
    <row r="46" spans="1:27" x14ac:dyDescent="0.2"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</row>
    <row r="47" spans="1:27" x14ac:dyDescent="0.2"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T47" s="190"/>
      <c r="U47" s="190"/>
      <c r="V47" s="190"/>
      <c r="W47" s="190"/>
      <c r="X47" s="190"/>
      <c r="Y47" s="190"/>
      <c r="Z47" s="190"/>
      <c r="AA47" s="190"/>
    </row>
    <row r="48" spans="1:27" x14ac:dyDescent="0.2">
      <c r="I48" s="190"/>
      <c r="J48" s="190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  <c r="V48" s="190"/>
      <c r="W48" s="190"/>
      <c r="X48" s="190"/>
      <c r="Y48" s="190"/>
      <c r="Z48" s="190"/>
      <c r="AA48" s="190"/>
    </row>
    <row r="49" spans="9:27" x14ac:dyDescent="0.2">
      <c r="I49" s="190"/>
      <c r="J49" s="190"/>
      <c r="K49" s="190"/>
      <c r="L49" s="190"/>
      <c r="M49" s="190"/>
      <c r="N49" s="190"/>
      <c r="O49" s="190"/>
      <c r="P49" s="190"/>
      <c r="Q49" s="190"/>
      <c r="R49" s="190"/>
      <c r="S49" s="190"/>
      <c r="T49" s="190"/>
      <c r="U49" s="190"/>
      <c r="V49" s="190"/>
      <c r="W49" s="190"/>
      <c r="X49" s="190"/>
      <c r="Y49" s="190"/>
      <c r="Z49" s="190"/>
      <c r="AA49" s="190"/>
    </row>
    <row r="50" spans="9:27" x14ac:dyDescent="0.2">
      <c r="I50" s="190"/>
      <c r="J50" s="190"/>
      <c r="K50" s="190"/>
      <c r="L50" s="190"/>
      <c r="M50" s="190"/>
      <c r="N50" s="190"/>
      <c r="O50" s="190"/>
      <c r="P50" s="190"/>
      <c r="Q50" s="190"/>
      <c r="R50" s="190"/>
      <c r="S50" s="190"/>
      <c r="T50" s="190"/>
      <c r="U50" s="190"/>
      <c r="V50" s="190"/>
      <c r="W50" s="190"/>
      <c r="X50" s="190"/>
      <c r="Y50" s="190"/>
      <c r="Z50" s="190"/>
      <c r="AA50" s="190"/>
    </row>
    <row r="51" spans="9:27" x14ac:dyDescent="0.2"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  <c r="Y51" s="190"/>
      <c r="Z51" s="190"/>
      <c r="AA51" s="190"/>
    </row>
    <row r="52" spans="9:27" x14ac:dyDescent="0.2">
      <c r="I52" s="190"/>
      <c r="J52" s="190"/>
      <c r="K52" s="190"/>
      <c r="L52" s="190"/>
      <c r="M52" s="190"/>
      <c r="N52" s="190"/>
      <c r="O52" s="190"/>
      <c r="P52" s="190"/>
      <c r="Q52" s="190"/>
      <c r="R52" s="190"/>
      <c r="S52" s="190"/>
      <c r="T52" s="190"/>
      <c r="U52" s="190"/>
      <c r="V52" s="190"/>
      <c r="W52" s="190"/>
      <c r="X52" s="190"/>
      <c r="Y52" s="190"/>
      <c r="Z52" s="190"/>
      <c r="AA52" s="190"/>
    </row>
    <row r="53" spans="9:27" x14ac:dyDescent="0.2">
      <c r="I53" s="190"/>
      <c r="J53" s="190"/>
      <c r="K53" s="190"/>
      <c r="L53" s="190"/>
      <c r="M53" s="190"/>
      <c r="N53" s="190"/>
      <c r="O53" s="190"/>
      <c r="P53" s="190"/>
      <c r="Q53" s="190"/>
      <c r="R53" s="190"/>
      <c r="S53" s="190"/>
      <c r="T53" s="190"/>
      <c r="U53" s="190"/>
      <c r="V53" s="190"/>
      <c r="W53" s="190"/>
      <c r="X53" s="190"/>
      <c r="Y53" s="190"/>
      <c r="Z53" s="190"/>
      <c r="AA53" s="190"/>
    </row>
    <row r="54" spans="9:27" x14ac:dyDescent="0.2">
      <c r="I54" s="190"/>
      <c r="J54" s="190"/>
      <c r="K54" s="190"/>
      <c r="L54" s="190"/>
      <c r="M54" s="190"/>
      <c r="N54" s="190"/>
      <c r="O54" s="190"/>
      <c r="P54" s="190"/>
      <c r="Q54" s="190"/>
      <c r="R54" s="190"/>
      <c r="S54" s="190"/>
      <c r="T54" s="190"/>
      <c r="U54" s="190"/>
      <c r="V54" s="190"/>
      <c r="W54" s="190"/>
      <c r="X54" s="190"/>
      <c r="Y54" s="190"/>
      <c r="Z54" s="190"/>
      <c r="AA54" s="190"/>
    </row>
    <row r="55" spans="9:27" x14ac:dyDescent="0.2">
      <c r="I55" s="190"/>
      <c r="J55" s="190"/>
      <c r="K55" s="190"/>
      <c r="L55" s="190"/>
      <c r="M55" s="190"/>
      <c r="N55" s="190"/>
      <c r="O55" s="190"/>
      <c r="P55" s="190"/>
      <c r="Q55" s="190"/>
      <c r="R55" s="190"/>
      <c r="S55" s="190"/>
      <c r="T55" s="190"/>
      <c r="U55" s="190"/>
      <c r="V55" s="190"/>
      <c r="W55" s="190"/>
      <c r="X55" s="190"/>
      <c r="Y55" s="190"/>
      <c r="Z55" s="190"/>
      <c r="AA55" s="190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41"/>
  <sheetViews>
    <sheetView tabSelected="1" workbookViewId="0">
      <selection activeCell="O7" sqref="O7"/>
    </sheetView>
  </sheetViews>
  <sheetFormatPr defaultRowHeight="11.25" x14ac:dyDescent="0.2"/>
  <cols>
    <col min="1" max="1" width="2.7109375" style="16" customWidth="1"/>
    <col min="2" max="2" width="3.5703125" style="16" bestFit="1" customWidth="1"/>
    <col min="3" max="3" width="5.7109375" style="16" bestFit="1" customWidth="1"/>
    <col min="4" max="4" width="6.140625" style="16" bestFit="1" customWidth="1"/>
    <col min="5" max="5" width="17" style="16" bestFit="1" customWidth="1"/>
    <col min="6" max="6" width="20.140625" style="16" bestFit="1" customWidth="1"/>
    <col min="7" max="7" width="33.85546875" style="16" customWidth="1"/>
    <col min="8" max="10" width="2.7109375" style="16" customWidth="1"/>
    <col min="11" max="13" width="9.140625" style="16"/>
    <col min="14" max="14" width="14.28515625" style="16" bestFit="1" customWidth="1"/>
    <col min="15" max="19" width="9.140625" style="16"/>
    <col min="20" max="20" width="12.140625" style="16" customWidth="1"/>
    <col min="21" max="21" width="9.140625" style="16"/>
    <col min="22" max="22" width="2.7109375" style="16" customWidth="1"/>
    <col min="23" max="23" width="9.140625" style="16"/>
    <col min="24" max="24" width="2.7109375" style="16" customWidth="1"/>
    <col min="25" max="26" width="9.140625" style="16"/>
    <col min="27" max="28" width="2.7109375" style="16" customWidth="1"/>
    <col min="29" max="16384" width="9.140625" style="16"/>
  </cols>
  <sheetData>
    <row r="1" spans="1:30" s="141" customFormat="1" ht="12" thickBot="1" x14ac:dyDescent="0.25">
      <c r="A1" s="141" t="s">
        <v>180</v>
      </c>
      <c r="J1" s="188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249"/>
      <c r="W1" s="249"/>
      <c r="X1" s="187"/>
      <c r="Y1" s="187"/>
      <c r="Z1" s="187"/>
      <c r="AA1" s="248"/>
      <c r="AB1" s="190"/>
      <c r="AC1" s="190"/>
      <c r="AD1" s="190"/>
    </row>
    <row r="2" spans="1:30" x14ac:dyDescent="0.2">
      <c r="A2" s="103"/>
      <c r="B2" s="102"/>
      <c r="C2" s="102"/>
      <c r="D2" s="36" t="s">
        <v>104</v>
      </c>
      <c r="E2" s="36" t="s">
        <v>105</v>
      </c>
      <c r="F2" s="101"/>
      <c r="G2" s="101"/>
      <c r="H2" s="100"/>
      <c r="J2" s="185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162"/>
      <c r="W2" s="162"/>
      <c r="X2" s="220"/>
      <c r="Y2" s="220"/>
      <c r="Z2" s="181">
        <f>_xll.ohTrigger(Z4:Z39)</f>
        <v>1</v>
      </c>
      <c r="AA2" s="247"/>
      <c r="AB2" s="190"/>
      <c r="AC2" s="190"/>
      <c r="AD2" s="190"/>
    </row>
    <row r="3" spans="1:30" ht="22.5" x14ac:dyDescent="0.2">
      <c r="A3" s="99"/>
      <c r="B3" s="42" t="s">
        <v>102</v>
      </c>
      <c r="C3" s="43" t="s">
        <v>101</v>
      </c>
      <c r="D3" s="43" t="s">
        <v>100</v>
      </c>
      <c r="E3" s="41" t="str">
        <f>Currency&amp;"_010_"&amp;$D$2&amp;$E$2&amp;".xml"</f>
        <v>HKD_010_FUT3M.xml</v>
      </c>
      <c r="F3" s="40" t="e">
        <f ca="1">IF(Serialize,_xll.ohObjectSave(F4:F39,SerializationPath&amp;E3,FileOverwrite,,Serialize),"---")</f>
        <v>#NUM!</v>
      </c>
      <c r="G3" s="55" t="str">
        <f ca="1">_xll.ohRangeRetrieveError(F3)</f>
        <v>ohObjectSave - ObjectHandler error: attempt to retrieve object with unknown ID 'HKDFUT3MG4_Quote'</v>
      </c>
      <c r="H3" s="328" t="s">
        <v>182</v>
      </c>
      <c r="J3" s="185"/>
      <c r="K3" s="255" t="s">
        <v>102</v>
      </c>
      <c r="L3" s="251" t="s">
        <v>101</v>
      </c>
      <c r="M3" s="251" t="s">
        <v>100</v>
      </c>
      <c r="N3" s="251" t="s">
        <v>162</v>
      </c>
      <c r="O3" s="254" t="e">
        <f ca="1">_xll.RData(O4:O39,P3:T3,,ReutersRtMode,,P4)</f>
        <v>#NAME?</v>
      </c>
      <c r="P3" s="251" t="s">
        <v>161</v>
      </c>
      <c r="Q3" s="251" t="s">
        <v>160</v>
      </c>
      <c r="R3" s="251" t="s">
        <v>145</v>
      </c>
      <c r="S3" s="251" t="s">
        <v>144</v>
      </c>
      <c r="T3" s="251" t="s">
        <v>159</v>
      </c>
      <c r="U3" s="253" t="s">
        <v>158</v>
      </c>
      <c r="V3" s="162"/>
      <c r="W3" s="252" t="s">
        <v>139</v>
      </c>
      <c r="X3" s="162"/>
      <c r="Y3" s="255" t="s">
        <v>137</v>
      </c>
      <c r="Z3" s="250" t="s">
        <v>136</v>
      </c>
      <c r="AA3" s="183"/>
      <c r="AB3" s="190"/>
      <c r="AC3" s="215" t="s">
        <v>157</v>
      </c>
      <c r="AD3" s="190"/>
    </row>
    <row r="4" spans="1:30" x14ac:dyDescent="0.2">
      <c r="A4" s="93"/>
      <c r="B4" s="98">
        <v>1</v>
      </c>
      <c r="C4" s="97" t="b">
        <v>0</v>
      </c>
      <c r="D4" s="96" t="str">
        <f t="array" ref="D4:D39">_xll.qlIMMNextCodes(_xll.qlSettingsEvaluationDate(Trigger)-1,$C4:$C39)</f>
        <v>G4</v>
      </c>
      <c r="E4" s="89" t="str">
        <f t="shared" ref="E4:E35" si="0">Currency&amp;$D$2&amp;$E$2&amp;$D4&amp;QuoteSuffix</f>
        <v>HKDFUT3MG4_Quote</v>
      </c>
      <c r="F4" s="95" t="str">
        <f>_xll.qlSimpleQuote(E4,,PriceTickValue,Permanent,Trigger,ObjectOverwrite)</f>
        <v>HKDFUT3MG4_Quote#0000</v>
      </c>
      <c r="G4" s="94" t="str">
        <f>_xll.ohRangeRetrieveError(F4)</f>
        <v/>
      </c>
      <c r="H4" s="65"/>
      <c r="J4" s="229"/>
      <c r="K4" s="246">
        <v>1</v>
      </c>
      <c r="L4" s="245" t="b">
        <v>0</v>
      </c>
      <c r="M4" s="173" t="str">
        <f t="array" ref="M4:M39">_xll.qlIMMcode(FuturesDates)</f>
        <v>G4</v>
      </c>
      <c r="N4" s="244">
        <f t="array" ref="N4:N39">_xll.qlIMMNextDates(_xll.qlSettingsEvaluationDate(Trigger)-1,$L4:$L39)</f>
        <v>41689</v>
      </c>
      <c r="O4" s="173" t="str">
        <f>"HIR"&amp;M4</f>
        <v>HIRG4</v>
      </c>
      <c r="P4" s="243">
        <v>41624</v>
      </c>
      <c r="Q4" s="173">
        <v>99.54</v>
      </c>
      <c r="R4" s="173">
        <v>99.64</v>
      </c>
      <c r="S4" s="173">
        <v>0</v>
      </c>
      <c r="T4" s="173">
        <v>99.59</v>
      </c>
      <c r="U4" s="175">
        <f>_xll.qlMidSafe($Q4,$R4)</f>
        <v>99.59</v>
      </c>
      <c r="V4" s="162"/>
      <c r="W4" s="242">
        <v>99.59</v>
      </c>
      <c r="X4" s="162"/>
      <c r="Y4" s="241">
        <f t="array" ref="Y4:Y39">QuoteStatic</f>
        <v>99.59</v>
      </c>
      <c r="Z4" s="175" t="e">
        <f>_xll.qlSimpleQuoteSetValue(E4,$Y4,ISERROR(F4))</f>
        <v>#N/A</v>
      </c>
      <c r="AA4" s="183"/>
      <c r="AB4" s="190"/>
      <c r="AC4" s="191">
        <f t="shared" ref="AC4:AC39" si="1">(R4-U4)/50</f>
        <v>9.9999999999994321E-4</v>
      </c>
      <c r="AD4" s="190"/>
    </row>
    <row r="5" spans="1:30" x14ac:dyDescent="0.2">
      <c r="A5" s="93"/>
      <c r="B5" s="92">
        <v>2</v>
      </c>
      <c r="C5" s="91" t="b">
        <v>0</v>
      </c>
      <c r="D5" s="90" t="str">
        <v>H4</v>
      </c>
      <c r="E5" s="89" t="str">
        <f t="shared" si="0"/>
        <v>HKDFUT3MH4_Quote</v>
      </c>
      <c r="F5" s="95" t="str">
        <f>_xll.qlSimpleQuote(E5,,PriceTickValue,Permanent,Trigger,ObjectOverwrite)</f>
        <v>HKDFUT3MH4_Quote#0000</v>
      </c>
      <c r="G5" s="52" t="str">
        <f>_xll.ohRangeRetrieveError(F5)</f>
        <v/>
      </c>
      <c r="H5" s="65"/>
      <c r="J5" s="229"/>
      <c r="K5" s="235">
        <v>2</v>
      </c>
      <c r="L5" s="234" t="b">
        <v>0</v>
      </c>
      <c r="M5" s="169" t="str">
        <v>H4</v>
      </c>
      <c r="N5" s="233">
        <v>41717</v>
      </c>
      <c r="O5" s="169" t="str">
        <f t="shared" ref="O5:O39" si="2">"HIR"&amp;M5</f>
        <v>HIRH4</v>
      </c>
      <c r="P5" s="232">
        <v>41652</v>
      </c>
      <c r="Q5" s="169">
        <v>99.54</v>
      </c>
      <c r="R5" s="169">
        <v>99.64</v>
      </c>
      <c r="S5" s="169">
        <v>0</v>
      </c>
      <c r="T5" s="169">
        <v>99.59</v>
      </c>
      <c r="U5" s="164">
        <f>_xll.qlMidSafe($Q5,$R5)</f>
        <v>99.59</v>
      </c>
      <c r="V5" s="162"/>
      <c r="W5" s="240">
        <v>99.59</v>
      </c>
      <c r="X5" s="162"/>
      <c r="Y5" s="230">
        <v>99.59</v>
      </c>
      <c r="Z5" s="164" t="e">
        <f>_xll.qlSimpleQuoteSetValue(E5,$Y5,ISERROR(F5))</f>
        <v>#N/A</v>
      </c>
      <c r="AA5" s="183"/>
      <c r="AB5" s="190"/>
      <c r="AC5" s="191">
        <f t="shared" si="1"/>
        <v>9.9999999999994321E-4</v>
      </c>
      <c r="AD5" s="190"/>
    </row>
    <row r="6" spans="1:30" x14ac:dyDescent="0.2">
      <c r="A6" s="93"/>
      <c r="B6" s="92">
        <v>3</v>
      </c>
      <c r="C6" s="91" t="b">
        <v>0</v>
      </c>
      <c r="D6" s="90" t="str">
        <v>J4</v>
      </c>
      <c r="E6" s="89" t="str">
        <f t="shared" si="0"/>
        <v>HKDFUT3MJ4_Quote</v>
      </c>
      <c r="F6" s="95" t="str">
        <f>_xll.qlSimpleQuote(E6,,PriceTickValue,Permanent,Trigger,ObjectOverwrite)</f>
        <v>HKDFUT3MJ4_Quote#0000</v>
      </c>
      <c r="G6" s="52" t="str">
        <f>_xll.ohRangeRetrieveError(F6)</f>
        <v/>
      </c>
      <c r="H6" s="65"/>
      <c r="J6" s="229"/>
      <c r="K6" s="235">
        <v>3</v>
      </c>
      <c r="L6" s="234" t="b">
        <v>0</v>
      </c>
      <c r="M6" s="169" t="str">
        <v>J4</v>
      </c>
      <c r="N6" s="233">
        <v>41745</v>
      </c>
      <c r="O6" s="169" t="str">
        <f t="shared" si="2"/>
        <v>HIRJ4</v>
      </c>
      <c r="P6" s="232">
        <v>41687</v>
      </c>
      <c r="Q6" s="169">
        <v>99.54</v>
      </c>
      <c r="R6" s="169">
        <v>99.64</v>
      </c>
      <c r="S6" s="169">
        <v>0</v>
      </c>
      <c r="T6" s="169">
        <v>99.59</v>
      </c>
      <c r="U6" s="164">
        <f>_xll.qlMidSafe($Q6,$R6)</f>
        <v>99.59</v>
      </c>
      <c r="V6" s="162"/>
      <c r="W6" s="240">
        <v>99.59</v>
      </c>
      <c r="X6" s="162"/>
      <c r="Y6" s="230">
        <v>99.59</v>
      </c>
      <c r="Z6" s="164" t="e">
        <f>_xll.qlSimpleQuoteSetValue(E6,$Y6,ISERROR(F6))</f>
        <v>#N/A</v>
      </c>
      <c r="AA6" s="183"/>
      <c r="AB6" s="190"/>
      <c r="AC6" s="191">
        <f t="shared" si="1"/>
        <v>9.9999999999994321E-4</v>
      </c>
      <c r="AD6" s="190"/>
    </row>
    <row r="7" spans="1:30" x14ac:dyDescent="0.2">
      <c r="A7" s="93"/>
      <c r="B7" s="92">
        <v>4</v>
      </c>
      <c r="C7" s="91" t="b">
        <v>0</v>
      </c>
      <c r="D7" s="90" t="str">
        <v>K4</v>
      </c>
      <c r="E7" s="89" t="str">
        <f t="shared" si="0"/>
        <v>HKDFUT3MK4_Quote</v>
      </c>
      <c r="F7" s="95" t="str">
        <f>_xll.qlSimpleQuote(E7,,PriceTickValue,Permanent,Trigger,ObjectOverwrite)</f>
        <v>HKDFUT3MK4_Quote#0000</v>
      </c>
      <c r="G7" s="52" t="str">
        <f>_xll.ohRangeRetrieveError(F7)</f>
        <v/>
      </c>
      <c r="H7" s="65"/>
      <c r="J7" s="229"/>
      <c r="K7" s="235">
        <v>4</v>
      </c>
      <c r="L7" s="234" t="b">
        <v>0</v>
      </c>
      <c r="M7" s="169" t="str">
        <v>K4</v>
      </c>
      <c r="N7" s="233">
        <v>41780</v>
      </c>
      <c r="O7" s="169" t="str">
        <f t="shared" si="2"/>
        <v>HIRK4</v>
      </c>
      <c r="P7" s="232">
        <v>41715</v>
      </c>
      <c r="Q7" s="169">
        <v>99.53</v>
      </c>
      <c r="R7" s="169">
        <v>99.63</v>
      </c>
      <c r="S7" s="169">
        <v>0</v>
      </c>
      <c r="T7" s="169">
        <v>99.58</v>
      </c>
      <c r="U7" s="164">
        <f>_xll.qlMidSafe($Q7,$R7)</f>
        <v>99.58</v>
      </c>
      <c r="V7" s="162"/>
      <c r="W7" s="240">
        <v>99.58</v>
      </c>
      <c r="X7" s="162"/>
      <c r="Y7" s="230">
        <v>99.58</v>
      </c>
      <c r="Z7" s="164" t="e">
        <f>_xll.qlSimpleQuoteSetValue(E7,$Y7,ISERROR(F7))</f>
        <v>#N/A</v>
      </c>
      <c r="AA7" s="183"/>
      <c r="AB7" s="190"/>
      <c r="AC7" s="191">
        <f t="shared" si="1"/>
        <v>9.9999999999994321E-4</v>
      </c>
      <c r="AD7" s="190"/>
    </row>
    <row r="8" spans="1:30" x14ac:dyDescent="0.2">
      <c r="A8" s="93"/>
      <c r="B8" s="92">
        <v>5</v>
      </c>
      <c r="C8" s="91" t="b">
        <v>0</v>
      </c>
      <c r="D8" s="90" t="str">
        <v>M4</v>
      </c>
      <c r="E8" s="89" t="str">
        <f t="shared" si="0"/>
        <v>HKDFUT3MM4_Quote</v>
      </c>
      <c r="F8" s="95" t="str">
        <f>_xll.qlSimpleQuote(E8,,PriceTickValue,Permanent,Trigger,ObjectOverwrite)</f>
        <v>HKDFUT3MM4_Quote#0000</v>
      </c>
      <c r="G8" s="52" t="str">
        <f>_xll.ohRangeRetrieveError(F8)</f>
        <v/>
      </c>
      <c r="H8" s="65"/>
      <c r="J8" s="229"/>
      <c r="K8" s="235">
        <v>5</v>
      </c>
      <c r="L8" s="234" t="b">
        <v>0</v>
      </c>
      <c r="M8" s="169" t="str">
        <v>M4</v>
      </c>
      <c r="N8" s="233">
        <v>41808</v>
      </c>
      <c r="O8" s="169" t="str">
        <f t="shared" si="2"/>
        <v>HIRM4</v>
      </c>
      <c r="P8" s="232" t="s">
        <v>189</v>
      </c>
      <c r="Q8" s="169" t="s">
        <v>189</v>
      </c>
      <c r="R8" s="169" t="s">
        <v>189</v>
      </c>
      <c r="S8" s="169" t="s">
        <v>189</v>
      </c>
      <c r="T8" s="169" t="s">
        <v>189</v>
      </c>
      <c r="U8" s="164" t="e">
        <f>_xll.qlMidSafe($Q8,$R8)</f>
        <v>#NUM!</v>
      </c>
      <c r="V8" s="162"/>
      <c r="W8" s="231" t="e">
        <v>#NUM!</v>
      </c>
      <c r="X8" s="162"/>
      <c r="Y8" s="230" t="e">
        <v>#NUM!</v>
      </c>
      <c r="Z8" s="164" t="e">
        <f>_xll.qlSimpleQuoteSetValue(E8,$Y8,ISERROR(F8))</f>
        <v>#NUM!</v>
      </c>
      <c r="AA8" s="183"/>
      <c r="AB8" s="190"/>
      <c r="AC8" s="191" t="e">
        <f t="shared" si="1"/>
        <v>#VALUE!</v>
      </c>
      <c r="AD8" s="190"/>
    </row>
    <row r="9" spans="1:30" x14ac:dyDescent="0.2">
      <c r="A9" s="93"/>
      <c r="B9" s="92">
        <v>6</v>
      </c>
      <c r="C9" s="91" t="b">
        <v>0</v>
      </c>
      <c r="D9" s="90" t="str">
        <v>N4</v>
      </c>
      <c r="E9" s="89" t="str">
        <f t="shared" si="0"/>
        <v>HKDFUT3MN4_Quote</v>
      </c>
      <c r="F9" s="95" t="str">
        <f>_xll.qlSimpleQuote(E9,,PriceTickValue,Permanent,Trigger,ObjectOverwrite)</f>
        <v>HKDFUT3MN4_Quote#0000</v>
      </c>
      <c r="G9" s="52" t="str">
        <f>_xll.ohRangeRetrieveError(F9)</f>
        <v/>
      </c>
      <c r="H9" s="65"/>
      <c r="J9" s="229"/>
      <c r="K9" s="235">
        <v>6</v>
      </c>
      <c r="L9" s="234" t="b">
        <v>0</v>
      </c>
      <c r="M9" s="169" t="str">
        <v>N4</v>
      </c>
      <c r="N9" s="233">
        <v>41836</v>
      </c>
      <c r="O9" s="169" t="str">
        <f t="shared" si="2"/>
        <v>HIRN4</v>
      </c>
      <c r="P9" s="232" t="s">
        <v>189</v>
      </c>
      <c r="Q9" s="169" t="s">
        <v>189</v>
      </c>
      <c r="R9" s="169" t="s">
        <v>189</v>
      </c>
      <c r="S9" s="169" t="s">
        <v>189</v>
      </c>
      <c r="T9" s="169" t="s">
        <v>189</v>
      </c>
      <c r="U9" s="164" t="e">
        <f>_xll.qlMidSafe($Q9,$R9)</f>
        <v>#NUM!</v>
      </c>
      <c r="V9" s="162"/>
      <c r="W9" s="231" t="e">
        <v>#NUM!</v>
      </c>
      <c r="X9" s="162"/>
      <c r="Y9" s="230" t="e">
        <v>#NUM!</v>
      </c>
      <c r="Z9" s="164" t="e">
        <f>_xll.qlSimpleQuoteSetValue(E9,$Y9,ISERROR(F9))</f>
        <v>#NUM!</v>
      </c>
      <c r="AA9" s="183"/>
      <c r="AB9" s="190"/>
      <c r="AC9" s="191" t="e">
        <f t="shared" si="1"/>
        <v>#VALUE!</v>
      </c>
      <c r="AD9" s="190"/>
    </row>
    <row r="10" spans="1:30" x14ac:dyDescent="0.2">
      <c r="A10" s="93"/>
      <c r="B10" s="92">
        <v>7</v>
      </c>
      <c r="C10" s="91" t="b">
        <v>0</v>
      </c>
      <c r="D10" s="90" t="str">
        <v>Q4</v>
      </c>
      <c r="E10" s="89" t="str">
        <f t="shared" si="0"/>
        <v>HKDFUT3MQ4_Quote</v>
      </c>
      <c r="F10" s="95" t="str">
        <f>_xll.qlSimpleQuote(E10,,PriceTickValue,Permanent,Trigger,ObjectOverwrite)</f>
        <v>HKDFUT3MQ4_Quote#0000</v>
      </c>
      <c r="G10" s="52" t="str">
        <f>_xll.ohRangeRetrieveError(F10)</f>
        <v/>
      </c>
      <c r="H10" s="65"/>
      <c r="J10" s="229"/>
      <c r="K10" s="235">
        <v>7</v>
      </c>
      <c r="L10" s="234" t="b">
        <v>0</v>
      </c>
      <c r="M10" s="169" t="str">
        <v>Q4</v>
      </c>
      <c r="N10" s="233">
        <v>41871</v>
      </c>
      <c r="O10" s="169" t="str">
        <f t="shared" si="2"/>
        <v>HIRQ4</v>
      </c>
      <c r="P10" s="232">
        <v>41806</v>
      </c>
      <c r="Q10" s="169">
        <v>99.49</v>
      </c>
      <c r="R10" s="169">
        <v>99.58</v>
      </c>
      <c r="S10" s="169">
        <v>0</v>
      </c>
      <c r="T10" s="169">
        <v>99.54</v>
      </c>
      <c r="U10" s="164">
        <f>_xll.qlMidSafe($Q10,$R10)</f>
        <v>99.534999999999997</v>
      </c>
      <c r="V10" s="162"/>
      <c r="W10" s="231">
        <v>99.539999999999992</v>
      </c>
      <c r="X10" s="162"/>
      <c r="Y10" s="230">
        <v>99.539999999999992</v>
      </c>
      <c r="Z10" s="164" t="e">
        <f>_xll.qlSimpleQuoteSetValue(E10,$Y10,ISERROR(F10))</f>
        <v>#N/A</v>
      </c>
      <c r="AA10" s="183"/>
      <c r="AB10" s="190"/>
      <c r="AC10" s="191">
        <f t="shared" si="1"/>
        <v>9.0000000000003413E-4</v>
      </c>
      <c r="AD10" s="190"/>
    </row>
    <row r="11" spans="1:30" x14ac:dyDescent="0.2">
      <c r="A11" s="93"/>
      <c r="B11" s="92">
        <v>8</v>
      </c>
      <c r="C11" s="91" t="b">
        <v>0</v>
      </c>
      <c r="D11" s="90" t="str">
        <v>U4</v>
      </c>
      <c r="E11" s="89" t="str">
        <f t="shared" si="0"/>
        <v>HKDFUT3MU4_Quote</v>
      </c>
      <c r="F11" s="95" t="str">
        <f>_xll.qlSimpleQuote(E11,,PriceTickValue,Permanent,Trigger,ObjectOverwrite)</f>
        <v>HKDFUT3MU4_Quote#0000</v>
      </c>
      <c r="G11" s="52" t="str">
        <f>_xll.ohRangeRetrieveError(F11)</f>
        <v/>
      </c>
      <c r="H11" s="65"/>
      <c r="J11" s="229"/>
      <c r="K11" s="235">
        <v>8</v>
      </c>
      <c r="L11" s="234" t="b">
        <v>0</v>
      </c>
      <c r="M11" s="169" t="str">
        <v>U4</v>
      </c>
      <c r="N11" s="233">
        <v>41899</v>
      </c>
      <c r="O11" s="169" t="str">
        <f t="shared" si="2"/>
        <v>HIRU4</v>
      </c>
      <c r="P11" s="232" t="s">
        <v>189</v>
      </c>
      <c r="Q11" s="169" t="s">
        <v>189</v>
      </c>
      <c r="R11" s="169" t="s">
        <v>189</v>
      </c>
      <c r="S11" s="169" t="s">
        <v>189</v>
      </c>
      <c r="T11" s="169" t="s">
        <v>189</v>
      </c>
      <c r="U11" s="164" t="e">
        <f>_xll.qlMidSafe($Q11,$R11)</f>
        <v>#NUM!</v>
      </c>
      <c r="V11" s="162"/>
      <c r="W11" s="231" t="e">
        <v>#NUM!</v>
      </c>
      <c r="X11" s="162"/>
      <c r="Y11" s="230" t="e">
        <v>#NUM!</v>
      </c>
      <c r="Z11" s="164" t="e">
        <f>_xll.qlSimpleQuoteSetValue(E11,$Y11,ISERROR(F11))</f>
        <v>#NUM!</v>
      </c>
      <c r="AA11" s="183"/>
      <c r="AB11" s="190"/>
      <c r="AC11" s="191" t="e">
        <f t="shared" si="1"/>
        <v>#VALUE!</v>
      </c>
      <c r="AD11" s="190"/>
    </row>
    <row r="12" spans="1:30" x14ac:dyDescent="0.2">
      <c r="A12" s="93"/>
      <c r="B12" s="92">
        <v>9</v>
      </c>
      <c r="C12" s="91" t="b">
        <v>0</v>
      </c>
      <c r="D12" s="90" t="str">
        <v>V4</v>
      </c>
      <c r="E12" s="89" t="str">
        <f t="shared" si="0"/>
        <v>HKDFUT3MV4_Quote</v>
      </c>
      <c r="F12" s="95" t="str">
        <f>_xll.qlSimpleQuote(E12,,PriceTickValue,Permanent,Trigger,ObjectOverwrite)</f>
        <v>HKDFUT3MV4_Quote#0000</v>
      </c>
      <c r="G12" s="52" t="str">
        <f>_xll.ohRangeRetrieveError(F12)</f>
        <v/>
      </c>
      <c r="H12" s="65"/>
      <c r="J12" s="229"/>
      <c r="K12" s="235">
        <v>9</v>
      </c>
      <c r="L12" s="234" t="b">
        <v>0</v>
      </c>
      <c r="M12" s="169" t="str">
        <v>V4</v>
      </c>
      <c r="N12" s="233">
        <v>41927</v>
      </c>
      <c r="O12" s="169" t="str">
        <f t="shared" si="2"/>
        <v>HIRV4</v>
      </c>
      <c r="P12" s="232" t="s">
        <v>189</v>
      </c>
      <c r="Q12" s="169" t="s">
        <v>189</v>
      </c>
      <c r="R12" s="169" t="s">
        <v>189</v>
      </c>
      <c r="S12" s="169" t="s">
        <v>189</v>
      </c>
      <c r="T12" s="169" t="s">
        <v>189</v>
      </c>
      <c r="U12" s="164" t="e">
        <f>_xll.qlMidSafe($Q12,$R12)</f>
        <v>#NUM!</v>
      </c>
      <c r="V12" s="162"/>
      <c r="W12" s="231" t="e">
        <v>#NUM!</v>
      </c>
      <c r="X12" s="162"/>
      <c r="Y12" s="230" t="e">
        <v>#NUM!</v>
      </c>
      <c r="Z12" s="164" t="e">
        <f>_xll.qlSimpleQuoteSetValue(E12,$Y12,ISERROR(F12))</f>
        <v>#NUM!</v>
      </c>
      <c r="AA12" s="183"/>
      <c r="AB12" s="190"/>
      <c r="AC12" s="191" t="e">
        <f t="shared" si="1"/>
        <v>#VALUE!</v>
      </c>
      <c r="AD12" s="190"/>
    </row>
    <row r="13" spans="1:30" x14ac:dyDescent="0.2">
      <c r="A13" s="93"/>
      <c r="B13" s="92">
        <v>10</v>
      </c>
      <c r="C13" s="91" t="b">
        <v>0</v>
      </c>
      <c r="D13" s="90" t="str">
        <v>X4</v>
      </c>
      <c r="E13" s="89" t="str">
        <f t="shared" si="0"/>
        <v>HKDFUT3MX4_Quote</v>
      </c>
      <c r="F13" s="95" t="str">
        <f>_xll.qlSimpleQuote(E13,,PriceTickValue,Permanent,Trigger,ObjectOverwrite)</f>
        <v>HKDFUT3MX4_Quote#0000</v>
      </c>
      <c r="G13" s="52" t="str">
        <f>_xll.ohRangeRetrieveError(F13)</f>
        <v/>
      </c>
      <c r="H13" s="65"/>
      <c r="J13" s="229"/>
      <c r="K13" s="235">
        <v>10</v>
      </c>
      <c r="L13" s="234" t="b">
        <v>0</v>
      </c>
      <c r="M13" s="169" t="str">
        <v>X4</v>
      </c>
      <c r="N13" s="233">
        <v>41962</v>
      </c>
      <c r="O13" s="169" t="str">
        <f t="shared" si="2"/>
        <v>HIRX4</v>
      </c>
      <c r="P13" s="232">
        <v>41897</v>
      </c>
      <c r="Q13" s="169">
        <v>99.49</v>
      </c>
      <c r="R13" s="169">
        <v>99.53</v>
      </c>
      <c r="S13" s="169">
        <v>0</v>
      </c>
      <c r="T13" s="169">
        <v>99.51</v>
      </c>
      <c r="U13" s="164">
        <f>_xll.qlMidSafe($Q13,$R13)</f>
        <v>99.509999999999991</v>
      </c>
      <c r="V13" s="162"/>
      <c r="W13" s="231">
        <v>99.509999999999991</v>
      </c>
      <c r="X13" s="162"/>
      <c r="Y13" s="230">
        <v>99.509999999999991</v>
      </c>
      <c r="Z13" s="164" t="e">
        <f>_xll.qlSimpleQuoteSetValue(E13,$Y13,ISERROR(F13))</f>
        <v>#N/A</v>
      </c>
      <c r="AA13" s="183"/>
      <c r="AB13" s="190"/>
      <c r="AC13" s="191">
        <f t="shared" si="1"/>
        <v>4.0000000000020466E-4</v>
      </c>
      <c r="AD13" s="190"/>
    </row>
    <row r="14" spans="1:30" x14ac:dyDescent="0.2">
      <c r="A14" s="93"/>
      <c r="B14" s="92">
        <v>11</v>
      </c>
      <c r="C14" s="91" t="b">
        <v>0</v>
      </c>
      <c r="D14" s="90" t="str">
        <v>Z4</v>
      </c>
      <c r="E14" s="89" t="str">
        <f t="shared" si="0"/>
        <v>HKDFUT3MZ4_Quote</v>
      </c>
      <c r="F14" s="95" t="str">
        <f>_xll.qlSimpleQuote(E14,,PriceTickValue,Permanent,Trigger,ObjectOverwrite)</f>
        <v>HKDFUT3MZ4_Quote#0000</v>
      </c>
      <c r="G14" s="52" t="str">
        <f>_xll.ohRangeRetrieveError(F14)</f>
        <v/>
      </c>
      <c r="H14" s="65"/>
      <c r="J14" s="229"/>
      <c r="K14" s="235">
        <v>11</v>
      </c>
      <c r="L14" s="234" t="b">
        <v>0</v>
      </c>
      <c r="M14" s="169" t="str">
        <v>Z4</v>
      </c>
      <c r="N14" s="233">
        <v>41990</v>
      </c>
      <c r="O14" s="169" t="str">
        <f t="shared" si="2"/>
        <v>HIRZ4</v>
      </c>
      <c r="P14" s="232" t="s">
        <v>189</v>
      </c>
      <c r="Q14" s="169" t="s">
        <v>189</v>
      </c>
      <c r="R14" s="169" t="s">
        <v>189</v>
      </c>
      <c r="S14" s="169" t="s">
        <v>189</v>
      </c>
      <c r="T14" s="169" t="s">
        <v>189</v>
      </c>
      <c r="U14" s="164" t="e">
        <f>_xll.qlMidSafe($Q14,$R14)</f>
        <v>#NUM!</v>
      </c>
      <c r="V14" s="162"/>
      <c r="W14" s="231" t="e">
        <v>#NUM!</v>
      </c>
      <c r="X14" s="162"/>
      <c r="Y14" s="230" t="e">
        <v>#NUM!</v>
      </c>
      <c r="Z14" s="164" t="e">
        <f>_xll.qlSimpleQuoteSetValue(E14,$Y14,ISERROR(F14))</f>
        <v>#NUM!</v>
      </c>
      <c r="AA14" s="183"/>
      <c r="AB14" s="190"/>
      <c r="AC14" s="191" t="e">
        <f t="shared" si="1"/>
        <v>#VALUE!</v>
      </c>
      <c r="AD14" s="190"/>
    </row>
    <row r="15" spans="1:30" x14ac:dyDescent="0.2">
      <c r="A15" s="93"/>
      <c r="B15" s="92">
        <v>12</v>
      </c>
      <c r="C15" s="91" t="b">
        <v>0</v>
      </c>
      <c r="D15" s="90" t="str">
        <v>F5</v>
      </c>
      <c r="E15" s="89" t="str">
        <f t="shared" si="0"/>
        <v>HKDFUT3MF5_Quote</v>
      </c>
      <c r="F15" s="88" t="str">
        <f>_xll.qlSimpleQuote(E15,,PriceTickValue,Permanent,Trigger,ObjectOverwrite)</f>
        <v>HKDFUT3MF5_Quote#0000</v>
      </c>
      <c r="G15" s="52" t="str">
        <f>_xll.ohRangeRetrieveError(F15)</f>
        <v/>
      </c>
      <c r="H15" s="65"/>
      <c r="J15" s="229"/>
      <c r="K15" s="235">
        <v>12</v>
      </c>
      <c r="L15" s="234" t="b">
        <v>0</v>
      </c>
      <c r="M15" s="169" t="str">
        <v>F5</v>
      </c>
      <c r="N15" s="233">
        <v>42025</v>
      </c>
      <c r="O15" s="169" t="str">
        <f t="shared" si="2"/>
        <v>HIRF5</v>
      </c>
      <c r="P15" s="232" t="s">
        <v>189</v>
      </c>
      <c r="Q15" s="169" t="s">
        <v>189</v>
      </c>
      <c r="R15" s="169" t="s">
        <v>189</v>
      </c>
      <c r="S15" s="169" t="s">
        <v>189</v>
      </c>
      <c r="T15" s="169" t="s">
        <v>189</v>
      </c>
      <c r="U15" s="164" t="e">
        <f>_xll.qlMidSafe($Q15,$R15)</f>
        <v>#NUM!</v>
      </c>
      <c r="V15" s="162"/>
      <c r="W15" s="231" t="e">
        <v>#NUM!</v>
      </c>
      <c r="X15" s="162"/>
      <c r="Y15" s="230" t="e">
        <v>#NUM!</v>
      </c>
      <c r="Z15" s="164" t="e">
        <f>_xll.qlSimpleQuoteSetValue(E15,$Y15,ISERROR(F15))</f>
        <v>#NUM!</v>
      </c>
      <c r="AA15" s="183"/>
      <c r="AB15" s="190"/>
      <c r="AC15" s="191" t="e">
        <f t="shared" si="1"/>
        <v>#VALUE!</v>
      </c>
      <c r="AD15" s="190"/>
    </row>
    <row r="16" spans="1:30" x14ac:dyDescent="0.2">
      <c r="A16" s="93"/>
      <c r="B16" s="92">
        <v>13</v>
      </c>
      <c r="C16" s="91" t="b">
        <v>0</v>
      </c>
      <c r="D16" s="90" t="str">
        <v>G5</v>
      </c>
      <c r="E16" s="89" t="str">
        <f t="shared" si="0"/>
        <v>HKDFUT3MG5_Quote</v>
      </c>
      <c r="F16" s="88" t="str">
        <f>_xll.qlSimpleQuote(E16,,PriceTickValue,Permanent,Trigger,ObjectOverwrite)</f>
        <v>HKDFUT3MG5_Quote#0000</v>
      </c>
      <c r="G16" s="52" t="str">
        <f>_xll.ohRangeRetrieveError(F16)</f>
        <v/>
      </c>
      <c r="H16" s="65"/>
      <c r="J16" s="229"/>
      <c r="K16" s="235">
        <v>13</v>
      </c>
      <c r="L16" s="234" t="b">
        <v>0</v>
      </c>
      <c r="M16" s="169" t="str">
        <v>G5</v>
      </c>
      <c r="N16" s="233">
        <v>42053</v>
      </c>
      <c r="O16" s="169" t="str">
        <f t="shared" si="2"/>
        <v>HIRG5</v>
      </c>
      <c r="P16" s="232">
        <v>41988</v>
      </c>
      <c r="Q16" s="169">
        <v>0</v>
      </c>
      <c r="R16" s="169">
        <v>0</v>
      </c>
      <c r="S16" s="169">
        <v>0</v>
      </c>
      <c r="T16" s="169">
        <v>99.51</v>
      </c>
      <c r="U16" s="164" t="e">
        <f>_xll.qlMidSafe($Q16,$R16)</f>
        <v>#NUM!</v>
      </c>
      <c r="V16" s="162"/>
      <c r="W16" s="231" t="e">
        <v>#NUM!</v>
      </c>
      <c r="X16" s="162"/>
      <c r="Y16" s="230" t="e">
        <v>#NUM!</v>
      </c>
      <c r="Z16" s="164" t="e">
        <f>_xll.qlSimpleQuoteSetValue(E16,$Y16,ISERROR(F16))</f>
        <v>#NUM!</v>
      </c>
      <c r="AA16" s="183"/>
      <c r="AB16" s="190"/>
      <c r="AC16" s="191" t="e">
        <f t="shared" si="1"/>
        <v>#NUM!</v>
      </c>
      <c r="AD16" s="190"/>
    </row>
    <row r="17" spans="1:30" x14ac:dyDescent="0.2">
      <c r="A17" s="93"/>
      <c r="B17" s="92">
        <v>14</v>
      </c>
      <c r="C17" s="91" t="b">
        <v>0</v>
      </c>
      <c r="D17" s="90" t="str">
        <v>H5</v>
      </c>
      <c r="E17" s="89" t="str">
        <f t="shared" si="0"/>
        <v>HKDFUT3MH5_Quote</v>
      </c>
      <c r="F17" s="88" t="str">
        <f>_xll.qlSimpleQuote(E17,,PriceTickValue,Permanent,Trigger,ObjectOverwrite)</f>
        <v>HKDFUT3MH5_Quote#0000</v>
      </c>
      <c r="G17" s="52" t="str">
        <f>_xll.ohRangeRetrieveError(F17)</f>
        <v/>
      </c>
      <c r="H17" s="65"/>
      <c r="J17" s="229"/>
      <c r="K17" s="235">
        <v>14</v>
      </c>
      <c r="L17" s="234" t="b">
        <v>0</v>
      </c>
      <c r="M17" s="169" t="str">
        <v>H5</v>
      </c>
      <c r="N17" s="233">
        <v>42081</v>
      </c>
      <c r="O17" s="169" t="str">
        <f t="shared" si="2"/>
        <v>HIRH5</v>
      </c>
      <c r="P17" s="232" t="s">
        <v>189</v>
      </c>
      <c r="Q17" s="169" t="s">
        <v>189</v>
      </c>
      <c r="R17" s="169" t="s">
        <v>189</v>
      </c>
      <c r="S17" s="169" t="s">
        <v>189</v>
      </c>
      <c r="T17" s="169" t="s">
        <v>189</v>
      </c>
      <c r="U17" s="164" t="e">
        <f>_xll.qlMidSafe($Q17,$R17)</f>
        <v>#NUM!</v>
      </c>
      <c r="V17" s="162"/>
      <c r="W17" s="231" t="e">
        <v>#NUM!</v>
      </c>
      <c r="X17" s="162"/>
      <c r="Y17" s="230" t="e">
        <v>#NUM!</v>
      </c>
      <c r="Z17" s="164" t="e">
        <f>_xll.qlSimpleQuoteSetValue(E17,$Y17,ISERROR(F17))</f>
        <v>#NUM!</v>
      </c>
      <c r="AA17" s="183"/>
      <c r="AB17" s="190"/>
      <c r="AC17" s="191" t="e">
        <f t="shared" si="1"/>
        <v>#VALUE!</v>
      </c>
      <c r="AD17" s="190"/>
    </row>
    <row r="18" spans="1:30" x14ac:dyDescent="0.2">
      <c r="A18" s="93"/>
      <c r="B18" s="92">
        <v>15</v>
      </c>
      <c r="C18" s="91" t="b">
        <v>0</v>
      </c>
      <c r="D18" s="90" t="str">
        <v>J5</v>
      </c>
      <c r="E18" s="89" t="str">
        <f t="shared" si="0"/>
        <v>HKDFUT3MJ5_Quote</v>
      </c>
      <c r="F18" s="88" t="str">
        <f>_xll.qlSimpleQuote(E18,,PriceTickValue,Permanent,Trigger,ObjectOverwrite)</f>
        <v>HKDFUT3MJ5_Quote#0000</v>
      </c>
      <c r="G18" s="52" t="str">
        <f>_xll.ohRangeRetrieveError(F18)</f>
        <v/>
      </c>
      <c r="H18" s="65"/>
      <c r="J18" s="229"/>
      <c r="K18" s="235">
        <v>15</v>
      </c>
      <c r="L18" s="234" t="b">
        <v>0</v>
      </c>
      <c r="M18" s="169" t="str">
        <v>J5</v>
      </c>
      <c r="N18" s="233">
        <v>42109</v>
      </c>
      <c r="O18" s="169" t="str">
        <f t="shared" si="2"/>
        <v>HIRJ5</v>
      </c>
      <c r="P18" s="232" t="s">
        <v>189</v>
      </c>
      <c r="Q18" s="169" t="s">
        <v>189</v>
      </c>
      <c r="R18" s="169" t="s">
        <v>189</v>
      </c>
      <c r="S18" s="169" t="s">
        <v>189</v>
      </c>
      <c r="T18" s="169" t="s">
        <v>189</v>
      </c>
      <c r="U18" s="164" t="e">
        <f>_xll.qlMidSafe($Q18,$R18)</f>
        <v>#NUM!</v>
      </c>
      <c r="V18" s="162"/>
      <c r="W18" s="231" t="e">
        <v>#NUM!</v>
      </c>
      <c r="X18" s="162"/>
      <c r="Y18" s="230" t="e">
        <v>#NUM!</v>
      </c>
      <c r="Z18" s="164" t="e">
        <f>_xll.qlSimpleQuoteSetValue(E18,$Y18,ISERROR(F18))</f>
        <v>#NUM!</v>
      </c>
      <c r="AA18" s="183"/>
      <c r="AB18" s="190"/>
      <c r="AC18" s="191" t="e">
        <f t="shared" si="1"/>
        <v>#VALUE!</v>
      </c>
      <c r="AD18" s="190"/>
    </row>
    <row r="19" spans="1:30" x14ac:dyDescent="0.2">
      <c r="A19" s="93"/>
      <c r="B19" s="92">
        <v>16</v>
      </c>
      <c r="C19" s="91" t="b">
        <v>0</v>
      </c>
      <c r="D19" s="90" t="str">
        <v>K5</v>
      </c>
      <c r="E19" s="89" t="str">
        <f t="shared" si="0"/>
        <v>HKDFUT3MK5_Quote</v>
      </c>
      <c r="F19" s="88" t="str">
        <f>_xll.qlSimpleQuote(E19,,PriceTickValue,Permanent,Trigger,ObjectOverwrite)</f>
        <v>HKDFUT3MK5_Quote#0000</v>
      </c>
      <c r="G19" s="52" t="str">
        <f>_xll.ohRangeRetrieveError(F19)</f>
        <v/>
      </c>
      <c r="H19" s="65"/>
      <c r="J19" s="229"/>
      <c r="K19" s="235">
        <v>16</v>
      </c>
      <c r="L19" s="234" t="b">
        <v>0</v>
      </c>
      <c r="M19" s="169" t="str">
        <v>K5</v>
      </c>
      <c r="N19" s="233">
        <v>42144</v>
      </c>
      <c r="O19" s="169" t="str">
        <f t="shared" si="2"/>
        <v>HIRK5</v>
      </c>
      <c r="P19" s="232">
        <v>42079</v>
      </c>
      <c r="Q19" s="169">
        <v>0</v>
      </c>
      <c r="R19" s="169">
        <v>0</v>
      </c>
      <c r="S19" s="169">
        <v>0</v>
      </c>
      <c r="T19" s="169">
        <v>99.51</v>
      </c>
      <c r="U19" s="164" t="e">
        <f>_xll.qlMidSafe($Q19,$R19)</f>
        <v>#NUM!</v>
      </c>
      <c r="V19" s="162"/>
      <c r="W19" s="231" t="e">
        <v>#NUM!</v>
      </c>
      <c r="X19" s="162"/>
      <c r="Y19" s="230" t="e">
        <v>#NUM!</v>
      </c>
      <c r="Z19" s="164" t="e">
        <f>_xll.qlSimpleQuoteSetValue(E19,$Y19,ISERROR(F19))</f>
        <v>#NUM!</v>
      </c>
      <c r="AA19" s="183"/>
      <c r="AB19" s="190"/>
      <c r="AC19" s="191" t="e">
        <f t="shared" si="1"/>
        <v>#NUM!</v>
      </c>
      <c r="AD19" s="190"/>
    </row>
    <row r="20" spans="1:30" x14ac:dyDescent="0.2">
      <c r="A20" s="93"/>
      <c r="B20" s="92">
        <v>17</v>
      </c>
      <c r="C20" s="91" t="b">
        <v>0</v>
      </c>
      <c r="D20" s="90" t="str">
        <v>M5</v>
      </c>
      <c r="E20" s="89" t="str">
        <f t="shared" si="0"/>
        <v>HKDFUT3MM5_Quote</v>
      </c>
      <c r="F20" s="88" t="str">
        <f>_xll.qlSimpleQuote(E20,,PriceTickValue,Permanent,Trigger,ObjectOverwrite)</f>
        <v>HKDFUT3MM5_Quote#0000</v>
      </c>
      <c r="G20" s="52" t="str">
        <f>_xll.ohRangeRetrieveError(F20)</f>
        <v/>
      </c>
      <c r="H20" s="65"/>
      <c r="J20" s="229"/>
      <c r="K20" s="235">
        <v>17</v>
      </c>
      <c r="L20" s="234" t="b">
        <v>0</v>
      </c>
      <c r="M20" s="169" t="str">
        <v>M5</v>
      </c>
      <c r="N20" s="233">
        <v>42172</v>
      </c>
      <c r="O20" s="169" t="str">
        <f t="shared" si="2"/>
        <v>HIRM5</v>
      </c>
      <c r="P20" s="232" t="s">
        <v>189</v>
      </c>
      <c r="Q20" s="169" t="s">
        <v>189</v>
      </c>
      <c r="R20" s="169" t="s">
        <v>189</v>
      </c>
      <c r="S20" s="169" t="s">
        <v>189</v>
      </c>
      <c r="T20" s="169" t="s">
        <v>189</v>
      </c>
      <c r="U20" s="164" t="e">
        <f>_xll.qlMidSafe($Q20,$R20)</f>
        <v>#NUM!</v>
      </c>
      <c r="V20" s="162"/>
      <c r="W20" s="231" t="e">
        <v>#NUM!</v>
      </c>
      <c r="X20" s="162"/>
      <c r="Y20" s="230" t="e">
        <v>#NUM!</v>
      </c>
      <c r="Z20" s="164" t="e">
        <f>_xll.qlSimpleQuoteSetValue(E20,$Y20,ISERROR(F20))</f>
        <v>#NUM!</v>
      </c>
      <c r="AA20" s="183"/>
      <c r="AB20" s="190"/>
      <c r="AC20" s="191" t="e">
        <f t="shared" si="1"/>
        <v>#VALUE!</v>
      </c>
      <c r="AD20" s="190"/>
    </row>
    <row r="21" spans="1:30" x14ac:dyDescent="0.2">
      <c r="A21" s="93"/>
      <c r="B21" s="92">
        <v>18</v>
      </c>
      <c r="C21" s="91" t="b">
        <v>0</v>
      </c>
      <c r="D21" s="90" t="str">
        <v>N5</v>
      </c>
      <c r="E21" s="89" t="str">
        <f t="shared" si="0"/>
        <v>HKDFUT3MN5_Quote</v>
      </c>
      <c r="F21" s="88" t="str">
        <f>_xll.qlSimpleQuote(E21,,PriceTickValue,Permanent,Trigger,ObjectOverwrite)</f>
        <v>HKDFUT3MN5_Quote#0000</v>
      </c>
      <c r="G21" s="52" t="str">
        <f>_xll.ohRangeRetrieveError(F21)</f>
        <v/>
      </c>
      <c r="H21" s="65"/>
      <c r="J21" s="229"/>
      <c r="K21" s="235">
        <v>18</v>
      </c>
      <c r="L21" s="234" t="b">
        <v>0</v>
      </c>
      <c r="M21" s="169" t="str">
        <v>N5</v>
      </c>
      <c r="N21" s="233">
        <v>42200</v>
      </c>
      <c r="O21" s="169" t="str">
        <f t="shared" si="2"/>
        <v>HIRN5</v>
      </c>
      <c r="P21" s="232" t="s">
        <v>189</v>
      </c>
      <c r="Q21" s="169" t="s">
        <v>189</v>
      </c>
      <c r="R21" s="169" t="s">
        <v>189</v>
      </c>
      <c r="S21" s="169" t="s">
        <v>189</v>
      </c>
      <c r="T21" s="169" t="s">
        <v>189</v>
      </c>
      <c r="U21" s="164" t="e">
        <f>_xll.qlMidSafe($Q21,$R21)</f>
        <v>#NUM!</v>
      </c>
      <c r="V21" s="162"/>
      <c r="W21" s="231" t="e">
        <v>#NUM!</v>
      </c>
      <c r="X21" s="162"/>
      <c r="Y21" s="230" t="e">
        <v>#NUM!</v>
      </c>
      <c r="Z21" s="164" t="e">
        <f>_xll.qlSimpleQuoteSetValue(E21,$Y21,ISERROR(F21))</f>
        <v>#NUM!</v>
      </c>
      <c r="AA21" s="183"/>
      <c r="AB21" s="190"/>
      <c r="AC21" s="191" t="e">
        <f t="shared" si="1"/>
        <v>#VALUE!</v>
      </c>
      <c r="AD21" s="190"/>
    </row>
    <row r="22" spans="1:30" x14ac:dyDescent="0.2">
      <c r="A22" s="93"/>
      <c r="B22" s="92">
        <v>19</v>
      </c>
      <c r="C22" s="91" t="b">
        <v>0</v>
      </c>
      <c r="D22" s="90" t="str">
        <v>Q5</v>
      </c>
      <c r="E22" s="89" t="str">
        <f t="shared" si="0"/>
        <v>HKDFUT3MQ5_Quote</v>
      </c>
      <c r="F22" s="88" t="str">
        <f>_xll.qlSimpleQuote(E22,,PriceTickValue,Permanent,Trigger,ObjectOverwrite)</f>
        <v>HKDFUT3MQ5_Quote#0000</v>
      </c>
      <c r="G22" s="52" t="str">
        <f>_xll.ohRangeRetrieveError(F22)</f>
        <v/>
      </c>
      <c r="H22" s="65"/>
      <c r="J22" s="229"/>
      <c r="K22" s="235">
        <v>19</v>
      </c>
      <c r="L22" s="234" t="b">
        <v>0</v>
      </c>
      <c r="M22" s="169" t="str">
        <v>Q5</v>
      </c>
      <c r="N22" s="233">
        <v>42235</v>
      </c>
      <c r="O22" s="169" t="str">
        <f t="shared" si="2"/>
        <v>HIRQ5</v>
      </c>
      <c r="P22" s="232">
        <v>42170</v>
      </c>
      <c r="Q22" s="169">
        <v>0</v>
      </c>
      <c r="R22" s="169">
        <v>0</v>
      </c>
      <c r="S22" s="169">
        <v>0</v>
      </c>
      <c r="T22" s="169">
        <v>99.51</v>
      </c>
      <c r="U22" s="164" t="e">
        <f>_xll.qlMidSafe($Q22,$R22)</f>
        <v>#NUM!</v>
      </c>
      <c r="V22" s="162"/>
      <c r="W22" s="231" t="e">
        <v>#NUM!</v>
      </c>
      <c r="X22" s="162"/>
      <c r="Y22" s="230" t="e">
        <v>#NUM!</v>
      </c>
      <c r="Z22" s="164" t="e">
        <f>_xll.qlSimpleQuoteSetValue(E22,$Y22,ISERROR(F22))</f>
        <v>#NUM!</v>
      </c>
      <c r="AA22" s="183"/>
      <c r="AB22" s="190"/>
      <c r="AC22" s="191" t="e">
        <f t="shared" si="1"/>
        <v>#NUM!</v>
      </c>
      <c r="AD22" s="190"/>
    </row>
    <row r="23" spans="1:30" x14ac:dyDescent="0.2">
      <c r="A23" s="93"/>
      <c r="B23" s="92">
        <v>20</v>
      </c>
      <c r="C23" s="91" t="b">
        <v>0</v>
      </c>
      <c r="D23" s="90" t="str">
        <v>U5</v>
      </c>
      <c r="E23" s="89" t="str">
        <f t="shared" si="0"/>
        <v>HKDFUT3MU5_Quote</v>
      </c>
      <c r="F23" s="88" t="str">
        <f>_xll.qlSimpleQuote(E23,,PriceTickValue,Permanent,Trigger,ObjectOverwrite)</f>
        <v>HKDFUT3MU5_Quote#0000</v>
      </c>
      <c r="G23" s="52" t="str">
        <f>_xll.ohRangeRetrieveError(F23)</f>
        <v/>
      </c>
      <c r="H23" s="65"/>
      <c r="J23" s="229"/>
      <c r="K23" s="235">
        <v>20</v>
      </c>
      <c r="L23" s="234" t="b">
        <v>0</v>
      </c>
      <c r="M23" s="169" t="str">
        <v>U5</v>
      </c>
      <c r="N23" s="233">
        <v>42263</v>
      </c>
      <c r="O23" s="169" t="str">
        <f t="shared" si="2"/>
        <v>HIRU5</v>
      </c>
      <c r="P23" s="232" t="s">
        <v>189</v>
      </c>
      <c r="Q23" s="169" t="s">
        <v>189</v>
      </c>
      <c r="R23" s="169" t="s">
        <v>189</v>
      </c>
      <c r="S23" s="169" t="s">
        <v>189</v>
      </c>
      <c r="T23" s="169" t="s">
        <v>189</v>
      </c>
      <c r="U23" s="164" t="e">
        <f>_xll.qlMidSafe($Q23,$R23)</f>
        <v>#NUM!</v>
      </c>
      <c r="V23" s="162"/>
      <c r="W23" s="231" t="e">
        <v>#NUM!</v>
      </c>
      <c r="X23" s="162"/>
      <c r="Y23" s="230" t="e">
        <v>#NUM!</v>
      </c>
      <c r="Z23" s="164" t="e">
        <f>_xll.qlSimpleQuoteSetValue(E23,$Y23,ISERROR(F23))</f>
        <v>#NUM!</v>
      </c>
      <c r="AA23" s="183"/>
      <c r="AB23" s="190"/>
      <c r="AC23" s="191" t="e">
        <f t="shared" si="1"/>
        <v>#VALUE!</v>
      </c>
      <c r="AD23" s="190"/>
    </row>
    <row r="24" spans="1:30" x14ac:dyDescent="0.2">
      <c r="A24" s="93"/>
      <c r="B24" s="92">
        <v>21</v>
      </c>
      <c r="C24" s="91" t="b">
        <v>0</v>
      </c>
      <c r="D24" s="90" t="str">
        <v>V5</v>
      </c>
      <c r="E24" s="89" t="str">
        <f t="shared" si="0"/>
        <v>HKDFUT3MV5_Quote</v>
      </c>
      <c r="F24" s="88" t="str">
        <f>_xll.qlSimpleQuote(E24,,PriceTickValue,Permanent,Trigger,ObjectOverwrite)</f>
        <v>HKDFUT3MV5_Quote#0000</v>
      </c>
      <c r="G24" s="52" t="str">
        <f>_xll.ohRangeRetrieveError(F24)</f>
        <v/>
      </c>
      <c r="H24" s="65"/>
      <c r="J24" s="229"/>
      <c r="K24" s="235">
        <v>21</v>
      </c>
      <c r="L24" s="234" t="b">
        <v>0</v>
      </c>
      <c r="M24" s="169" t="str">
        <v>V5</v>
      </c>
      <c r="N24" s="233">
        <v>42298</v>
      </c>
      <c r="O24" s="169" t="str">
        <f t="shared" si="2"/>
        <v>HIRV5</v>
      </c>
      <c r="P24" s="232" t="s">
        <v>189</v>
      </c>
      <c r="Q24" s="169" t="s">
        <v>189</v>
      </c>
      <c r="R24" s="169" t="s">
        <v>189</v>
      </c>
      <c r="S24" s="169" t="s">
        <v>189</v>
      </c>
      <c r="T24" s="169" t="s">
        <v>189</v>
      </c>
      <c r="U24" s="164" t="e">
        <f>_xll.qlMidSafe($Q24,$R24)</f>
        <v>#NUM!</v>
      </c>
      <c r="V24" s="162"/>
      <c r="W24" s="231" t="e">
        <v>#NUM!</v>
      </c>
      <c r="X24" s="162"/>
      <c r="Y24" s="230" t="e">
        <v>#NUM!</v>
      </c>
      <c r="Z24" s="164" t="e">
        <f>_xll.qlSimpleQuoteSetValue(E24,$Y24,ISERROR(F24))</f>
        <v>#NUM!</v>
      </c>
      <c r="AA24" s="183"/>
      <c r="AB24" s="190"/>
      <c r="AC24" s="191" t="e">
        <f t="shared" si="1"/>
        <v>#VALUE!</v>
      </c>
      <c r="AD24" s="190"/>
    </row>
    <row r="25" spans="1:30" x14ac:dyDescent="0.2">
      <c r="A25" s="93"/>
      <c r="B25" s="92">
        <v>22</v>
      </c>
      <c r="C25" s="91" t="b">
        <v>0</v>
      </c>
      <c r="D25" s="90" t="str">
        <v>X5</v>
      </c>
      <c r="E25" s="89" t="str">
        <f t="shared" si="0"/>
        <v>HKDFUT3MX5_Quote</v>
      </c>
      <c r="F25" s="88" t="str">
        <f>_xll.qlSimpleQuote(E25,,PriceTickValue,Permanent,Trigger,ObjectOverwrite)</f>
        <v>HKDFUT3MX5_Quote#0000</v>
      </c>
      <c r="G25" s="52" t="str">
        <f>_xll.ohRangeRetrieveError(F25)</f>
        <v/>
      </c>
      <c r="H25" s="65"/>
      <c r="J25" s="229"/>
      <c r="K25" s="235">
        <v>22</v>
      </c>
      <c r="L25" s="234" t="b">
        <v>0</v>
      </c>
      <c r="M25" s="169" t="str">
        <v>X5</v>
      </c>
      <c r="N25" s="233">
        <v>42326</v>
      </c>
      <c r="O25" s="169" t="str">
        <f t="shared" si="2"/>
        <v>HIRX5</v>
      </c>
      <c r="P25" s="232">
        <v>42261</v>
      </c>
      <c r="Q25" s="169">
        <v>0</v>
      </c>
      <c r="R25" s="169">
        <v>0</v>
      </c>
      <c r="S25" s="169">
        <v>0</v>
      </c>
      <c r="T25" s="169">
        <v>99.51</v>
      </c>
      <c r="U25" s="164" t="e">
        <f>_xll.qlMidSafe($Q25,$R25)</f>
        <v>#NUM!</v>
      </c>
      <c r="V25" s="162"/>
      <c r="W25" s="231" t="e">
        <v>#NUM!</v>
      </c>
      <c r="X25" s="162"/>
      <c r="Y25" s="230" t="e">
        <v>#NUM!</v>
      </c>
      <c r="Z25" s="164" t="e">
        <f>_xll.qlSimpleQuoteSetValue(E25,$Y25,ISERROR(F25))</f>
        <v>#NUM!</v>
      </c>
      <c r="AA25" s="183"/>
      <c r="AB25" s="190"/>
      <c r="AC25" s="191" t="e">
        <f t="shared" si="1"/>
        <v>#NUM!</v>
      </c>
      <c r="AD25" s="190"/>
    </row>
    <row r="26" spans="1:30" x14ac:dyDescent="0.2">
      <c r="A26" s="93"/>
      <c r="B26" s="92">
        <v>23</v>
      </c>
      <c r="C26" s="91" t="b">
        <v>0</v>
      </c>
      <c r="D26" s="90" t="str">
        <v>Z5</v>
      </c>
      <c r="E26" s="89" t="str">
        <f t="shared" si="0"/>
        <v>HKDFUT3MZ5_Quote</v>
      </c>
      <c r="F26" s="88" t="str">
        <f>_xll.qlSimpleQuote(E26,,PriceTickValue,Permanent,Trigger,ObjectOverwrite)</f>
        <v>HKDFUT3MZ5_Quote#0000</v>
      </c>
      <c r="G26" s="52" t="str">
        <f>_xll.ohRangeRetrieveError(F26)</f>
        <v/>
      </c>
      <c r="H26" s="65"/>
      <c r="J26" s="229"/>
      <c r="K26" s="235">
        <v>23</v>
      </c>
      <c r="L26" s="234" t="b">
        <v>0</v>
      </c>
      <c r="M26" s="169" t="str">
        <v>Z5</v>
      </c>
      <c r="N26" s="233">
        <v>42354</v>
      </c>
      <c r="O26" s="169" t="str">
        <f t="shared" si="2"/>
        <v>HIRZ5</v>
      </c>
      <c r="P26" s="232" t="s">
        <v>189</v>
      </c>
      <c r="Q26" s="169" t="s">
        <v>189</v>
      </c>
      <c r="R26" s="169" t="s">
        <v>189</v>
      </c>
      <c r="S26" s="169" t="s">
        <v>189</v>
      </c>
      <c r="T26" s="169" t="s">
        <v>189</v>
      </c>
      <c r="U26" s="164" t="e">
        <f>_xll.qlMidSafe($Q26,$R26)</f>
        <v>#NUM!</v>
      </c>
      <c r="V26" s="162"/>
      <c r="W26" s="231" t="e">
        <v>#NUM!</v>
      </c>
      <c r="X26" s="162"/>
      <c r="Y26" s="230" t="e">
        <v>#NUM!</v>
      </c>
      <c r="Z26" s="164" t="e">
        <f>_xll.qlSimpleQuoteSetValue(E26,$Y26,ISERROR(F26))</f>
        <v>#NUM!</v>
      </c>
      <c r="AA26" s="183"/>
      <c r="AB26" s="190"/>
      <c r="AC26" s="191" t="e">
        <f t="shared" si="1"/>
        <v>#VALUE!</v>
      </c>
      <c r="AD26" s="190"/>
    </row>
    <row r="27" spans="1:30" x14ac:dyDescent="0.2">
      <c r="A27" s="93"/>
      <c r="B27" s="92">
        <v>24</v>
      </c>
      <c r="C27" s="91" t="b">
        <v>0</v>
      </c>
      <c r="D27" s="90" t="str">
        <v>F6</v>
      </c>
      <c r="E27" s="89" t="str">
        <f t="shared" si="0"/>
        <v>HKDFUT3MF6_Quote</v>
      </c>
      <c r="F27" s="88" t="str">
        <f>_xll.qlSimpleQuote(E27,,PriceTickValue,Permanent,Trigger,ObjectOverwrite)</f>
        <v>HKDFUT3MF6_Quote#0000</v>
      </c>
      <c r="G27" s="52" t="str">
        <f>_xll.ohRangeRetrieveError(F27)</f>
        <v/>
      </c>
      <c r="H27" s="65"/>
      <c r="J27" s="229"/>
      <c r="K27" s="235">
        <v>24</v>
      </c>
      <c r="L27" s="234" t="b">
        <v>0</v>
      </c>
      <c r="M27" s="169" t="str">
        <v>F6</v>
      </c>
      <c r="N27" s="233">
        <v>42389</v>
      </c>
      <c r="O27" s="169" t="str">
        <f t="shared" si="2"/>
        <v>HIRF6</v>
      </c>
      <c r="P27" s="232" t="s">
        <v>189</v>
      </c>
      <c r="Q27" s="169" t="s">
        <v>189</v>
      </c>
      <c r="R27" s="169" t="s">
        <v>189</v>
      </c>
      <c r="S27" s="169" t="s">
        <v>189</v>
      </c>
      <c r="T27" s="169" t="s">
        <v>189</v>
      </c>
      <c r="U27" s="164" t="e">
        <f>_xll.qlMidSafe($Q27,$R27)</f>
        <v>#NUM!</v>
      </c>
      <c r="V27" s="162"/>
      <c r="W27" s="231" t="e">
        <v>#NUM!</v>
      </c>
      <c r="X27" s="162"/>
      <c r="Y27" s="230" t="e">
        <v>#NUM!</v>
      </c>
      <c r="Z27" s="164" t="e">
        <f>_xll.qlSimpleQuoteSetValue(E27,$Y27,ISERROR(F27))</f>
        <v>#NUM!</v>
      </c>
      <c r="AA27" s="183"/>
      <c r="AB27" s="190"/>
      <c r="AC27" s="191" t="e">
        <f t="shared" si="1"/>
        <v>#VALUE!</v>
      </c>
      <c r="AD27" s="190"/>
    </row>
    <row r="28" spans="1:30" x14ac:dyDescent="0.2">
      <c r="A28" s="93"/>
      <c r="B28" s="92">
        <v>25</v>
      </c>
      <c r="C28" s="91" t="b">
        <v>0</v>
      </c>
      <c r="D28" s="90" t="str">
        <v>G6</v>
      </c>
      <c r="E28" s="89" t="str">
        <f t="shared" si="0"/>
        <v>HKDFUT3MG6_Quote</v>
      </c>
      <c r="F28" s="88" t="str">
        <f>_xll.qlSimpleQuote(E28,,PriceTickValue,Permanent,Trigger,ObjectOverwrite)</f>
        <v>HKDFUT3MG6_Quote#0000</v>
      </c>
      <c r="G28" s="52" t="str">
        <f>_xll.ohRangeRetrieveError(F28)</f>
        <v/>
      </c>
      <c r="H28" s="65"/>
      <c r="J28" s="229"/>
      <c r="K28" s="235">
        <v>25</v>
      </c>
      <c r="L28" s="234" t="b">
        <v>0</v>
      </c>
      <c r="M28" s="169" t="str">
        <v>G6</v>
      </c>
      <c r="N28" s="233">
        <v>42417</v>
      </c>
      <c r="O28" s="169" t="str">
        <f t="shared" si="2"/>
        <v>HIRG6</v>
      </c>
      <c r="P28" s="232" t="s">
        <v>189</v>
      </c>
      <c r="Q28" s="169" t="s">
        <v>189</v>
      </c>
      <c r="R28" s="169" t="s">
        <v>189</v>
      </c>
      <c r="S28" s="169" t="s">
        <v>189</v>
      </c>
      <c r="T28" s="169" t="s">
        <v>189</v>
      </c>
      <c r="U28" s="164" t="e">
        <f>_xll.qlMidSafe($Q28,$R28)</f>
        <v>#NUM!</v>
      </c>
      <c r="V28" s="162"/>
      <c r="W28" s="231" t="e">
        <v>#NUM!</v>
      </c>
      <c r="X28" s="162"/>
      <c r="Y28" s="230" t="e">
        <v>#NUM!</v>
      </c>
      <c r="Z28" s="164" t="e">
        <f>_xll.qlSimpleQuoteSetValue(E28,$Y28,ISERROR(F28))</f>
        <v>#NUM!</v>
      </c>
      <c r="AA28" s="183"/>
      <c r="AB28" s="190"/>
      <c r="AC28" s="191" t="e">
        <f t="shared" si="1"/>
        <v>#VALUE!</v>
      </c>
      <c r="AD28" s="190"/>
    </row>
    <row r="29" spans="1:30" x14ac:dyDescent="0.2">
      <c r="A29" s="93"/>
      <c r="B29" s="92">
        <v>26</v>
      </c>
      <c r="C29" s="91" t="b">
        <v>0</v>
      </c>
      <c r="D29" s="90" t="str">
        <v>H6</v>
      </c>
      <c r="E29" s="89" t="str">
        <f t="shared" si="0"/>
        <v>HKDFUT3MH6_Quote</v>
      </c>
      <c r="F29" s="88" t="str">
        <f>_xll.qlSimpleQuote(E29,,PriceTickValue,Permanent,Trigger,ObjectOverwrite)</f>
        <v>HKDFUT3MH6_Quote#0000</v>
      </c>
      <c r="G29" s="52" t="str">
        <f>_xll.ohRangeRetrieveError(F29)</f>
        <v/>
      </c>
      <c r="H29" s="65"/>
      <c r="J29" s="229"/>
      <c r="K29" s="235">
        <v>26</v>
      </c>
      <c r="L29" s="234" t="b">
        <v>0</v>
      </c>
      <c r="M29" s="169" t="str">
        <v>H6</v>
      </c>
      <c r="N29" s="233">
        <v>42445</v>
      </c>
      <c r="O29" s="169" t="str">
        <f t="shared" si="2"/>
        <v>HIRH6</v>
      </c>
      <c r="P29" s="232" t="s">
        <v>189</v>
      </c>
      <c r="Q29" s="169" t="s">
        <v>189</v>
      </c>
      <c r="R29" s="169" t="s">
        <v>189</v>
      </c>
      <c r="S29" s="169" t="s">
        <v>189</v>
      </c>
      <c r="T29" s="169" t="s">
        <v>189</v>
      </c>
      <c r="U29" s="164" t="e">
        <f>_xll.qlMidSafe($Q29,$R29)</f>
        <v>#NUM!</v>
      </c>
      <c r="V29" s="162"/>
      <c r="W29" s="231" t="e">
        <v>#NUM!</v>
      </c>
      <c r="X29" s="162"/>
      <c r="Y29" s="230" t="e">
        <v>#NUM!</v>
      </c>
      <c r="Z29" s="164" t="e">
        <f>_xll.qlSimpleQuoteSetValue(E29,$Y29,ISERROR(F29))</f>
        <v>#NUM!</v>
      </c>
      <c r="AA29" s="183"/>
      <c r="AB29" s="190"/>
      <c r="AC29" s="191" t="e">
        <f t="shared" si="1"/>
        <v>#VALUE!</v>
      </c>
      <c r="AD29" s="190"/>
    </row>
    <row r="30" spans="1:30" x14ac:dyDescent="0.2">
      <c r="A30" s="93"/>
      <c r="B30" s="92">
        <v>27</v>
      </c>
      <c r="C30" s="91" t="b">
        <v>0</v>
      </c>
      <c r="D30" s="90" t="str">
        <v>J6</v>
      </c>
      <c r="E30" s="89" t="str">
        <f t="shared" si="0"/>
        <v>HKDFUT3MJ6_Quote</v>
      </c>
      <c r="F30" s="88" t="str">
        <f>_xll.qlSimpleQuote(E30,,PriceTickValue,Permanent,Trigger,ObjectOverwrite)</f>
        <v>HKDFUT3MJ6_Quote#0000</v>
      </c>
      <c r="G30" s="52" t="str">
        <f>_xll.ohRangeRetrieveError(F30)</f>
        <v/>
      </c>
      <c r="H30" s="65"/>
      <c r="J30" s="229"/>
      <c r="K30" s="235">
        <v>27</v>
      </c>
      <c r="L30" s="234" t="b">
        <v>0</v>
      </c>
      <c r="M30" s="169" t="str">
        <v>J6</v>
      </c>
      <c r="N30" s="233">
        <v>42480</v>
      </c>
      <c r="O30" s="169" t="str">
        <f t="shared" si="2"/>
        <v>HIRJ6</v>
      </c>
      <c r="P30" s="232" t="s">
        <v>189</v>
      </c>
      <c r="Q30" s="169" t="s">
        <v>189</v>
      </c>
      <c r="R30" s="169" t="s">
        <v>189</v>
      </c>
      <c r="S30" s="169" t="s">
        <v>189</v>
      </c>
      <c r="T30" s="169" t="s">
        <v>189</v>
      </c>
      <c r="U30" s="164" t="e">
        <f>_xll.qlMidSafe($Q30,$R30)</f>
        <v>#NUM!</v>
      </c>
      <c r="V30" s="162"/>
      <c r="W30" s="231" t="e">
        <v>#NUM!</v>
      </c>
      <c r="X30" s="162"/>
      <c r="Y30" s="230" t="e">
        <v>#NUM!</v>
      </c>
      <c r="Z30" s="164" t="e">
        <f>_xll.qlSimpleQuoteSetValue(E30,$Y30,ISERROR(F30))</f>
        <v>#NUM!</v>
      </c>
      <c r="AA30" s="183"/>
      <c r="AB30" s="190"/>
      <c r="AC30" s="191" t="e">
        <f t="shared" si="1"/>
        <v>#VALUE!</v>
      </c>
      <c r="AD30" s="190"/>
    </row>
    <row r="31" spans="1:30" x14ac:dyDescent="0.2">
      <c r="A31" s="93"/>
      <c r="B31" s="92">
        <v>28</v>
      </c>
      <c r="C31" s="91" t="b">
        <v>0</v>
      </c>
      <c r="D31" s="90" t="str">
        <v>K6</v>
      </c>
      <c r="E31" s="89" t="str">
        <f t="shared" si="0"/>
        <v>HKDFUT3MK6_Quote</v>
      </c>
      <c r="F31" s="88" t="str">
        <f>_xll.qlSimpleQuote(E31,,PriceTickValue,Permanent,Trigger,ObjectOverwrite)</f>
        <v>HKDFUT3MK6_Quote#0000</v>
      </c>
      <c r="G31" s="52" t="str">
        <f>_xll.ohRangeRetrieveError(F31)</f>
        <v/>
      </c>
      <c r="H31" s="65"/>
      <c r="J31" s="229"/>
      <c r="K31" s="235">
        <v>28</v>
      </c>
      <c r="L31" s="234" t="b">
        <v>0</v>
      </c>
      <c r="M31" s="169" t="str">
        <v>K6</v>
      </c>
      <c r="N31" s="233">
        <v>42508</v>
      </c>
      <c r="O31" s="169" t="str">
        <f t="shared" si="2"/>
        <v>HIRK6</v>
      </c>
      <c r="P31" s="232" t="s">
        <v>189</v>
      </c>
      <c r="Q31" s="169" t="s">
        <v>189</v>
      </c>
      <c r="R31" s="169" t="s">
        <v>189</v>
      </c>
      <c r="S31" s="169" t="s">
        <v>189</v>
      </c>
      <c r="T31" s="169" t="s">
        <v>189</v>
      </c>
      <c r="U31" s="164" t="e">
        <f>_xll.qlMidSafe($Q31,$R31)</f>
        <v>#NUM!</v>
      </c>
      <c r="V31" s="162"/>
      <c r="W31" s="231" t="e">
        <v>#NUM!</v>
      </c>
      <c r="X31" s="162"/>
      <c r="Y31" s="230" t="e">
        <v>#NUM!</v>
      </c>
      <c r="Z31" s="164" t="e">
        <f>_xll.qlSimpleQuoteSetValue(E31,$Y31,ISERROR(F31))</f>
        <v>#NUM!</v>
      </c>
      <c r="AA31" s="183"/>
      <c r="AB31" s="190"/>
      <c r="AC31" s="191" t="e">
        <f t="shared" si="1"/>
        <v>#VALUE!</v>
      </c>
      <c r="AD31" s="190"/>
    </row>
    <row r="32" spans="1:30" x14ac:dyDescent="0.2">
      <c r="A32" s="93"/>
      <c r="B32" s="92">
        <v>29</v>
      </c>
      <c r="C32" s="91" t="b">
        <v>0</v>
      </c>
      <c r="D32" s="90" t="str">
        <v>M6</v>
      </c>
      <c r="E32" s="89" t="str">
        <f t="shared" si="0"/>
        <v>HKDFUT3MM6_Quote</v>
      </c>
      <c r="F32" s="88" t="str">
        <f>_xll.qlSimpleQuote(E32,,PriceTickValue,Permanent,Trigger,ObjectOverwrite)</f>
        <v>HKDFUT3MM6_Quote#0000</v>
      </c>
      <c r="G32" s="52" t="str">
        <f>_xll.ohRangeRetrieveError(F32)</f>
        <v/>
      </c>
      <c r="H32" s="65"/>
      <c r="J32" s="229"/>
      <c r="K32" s="235">
        <v>29</v>
      </c>
      <c r="L32" s="234" t="b">
        <v>0</v>
      </c>
      <c r="M32" s="169" t="str">
        <v>M6</v>
      </c>
      <c r="N32" s="233">
        <v>42536</v>
      </c>
      <c r="O32" s="169" t="str">
        <f t="shared" si="2"/>
        <v>HIRM6</v>
      </c>
      <c r="P32" s="232" t="s">
        <v>189</v>
      </c>
      <c r="Q32" s="169" t="s">
        <v>189</v>
      </c>
      <c r="R32" s="169" t="s">
        <v>189</v>
      </c>
      <c r="S32" s="169" t="s">
        <v>189</v>
      </c>
      <c r="T32" s="169" t="s">
        <v>189</v>
      </c>
      <c r="U32" s="164" t="e">
        <f>_xll.qlMidSafe($Q32,$R32)</f>
        <v>#NUM!</v>
      </c>
      <c r="V32" s="162"/>
      <c r="W32" s="231" t="e">
        <v>#NUM!</v>
      </c>
      <c r="X32" s="162"/>
      <c r="Y32" s="230" t="e">
        <v>#NUM!</v>
      </c>
      <c r="Z32" s="164" t="e">
        <f>_xll.qlSimpleQuoteSetValue(E32,$Y32,ISERROR(F32))</f>
        <v>#NUM!</v>
      </c>
      <c r="AA32" s="183"/>
      <c r="AB32" s="190"/>
      <c r="AC32" s="191" t="e">
        <f t="shared" si="1"/>
        <v>#VALUE!</v>
      </c>
      <c r="AD32" s="190"/>
    </row>
    <row r="33" spans="1:30" x14ac:dyDescent="0.2">
      <c r="A33" s="93"/>
      <c r="B33" s="92">
        <v>30</v>
      </c>
      <c r="C33" s="91" t="b">
        <v>0</v>
      </c>
      <c r="D33" s="90" t="str">
        <v>N6</v>
      </c>
      <c r="E33" s="89" t="str">
        <f t="shared" si="0"/>
        <v>HKDFUT3MN6_Quote</v>
      </c>
      <c r="F33" s="88" t="str">
        <f>_xll.qlSimpleQuote(E33,,PriceTickValue,Permanent,Trigger,ObjectOverwrite)</f>
        <v>HKDFUT3MN6_Quote#0000</v>
      </c>
      <c r="G33" s="52" t="str">
        <f>_xll.ohRangeRetrieveError(F33)</f>
        <v/>
      </c>
      <c r="H33" s="65"/>
      <c r="J33" s="229"/>
      <c r="K33" s="235">
        <v>30</v>
      </c>
      <c r="L33" s="234" t="b">
        <v>0</v>
      </c>
      <c r="M33" s="169" t="str">
        <v>N6</v>
      </c>
      <c r="N33" s="233">
        <v>42571</v>
      </c>
      <c r="O33" s="169" t="str">
        <f t="shared" si="2"/>
        <v>HIRN6</v>
      </c>
      <c r="P33" s="232" t="s">
        <v>189</v>
      </c>
      <c r="Q33" s="169" t="s">
        <v>189</v>
      </c>
      <c r="R33" s="169" t="s">
        <v>189</v>
      </c>
      <c r="S33" s="169" t="s">
        <v>189</v>
      </c>
      <c r="T33" s="169" t="s">
        <v>189</v>
      </c>
      <c r="U33" s="164" t="e">
        <f>_xll.qlMidSafe($Q33,$R33)</f>
        <v>#NUM!</v>
      </c>
      <c r="V33" s="162"/>
      <c r="W33" s="231" t="e">
        <v>#NUM!</v>
      </c>
      <c r="X33" s="162"/>
      <c r="Y33" s="230" t="e">
        <v>#NUM!</v>
      </c>
      <c r="Z33" s="164" t="e">
        <f>_xll.qlSimpleQuoteSetValue(E33,$Y33,ISERROR(F33))</f>
        <v>#NUM!</v>
      </c>
      <c r="AA33" s="183"/>
      <c r="AB33" s="190"/>
      <c r="AC33" s="191" t="e">
        <f t="shared" si="1"/>
        <v>#VALUE!</v>
      </c>
      <c r="AD33" s="190"/>
    </row>
    <row r="34" spans="1:30" x14ac:dyDescent="0.2">
      <c r="A34" s="93"/>
      <c r="B34" s="92">
        <v>31</v>
      </c>
      <c r="C34" s="91" t="b">
        <v>0</v>
      </c>
      <c r="D34" s="90" t="str">
        <v>Q6</v>
      </c>
      <c r="E34" s="89" t="str">
        <f t="shared" si="0"/>
        <v>HKDFUT3MQ6_Quote</v>
      </c>
      <c r="F34" s="88" t="str">
        <f>_xll.qlSimpleQuote(E34,,PriceTickValue,Permanent,Trigger,ObjectOverwrite)</f>
        <v>HKDFUT3MQ6_Quote#0000</v>
      </c>
      <c r="G34" s="52" t="str">
        <f>_xll.ohRangeRetrieveError(F34)</f>
        <v/>
      </c>
      <c r="H34" s="65"/>
      <c r="J34" s="229"/>
      <c r="K34" s="235">
        <v>31</v>
      </c>
      <c r="L34" s="234" t="b">
        <v>0</v>
      </c>
      <c r="M34" s="169" t="str">
        <v>Q6</v>
      </c>
      <c r="N34" s="233">
        <v>42599</v>
      </c>
      <c r="O34" s="169" t="str">
        <f t="shared" si="2"/>
        <v>HIRQ6</v>
      </c>
      <c r="P34" s="232" t="s">
        <v>189</v>
      </c>
      <c r="Q34" s="169" t="s">
        <v>189</v>
      </c>
      <c r="R34" s="169" t="s">
        <v>189</v>
      </c>
      <c r="S34" s="169" t="s">
        <v>189</v>
      </c>
      <c r="T34" s="169" t="s">
        <v>189</v>
      </c>
      <c r="U34" s="164" t="e">
        <f>_xll.qlMidSafe($Q34,$R34)</f>
        <v>#NUM!</v>
      </c>
      <c r="V34" s="162"/>
      <c r="W34" s="231" t="e">
        <v>#NUM!</v>
      </c>
      <c r="X34" s="162"/>
      <c r="Y34" s="230" t="e">
        <v>#NUM!</v>
      </c>
      <c r="Z34" s="164" t="e">
        <f>_xll.qlSimpleQuoteSetValue(E34,$Y34,ISERROR(F34))</f>
        <v>#NUM!</v>
      </c>
      <c r="AA34" s="183"/>
      <c r="AB34" s="190"/>
      <c r="AC34" s="191" t="e">
        <f t="shared" si="1"/>
        <v>#VALUE!</v>
      </c>
      <c r="AD34" s="190"/>
    </row>
    <row r="35" spans="1:30" x14ac:dyDescent="0.2">
      <c r="A35" s="93"/>
      <c r="B35" s="92">
        <v>32</v>
      </c>
      <c r="C35" s="91" t="b">
        <v>0</v>
      </c>
      <c r="D35" s="90" t="str">
        <v>U6</v>
      </c>
      <c r="E35" s="89" t="str">
        <f t="shared" si="0"/>
        <v>HKDFUT3MU6_Quote</v>
      </c>
      <c r="F35" s="88" t="str">
        <f>_xll.qlSimpleQuote(E35,,PriceTickValue,Permanent,Trigger,ObjectOverwrite)</f>
        <v>HKDFUT3MU6_Quote#0000</v>
      </c>
      <c r="G35" s="52" t="str">
        <f>_xll.ohRangeRetrieveError(F35)</f>
        <v/>
      </c>
      <c r="H35" s="65"/>
      <c r="J35" s="229"/>
      <c r="K35" s="235">
        <v>32</v>
      </c>
      <c r="L35" s="234" t="b">
        <v>0</v>
      </c>
      <c r="M35" s="169" t="str">
        <v>U6</v>
      </c>
      <c r="N35" s="233">
        <v>42634</v>
      </c>
      <c r="O35" s="169" t="str">
        <f t="shared" si="2"/>
        <v>HIRU6</v>
      </c>
      <c r="P35" s="232" t="s">
        <v>189</v>
      </c>
      <c r="Q35" s="169" t="s">
        <v>189</v>
      </c>
      <c r="R35" s="169" t="s">
        <v>189</v>
      </c>
      <c r="S35" s="169" t="s">
        <v>189</v>
      </c>
      <c r="T35" s="169" t="s">
        <v>189</v>
      </c>
      <c r="U35" s="164" t="e">
        <f>_xll.qlMidSafe($Q35,$R35)</f>
        <v>#NUM!</v>
      </c>
      <c r="V35" s="162"/>
      <c r="W35" s="231" t="e">
        <v>#NUM!</v>
      </c>
      <c r="X35" s="162"/>
      <c r="Y35" s="230" t="e">
        <v>#NUM!</v>
      </c>
      <c r="Z35" s="164" t="e">
        <f>_xll.qlSimpleQuoteSetValue(E35,$Y35,ISERROR(F35))</f>
        <v>#NUM!</v>
      </c>
      <c r="AA35" s="183"/>
      <c r="AB35" s="190"/>
      <c r="AC35" s="191" t="e">
        <f t="shared" si="1"/>
        <v>#VALUE!</v>
      </c>
      <c r="AD35" s="190"/>
    </row>
    <row r="36" spans="1:30" x14ac:dyDescent="0.2">
      <c r="A36" s="93"/>
      <c r="B36" s="92">
        <v>33</v>
      </c>
      <c r="C36" s="91" t="b">
        <v>0</v>
      </c>
      <c r="D36" s="90" t="str">
        <v>V6</v>
      </c>
      <c r="E36" s="89" t="str">
        <f t="shared" ref="E36:E39" si="3">Currency&amp;$D$2&amp;$E$2&amp;$D36&amp;QuoteSuffix</f>
        <v>HKDFUT3MV6_Quote</v>
      </c>
      <c r="F36" s="88" t="str">
        <f>_xll.qlSimpleQuote(E36,,PriceTickValue,Permanent,Trigger,ObjectOverwrite)</f>
        <v>HKDFUT3MV6_Quote#0000</v>
      </c>
      <c r="G36" s="52" t="str">
        <f>_xll.ohRangeRetrieveError(F36)</f>
        <v/>
      </c>
      <c r="H36" s="65"/>
      <c r="J36" s="229"/>
      <c r="K36" s="235">
        <v>33</v>
      </c>
      <c r="L36" s="234" t="b">
        <v>0</v>
      </c>
      <c r="M36" s="169" t="str">
        <v>V6</v>
      </c>
      <c r="N36" s="233">
        <v>42662</v>
      </c>
      <c r="O36" s="169" t="str">
        <f t="shared" si="2"/>
        <v>HIRV6</v>
      </c>
      <c r="P36" s="232" t="s">
        <v>189</v>
      </c>
      <c r="Q36" s="169" t="s">
        <v>189</v>
      </c>
      <c r="R36" s="169" t="s">
        <v>189</v>
      </c>
      <c r="S36" s="169" t="s">
        <v>189</v>
      </c>
      <c r="T36" s="169" t="s">
        <v>189</v>
      </c>
      <c r="U36" s="164" t="e">
        <f>_xll.qlMidSafe($Q36,$R36)</f>
        <v>#NUM!</v>
      </c>
      <c r="V36" s="162"/>
      <c r="W36" s="231" t="e">
        <v>#NUM!</v>
      </c>
      <c r="X36" s="162"/>
      <c r="Y36" s="230" t="e">
        <v>#NUM!</v>
      </c>
      <c r="Z36" s="164" t="e">
        <f>_xll.qlSimpleQuoteSetValue(E36,$Y36,ISERROR(F36))</f>
        <v>#NUM!</v>
      </c>
      <c r="AA36" s="183"/>
      <c r="AB36" s="190"/>
      <c r="AC36" s="191" t="e">
        <f t="shared" si="1"/>
        <v>#VALUE!</v>
      </c>
      <c r="AD36" s="190"/>
    </row>
    <row r="37" spans="1:30" ht="11.25" customHeight="1" x14ac:dyDescent="0.2">
      <c r="A37" s="93"/>
      <c r="B37" s="92">
        <v>34</v>
      </c>
      <c r="C37" s="91" t="b">
        <v>0</v>
      </c>
      <c r="D37" s="90" t="str">
        <v>X6</v>
      </c>
      <c r="E37" s="89" t="str">
        <f t="shared" si="3"/>
        <v>HKDFUT3MX6_Quote</v>
      </c>
      <c r="F37" s="88" t="str">
        <f>_xll.qlSimpleQuote(E37,,PriceTickValue,Permanent,Trigger,ObjectOverwrite)</f>
        <v>HKDFUT3MX6_Quote#0000</v>
      </c>
      <c r="G37" s="52" t="str">
        <f>_xll.ohRangeRetrieveError(F37)</f>
        <v/>
      </c>
      <c r="H37" s="65"/>
      <c r="J37" s="229"/>
      <c r="K37" s="235">
        <v>34</v>
      </c>
      <c r="L37" s="234" t="b">
        <v>0</v>
      </c>
      <c r="M37" s="169" t="str">
        <v>X6</v>
      </c>
      <c r="N37" s="233">
        <v>42690</v>
      </c>
      <c r="O37" s="169" t="str">
        <f t="shared" si="2"/>
        <v>HIRX6</v>
      </c>
      <c r="P37" s="232" t="s">
        <v>189</v>
      </c>
      <c r="Q37" s="169" t="s">
        <v>189</v>
      </c>
      <c r="R37" s="169" t="s">
        <v>189</v>
      </c>
      <c r="S37" s="169" t="s">
        <v>189</v>
      </c>
      <c r="T37" s="169" t="s">
        <v>189</v>
      </c>
      <c r="U37" s="164" t="e">
        <f>_xll.qlMidSafe($Q37,$R37)</f>
        <v>#NUM!</v>
      </c>
      <c r="V37" s="162"/>
      <c r="W37" s="231" t="e">
        <v>#NUM!</v>
      </c>
      <c r="X37" s="162"/>
      <c r="Y37" s="230" t="e">
        <v>#NUM!</v>
      </c>
      <c r="Z37" s="164" t="e">
        <f>_xll.qlSimpleQuoteSetValue(E37,$Y37,ISERROR(F37))</f>
        <v>#NUM!</v>
      </c>
      <c r="AA37" s="183"/>
      <c r="AB37" s="190"/>
      <c r="AC37" s="191" t="e">
        <f t="shared" si="1"/>
        <v>#VALUE!</v>
      </c>
      <c r="AD37" s="190"/>
    </row>
    <row r="38" spans="1:30" x14ac:dyDescent="0.2">
      <c r="A38" s="93"/>
      <c r="B38" s="92">
        <v>35</v>
      </c>
      <c r="C38" s="91" t="b">
        <v>0</v>
      </c>
      <c r="D38" s="90" t="str">
        <v>Z6</v>
      </c>
      <c r="E38" s="89" t="str">
        <f t="shared" si="3"/>
        <v>HKDFUT3MZ6_Quote</v>
      </c>
      <c r="F38" s="88" t="str">
        <f>_xll.qlSimpleQuote(E38,,PriceTickValue,Permanent,Trigger,ObjectOverwrite)</f>
        <v>HKDFUT3MZ6_Quote#0000</v>
      </c>
      <c r="G38" s="52" t="str">
        <f>_xll.ohRangeRetrieveError(F38)</f>
        <v/>
      </c>
      <c r="H38" s="65"/>
      <c r="J38" s="229"/>
      <c r="K38" s="235">
        <v>35</v>
      </c>
      <c r="L38" s="234" t="b">
        <v>0</v>
      </c>
      <c r="M38" s="169" t="str">
        <v>Z6</v>
      </c>
      <c r="N38" s="233">
        <v>42725</v>
      </c>
      <c r="O38" s="169" t="str">
        <f t="shared" si="2"/>
        <v>HIRZ6</v>
      </c>
      <c r="P38" s="232" t="s">
        <v>189</v>
      </c>
      <c r="Q38" s="169" t="s">
        <v>189</v>
      </c>
      <c r="R38" s="169" t="s">
        <v>189</v>
      </c>
      <c r="S38" s="169" t="s">
        <v>189</v>
      </c>
      <c r="T38" s="169" t="s">
        <v>189</v>
      </c>
      <c r="U38" s="164" t="e">
        <f>_xll.qlMidSafe($Q38,$R38)</f>
        <v>#NUM!</v>
      </c>
      <c r="V38" s="162"/>
      <c r="W38" s="231" t="e">
        <v>#NUM!</v>
      </c>
      <c r="X38" s="162"/>
      <c r="Y38" s="230" t="e">
        <v>#NUM!</v>
      </c>
      <c r="Z38" s="164" t="e">
        <f>_xll.qlSimpleQuoteSetValue(E38,$Y38,ISERROR(F38))</f>
        <v>#NUM!</v>
      </c>
      <c r="AA38" s="183"/>
      <c r="AB38" s="190"/>
      <c r="AC38" s="191" t="e">
        <f t="shared" si="1"/>
        <v>#VALUE!</v>
      </c>
      <c r="AD38" s="190"/>
    </row>
    <row r="39" spans="1:30" x14ac:dyDescent="0.2">
      <c r="A39" s="93"/>
      <c r="B39" s="92">
        <v>36</v>
      </c>
      <c r="C39" s="91" t="b">
        <v>0</v>
      </c>
      <c r="D39" s="90" t="str">
        <v>F7</v>
      </c>
      <c r="E39" s="89" t="str">
        <f t="shared" si="3"/>
        <v>HKDFUT3MF7_Quote</v>
      </c>
      <c r="F39" s="88" t="str">
        <f>_xll.qlSimpleQuote(E39,,PriceTickValue,Permanent,Trigger,ObjectOverwrite)</f>
        <v>HKDFUT3MF7_Quote#0000</v>
      </c>
      <c r="G39" s="52" t="str">
        <f>_xll.ohRangeRetrieveError(F39)</f>
        <v/>
      </c>
      <c r="H39" s="65"/>
      <c r="J39" s="229"/>
      <c r="K39" s="228">
        <v>36</v>
      </c>
      <c r="L39" s="227" t="b">
        <v>0</v>
      </c>
      <c r="M39" s="160" t="str">
        <v>F7</v>
      </c>
      <c r="N39" s="226">
        <v>42753</v>
      </c>
      <c r="O39" s="160" t="str">
        <f t="shared" si="2"/>
        <v>HIRF7</v>
      </c>
      <c r="P39" s="225" t="s">
        <v>189</v>
      </c>
      <c r="Q39" s="160" t="s">
        <v>189</v>
      </c>
      <c r="R39" s="160" t="s">
        <v>189</v>
      </c>
      <c r="S39" s="160" t="s">
        <v>189</v>
      </c>
      <c r="T39" s="160" t="s">
        <v>189</v>
      </c>
      <c r="U39" s="205" t="e">
        <f>_xll.qlMidSafe($Q39,$R39)</f>
        <v>#NUM!</v>
      </c>
      <c r="V39" s="162"/>
      <c r="W39" s="224" t="e">
        <v>#NUM!</v>
      </c>
      <c r="X39" s="162"/>
      <c r="Y39" s="223" t="e">
        <v>#NUM!</v>
      </c>
      <c r="Z39" s="205" t="e">
        <f>_xll.qlSimpleQuoteSetValue(E39,$Y39,ISERROR(F39))</f>
        <v>#NUM!</v>
      </c>
      <c r="AA39" s="183"/>
      <c r="AB39" s="190"/>
      <c r="AC39" s="191" t="e">
        <f t="shared" si="1"/>
        <v>#VALUE!</v>
      </c>
      <c r="AD39" s="190"/>
    </row>
    <row r="40" spans="1:30" ht="12" thickBot="1" x14ac:dyDescent="0.25">
      <c r="A40" s="87"/>
      <c r="B40" s="63"/>
      <c r="C40" s="63"/>
      <c r="D40" s="63"/>
      <c r="E40" s="63"/>
      <c r="F40" s="63"/>
      <c r="G40" s="63"/>
      <c r="H40" s="61"/>
      <c r="J40" s="222"/>
      <c r="K40" s="155"/>
      <c r="L40" s="155"/>
      <c r="M40" s="155"/>
      <c r="N40" s="155"/>
      <c r="O40" s="155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4"/>
      <c r="AB40" s="190"/>
      <c r="AC40" s="190"/>
      <c r="AD40" s="190"/>
    </row>
    <row r="41" spans="1:30" x14ac:dyDescent="0.2"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0"/>
      <c r="AA41" s="190"/>
      <c r="AB41" s="190"/>
      <c r="AC41" s="190"/>
      <c r="AD41" s="190"/>
    </row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Z17"/>
  <sheetViews>
    <sheetView workbookViewId="0">
      <selection activeCell="L9" sqref="L9"/>
    </sheetView>
  </sheetViews>
  <sheetFormatPr defaultRowHeight="12.75" x14ac:dyDescent="0.2"/>
  <cols>
    <col min="1" max="1" width="2.7109375" style="38" customWidth="1"/>
    <col min="2" max="2" width="4.85546875" style="60" bestFit="1" customWidth="1"/>
    <col min="3" max="3" width="5.140625" style="38" bestFit="1" customWidth="1"/>
    <col min="4" max="4" width="3.85546875" style="38" bestFit="1" customWidth="1"/>
    <col min="5" max="5" width="16.140625" style="38" bestFit="1" customWidth="1"/>
    <col min="6" max="6" width="22" style="59" bestFit="1" customWidth="1"/>
    <col min="7" max="7" width="38.28515625" style="38" customWidth="1"/>
    <col min="8" max="10" width="2.7109375" style="38" customWidth="1"/>
    <col min="11" max="11" width="11.42578125" style="38" bestFit="1" customWidth="1"/>
    <col min="12" max="12" width="16.85546875" style="38" bestFit="1" customWidth="1"/>
    <col min="13" max="15" width="9.140625" style="38"/>
    <col min="16" max="16" width="12.570312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2" width="9.140625" style="38"/>
    <col min="23" max="24" width="2.7109375" style="38" customWidth="1"/>
    <col min="25" max="16384" width="9.140625" style="38"/>
  </cols>
  <sheetData>
    <row r="1" spans="1:26" ht="15" x14ac:dyDescent="0.25">
      <c r="A1" s="38" t="s">
        <v>181</v>
      </c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/>
      <c r="Y1"/>
      <c r="Z1"/>
    </row>
    <row r="2" spans="1:26" ht="15.75" thickBot="1" x14ac:dyDescent="0.3">
      <c r="J2" s="185"/>
      <c r="K2" s="162"/>
      <c r="L2" s="184" t="s">
        <v>154</v>
      </c>
      <c r="M2" s="162"/>
      <c r="N2" s="162"/>
      <c r="O2" s="162"/>
      <c r="P2" s="162"/>
      <c r="Q2" s="220"/>
      <c r="R2" s="162"/>
      <c r="S2" s="162"/>
      <c r="T2" s="162"/>
      <c r="U2" s="162"/>
      <c r="V2" s="220"/>
      <c r="W2" s="183"/>
      <c r="X2"/>
      <c r="Y2"/>
      <c r="Z2"/>
    </row>
    <row r="3" spans="1:26" ht="15" x14ac:dyDescent="0.25">
      <c r="A3" s="139"/>
      <c r="B3" s="138"/>
      <c r="C3" s="138"/>
      <c r="D3" s="138"/>
      <c r="E3" s="136"/>
      <c r="F3" s="137"/>
      <c r="G3" s="136"/>
      <c r="H3" s="135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_xll.ohTrigger(V5:V15)</f>
        <v>1</v>
      </c>
      <c r="W3" s="158"/>
      <c r="X3"/>
      <c r="Y3"/>
      <c r="Z3"/>
    </row>
    <row r="4" spans="1:26" ht="22.5" x14ac:dyDescent="0.25">
      <c r="A4" s="71"/>
      <c r="B4" s="134"/>
      <c r="C4" s="133"/>
      <c r="D4" s="42"/>
      <c r="E4" s="41" t="str">
        <f>Currency&amp;"_010_Sw"&amp;"1M.xml"</f>
        <v>HKD_010_Sw1M.xml</v>
      </c>
      <c r="F4" s="40" t="e">
        <f ca="1">IF(Serialize,_xll.ohObjectSave(F5:F15,SerializationPath&amp;E4,FileOverwrite,,Serialize),"---")</f>
        <v>#NUM!</v>
      </c>
      <c r="G4" s="23" t="str">
        <f ca="1">_xll.ohRangeRetrieveError(F4)</f>
        <v>ohObjectSave - ObjectHandler error: attempt to retrieve object with unknown ID 'HKDAM1H2M_Quote'</v>
      </c>
      <c r="H4" s="328" t="s">
        <v>182</v>
      </c>
      <c r="J4" s="167"/>
      <c r="K4" s="219"/>
      <c r="L4" s="180" t="e">
        <f ca="1">_xll.RData(L5:L15,M4:P4,,ReutersRtMode,,M5)</f>
        <v>#NAME?</v>
      </c>
      <c r="M4" s="216" t="s">
        <v>160</v>
      </c>
      <c r="N4" s="216" t="s">
        <v>145</v>
      </c>
      <c r="O4" s="216" t="s">
        <v>144</v>
      </c>
      <c r="P4" s="216" t="s">
        <v>159</v>
      </c>
      <c r="Q4" s="176" t="s">
        <v>158</v>
      </c>
      <c r="R4" s="162"/>
      <c r="S4" s="178" t="s">
        <v>139</v>
      </c>
      <c r="T4" s="162"/>
      <c r="U4" s="319" t="s">
        <v>137</v>
      </c>
      <c r="V4" s="261" t="s">
        <v>136</v>
      </c>
      <c r="W4" s="158"/>
      <c r="X4"/>
      <c r="Y4" s="322" t="s">
        <v>157</v>
      </c>
      <c r="Z4"/>
    </row>
    <row r="5" spans="1:26" ht="15" x14ac:dyDescent="0.25">
      <c r="A5" s="71"/>
      <c r="B5" s="132" t="s">
        <v>120</v>
      </c>
      <c r="C5" s="26" t="s">
        <v>118</v>
      </c>
      <c r="D5" s="25">
        <v>2</v>
      </c>
      <c r="E5" s="24" t="str">
        <f t="shared" ref="E5:E15" si="0">Currency&amp;$C5&amp;$D5&amp;$B5&amp;QuoteSuffix</f>
        <v>HKDAM1H2M_Quote</v>
      </c>
      <c r="F5" s="24" t="str">
        <f>_xll.qlSimpleQuote(Currency&amp;$C5&amp;$D5&amp;$B5&amp;QuoteSuffix,,RateTickValue,Permanent,Trigger,ObjectOverwrite)</f>
        <v>HKDAM1H2M_Quote#0000</v>
      </c>
      <c r="G5" s="131" t="str">
        <f>_xll.ohRangeRetrieveError(F5)</f>
        <v/>
      </c>
      <c r="H5" s="65"/>
      <c r="J5" s="167"/>
      <c r="K5" s="170" t="str">
        <f t="shared" ref="K5:K15" si="1">Currency&amp;C5&amp;D5&amp;B5</f>
        <v>HKDAM1H2M</v>
      </c>
      <c r="L5" s="165" t="str">
        <f t="array" ref="L5:L15">Instruments&amp;"="&amp;VLOOKUP(Contributor,ContributorTable,2,FALSE)</f>
        <v>HKDAM1H2M=PREA</v>
      </c>
      <c r="M5" s="201" t="s">
        <v>189</v>
      </c>
      <c r="N5" s="201" t="s">
        <v>189</v>
      </c>
      <c r="O5" s="201" t="s">
        <v>189</v>
      </c>
      <c r="P5" s="201" t="s">
        <v>189</v>
      </c>
      <c r="Q5" s="260" t="e">
        <f>_xll.qlMidSafe($M5,$N5)</f>
        <v>#NUM!</v>
      </c>
      <c r="R5" s="162"/>
      <c r="S5" s="171" t="e">
        <v>#NUM!</v>
      </c>
      <c r="T5" s="162"/>
      <c r="U5" s="230" t="e">
        <f t="array" ref="U5:U15">QuoteStatic</f>
        <v>#NUM!</v>
      </c>
      <c r="V5" s="168" t="e">
        <f>_xll.qlSimpleQuoteSetValue(E5,U5/100,ISERROR(F5))</f>
        <v>#NUM!</v>
      </c>
      <c r="W5" s="158"/>
      <c r="X5"/>
      <c r="Y5" s="191" t="e">
        <f t="shared" ref="Y5:Y15" si="2">(N5-Q5)/50</f>
        <v>#VALUE!</v>
      </c>
      <c r="Z5"/>
    </row>
    <row r="6" spans="1:26" ht="15" x14ac:dyDescent="0.25">
      <c r="A6" s="71"/>
      <c r="B6" s="130" t="s">
        <v>120</v>
      </c>
      <c r="C6" s="129" t="s">
        <v>118</v>
      </c>
      <c r="D6" s="128">
        <v>3</v>
      </c>
      <c r="E6" s="24" t="str">
        <f t="shared" si="0"/>
        <v>HKDAM1H3M_Quote</v>
      </c>
      <c r="F6" s="24" t="str">
        <f>_xll.qlSimpleQuote(Currency&amp;$C6&amp;$D6&amp;$B6&amp;QuoteSuffix,,RateTickValue,Permanent,Trigger,ObjectOverwrite)</f>
        <v>HKDAM1H3M_Quote#0000</v>
      </c>
      <c r="G6" s="127" t="str">
        <f>_xll.ohRangeRetrieveError(F6)</f>
        <v/>
      </c>
      <c r="H6" s="65"/>
      <c r="J6" s="167"/>
      <c r="K6" s="170" t="str">
        <f t="shared" si="1"/>
        <v>HKDAM1H3M</v>
      </c>
      <c r="L6" s="165" t="str">
        <v>HKDAM1H3M=PREA</v>
      </c>
      <c r="M6" s="201">
        <v>0.16</v>
      </c>
      <c r="N6" s="201">
        <v>0.26</v>
      </c>
      <c r="O6" s="201">
        <v>0</v>
      </c>
      <c r="P6" s="201">
        <v>0</v>
      </c>
      <c r="Q6" s="260">
        <f>_xll.qlMidSafe($M6,$N6)</f>
        <v>0.21000000000000002</v>
      </c>
      <c r="R6" s="162"/>
      <c r="S6" s="171">
        <v>0.21000000000000002</v>
      </c>
      <c r="T6" s="162"/>
      <c r="U6" s="230">
        <v>0.21000000000000002</v>
      </c>
      <c r="V6" s="168" t="e">
        <f>_xll.qlSimpleQuoteSetValue(E6,U6/100,ISERROR(F6))</f>
        <v>#N/A</v>
      </c>
      <c r="W6" s="158"/>
      <c r="X6"/>
      <c r="Y6" s="191">
        <f t="shared" si="2"/>
        <v>9.999999999999998E-4</v>
      </c>
      <c r="Z6"/>
    </row>
    <row r="7" spans="1:26" ht="15" x14ac:dyDescent="0.25">
      <c r="A7" s="71"/>
      <c r="B7" s="130" t="s">
        <v>120</v>
      </c>
      <c r="C7" s="129" t="s">
        <v>118</v>
      </c>
      <c r="D7" s="128">
        <v>4</v>
      </c>
      <c r="E7" s="24" t="str">
        <f t="shared" si="0"/>
        <v>HKDAM1H4M_Quote</v>
      </c>
      <c r="F7" s="24" t="str">
        <f>_xll.qlSimpleQuote(Currency&amp;$C7&amp;$D7&amp;$B7&amp;QuoteSuffix,,RateTickValue,Permanent,Trigger,ObjectOverwrite)</f>
        <v>HKDAM1H4M_Quote#0000</v>
      </c>
      <c r="G7" s="127" t="str">
        <f>_xll.ohRangeRetrieveError(F7)</f>
        <v/>
      </c>
      <c r="H7" s="65"/>
      <c r="J7" s="167"/>
      <c r="K7" s="170" t="str">
        <f t="shared" si="1"/>
        <v>HKDAM1H4M</v>
      </c>
      <c r="L7" s="165" t="str">
        <v>HKDAM1H4M=PREA</v>
      </c>
      <c r="M7" s="201" t="s">
        <v>189</v>
      </c>
      <c r="N7" s="201" t="s">
        <v>189</v>
      </c>
      <c r="O7" s="201" t="s">
        <v>189</v>
      </c>
      <c r="P7" s="201" t="s">
        <v>189</v>
      </c>
      <c r="Q7" s="260" t="e">
        <f>_xll.qlMidSafe($M7,$N7)</f>
        <v>#NUM!</v>
      </c>
      <c r="R7" s="162"/>
      <c r="S7" s="171" t="e">
        <v>#NUM!</v>
      </c>
      <c r="T7" s="162"/>
      <c r="U7" s="230" t="e">
        <v>#NUM!</v>
      </c>
      <c r="V7" s="168" t="e">
        <f>_xll.qlSimpleQuoteSetValue(E7,U7/100,ISERROR(F7))</f>
        <v>#NUM!</v>
      </c>
      <c r="W7" s="158"/>
      <c r="X7"/>
      <c r="Y7" s="191" t="e">
        <f t="shared" si="2"/>
        <v>#VALUE!</v>
      </c>
      <c r="Z7"/>
    </row>
    <row r="8" spans="1:26" ht="15" x14ac:dyDescent="0.25">
      <c r="A8" s="71"/>
      <c r="B8" s="130" t="s">
        <v>120</v>
      </c>
      <c r="C8" s="129" t="s">
        <v>118</v>
      </c>
      <c r="D8" s="128">
        <v>5</v>
      </c>
      <c r="E8" s="24" t="str">
        <f t="shared" si="0"/>
        <v>HKDAM1H5M_Quote</v>
      </c>
      <c r="F8" s="24" t="str">
        <f>_xll.qlSimpleQuote(Currency&amp;$C8&amp;$D8&amp;$B8&amp;QuoteSuffix,,RateTickValue,Permanent,Trigger,ObjectOverwrite)</f>
        <v>HKDAM1H5M_Quote#0000</v>
      </c>
      <c r="G8" s="127" t="str">
        <f>_xll.ohRangeRetrieveError(F8)</f>
        <v/>
      </c>
      <c r="H8" s="65"/>
      <c r="J8" s="167"/>
      <c r="K8" s="170" t="str">
        <f t="shared" si="1"/>
        <v>HKDAM1H5M</v>
      </c>
      <c r="L8" s="165" t="str">
        <v>HKDAM1H5M=PREA</v>
      </c>
      <c r="M8" s="201" t="s">
        <v>189</v>
      </c>
      <c r="N8" s="201" t="s">
        <v>189</v>
      </c>
      <c r="O8" s="201" t="s">
        <v>189</v>
      </c>
      <c r="P8" s="201" t="s">
        <v>189</v>
      </c>
      <c r="Q8" s="260" t="e">
        <f>_xll.qlMidSafe($M8,$N8)</f>
        <v>#NUM!</v>
      </c>
      <c r="R8" s="162"/>
      <c r="S8" s="171" t="e">
        <v>#NUM!</v>
      </c>
      <c r="T8" s="162"/>
      <c r="U8" s="230" t="e">
        <v>#NUM!</v>
      </c>
      <c r="V8" s="168" t="e">
        <f>_xll.qlSimpleQuoteSetValue(E8,U8/100,ISERROR(F8))</f>
        <v>#NUM!</v>
      </c>
      <c r="W8" s="158"/>
      <c r="X8"/>
      <c r="Y8" s="191" t="e">
        <f t="shared" si="2"/>
        <v>#VALUE!</v>
      </c>
      <c r="Z8"/>
    </row>
    <row r="9" spans="1:26" ht="15" x14ac:dyDescent="0.25">
      <c r="A9" s="71"/>
      <c r="B9" s="130" t="s">
        <v>120</v>
      </c>
      <c r="C9" s="129" t="s">
        <v>118</v>
      </c>
      <c r="D9" s="128">
        <v>6</v>
      </c>
      <c r="E9" s="24" t="str">
        <f t="shared" si="0"/>
        <v>HKDAM1H6M_Quote</v>
      </c>
      <c r="F9" s="24" t="str">
        <f>_xll.qlSimpleQuote(Currency&amp;$C9&amp;$D9&amp;$B9&amp;QuoteSuffix,,RateTickValue,Permanent,Trigger,ObjectOverwrite)</f>
        <v>HKDAM1H6M_Quote#0000</v>
      </c>
      <c r="G9" s="127" t="str">
        <f>_xll.ohRangeRetrieveError(F9)</f>
        <v/>
      </c>
      <c r="H9" s="65"/>
      <c r="J9" s="167"/>
      <c r="K9" s="170" t="str">
        <f t="shared" si="1"/>
        <v>HKDAM1H6M</v>
      </c>
      <c r="L9" s="165" t="str">
        <v>HKDAM1H6M=PREA</v>
      </c>
      <c r="M9" s="201">
        <v>0.18</v>
      </c>
      <c r="N9" s="201">
        <v>0.28000000000000003</v>
      </c>
      <c r="O9" s="201">
        <v>0</v>
      </c>
      <c r="P9" s="201">
        <v>0</v>
      </c>
      <c r="Q9" s="260">
        <f>_xll.qlMidSafe($M9,$N9)</f>
        <v>0.23</v>
      </c>
      <c r="R9" s="162"/>
      <c r="S9" s="171">
        <v>0.23</v>
      </c>
      <c r="T9" s="162"/>
      <c r="U9" s="230">
        <v>0.23</v>
      </c>
      <c r="V9" s="168" t="e">
        <f>_xll.qlSimpleQuoteSetValue(E9,U9/100,ISERROR(F9))</f>
        <v>#N/A</v>
      </c>
      <c r="W9" s="158"/>
      <c r="X9"/>
      <c r="Y9" s="191">
        <f t="shared" si="2"/>
        <v>1.0000000000000002E-3</v>
      </c>
      <c r="Z9"/>
    </row>
    <row r="10" spans="1:26" ht="15" x14ac:dyDescent="0.25">
      <c r="A10" s="71"/>
      <c r="B10" s="130" t="s">
        <v>120</v>
      </c>
      <c r="C10" s="129" t="s">
        <v>118</v>
      </c>
      <c r="D10" s="128">
        <v>7</v>
      </c>
      <c r="E10" s="24" t="str">
        <f t="shared" si="0"/>
        <v>HKDAM1H7M_Quote</v>
      </c>
      <c r="F10" s="24" t="str">
        <f>_xll.qlSimpleQuote(Currency&amp;$C10&amp;$D10&amp;$B10&amp;QuoteSuffix,,RateTickValue,Permanent,Trigger,ObjectOverwrite)</f>
        <v>HKDAM1H7M_Quote#0000</v>
      </c>
      <c r="G10" s="127" t="str">
        <f>_xll.ohRangeRetrieveError(F10)</f>
        <v/>
      </c>
      <c r="H10" s="65"/>
      <c r="J10" s="167"/>
      <c r="K10" s="170" t="str">
        <f t="shared" si="1"/>
        <v>HKDAM1H7M</v>
      </c>
      <c r="L10" s="165" t="str">
        <v>HKDAM1H7M=PREA</v>
      </c>
      <c r="M10" s="201" t="s">
        <v>189</v>
      </c>
      <c r="N10" s="201" t="s">
        <v>189</v>
      </c>
      <c r="O10" s="201" t="s">
        <v>189</v>
      </c>
      <c r="P10" s="201" t="s">
        <v>189</v>
      </c>
      <c r="Q10" s="260" t="e">
        <f>_xll.qlMidSafe($M10,$N10)</f>
        <v>#NUM!</v>
      </c>
      <c r="R10" s="162"/>
      <c r="S10" s="171" t="e">
        <v>#NUM!</v>
      </c>
      <c r="T10" s="162"/>
      <c r="U10" s="230" t="e">
        <v>#NUM!</v>
      </c>
      <c r="V10" s="168" t="e">
        <f>_xll.qlSimpleQuoteSetValue(E10,U10/100,ISERROR(F10))</f>
        <v>#NUM!</v>
      </c>
      <c r="W10" s="158"/>
      <c r="X10"/>
      <c r="Y10" s="191" t="e">
        <f t="shared" si="2"/>
        <v>#VALUE!</v>
      </c>
      <c r="Z10"/>
    </row>
    <row r="11" spans="1:26" ht="15" x14ac:dyDescent="0.25">
      <c r="A11" s="71"/>
      <c r="B11" s="130" t="s">
        <v>120</v>
      </c>
      <c r="C11" s="129" t="s">
        <v>118</v>
      </c>
      <c r="D11" s="128">
        <v>8</v>
      </c>
      <c r="E11" s="24" t="str">
        <f t="shared" si="0"/>
        <v>HKDAM1H8M_Quote</v>
      </c>
      <c r="F11" s="24" t="str">
        <f>_xll.qlSimpleQuote(Currency&amp;$C11&amp;$D11&amp;$B11&amp;QuoteSuffix,,RateTickValue,Permanent,Trigger,ObjectOverwrite)</f>
        <v>HKDAM1H8M_Quote#0000</v>
      </c>
      <c r="G11" s="127" t="str">
        <f>_xll.ohRangeRetrieveError(F11)</f>
        <v/>
      </c>
      <c r="H11" s="65"/>
      <c r="J11" s="167"/>
      <c r="K11" s="170" t="str">
        <f t="shared" si="1"/>
        <v>HKDAM1H8M</v>
      </c>
      <c r="L11" s="165" t="str">
        <v>HKDAM1H8M=PREA</v>
      </c>
      <c r="M11" s="201" t="s">
        <v>189</v>
      </c>
      <c r="N11" s="201" t="s">
        <v>189</v>
      </c>
      <c r="O11" s="201" t="s">
        <v>189</v>
      </c>
      <c r="P11" s="201" t="s">
        <v>189</v>
      </c>
      <c r="Q11" s="260" t="e">
        <f>_xll.qlMidSafe($M11,$N11)</f>
        <v>#NUM!</v>
      </c>
      <c r="R11" s="162"/>
      <c r="S11" s="171" t="e">
        <v>#NUM!</v>
      </c>
      <c r="T11" s="162"/>
      <c r="U11" s="230" t="e">
        <v>#NUM!</v>
      </c>
      <c r="V11" s="168" t="e">
        <f>_xll.qlSimpleQuoteSetValue(E11,U11/100,ISERROR(F11))</f>
        <v>#NUM!</v>
      </c>
      <c r="W11" s="158"/>
      <c r="X11"/>
      <c r="Y11" s="191" t="e">
        <f t="shared" si="2"/>
        <v>#VALUE!</v>
      </c>
      <c r="Z11"/>
    </row>
    <row r="12" spans="1:26" ht="15" x14ac:dyDescent="0.25">
      <c r="A12" s="71"/>
      <c r="B12" s="130" t="s">
        <v>120</v>
      </c>
      <c r="C12" s="129" t="s">
        <v>118</v>
      </c>
      <c r="D12" s="128">
        <v>9</v>
      </c>
      <c r="E12" s="24" t="str">
        <f t="shared" si="0"/>
        <v>HKDAM1H9M_Quote</v>
      </c>
      <c r="F12" s="24" t="str">
        <f>_xll.qlSimpleQuote(Currency&amp;$C12&amp;$D12&amp;$B12&amp;QuoteSuffix,,RateTickValue,Permanent,Trigger,ObjectOverwrite)</f>
        <v>HKDAM1H9M_Quote#0000</v>
      </c>
      <c r="G12" s="127" t="str">
        <f>_xll.ohRangeRetrieveError(F12)</f>
        <v/>
      </c>
      <c r="H12" s="65"/>
      <c r="J12" s="167"/>
      <c r="K12" s="170" t="str">
        <f t="shared" si="1"/>
        <v>HKDAM1H9M</v>
      </c>
      <c r="L12" s="165" t="str">
        <v>HKDAM1H9M=PREA</v>
      </c>
      <c r="M12" s="201">
        <v>0.23</v>
      </c>
      <c r="N12" s="201">
        <v>0.33</v>
      </c>
      <c r="O12" s="201">
        <v>0</v>
      </c>
      <c r="P12" s="201">
        <v>0</v>
      </c>
      <c r="Q12" s="260">
        <f>_xll.qlMidSafe($M12,$N12)</f>
        <v>0.28000000000000003</v>
      </c>
      <c r="R12" s="162"/>
      <c r="S12" s="171">
        <v>0.28000000000000003</v>
      </c>
      <c r="T12" s="162"/>
      <c r="U12" s="230">
        <v>0.28000000000000003</v>
      </c>
      <c r="V12" s="168" t="e">
        <f>_xll.qlSimpleQuoteSetValue(E12,U12/100,ISERROR(F12))</f>
        <v>#N/A</v>
      </c>
      <c r="W12" s="158"/>
      <c r="X12"/>
      <c r="Y12" s="191">
        <f t="shared" si="2"/>
        <v>9.999999999999998E-4</v>
      </c>
      <c r="Z12"/>
    </row>
    <row r="13" spans="1:26" ht="15" x14ac:dyDescent="0.25">
      <c r="A13" s="71"/>
      <c r="B13" s="130" t="s">
        <v>120</v>
      </c>
      <c r="C13" s="129" t="s">
        <v>118</v>
      </c>
      <c r="D13" s="128">
        <v>10</v>
      </c>
      <c r="E13" s="24" t="str">
        <f t="shared" si="0"/>
        <v>HKDAM1H10M_Quote</v>
      </c>
      <c r="F13" s="24" t="str">
        <f>_xll.qlSimpleQuote(Currency&amp;$C13&amp;$D13&amp;$B13&amp;QuoteSuffix,,RateTickValue,Permanent,Trigger,ObjectOverwrite)</f>
        <v>HKDAM1H10M_Quote#0000</v>
      </c>
      <c r="G13" s="127" t="str">
        <f>_xll.ohRangeRetrieveError(F13)</f>
        <v/>
      </c>
      <c r="H13" s="65"/>
      <c r="J13" s="167"/>
      <c r="K13" s="170" t="str">
        <f t="shared" si="1"/>
        <v>HKDAM1H10M</v>
      </c>
      <c r="L13" s="165" t="str">
        <v>HKDAM1H10M=PREA</v>
      </c>
      <c r="M13" s="201" t="s">
        <v>189</v>
      </c>
      <c r="N13" s="201" t="s">
        <v>189</v>
      </c>
      <c r="O13" s="201" t="s">
        <v>189</v>
      </c>
      <c r="P13" s="201" t="s">
        <v>189</v>
      </c>
      <c r="Q13" s="260" t="e">
        <f>_xll.qlMidSafe($M13,$N13)</f>
        <v>#NUM!</v>
      </c>
      <c r="R13" s="162"/>
      <c r="S13" s="171" t="e">
        <v>#NUM!</v>
      </c>
      <c r="T13" s="162"/>
      <c r="U13" s="230" t="e">
        <v>#NUM!</v>
      </c>
      <c r="V13" s="168" t="e">
        <f>_xll.qlSimpleQuoteSetValue(E13,U13/100,ISERROR(F13))</f>
        <v>#NUM!</v>
      </c>
      <c r="W13" s="158"/>
      <c r="X13"/>
      <c r="Y13" s="191" t="e">
        <f t="shared" si="2"/>
        <v>#VALUE!</v>
      </c>
      <c r="Z13"/>
    </row>
    <row r="14" spans="1:26" ht="15" x14ac:dyDescent="0.25">
      <c r="A14" s="71"/>
      <c r="B14" s="130" t="s">
        <v>120</v>
      </c>
      <c r="C14" s="129" t="s">
        <v>118</v>
      </c>
      <c r="D14" s="128">
        <v>11</v>
      </c>
      <c r="E14" s="24" t="str">
        <f t="shared" si="0"/>
        <v>HKDAM1H11M_Quote</v>
      </c>
      <c r="F14" s="24" t="str">
        <f>_xll.qlSimpleQuote(Currency&amp;$C14&amp;$D14&amp;$B14&amp;QuoteSuffix,,RateTickValue,Permanent,Trigger,ObjectOverwrite)</f>
        <v>HKDAM1H11M_Quote#0000</v>
      </c>
      <c r="G14" s="127" t="str">
        <f>_xll.ohRangeRetrieveError(F14)</f>
        <v/>
      </c>
      <c r="H14" s="65"/>
      <c r="J14" s="167"/>
      <c r="K14" s="170" t="str">
        <f t="shared" si="1"/>
        <v>HKDAM1H11M</v>
      </c>
      <c r="L14" s="165" t="str">
        <v>HKDAM1H11M=PREA</v>
      </c>
      <c r="M14" s="201" t="s">
        <v>189</v>
      </c>
      <c r="N14" s="201" t="s">
        <v>189</v>
      </c>
      <c r="O14" s="201" t="s">
        <v>189</v>
      </c>
      <c r="P14" s="201" t="s">
        <v>189</v>
      </c>
      <c r="Q14" s="260" t="e">
        <f>_xll.qlMidSafe($M14,$N14)</f>
        <v>#NUM!</v>
      </c>
      <c r="R14" s="162"/>
      <c r="S14" s="171" t="e">
        <v>#NUM!</v>
      </c>
      <c r="T14" s="162"/>
      <c r="U14" s="230" t="e">
        <v>#NUM!</v>
      </c>
      <c r="V14" s="168" t="e">
        <f>_xll.qlSimpleQuoteSetValue(E14,U14/100,ISERROR(F14))</f>
        <v>#NUM!</v>
      </c>
      <c r="W14" s="158"/>
      <c r="X14"/>
      <c r="Y14" s="191" t="e">
        <f t="shared" si="2"/>
        <v>#VALUE!</v>
      </c>
      <c r="Z14"/>
    </row>
    <row r="15" spans="1:26" ht="15" x14ac:dyDescent="0.25">
      <c r="A15" s="71"/>
      <c r="B15" s="130" t="s">
        <v>119</v>
      </c>
      <c r="C15" s="129" t="s">
        <v>118</v>
      </c>
      <c r="D15" s="128">
        <v>1</v>
      </c>
      <c r="E15" s="24" t="str">
        <f t="shared" si="0"/>
        <v>HKDAM1H1Y_Quote</v>
      </c>
      <c r="F15" s="24" t="str">
        <f>_xll.qlSimpleQuote(Currency&amp;$C15&amp;$D15&amp;$B15&amp;QuoteSuffix,,RateTickValue,Permanent,Trigger,ObjectOverwrite)</f>
        <v>HKDAM1H1Y_Quote#0000</v>
      </c>
      <c r="G15" s="127" t="str">
        <f>_xll.ohRangeRetrieveError(F15)</f>
        <v/>
      </c>
      <c r="H15" s="65"/>
      <c r="J15" s="167"/>
      <c r="K15" s="161" t="str">
        <f t="shared" si="1"/>
        <v>HKDAM1H1Y</v>
      </c>
      <c r="L15" s="259" t="str">
        <v>HKDAM1H1Y=PREA</v>
      </c>
      <c r="M15" s="207">
        <v>0.24</v>
      </c>
      <c r="N15" s="207">
        <v>0.34</v>
      </c>
      <c r="O15" s="207">
        <v>0</v>
      </c>
      <c r="P15" s="207">
        <v>0</v>
      </c>
      <c r="Q15" s="258">
        <f>_xll.qlMidSafe($M15,$N15)</f>
        <v>0.29000000000000004</v>
      </c>
      <c r="R15" s="162"/>
      <c r="S15" s="163">
        <v>0.29000000000000004</v>
      </c>
      <c r="T15" s="162"/>
      <c r="U15" s="223">
        <v>0.29000000000000004</v>
      </c>
      <c r="V15" s="159" t="e">
        <f>_xll.qlSimpleQuoteSetValue(E15,U15/100,ISERROR(F15))</f>
        <v>#N/A</v>
      </c>
      <c r="W15" s="158"/>
      <c r="X15"/>
      <c r="Y15" s="191">
        <f t="shared" si="2"/>
        <v>9.999999999999998E-4</v>
      </c>
      <c r="Z15"/>
    </row>
    <row r="16" spans="1:26" ht="15.75" thickBot="1" x14ac:dyDescent="0.3">
      <c r="A16" s="64"/>
      <c r="B16" s="63"/>
      <c r="C16" s="63"/>
      <c r="D16" s="63"/>
      <c r="E16" s="63"/>
      <c r="F16" s="62"/>
      <c r="G16" s="62"/>
      <c r="H16" s="61"/>
      <c r="J16" s="157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257"/>
      <c r="X16"/>
      <c r="Y16"/>
      <c r="Z16"/>
    </row>
    <row r="17" spans="10:26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Z34"/>
  <sheetViews>
    <sheetView workbookViewId="0">
      <selection activeCell="V3" sqref="V3"/>
    </sheetView>
  </sheetViews>
  <sheetFormatPr defaultRowHeight="12.75" x14ac:dyDescent="0.2"/>
  <cols>
    <col min="1" max="1" width="2.7109375" style="38" customWidth="1"/>
    <col min="2" max="2" width="7.42578125" style="60" bestFit="1" customWidth="1"/>
    <col min="3" max="3" width="4" style="38" bestFit="1" customWidth="1"/>
    <col min="4" max="4" width="3.140625" style="38" bestFit="1" customWidth="1"/>
    <col min="5" max="5" width="18" style="38" bestFit="1" customWidth="1"/>
    <col min="6" max="6" width="22.42578125" style="59" bestFit="1" customWidth="1"/>
    <col min="7" max="7" width="38.28515625" style="38" customWidth="1"/>
    <col min="8" max="10" width="2.7109375" style="38" customWidth="1"/>
    <col min="11" max="11" width="12" style="38" bestFit="1" customWidth="1"/>
    <col min="12" max="12" width="17.140625" style="38" bestFit="1" customWidth="1"/>
    <col min="13" max="15" width="9.140625" style="38"/>
    <col min="16" max="16" width="11.710937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1" width="9.42578125" style="38" bestFit="1" customWidth="1"/>
    <col min="22" max="22" width="8" style="38" bestFit="1" customWidth="1"/>
    <col min="23" max="24" width="2.7109375" style="38" customWidth="1"/>
    <col min="25" max="16384" width="9.140625" style="38"/>
  </cols>
  <sheetData>
    <row r="1" spans="1:26" x14ac:dyDescent="0.2">
      <c r="A1" s="38" t="s">
        <v>181</v>
      </c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 s="190"/>
      <c r="Y1" s="190"/>
      <c r="Z1" s="190"/>
    </row>
    <row r="2" spans="1:26" ht="13.5" thickBot="1" x14ac:dyDescent="0.25">
      <c r="J2" s="185"/>
      <c r="K2" s="162"/>
      <c r="L2" s="184" t="s">
        <v>154</v>
      </c>
      <c r="M2" s="162"/>
      <c r="N2" s="162"/>
      <c r="O2" s="162"/>
      <c r="P2" s="162"/>
      <c r="Q2" s="220"/>
      <c r="R2" s="162"/>
      <c r="S2" s="162"/>
      <c r="T2" s="162"/>
      <c r="U2" s="220"/>
      <c r="V2" s="220"/>
      <c r="W2" s="183"/>
      <c r="X2" s="190"/>
      <c r="Y2" s="190"/>
      <c r="Z2" s="190"/>
    </row>
    <row r="3" spans="1:26" x14ac:dyDescent="0.2">
      <c r="A3" s="139"/>
      <c r="B3" s="138"/>
      <c r="C3" s="138"/>
      <c r="D3" s="138"/>
      <c r="E3" s="136"/>
      <c r="F3" s="137"/>
      <c r="G3" s="136"/>
      <c r="H3" s="135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_xll.ohTrigger(V5:V32)</f>
        <v>1</v>
      </c>
      <c r="W3" s="158"/>
      <c r="X3" s="190"/>
      <c r="Y3" s="190"/>
      <c r="Z3" s="190"/>
    </row>
    <row r="4" spans="1:26" x14ac:dyDescent="0.2">
      <c r="A4" s="71"/>
      <c r="B4" s="42" t="s">
        <v>61</v>
      </c>
      <c r="C4" s="42"/>
      <c r="D4" s="42"/>
      <c r="E4" s="41" t="str">
        <f>Currency&amp;"_010_Sw"&amp;$C$5&amp;$D$5&amp;".xml"</f>
        <v>HKD_010_SwQM3H.xml</v>
      </c>
      <c r="F4" s="40" t="e">
        <f ca="1">IF(Serialize,_xll.ohObjectSave(F5:F32,SerializationPath&amp;E4,FileOverwrite,,Serialize),"---")</f>
        <v>#NUM!</v>
      </c>
      <c r="G4" s="23" t="str">
        <f ca="1">_xll.ohRangeRetrieveError(F4)</f>
        <v>ohObjectSave - ObjectHandler error: attempt to retrieve object with unknown ID 'HKDQM3H6M_Quote'</v>
      </c>
      <c r="H4" s="328" t="s">
        <v>182</v>
      </c>
      <c r="J4" s="167"/>
      <c r="K4" s="219"/>
      <c r="L4" s="180" t="e">
        <f ca="1">_xll.RData(L5:L32,M4:P4,,ReutersRtMode,,M5)</f>
        <v>#NAME?</v>
      </c>
      <c r="M4" s="216" t="s">
        <v>160</v>
      </c>
      <c r="N4" s="216" t="s">
        <v>145</v>
      </c>
      <c r="O4" s="216" t="s">
        <v>144</v>
      </c>
      <c r="P4" s="216" t="s">
        <v>159</v>
      </c>
      <c r="Q4" s="176" t="s">
        <v>158</v>
      </c>
      <c r="R4" s="162"/>
      <c r="S4" s="178" t="s">
        <v>139</v>
      </c>
      <c r="T4" s="162"/>
      <c r="U4" s="319" t="s">
        <v>137</v>
      </c>
      <c r="V4" s="261" t="s">
        <v>136</v>
      </c>
      <c r="W4" s="158"/>
      <c r="X4" s="190"/>
      <c r="Y4" s="322" t="s">
        <v>157</v>
      </c>
      <c r="Z4" s="190"/>
    </row>
    <row r="5" spans="1:26" x14ac:dyDescent="0.2">
      <c r="A5" s="71"/>
      <c r="B5" s="132" t="s">
        <v>60</v>
      </c>
      <c r="C5" s="26" t="s">
        <v>122</v>
      </c>
      <c r="D5" s="26" t="s">
        <v>121</v>
      </c>
      <c r="E5" s="24" t="str">
        <f t="shared" ref="E5:E28" si="0">Currency&amp;C5&amp;D5&amp;$B5&amp;QuoteSuffix</f>
        <v>HKDQM3H6M_Quote</v>
      </c>
      <c r="F5" s="24" t="str">
        <f>_xll.qlSimpleQuote(Currency&amp;$C5&amp;$D5&amp;$B5&amp;QuoteSuffix,,RateTickValue,Permanent,Trigger,ObjectOverwrite)</f>
        <v>HKDQM3H6M_Quote#0000</v>
      </c>
      <c r="G5" s="131" t="str">
        <f>_xll.ohRangeRetrieveError(F5)</f>
        <v/>
      </c>
      <c r="H5" s="65"/>
      <c r="J5" s="167"/>
      <c r="K5" s="166" t="str">
        <f t="shared" ref="K5:K28" si="1">Currency&amp;C5&amp;D5&amp;B5</f>
        <v>HKDQM3H6M</v>
      </c>
      <c r="L5" s="200" t="str">
        <f t="array" ref="L5:L32">Instruments&amp;"="&amp;VLOOKUP(Contributor,ContributorTable,2,FALSE)</f>
        <v>HKDQM3H6M=PREA</v>
      </c>
      <c r="M5" s="201">
        <v>0.34</v>
      </c>
      <c r="N5" s="201">
        <v>0.44</v>
      </c>
      <c r="O5" s="201">
        <v>0</v>
      </c>
      <c r="P5" s="201">
        <v>0</v>
      </c>
      <c r="Q5" s="164">
        <f>_xll.qlMidSafe($M5,$N5)</f>
        <v>0.39</v>
      </c>
      <c r="R5" s="162"/>
      <c r="S5" s="171">
        <v>0.39</v>
      </c>
      <c r="T5" s="162"/>
      <c r="U5" s="230">
        <f t="array" ref="U5:U32">QuoteStatic</f>
        <v>0.39</v>
      </c>
      <c r="V5" s="168" t="e">
        <f>_xll.qlSimpleQuoteSetValue(E5,U5/100,ISERROR(F5))</f>
        <v>#N/A</v>
      </c>
      <c r="W5" s="158"/>
      <c r="X5" s="190"/>
      <c r="Y5" s="191">
        <f t="shared" ref="Y5:Y32" si="2">(N5-Q5)/50</f>
        <v>9.999999999999998E-4</v>
      </c>
      <c r="Z5" s="190"/>
    </row>
    <row r="6" spans="1:26" x14ac:dyDescent="0.2">
      <c r="A6" s="71"/>
      <c r="B6" s="132" t="s">
        <v>59</v>
      </c>
      <c r="C6" s="26" t="s">
        <v>122</v>
      </c>
      <c r="D6" s="26" t="s">
        <v>121</v>
      </c>
      <c r="E6" s="24" t="str">
        <f t="shared" si="0"/>
        <v>HKDQM3H1Y_Quote</v>
      </c>
      <c r="F6" s="24" t="str">
        <f>_xll.qlSimpleQuote(Currency&amp;$C6&amp;$D6&amp;$B6&amp;QuoteSuffix,,RateTickValue,Permanent,Trigger,ObjectOverwrite)</f>
        <v>HKDQM3H1Y_Quote#0000</v>
      </c>
      <c r="G6" s="131" t="str">
        <f>_xll.ohRangeRetrieveError(F6)</f>
        <v/>
      </c>
      <c r="H6" s="65"/>
      <c r="J6" s="167"/>
      <c r="K6" s="166" t="str">
        <f t="shared" si="1"/>
        <v>HKDQM3H1Y</v>
      </c>
      <c r="L6" s="200" t="str">
        <v>HKDQM3H1Y=PREA</v>
      </c>
      <c r="M6" s="201">
        <v>0.38</v>
      </c>
      <c r="N6" s="201">
        <v>0.48</v>
      </c>
      <c r="O6" s="201">
        <v>0</v>
      </c>
      <c r="P6" s="201">
        <v>0</v>
      </c>
      <c r="Q6" s="164">
        <f>_xll.qlMidSafe($M6,$N6)</f>
        <v>0.43</v>
      </c>
      <c r="R6" s="162"/>
      <c r="S6" s="171">
        <v>0.43</v>
      </c>
      <c r="T6" s="162"/>
      <c r="U6" s="230">
        <v>0.43</v>
      </c>
      <c r="V6" s="168" t="e">
        <f>_xll.qlSimpleQuoteSetValue(E6,U6/100,ISERROR(F6))</f>
        <v>#N/A</v>
      </c>
      <c r="W6" s="158"/>
      <c r="X6" s="190"/>
      <c r="Y6" s="191">
        <f t="shared" si="2"/>
        <v>9.999999999999998E-4</v>
      </c>
      <c r="Z6" s="190"/>
    </row>
    <row r="7" spans="1:26" x14ac:dyDescent="0.2">
      <c r="A7" s="71"/>
      <c r="B7" s="130" t="s">
        <v>58</v>
      </c>
      <c r="C7" s="26" t="s">
        <v>122</v>
      </c>
      <c r="D7" s="26" t="s">
        <v>121</v>
      </c>
      <c r="E7" s="24" t="str">
        <f t="shared" si="0"/>
        <v>HKDQM3H15M_Quote</v>
      </c>
      <c r="F7" s="24" t="str">
        <f>_xll.qlSimpleQuote(Currency&amp;$C7&amp;$D7&amp;$B7&amp;QuoteSuffix,,RateTickValue,Permanent,Trigger,ObjectOverwrite)</f>
        <v>HKDQM3H15M_Quote#0000</v>
      </c>
      <c r="G7" s="131" t="str">
        <f>_xll.ohRangeRetrieveError(F7)</f>
        <v/>
      </c>
      <c r="H7" s="65"/>
      <c r="J7" s="167"/>
      <c r="K7" s="166" t="str">
        <f t="shared" si="1"/>
        <v>HKDQM3H15M</v>
      </c>
      <c r="L7" s="200" t="str">
        <v>HKDQM3H15M=PREA</v>
      </c>
      <c r="M7" s="201" t="s">
        <v>189</v>
      </c>
      <c r="N7" s="201" t="s">
        <v>189</v>
      </c>
      <c r="O7" s="201" t="s">
        <v>189</v>
      </c>
      <c r="P7" s="201" t="s">
        <v>189</v>
      </c>
      <c r="Q7" s="164" t="e">
        <f>_xll.qlMidSafe($M7,$N7)</f>
        <v>#NUM!</v>
      </c>
      <c r="R7" s="162"/>
      <c r="S7" s="171" t="e">
        <v>#NUM!</v>
      </c>
      <c r="T7" s="162"/>
      <c r="U7" s="230" t="e">
        <v>#NUM!</v>
      </c>
      <c r="V7" s="168" t="e">
        <f>_xll.qlSimpleQuoteSetValue(E7,U7/100,ISERROR(F7))</f>
        <v>#NUM!</v>
      </c>
      <c r="W7" s="158"/>
      <c r="X7" s="190"/>
      <c r="Y7" s="191" t="e">
        <f t="shared" si="2"/>
        <v>#VALUE!</v>
      </c>
      <c r="Z7" s="190"/>
    </row>
    <row r="8" spans="1:26" x14ac:dyDescent="0.2">
      <c r="A8" s="71"/>
      <c r="B8" s="130" t="s">
        <v>57</v>
      </c>
      <c r="C8" s="26" t="s">
        <v>122</v>
      </c>
      <c r="D8" s="26" t="s">
        <v>121</v>
      </c>
      <c r="E8" s="24" t="str">
        <f t="shared" si="0"/>
        <v>HKDQM3H18M_Quote</v>
      </c>
      <c r="F8" s="24" t="str">
        <f>_xll.qlSimpleQuote(Currency&amp;$C8&amp;$D8&amp;$B8&amp;QuoteSuffix,,RateTickValue,Permanent,Trigger,ObjectOverwrite)</f>
        <v>HKDQM3H18M_Quote#0000</v>
      </c>
      <c r="G8" s="127" t="str">
        <f>_xll.ohRangeRetrieveError(F8)</f>
        <v/>
      </c>
      <c r="H8" s="65"/>
      <c r="J8" s="167"/>
      <c r="K8" s="166" t="str">
        <f t="shared" si="1"/>
        <v>HKDQM3H18M</v>
      </c>
      <c r="L8" s="200" t="str">
        <v>HKDQM3H18M=PREA</v>
      </c>
      <c r="M8" s="201">
        <v>0.41</v>
      </c>
      <c r="N8" s="201">
        <v>0.51</v>
      </c>
      <c r="O8" s="201">
        <v>0</v>
      </c>
      <c r="P8" s="201">
        <v>0</v>
      </c>
      <c r="Q8" s="164">
        <f>_xll.qlMidSafe($M8,$N8)</f>
        <v>0.45999999999999996</v>
      </c>
      <c r="R8" s="162"/>
      <c r="S8" s="171">
        <v>0.45999999999999996</v>
      </c>
      <c r="T8" s="162"/>
      <c r="U8" s="230">
        <v>0.45999999999999996</v>
      </c>
      <c r="V8" s="168" t="e">
        <f>_xll.qlSimpleQuoteSetValue(E8,U8/100,ISERROR(F8))</f>
        <v>#N/A</v>
      </c>
      <c r="W8" s="158"/>
      <c r="X8" s="190"/>
      <c r="Y8" s="191">
        <f t="shared" si="2"/>
        <v>1.0000000000000009E-3</v>
      </c>
      <c r="Z8" s="190"/>
    </row>
    <row r="9" spans="1:26" x14ac:dyDescent="0.2">
      <c r="A9" s="71"/>
      <c r="B9" s="130" t="s">
        <v>56</v>
      </c>
      <c r="C9" s="26" t="s">
        <v>122</v>
      </c>
      <c r="D9" s="26" t="s">
        <v>121</v>
      </c>
      <c r="E9" s="24" t="str">
        <f t="shared" si="0"/>
        <v>HKDQM3H21M_Quote</v>
      </c>
      <c r="F9" s="24" t="str">
        <f>_xll.qlSimpleQuote(Currency&amp;$C9&amp;$D9&amp;$B9&amp;QuoteSuffix,,RateTickValue,Permanent,Trigger,ObjectOverwrite)</f>
        <v>HKDQM3H21M_Quote#0000</v>
      </c>
      <c r="G9" s="127" t="str">
        <f>_xll.ohRangeRetrieveError(F9)</f>
        <v/>
      </c>
      <c r="H9" s="65"/>
      <c r="J9" s="167"/>
      <c r="K9" s="166" t="str">
        <f t="shared" si="1"/>
        <v>HKDQM3H21M</v>
      </c>
      <c r="L9" s="200" t="str">
        <v>HKDQM3H21M=PREA</v>
      </c>
      <c r="M9" s="201" t="s">
        <v>189</v>
      </c>
      <c r="N9" s="201" t="s">
        <v>189</v>
      </c>
      <c r="O9" s="201" t="s">
        <v>189</v>
      </c>
      <c r="P9" s="201" t="s">
        <v>189</v>
      </c>
      <c r="Q9" s="164" t="e">
        <f>_xll.qlMidSafe($M9,$N9)</f>
        <v>#NUM!</v>
      </c>
      <c r="R9" s="162"/>
      <c r="S9" s="171" t="e">
        <v>#NUM!</v>
      </c>
      <c r="T9" s="162"/>
      <c r="U9" s="230" t="e">
        <v>#NUM!</v>
      </c>
      <c r="V9" s="168" t="e">
        <f>_xll.qlSimpleQuoteSetValue(E9,U9/100,ISERROR(F9))</f>
        <v>#NUM!</v>
      </c>
      <c r="W9" s="158"/>
      <c r="X9" s="190"/>
      <c r="Y9" s="191" t="e">
        <f t="shared" si="2"/>
        <v>#VALUE!</v>
      </c>
      <c r="Z9" s="190"/>
    </row>
    <row r="10" spans="1:26" x14ac:dyDescent="0.2">
      <c r="A10" s="71"/>
      <c r="B10" s="130" t="s">
        <v>55</v>
      </c>
      <c r="C10" s="26" t="s">
        <v>122</v>
      </c>
      <c r="D10" s="26" t="s">
        <v>121</v>
      </c>
      <c r="E10" s="24" t="str">
        <f t="shared" si="0"/>
        <v>HKDQM3H2Y_Quote</v>
      </c>
      <c r="F10" s="24" t="str">
        <f>_xll.qlSimpleQuote(Currency&amp;$C10&amp;$D10&amp;$B10&amp;QuoteSuffix,,RateTickValue,Permanent,Trigger,ObjectOverwrite)</f>
        <v>HKDQM3H2Y_Quote#0000</v>
      </c>
      <c r="G10" s="127" t="str">
        <f>_xll.ohRangeRetrieveError(F10)</f>
        <v/>
      </c>
      <c r="H10" s="65"/>
      <c r="J10" s="167"/>
      <c r="K10" s="166" t="str">
        <f t="shared" si="1"/>
        <v>HKDQM3H2Y</v>
      </c>
      <c r="L10" s="200" t="str">
        <v>HKDQM3H2Y=PREA</v>
      </c>
      <c r="M10" s="201">
        <v>0.48</v>
      </c>
      <c r="N10" s="201">
        <v>0.57999999999999996</v>
      </c>
      <c r="O10" s="201">
        <v>0</v>
      </c>
      <c r="P10" s="201">
        <v>0</v>
      </c>
      <c r="Q10" s="164">
        <f>_xll.qlMidSafe($M10,$N10)</f>
        <v>0.53</v>
      </c>
      <c r="R10" s="162"/>
      <c r="S10" s="171">
        <v>0.53</v>
      </c>
      <c r="T10" s="162"/>
      <c r="U10" s="230">
        <v>0.53</v>
      </c>
      <c r="V10" s="168" t="e">
        <f>_xll.qlSimpleQuoteSetValue(E10,U10/100,ISERROR(F10))</f>
        <v>#N/A</v>
      </c>
      <c r="W10" s="158"/>
      <c r="X10" s="190"/>
      <c r="Y10" s="191">
        <f t="shared" si="2"/>
        <v>9.9999999999999872E-4</v>
      </c>
      <c r="Z10" s="190"/>
    </row>
    <row r="11" spans="1:26" x14ac:dyDescent="0.2">
      <c r="A11" s="71"/>
      <c r="B11" s="130" t="s">
        <v>53</v>
      </c>
      <c r="C11" s="26" t="s">
        <v>122</v>
      </c>
      <c r="D11" s="26" t="s">
        <v>121</v>
      </c>
      <c r="E11" s="24" t="str">
        <f t="shared" si="0"/>
        <v>HKDQM3H3Y_Quote</v>
      </c>
      <c r="F11" s="24" t="str">
        <f>_xll.qlSimpleQuote(Currency&amp;$C11&amp;$D11&amp;$B11&amp;QuoteSuffix,,RateTickValue,Permanent,Trigger,ObjectOverwrite)</f>
        <v>HKDQM3H3Y_Quote#0000</v>
      </c>
      <c r="G11" s="127" t="str">
        <f>_xll.ohRangeRetrieveError(F11)</f>
        <v/>
      </c>
      <c r="H11" s="65"/>
      <c r="J11" s="167"/>
      <c r="K11" s="166" t="str">
        <f t="shared" si="1"/>
        <v>HKDQM3H3Y</v>
      </c>
      <c r="L11" s="200" t="str">
        <v>HKDQM3H3Y=PREA</v>
      </c>
      <c r="M11" s="201">
        <v>0.72</v>
      </c>
      <c r="N11" s="201">
        <v>0.82</v>
      </c>
      <c r="O11" s="201">
        <v>0</v>
      </c>
      <c r="P11" s="201">
        <v>0</v>
      </c>
      <c r="Q11" s="164">
        <f>_xll.qlMidSafe($M11,$N11)</f>
        <v>0.77</v>
      </c>
      <c r="R11" s="162"/>
      <c r="S11" s="171">
        <v>0.76</v>
      </c>
      <c r="T11" s="162"/>
      <c r="U11" s="230">
        <v>0.76</v>
      </c>
      <c r="V11" s="168" t="e">
        <f>_xll.qlSimpleQuoteSetValue(E11,U11/100,ISERROR(F11))</f>
        <v>#N/A</v>
      </c>
      <c r="W11" s="158"/>
      <c r="X11" s="190"/>
      <c r="Y11" s="191">
        <f t="shared" si="2"/>
        <v>9.9999999999999872E-4</v>
      </c>
      <c r="Z11" s="190"/>
    </row>
    <row r="12" spans="1:26" x14ac:dyDescent="0.2">
      <c r="A12" s="71"/>
      <c r="B12" s="130" t="s">
        <v>49</v>
      </c>
      <c r="C12" s="26" t="s">
        <v>122</v>
      </c>
      <c r="D12" s="26" t="s">
        <v>121</v>
      </c>
      <c r="E12" s="24" t="str">
        <f t="shared" si="0"/>
        <v>HKDQM3H4Y_Quote</v>
      </c>
      <c r="F12" s="24" t="str">
        <f>_xll.qlSimpleQuote(Currency&amp;$C12&amp;$D12&amp;$B12&amp;QuoteSuffix,,RateTickValue,Permanent,Trigger,ObjectOverwrite)</f>
        <v>HKDQM3H4Y_Quote#0000</v>
      </c>
      <c r="G12" s="127" t="str">
        <f>_xll.ohRangeRetrieveError(F12)</f>
        <v/>
      </c>
      <c r="H12" s="65"/>
      <c r="J12" s="167"/>
      <c r="K12" s="166" t="str">
        <f t="shared" si="1"/>
        <v>HKDQM3H4Y</v>
      </c>
      <c r="L12" s="200" t="str">
        <v>HKDQM3H4Y=PREA</v>
      </c>
      <c r="M12" s="201">
        <v>1.08</v>
      </c>
      <c r="N12" s="201">
        <v>1.18</v>
      </c>
      <c r="O12" s="201">
        <v>0</v>
      </c>
      <c r="P12" s="201">
        <v>0</v>
      </c>
      <c r="Q12" s="164">
        <f>_xll.qlMidSafe($M12,$N12)</f>
        <v>1.1299999999999999</v>
      </c>
      <c r="R12" s="162"/>
      <c r="S12" s="171">
        <v>1.1200000000000001</v>
      </c>
      <c r="T12" s="162"/>
      <c r="U12" s="230">
        <v>1.1200000000000001</v>
      </c>
      <c r="V12" s="168" t="e">
        <f>_xll.qlSimpleQuoteSetValue(E12,U12/100,ISERROR(F12))</f>
        <v>#N/A</v>
      </c>
      <c r="W12" s="158"/>
      <c r="X12" s="190"/>
      <c r="Y12" s="191">
        <f t="shared" si="2"/>
        <v>1.0000000000000009E-3</v>
      </c>
      <c r="Z12" s="190"/>
    </row>
    <row r="13" spans="1:26" x14ac:dyDescent="0.2">
      <c r="A13" s="71"/>
      <c r="B13" s="130" t="s">
        <v>47</v>
      </c>
      <c r="C13" s="26" t="s">
        <v>122</v>
      </c>
      <c r="D13" s="26" t="s">
        <v>121</v>
      </c>
      <c r="E13" s="24" t="str">
        <f t="shared" si="0"/>
        <v>HKDQM3H5Y_Quote</v>
      </c>
      <c r="F13" s="24" t="str">
        <f>_xll.qlSimpleQuote(Currency&amp;$C13&amp;$D13&amp;$B13&amp;QuoteSuffix,,RateTickValue,Permanent,Trigger,ObjectOverwrite)</f>
        <v>HKDQM3H5Y_Quote#0000</v>
      </c>
      <c r="G13" s="127" t="str">
        <f>_xll.ohRangeRetrieveError(F13)</f>
        <v/>
      </c>
      <c r="H13" s="65"/>
      <c r="J13" s="167"/>
      <c r="K13" s="166" t="str">
        <f t="shared" si="1"/>
        <v>HKDQM3H5Y</v>
      </c>
      <c r="L13" s="200" t="str">
        <v>HKDQM3H5Y=PREA</v>
      </c>
      <c r="M13" s="201">
        <v>1.48</v>
      </c>
      <c r="N13" s="201">
        <v>1.58</v>
      </c>
      <c r="O13" s="201">
        <v>0</v>
      </c>
      <c r="P13" s="201">
        <v>0</v>
      </c>
      <c r="Q13" s="164">
        <f>_xll.qlMidSafe($M13,$N13)</f>
        <v>1.53</v>
      </c>
      <c r="R13" s="162"/>
      <c r="S13" s="171">
        <v>1.51</v>
      </c>
      <c r="T13" s="162"/>
      <c r="U13" s="230">
        <v>1.51</v>
      </c>
      <c r="V13" s="168" t="e">
        <f>_xll.qlSimpleQuoteSetValue(E13,U13/100,ISERROR(F13))</f>
        <v>#N/A</v>
      </c>
      <c r="W13" s="158"/>
      <c r="X13" s="190"/>
      <c r="Y13" s="191">
        <f t="shared" si="2"/>
        <v>1.0000000000000009E-3</v>
      </c>
      <c r="Z13" s="190"/>
    </row>
    <row r="14" spans="1:26" x14ac:dyDescent="0.2">
      <c r="A14" s="71"/>
      <c r="B14" s="130" t="s">
        <v>44</v>
      </c>
      <c r="C14" s="26" t="s">
        <v>122</v>
      </c>
      <c r="D14" s="26" t="s">
        <v>121</v>
      </c>
      <c r="E14" s="24" t="str">
        <f t="shared" si="0"/>
        <v>HKDQM3H6Y_Quote</v>
      </c>
      <c r="F14" s="24" t="str">
        <f>_xll.qlSimpleQuote(Currency&amp;$C14&amp;$D14&amp;$B14&amp;QuoteSuffix,,RateTickValue,Permanent,Trigger,ObjectOverwrite)</f>
        <v>HKDQM3H6Y_Quote#0000</v>
      </c>
      <c r="G14" s="127" t="str">
        <f>_xll.ohRangeRetrieveError(F14)</f>
        <v/>
      </c>
      <c r="H14" s="65"/>
      <c r="J14" s="167"/>
      <c r="K14" s="166" t="str">
        <f t="shared" si="1"/>
        <v>HKDQM3H6Y</v>
      </c>
      <c r="L14" s="200" t="str">
        <v>HKDQM3H6Y=PREA</v>
      </c>
      <c r="M14" s="201" t="s">
        <v>189</v>
      </c>
      <c r="N14" s="201" t="s">
        <v>189</v>
      </c>
      <c r="O14" s="201" t="s">
        <v>189</v>
      </c>
      <c r="P14" s="201" t="s">
        <v>189</v>
      </c>
      <c r="Q14" s="164" t="e">
        <f>_xll.qlMidSafe($M14,$N14)</f>
        <v>#NUM!</v>
      </c>
      <c r="R14" s="162"/>
      <c r="S14" s="171" t="e">
        <v>#NUM!</v>
      </c>
      <c r="T14" s="162"/>
      <c r="U14" s="230" t="e">
        <v>#NUM!</v>
      </c>
      <c r="V14" s="168" t="e">
        <f>_xll.qlSimpleQuoteSetValue(E14,U14/100,ISERROR(F14))</f>
        <v>#NUM!</v>
      </c>
      <c r="W14" s="158"/>
      <c r="X14" s="190"/>
      <c r="Y14" s="191" t="e">
        <f t="shared" si="2"/>
        <v>#VALUE!</v>
      </c>
      <c r="Z14" s="190"/>
    </row>
    <row r="15" spans="1:26" x14ac:dyDescent="0.2">
      <c r="A15" s="71"/>
      <c r="B15" s="130" t="s">
        <v>40</v>
      </c>
      <c r="C15" s="26" t="s">
        <v>122</v>
      </c>
      <c r="D15" s="26" t="s">
        <v>121</v>
      </c>
      <c r="E15" s="24" t="str">
        <f t="shared" si="0"/>
        <v>HKDQM3H7Y_Quote</v>
      </c>
      <c r="F15" s="24" t="str">
        <f>_xll.qlSimpleQuote(Currency&amp;$C15&amp;$D15&amp;$B15&amp;QuoteSuffix,,RateTickValue,Permanent,Trigger,ObjectOverwrite)</f>
        <v>HKDQM3H7Y_Quote#0000</v>
      </c>
      <c r="G15" s="127" t="str">
        <f>_xll.ohRangeRetrieveError(F15)</f>
        <v/>
      </c>
      <c r="H15" s="65"/>
      <c r="J15" s="167"/>
      <c r="K15" s="166" t="str">
        <f t="shared" si="1"/>
        <v>HKDQM3H7Y</v>
      </c>
      <c r="L15" s="200" t="str">
        <v>HKDQM3H7Y=PREA</v>
      </c>
      <c r="M15" s="201">
        <v>2.06</v>
      </c>
      <c r="N15" s="201">
        <v>2.16</v>
      </c>
      <c r="O15" s="201">
        <v>0</v>
      </c>
      <c r="P15" s="201">
        <v>0</v>
      </c>
      <c r="Q15" s="164">
        <f>_xll.qlMidSafe($M15,$N15)</f>
        <v>2.1100000000000003</v>
      </c>
      <c r="R15" s="162"/>
      <c r="S15" s="171">
        <v>2.0999999999999996</v>
      </c>
      <c r="T15" s="162"/>
      <c r="U15" s="230">
        <v>2.0999999999999996</v>
      </c>
      <c r="V15" s="168" t="e">
        <f>_xll.qlSimpleQuoteSetValue(E15,U15/100,ISERROR(F15))</f>
        <v>#N/A</v>
      </c>
      <c r="W15" s="158"/>
      <c r="X15" s="190"/>
      <c r="Y15" s="191">
        <f t="shared" si="2"/>
        <v>9.9999999999999655E-4</v>
      </c>
      <c r="Z15" s="190"/>
    </row>
    <row r="16" spans="1:26" x14ac:dyDescent="0.2">
      <c r="A16" s="71"/>
      <c r="B16" s="130" t="s">
        <v>39</v>
      </c>
      <c r="C16" s="26" t="s">
        <v>122</v>
      </c>
      <c r="D16" s="26" t="s">
        <v>121</v>
      </c>
      <c r="E16" s="24" t="str">
        <f t="shared" si="0"/>
        <v>HKDQM3H8Y_Quote</v>
      </c>
      <c r="F16" s="24" t="str">
        <f>_xll.qlSimpleQuote(Currency&amp;$C16&amp;$D16&amp;$B16&amp;QuoteSuffix,,RateTickValue,Permanent,Trigger,ObjectOverwrite)</f>
        <v>HKDQM3H8Y_Quote#0000</v>
      </c>
      <c r="G16" s="127" t="str">
        <f>_xll.ohRangeRetrieveError(F16)</f>
        <v/>
      </c>
      <c r="H16" s="65"/>
      <c r="J16" s="167"/>
      <c r="K16" s="166" t="str">
        <f t="shared" si="1"/>
        <v>HKDQM3H8Y</v>
      </c>
      <c r="L16" s="200" t="str">
        <v>HKDQM3H8Y=PREA</v>
      </c>
      <c r="M16" s="201" t="s">
        <v>189</v>
      </c>
      <c r="N16" s="201" t="s">
        <v>189</v>
      </c>
      <c r="O16" s="201" t="s">
        <v>189</v>
      </c>
      <c r="P16" s="201" t="s">
        <v>189</v>
      </c>
      <c r="Q16" s="164" t="e">
        <f>_xll.qlMidSafe($M16,$N16)</f>
        <v>#NUM!</v>
      </c>
      <c r="R16" s="162"/>
      <c r="S16" s="171" t="e">
        <v>#NUM!</v>
      </c>
      <c r="T16" s="162"/>
      <c r="U16" s="230" t="e">
        <v>#NUM!</v>
      </c>
      <c r="V16" s="168" t="e">
        <f>_xll.qlSimpleQuoteSetValue(E16,U16/100,ISERROR(F16))</f>
        <v>#NUM!</v>
      </c>
      <c r="W16" s="158"/>
      <c r="X16" s="190"/>
      <c r="Y16" s="191" t="e">
        <f t="shared" si="2"/>
        <v>#VALUE!</v>
      </c>
      <c r="Z16" s="190"/>
    </row>
    <row r="17" spans="1:26" x14ac:dyDescent="0.2">
      <c r="A17" s="71"/>
      <c r="B17" s="130" t="s">
        <v>38</v>
      </c>
      <c r="C17" s="26" t="s">
        <v>122</v>
      </c>
      <c r="D17" s="26" t="s">
        <v>121</v>
      </c>
      <c r="E17" s="24" t="str">
        <f t="shared" si="0"/>
        <v>HKDQM3H9Y_Quote</v>
      </c>
      <c r="F17" s="24" t="str">
        <f>_xll.qlSimpleQuote(Currency&amp;$C17&amp;$D17&amp;$B17&amp;QuoteSuffix,,RateTickValue,Permanent,Trigger,ObjectOverwrite)</f>
        <v>HKDQM3H9Y_Quote#0000</v>
      </c>
      <c r="G17" s="127" t="str">
        <f>_xll.ohRangeRetrieveError(F17)</f>
        <v/>
      </c>
      <c r="H17" s="65"/>
      <c r="J17" s="167"/>
      <c r="K17" s="166" t="str">
        <f t="shared" si="1"/>
        <v>HKDQM3H9Y</v>
      </c>
      <c r="L17" s="200" t="str">
        <v>HKDQM3H9Y=PREA</v>
      </c>
      <c r="M17" s="201" t="s">
        <v>189</v>
      </c>
      <c r="N17" s="201" t="s">
        <v>189</v>
      </c>
      <c r="O17" s="201" t="s">
        <v>189</v>
      </c>
      <c r="P17" s="201" t="s">
        <v>189</v>
      </c>
      <c r="Q17" s="164" t="e">
        <f>_xll.qlMidSafe($M17,$N17)</f>
        <v>#NUM!</v>
      </c>
      <c r="R17" s="162"/>
      <c r="S17" s="171" t="e">
        <v>#NUM!</v>
      </c>
      <c r="T17" s="162"/>
      <c r="U17" s="230" t="e">
        <v>#NUM!</v>
      </c>
      <c r="V17" s="168" t="e">
        <f>_xll.qlSimpleQuoteSetValue(E17,U17/100,ISERROR(F17))</f>
        <v>#NUM!</v>
      </c>
      <c r="W17" s="158"/>
      <c r="X17" s="190"/>
      <c r="Y17" s="191" t="e">
        <f t="shared" si="2"/>
        <v>#VALUE!</v>
      </c>
      <c r="Z17" s="190"/>
    </row>
    <row r="18" spans="1:26" x14ac:dyDescent="0.2">
      <c r="A18" s="71"/>
      <c r="B18" s="130" t="s">
        <v>37</v>
      </c>
      <c r="C18" s="26" t="s">
        <v>122</v>
      </c>
      <c r="D18" s="26" t="s">
        <v>121</v>
      </c>
      <c r="E18" s="24" t="str">
        <f t="shared" si="0"/>
        <v>HKDQM3H10Y_Quote</v>
      </c>
      <c r="F18" s="24" t="str">
        <f>_xll.qlSimpleQuote(Currency&amp;$C18&amp;$D18&amp;$B18&amp;QuoteSuffix,,RateTickValue,Permanent,Trigger,ObjectOverwrite)</f>
        <v>HKDQM3H10Y_Quote#0000</v>
      </c>
      <c r="G18" s="127" t="str">
        <f>_xll.ohRangeRetrieveError(F18)</f>
        <v/>
      </c>
      <c r="H18" s="65"/>
      <c r="J18" s="167"/>
      <c r="K18" s="166" t="str">
        <f t="shared" si="1"/>
        <v>HKDQM3H10Y</v>
      </c>
      <c r="L18" s="200" t="str">
        <v>HKDQM3H10Y=PREA</v>
      </c>
      <c r="M18" s="201">
        <v>2.59</v>
      </c>
      <c r="N18" s="201">
        <v>2.69</v>
      </c>
      <c r="O18" s="201">
        <v>0</v>
      </c>
      <c r="P18" s="201">
        <v>0</v>
      </c>
      <c r="Q18" s="164">
        <f>_xll.qlMidSafe($M18,$N18)</f>
        <v>2.6399999999999997</v>
      </c>
      <c r="R18" s="162"/>
      <c r="S18" s="171">
        <v>2.63</v>
      </c>
      <c r="T18" s="162"/>
      <c r="U18" s="230">
        <v>2.63</v>
      </c>
      <c r="V18" s="168" t="e">
        <f>_xll.qlSimpleQuoteSetValue(E18,U18/100,ISERROR(F18))</f>
        <v>#N/A</v>
      </c>
      <c r="W18" s="158"/>
      <c r="X18" s="190"/>
      <c r="Y18" s="191">
        <f t="shared" si="2"/>
        <v>1.0000000000000052E-3</v>
      </c>
      <c r="Z18" s="190"/>
    </row>
    <row r="19" spans="1:26" x14ac:dyDescent="0.2">
      <c r="A19" s="71"/>
      <c r="B19" s="130" t="s">
        <v>36</v>
      </c>
      <c r="C19" s="26" t="s">
        <v>122</v>
      </c>
      <c r="D19" s="26" t="s">
        <v>121</v>
      </c>
      <c r="E19" s="24" t="str">
        <f t="shared" si="0"/>
        <v>HKDQM3H11Y_Quote</v>
      </c>
      <c r="F19" s="24" t="str">
        <f>_xll.qlSimpleQuote(Currency&amp;$C19&amp;$D19&amp;$B19&amp;QuoteSuffix,,RateTickValue,Permanent,Trigger,ObjectOverwrite)</f>
        <v>HKDQM3H11Y_Quote#0000</v>
      </c>
      <c r="G19" s="127" t="str">
        <f>_xll.ohRangeRetrieveError(F19)</f>
        <v/>
      </c>
      <c r="H19" s="65"/>
      <c r="J19" s="167"/>
      <c r="K19" s="166" t="str">
        <f t="shared" si="1"/>
        <v>HKDQM3H11Y</v>
      </c>
      <c r="L19" s="200" t="str">
        <v>HKDQM3H11Y=PREA</v>
      </c>
      <c r="M19" s="201" t="s">
        <v>189</v>
      </c>
      <c r="N19" s="201" t="s">
        <v>189</v>
      </c>
      <c r="O19" s="201" t="s">
        <v>189</v>
      </c>
      <c r="P19" s="201" t="s">
        <v>189</v>
      </c>
      <c r="Q19" s="164" t="e">
        <f>_xll.qlMidSafe($M19,$N19)</f>
        <v>#NUM!</v>
      </c>
      <c r="R19" s="162"/>
      <c r="S19" s="171" t="e">
        <v>#NUM!</v>
      </c>
      <c r="T19" s="162"/>
      <c r="U19" s="230" t="e">
        <v>#NUM!</v>
      </c>
      <c r="V19" s="168" t="e">
        <f>_xll.qlSimpleQuoteSetValue(E19,U19/100,ISERROR(F19))</f>
        <v>#NUM!</v>
      </c>
      <c r="W19" s="158"/>
      <c r="X19" s="190"/>
      <c r="Y19" s="191" t="e">
        <f t="shared" si="2"/>
        <v>#VALUE!</v>
      </c>
      <c r="Z19" s="190"/>
    </row>
    <row r="20" spans="1:26" x14ac:dyDescent="0.2">
      <c r="A20" s="71"/>
      <c r="B20" s="130" t="s">
        <v>35</v>
      </c>
      <c r="C20" s="26" t="s">
        <v>122</v>
      </c>
      <c r="D20" s="26" t="s">
        <v>121</v>
      </c>
      <c r="E20" s="24" t="str">
        <f t="shared" si="0"/>
        <v>HKDQM3H12Y_Quote</v>
      </c>
      <c r="F20" s="24" t="str">
        <f>_xll.qlSimpleQuote(Currency&amp;$C20&amp;$D20&amp;$B20&amp;QuoteSuffix,,RateTickValue,Permanent,Trigger,ObjectOverwrite)</f>
        <v>HKDQM3H12Y_Quote#0000</v>
      </c>
      <c r="G20" s="127" t="str">
        <f>_xll.ohRangeRetrieveError(F20)</f>
        <v/>
      </c>
      <c r="H20" s="65"/>
      <c r="J20" s="167"/>
      <c r="K20" s="166" t="str">
        <f t="shared" si="1"/>
        <v>HKDQM3H12Y</v>
      </c>
      <c r="L20" s="200" t="str">
        <v>HKDQM3H12Y=PREA</v>
      </c>
      <c r="M20" s="201">
        <v>2.78</v>
      </c>
      <c r="N20" s="201">
        <v>2.88</v>
      </c>
      <c r="O20" s="201">
        <v>0</v>
      </c>
      <c r="P20" s="201">
        <v>0</v>
      </c>
      <c r="Q20" s="164">
        <f>_xll.qlMidSafe($M20,$N20)</f>
        <v>2.83</v>
      </c>
      <c r="R20" s="162"/>
      <c r="S20" s="171">
        <v>2.8200000000000003</v>
      </c>
      <c r="T20" s="162"/>
      <c r="U20" s="230">
        <v>2.8200000000000003</v>
      </c>
      <c r="V20" s="168" t="e">
        <f>_xll.qlSimpleQuoteSetValue(E20,U20/100,ISERROR(F20))</f>
        <v>#N/A</v>
      </c>
      <c r="W20" s="158"/>
      <c r="X20" s="190"/>
      <c r="Y20" s="191">
        <f t="shared" si="2"/>
        <v>9.9999999999999655E-4</v>
      </c>
      <c r="Z20" s="190"/>
    </row>
    <row r="21" spans="1:26" x14ac:dyDescent="0.2">
      <c r="A21" s="71"/>
      <c r="B21" s="130" t="s">
        <v>34</v>
      </c>
      <c r="C21" s="26" t="s">
        <v>122</v>
      </c>
      <c r="D21" s="26" t="s">
        <v>121</v>
      </c>
      <c r="E21" s="24" t="str">
        <f t="shared" si="0"/>
        <v>HKDQM3H13Y_Quote</v>
      </c>
      <c r="F21" s="24" t="str">
        <f>_xll.qlSimpleQuote(Currency&amp;$C21&amp;$D21&amp;$B21&amp;QuoteSuffix,,RateTickValue,Permanent,Trigger,ObjectOverwrite)</f>
        <v>HKDQM3H13Y_Quote#0000</v>
      </c>
      <c r="G21" s="127" t="str">
        <f>_xll.ohRangeRetrieveError(F21)</f>
        <v/>
      </c>
      <c r="H21" s="65"/>
      <c r="J21" s="167"/>
      <c r="K21" s="166" t="str">
        <f t="shared" si="1"/>
        <v>HKDQM3H13Y</v>
      </c>
      <c r="L21" s="200" t="str">
        <v>HKDQM3H13Y=PREA</v>
      </c>
      <c r="M21" s="201" t="s">
        <v>189</v>
      </c>
      <c r="N21" s="201" t="s">
        <v>189</v>
      </c>
      <c r="O21" s="201" t="s">
        <v>189</v>
      </c>
      <c r="P21" s="201" t="s">
        <v>189</v>
      </c>
      <c r="Q21" s="164" t="e">
        <f>_xll.qlMidSafe($M21,$N21)</f>
        <v>#NUM!</v>
      </c>
      <c r="R21" s="162"/>
      <c r="S21" s="171" t="e">
        <v>#NUM!</v>
      </c>
      <c r="T21" s="162"/>
      <c r="U21" s="230" t="e">
        <v>#NUM!</v>
      </c>
      <c r="V21" s="168" t="e">
        <f>_xll.qlSimpleQuoteSetValue(E21,U21/100,ISERROR(F21))</f>
        <v>#NUM!</v>
      </c>
      <c r="W21" s="158"/>
      <c r="X21" s="190"/>
      <c r="Y21" s="191" t="e">
        <f t="shared" si="2"/>
        <v>#VALUE!</v>
      </c>
      <c r="Z21" s="190"/>
    </row>
    <row r="22" spans="1:26" x14ac:dyDescent="0.2">
      <c r="A22" s="71"/>
      <c r="B22" s="130" t="s">
        <v>33</v>
      </c>
      <c r="C22" s="26" t="s">
        <v>122</v>
      </c>
      <c r="D22" s="26" t="s">
        <v>121</v>
      </c>
      <c r="E22" s="24" t="str">
        <f t="shared" si="0"/>
        <v>HKDQM3H14Y_Quote</v>
      </c>
      <c r="F22" s="24" t="str">
        <f>_xll.qlSimpleQuote(Currency&amp;$C22&amp;$D22&amp;$B22&amp;QuoteSuffix,,RateTickValue,Permanent,Trigger,ObjectOverwrite)</f>
        <v>HKDQM3H14Y_Quote#0000</v>
      </c>
      <c r="G22" s="127" t="str">
        <f>_xll.ohRangeRetrieveError(F22)</f>
        <v/>
      </c>
      <c r="H22" s="65"/>
      <c r="J22" s="167"/>
      <c r="K22" s="166" t="str">
        <f t="shared" si="1"/>
        <v>HKDQM3H14Y</v>
      </c>
      <c r="L22" s="200" t="str">
        <v>HKDQM3H14Y=PREA</v>
      </c>
      <c r="M22" s="201" t="s">
        <v>189</v>
      </c>
      <c r="N22" s="201" t="s">
        <v>189</v>
      </c>
      <c r="O22" s="201" t="s">
        <v>189</v>
      </c>
      <c r="P22" s="201" t="s">
        <v>189</v>
      </c>
      <c r="Q22" s="164" t="e">
        <f>_xll.qlMidSafe($M22,$N22)</f>
        <v>#NUM!</v>
      </c>
      <c r="R22" s="162"/>
      <c r="S22" s="171" t="e">
        <v>#NUM!</v>
      </c>
      <c r="T22" s="162"/>
      <c r="U22" s="230" t="e">
        <v>#NUM!</v>
      </c>
      <c r="V22" s="168" t="e">
        <f>_xll.qlSimpleQuoteSetValue(E22,U22/100,ISERROR(F22))</f>
        <v>#NUM!</v>
      </c>
      <c r="W22" s="158"/>
      <c r="X22" s="190"/>
      <c r="Y22" s="191" t="e">
        <f t="shared" si="2"/>
        <v>#VALUE!</v>
      </c>
      <c r="Z22" s="190"/>
    </row>
    <row r="23" spans="1:26" x14ac:dyDescent="0.2">
      <c r="A23" s="71"/>
      <c r="B23" s="130" t="s">
        <v>32</v>
      </c>
      <c r="C23" s="26" t="s">
        <v>122</v>
      </c>
      <c r="D23" s="26" t="s">
        <v>121</v>
      </c>
      <c r="E23" s="24" t="str">
        <f t="shared" si="0"/>
        <v>HKDQM3H15Y_Quote</v>
      </c>
      <c r="F23" s="24" t="str">
        <f>_xll.qlSimpleQuote(Currency&amp;$C23&amp;$D23&amp;$B23&amp;QuoteSuffix,,RateTickValue,Permanent,Trigger,ObjectOverwrite)</f>
        <v>HKDQM3H15Y_Quote#0000</v>
      </c>
      <c r="G23" s="127" t="str">
        <f>_xll.ohRangeRetrieveError(F23)</f>
        <v/>
      </c>
      <c r="H23" s="65"/>
      <c r="J23" s="167"/>
      <c r="K23" s="166" t="str">
        <f t="shared" si="1"/>
        <v>HKDQM3H15Y</v>
      </c>
      <c r="L23" s="200" t="str">
        <v>HKDQM3H15Y=PREA</v>
      </c>
      <c r="M23" s="201">
        <v>2.91</v>
      </c>
      <c r="N23" s="201">
        <v>3.01</v>
      </c>
      <c r="O23" s="201">
        <v>0</v>
      </c>
      <c r="P23" s="201">
        <v>0</v>
      </c>
      <c r="Q23" s="164">
        <f>_xll.qlMidSafe($M23,$N23)</f>
        <v>2.96</v>
      </c>
      <c r="R23" s="162"/>
      <c r="S23" s="171">
        <v>2.95</v>
      </c>
      <c r="T23" s="162"/>
      <c r="U23" s="230">
        <v>2.95</v>
      </c>
      <c r="V23" s="168" t="e">
        <f>_xll.qlSimpleQuoteSetValue(E23,U23/100,ISERROR(F23))</f>
        <v>#N/A</v>
      </c>
      <c r="W23" s="158"/>
      <c r="X23" s="190"/>
      <c r="Y23" s="191">
        <f t="shared" si="2"/>
        <v>9.9999999999999655E-4</v>
      </c>
      <c r="Z23" s="190"/>
    </row>
    <row r="24" spans="1:26" x14ac:dyDescent="0.2">
      <c r="A24" s="71"/>
      <c r="B24" s="130" t="s">
        <v>31</v>
      </c>
      <c r="C24" s="26" t="s">
        <v>122</v>
      </c>
      <c r="D24" s="26" t="s">
        <v>121</v>
      </c>
      <c r="E24" s="24" t="str">
        <f t="shared" si="0"/>
        <v>HKDQM3H16Y_Quote</v>
      </c>
      <c r="F24" s="24" t="str">
        <f>_xll.qlSimpleQuote(Currency&amp;$C24&amp;$D24&amp;$B24&amp;QuoteSuffix,,RateTickValue,Permanent,Trigger,ObjectOverwrite)</f>
        <v>HKDQM3H16Y_Quote#0000</v>
      </c>
      <c r="G24" s="127" t="str">
        <f>_xll.ohRangeRetrieveError(F24)</f>
        <v/>
      </c>
      <c r="H24" s="65"/>
      <c r="J24" s="167"/>
      <c r="K24" s="166" t="str">
        <f t="shared" si="1"/>
        <v>HKDQM3H16Y</v>
      </c>
      <c r="L24" s="200" t="str">
        <v>HKDQM3H16Y=PREA</v>
      </c>
      <c r="M24" s="201" t="s">
        <v>189</v>
      </c>
      <c r="N24" s="201" t="s">
        <v>189</v>
      </c>
      <c r="O24" s="201" t="s">
        <v>189</v>
      </c>
      <c r="P24" s="201" t="s">
        <v>189</v>
      </c>
      <c r="Q24" s="164" t="e">
        <f>_xll.qlMidSafe($M24,$N24)</f>
        <v>#NUM!</v>
      </c>
      <c r="R24" s="162"/>
      <c r="S24" s="171" t="e">
        <v>#NUM!</v>
      </c>
      <c r="T24" s="162"/>
      <c r="U24" s="230" t="e">
        <v>#NUM!</v>
      </c>
      <c r="V24" s="168" t="e">
        <f>_xll.qlSimpleQuoteSetValue(E24,U24/100,ISERROR(F24))</f>
        <v>#NUM!</v>
      </c>
      <c r="W24" s="158"/>
      <c r="X24" s="190"/>
      <c r="Y24" s="191" t="e">
        <f t="shared" si="2"/>
        <v>#VALUE!</v>
      </c>
      <c r="Z24" s="190"/>
    </row>
    <row r="25" spans="1:26" x14ac:dyDescent="0.2">
      <c r="A25" s="71"/>
      <c r="B25" s="130" t="s">
        <v>30</v>
      </c>
      <c r="C25" s="26" t="s">
        <v>122</v>
      </c>
      <c r="D25" s="26" t="s">
        <v>121</v>
      </c>
      <c r="E25" s="24" t="str">
        <f t="shared" si="0"/>
        <v>HKDQM3H17Y_Quote</v>
      </c>
      <c r="F25" s="24" t="str">
        <f>_xll.qlSimpleQuote(Currency&amp;$C25&amp;$D25&amp;$B25&amp;QuoteSuffix,,RateTickValue,Permanent,Trigger,ObjectOverwrite)</f>
        <v>HKDQM3H17Y_Quote#0000</v>
      </c>
      <c r="G25" s="127" t="str">
        <f>_xll.ohRangeRetrieveError(F25)</f>
        <v/>
      </c>
      <c r="H25" s="65"/>
      <c r="J25" s="167"/>
      <c r="K25" s="166" t="str">
        <f t="shared" si="1"/>
        <v>HKDQM3H17Y</v>
      </c>
      <c r="L25" s="200" t="str">
        <v>HKDQM3H17Y=PREA</v>
      </c>
      <c r="M25" s="201" t="s">
        <v>189</v>
      </c>
      <c r="N25" s="201" t="s">
        <v>189</v>
      </c>
      <c r="O25" s="201" t="s">
        <v>189</v>
      </c>
      <c r="P25" s="201" t="s">
        <v>189</v>
      </c>
      <c r="Q25" s="164" t="e">
        <f>_xll.qlMidSafe($M25,$N25)</f>
        <v>#NUM!</v>
      </c>
      <c r="R25" s="162"/>
      <c r="S25" s="171" t="e">
        <v>#NUM!</v>
      </c>
      <c r="T25" s="162"/>
      <c r="U25" s="230" t="e">
        <v>#NUM!</v>
      </c>
      <c r="V25" s="168" t="e">
        <f>_xll.qlSimpleQuoteSetValue(E25,U25/100,ISERROR(F25))</f>
        <v>#NUM!</v>
      </c>
      <c r="W25" s="158"/>
      <c r="X25" s="190"/>
      <c r="Y25" s="191" t="e">
        <f t="shared" si="2"/>
        <v>#VALUE!</v>
      </c>
      <c r="Z25" s="190"/>
    </row>
    <row r="26" spans="1:26" x14ac:dyDescent="0.2">
      <c r="A26" s="71"/>
      <c r="B26" s="130" t="s">
        <v>29</v>
      </c>
      <c r="C26" s="26" t="s">
        <v>122</v>
      </c>
      <c r="D26" s="26" t="s">
        <v>121</v>
      </c>
      <c r="E26" s="24" t="str">
        <f t="shared" si="0"/>
        <v>HKDQM3H18Y_Quote</v>
      </c>
      <c r="F26" s="24" t="str">
        <f>_xll.qlSimpleQuote(Currency&amp;$C26&amp;$D26&amp;$B26&amp;QuoteSuffix,,RateTickValue,Permanent,Trigger,ObjectOverwrite)</f>
        <v>HKDQM3H18Y_Quote#0000</v>
      </c>
      <c r="G26" s="127" t="str">
        <f>_xll.ohRangeRetrieveError(F26)</f>
        <v/>
      </c>
      <c r="H26" s="65"/>
      <c r="J26" s="167"/>
      <c r="K26" s="166" t="str">
        <f t="shared" si="1"/>
        <v>HKDQM3H18Y</v>
      </c>
      <c r="L26" s="200" t="str">
        <v>HKDQM3H18Y=PREA</v>
      </c>
      <c r="M26" s="201" t="s">
        <v>189</v>
      </c>
      <c r="N26" s="201" t="s">
        <v>189</v>
      </c>
      <c r="O26" s="201" t="s">
        <v>189</v>
      </c>
      <c r="P26" s="201" t="s">
        <v>189</v>
      </c>
      <c r="Q26" s="164" t="e">
        <f>_xll.qlMidSafe($M26,$N26)</f>
        <v>#NUM!</v>
      </c>
      <c r="R26" s="162"/>
      <c r="S26" s="171" t="e">
        <v>#NUM!</v>
      </c>
      <c r="T26" s="162"/>
      <c r="U26" s="230" t="e">
        <v>#NUM!</v>
      </c>
      <c r="V26" s="168" t="e">
        <f>_xll.qlSimpleQuoteSetValue(E26,U26/100,ISERROR(F26))</f>
        <v>#NUM!</v>
      </c>
      <c r="W26" s="158"/>
      <c r="X26" s="190"/>
      <c r="Y26" s="191" t="e">
        <f t="shared" si="2"/>
        <v>#VALUE!</v>
      </c>
      <c r="Z26" s="190"/>
    </row>
    <row r="27" spans="1:26" x14ac:dyDescent="0.2">
      <c r="A27" s="71"/>
      <c r="B27" s="130" t="s">
        <v>28</v>
      </c>
      <c r="C27" s="26" t="s">
        <v>122</v>
      </c>
      <c r="D27" s="26" t="s">
        <v>121</v>
      </c>
      <c r="E27" s="24" t="str">
        <f t="shared" si="0"/>
        <v>HKDQM3H19Y_Quote</v>
      </c>
      <c r="F27" s="24" t="str">
        <f>_xll.qlSimpleQuote(Currency&amp;$C27&amp;$D27&amp;$B27&amp;QuoteSuffix,,RateTickValue,Permanent,Trigger,ObjectOverwrite)</f>
        <v>HKDQM3H19Y_Quote#0000</v>
      </c>
      <c r="G27" s="127" t="str">
        <f>_xll.ohRangeRetrieveError(F27)</f>
        <v/>
      </c>
      <c r="H27" s="65"/>
      <c r="J27" s="167"/>
      <c r="K27" s="166" t="str">
        <f t="shared" si="1"/>
        <v>HKDQM3H19Y</v>
      </c>
      <c r="L27" s="200" t="str">
        <v>HKDQM3H19Y=PREA</v>
      </c>
      <c r="M27" s="201" t="s">
        <v>189</v>
      </c>
      <c r="N27" s="201" t="s">
        <v>189</v>
      </c>
      <c r="O27" s="201" t="s">
        <v>189</v>
      </c>
      <c r="P27" s="201" t="s">
        <v>189</v>
      </c>
      <c r="Q27" s="164" t="e">
        <f>_xll.qlMidSafe($M27,$N27)</f>
        <v>#NUM!</v>
      </c>
      <c r="R27" s="162"/>
      <c r="S27" s="171" t="e">
        <v>#NUM!</v>
      </c>
      <c r="T27" s="162"/>
      <c r="U27" s="230" t="e">
        <v>#NUM!</v>
      </c>
      <c r="V27" s="168" t="e">
        <f>_xll.qlSimpleQuoteSetValue(E27,U27/100,ISERROR(F27))</f>
        <v>#NUM!</v>
      </c>
      <c r="W27" s="158"/>
      <c r="X27" s="190"/>
      <c r="Y27" s="191" t="e">
        <f t="shared" si="2"/>
        <v>#VALUE!</v>
      </c>
      <c r="Z27" s="190"/>
    </row>
    <row r="28" spans="1:26" x14ac:dyDescent="0.2">
      <c r="A28" s="71"/>
      <c r="B28" s="130" t="s">
        <v>27</v>
      </c>
      <c r="C28" s="26" t="s">
        <v>122</v>
      </c>
      <c r="D28" s="26" t="s">
        <v>121</v>
      </c>
      <c r="E28" s="24" t="str">
        <f t="shared" si="0"/>
        <v>HKDQM3H20Y_Quote</v>
      </c>
      <c r="F28" s="24" t="str">
        <f>_xll.qlSimpleQuote(Currency&amp;$C28&amp;$D28&amp;$B28&amp;QuoteSuffix,,RateTickValue,Permanent,Trigger,ObjectOverwrite)</f>
        <v>HKDQM3H20Y_Quote#0000</v>
      </c>
      <c r="G28" s="127" t="str">
        <f>_xll.ohRangeRetrieveError(F28)</f>
        <v/>
      </c>
      <c r="H28" s="65"/>
      <c r="J28" s="167"/>
      <c r="K28" s="166" t="str">
        <f t="shared" si="1"/>
        <v>HKDQM3H20Y</v>
      </c>
      <c r="L28" s="200" t="str">
        <v>HKDQM3H20Y=PREA</v>
      </c>
      <c r="M28" s="201" t="s">
        <v>189</v>
      </c>
      <c r="N28" s="201" t="s">
        <v>189</v>
      </c>
      <c r="O28" s="201" t="s">
        <v>189</v>
      </c>
      <c r="P28" s="201" t="s">
        <v>189</v>
      </c>
      <c r="Q28" s="164" t="e">
        <f>_xll.qlMidSafe($M28,$N28)</f>
        <v>#NUM!</v>
      </c>
      <c r="R28" s="162"/>
      <c r="S28" s="171" t="e">
        <v>#NUM!</v>
      </c>
      <c r="T28" s="162"/>
      <c r="U28" s="230" t="e">
        <v>#NUM!</v>
      </c>
      <c r="V28" s="168" t="e">
        <f>_xll.qlSimpleQuoteSetValue(E28,U28/100,ISERROR(F28))</f>
        <v>#NUM!</v>
      </c>
      <c r="W28" s="158"/>
      <c r="X28" s="190"/>
      <c r="Y28" s="191" t="e">
        <f t="shared" si="2"/>
        <v>#VALUE!</v>
      </c>
      <c r="Z28" s="190"/>
    </row>
    <row r="29" spans="1:26" x14ac:dyDescent="0.2">
      <c r="A29" s="71"/>
      <c r="B29" s="130"/>
      <c r="C29" s="26"/>
      <c r="D29" s="26"/>
      <c r="E29" s="24"/>
      <c r="F29" s="24"/>
      <c r="G29" s="127"/>
      <c r="H29" s="65"/>
      <c r="J29" s="167"/>
      <c r="K29" s="166"/>
      <c r="L29" s="200" t="str">
        <v>=PREA</v>
      </c>
      <c r="M29" s="201" t="s">
        <v>189</v>
      </c>
      <c r="N29" s="201" t="s">
        <v>189</v>
      </c>
      <c r="O29" s="201" t="s">
        <v>189</v>
      </c>
      <c r="P29" s="201" t="s">
        <v>189</v>
      </c>
      <c r="Q29" s="164"/>
      <c r="R29" s="162"/>
      <c r="S29" s="171">
        <v>0</v>
      </c>
      <c r="T29" s="162"/>
      <c r="U29" s="230">
        <v>0</v>
      </c>
      <c r="V29" s="168"/>
      <c r="W29" s="158"/>
      <c r="X29" s="190"/>
      <c r="Y29" s="191" t="e">
        <f t="shared" si="2"/>
        <v>#VALUE!</v>
      </c>
      <c r="Z29" s="190"/>
    </row>
    <row r="30" spans="1:26" x14ac:dyDescent="0.2">
      <c r="A30" s="71"/>
      <c r="B30" s="130"/>
      <c r="C30" s="26"/>
      <c r="D30" s="26"/>
      <c r="E30" s="24"/>
      <c r="F30" s="24"/>
      <c r="G30" s="127"/>
      <c r="H30" s="65"/>
      <c r="J30" s="167"/>
      <c r="K30" s="166"/>
      <c r="L30" s="200" t="str">
        <v>=PREA</v>
      </c>
      <c r="M30" s="201" t="s">
        <v>189</v>
      </c>
      <c r="N30" s="201" t="s">
        <v>189</v>
      </c>
      <c r="O30" s="201" t="s">
        <v>189</v>
      </c>
      <c r="P30" s="201" t="s">
        <v>189</v>
      </c>
      <c r="Q30" s="164"/>
      <c r="R30" s="162"/>
      <c r="S30" s="171">
        <v>0</v>
      </c>
      <c r="T30" s="162"/>
      <c r="U30" s="230">
        <v>0</v>
      </c>
      <c r="V30" s="168"/>
      <c r="W30" s="158"/>
      <c r="X30" s="190"/>
      <c r="Y30" s="191" t="e">
        <f t="shared" si="2"/>
        <v>#VALUE!</v>
      </c>
      <c r="Z30" s="190"/>
    </row>
    <row r="31" spans="1:26" x14ac:dyDescent="0.2">
      <c r="A31" s="71"/>
      <c r="B31" s="130"/>
      <c r="C31" s="26"/>
      <c r="D31" s="26"/>
      <c r="E31" s="24"/>
      <c r="F31" s="24"/>
      <c r="G31" s="127"/>
      <c r="H31" s="65"/>
      <c r="J31" s="167"/>
      <c r="K31" s="166"/>
      <c r="L31" s="200" t="str">
        <v>=PREA</v>
      </c>
      <c r="M31" s="201" t="s">
        <v>189</v>
      </c>
      <c r="N31" s="201" t="s">
        <v>189</v>
      </c>
      <c r="O31" s="201" t="s">
        <v>189</v>
      </c>
      <c r="P31" s="201" t="s">
        <v>189</v>
      </c>
      <c r="Q31" s="164"/>
      <c r="R31" s="162"/>
      <c r="S31" s="171">
        <v>0</v>
      </c>
      <c r="T31" s="162"/>
      <c r="U31" s="230">
        <v>0</v>
      </c>
      <c r="V31" s="168"/>
      <c r="W31" s="158"/>
      <c r="X31" s="190"/>
      <c r="Y31" s="191" t="e">
        <f t="shared" si="2"/>
        <v>#VALUE!</v>
      </c>
      <c r="Z31" s="190"/>
    </row>
    <row r="32" spans="1:26" x14ac:dyDescent="0.2">
      <c r="A32" s="71"/>
      <c r="B32" s="130"/>
      <c r="C32" s="26"/>
      <c r="D32" s="26"/>
      <c r="E32" s="24"/>
      <c r="F32" s="24"/>
      <c r="G32" s="127"/>
      <c r="H32" s="65"/>
      <c r="J32" s="167"/>
      <c r="K32" s="266"/>
      <c r="L32" s="206" t="str">
        <v>=PREA</v>
      </c>
      <c r="M32" s="207" t="s">
        <v>189</v>
      </c>
      <c r="N32" s="207" t="s">
        <v>189</v>
      </c>
      <c r="O32" s="207" t="s">
        <v>189</v>
      </c>
      <c r="P32" s="207" t="s">
        <v>189</v>
      </c>
      <c r="Q32" s="205"/>
      <c r="R32" s="162"/>
      <c r="S32" s="163">
        <v>0</v>
      </c>
      <c r="T32" s="162"/>
      <c r="U32" s="223">
        <v>0</v>
      </c>
      <c r="V32" s="159"/>
      <c r="W32" s="158"/>
      <c r="X32" s="190"/>
      <c r="Y32" s="191" t="e">
        <f t="shared" si="2"/>
        <v>#VALUE!</v>
      </c>
      <c r="Z32" s="190"/>
    </row>
    <row r="33" spans="1:26" ht="13.5" thickBot="1" x14ac:dyDescent="0.25">
      <c r="A33" s="64"/>
      <c r="B33" s="63"/>
      <c r="C33" s="63"/>
      <c r="D33" s="63"/>
      <c r="E33" s="63"/>
      <c r="F33" s="62"/>
      <c r="G33" s="62"/>
      <c r="H33" s="61"/>
      <c r="J33" s="265"/>
      <c r="K33" s="155"/>
      <c r="L33" s="155"/>
      <c r="M33" s="155"/>
      <c r="N33" s="155"/>
      <c r="O33" s="155"/>
      <c r="P33" s="155"/>
      <c r="Q33" s="155"/>
      <c r="R33" s="264"/>
      <c r="S33" s="264"/>
      <c r="T33" s="264"/>
      <c r="U33" s="264"/>
      <c r="V33" s="264"/>
      <c r="W33" s="257"/>
      <c r="X33" s="190"/>
      <c r="Y33" s="190"/>
      <c r="Z33" s="190"/>
    </row>
    <row r="34" spans="1:26" ht="15" x14ac:dyDescent="0.25"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/>
      <c r="W34" s="190"/>
      <c r="X34" s="190"/>
      <c r="Y34" s="190"/>
      <c r="Z34" s="190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workbookViewId="0"/>
  </sheetViews>
  <sheetFormatPr defaultRowHeight="11.25" x14ac:dyDescent="0.2"/>
  <cols>
    <col min="1" max="1" width="2.7109375" style="16" customWidth="1"/>
    <col min="2" max="2" width="7.7109375" style="16" bestFit="1" customWidth="1"/>
    <col min="3" max="4" width="2.7109375" style="16" bestFit="1" customWidth="1"/>
    <col min="5" max="5" width="17.85546875" style="16" bestFit="1" customWidth="1"/>
    <col min="6" max="6" width="21.5703125" style="17" bestFit="1" customWidth="1"/>
    <col min="7" max="7" width="38.28515625" style="16" customWidth="1"/>
    <col min="8" max="9" width="2.7109375" style="16" customWidth="1"/>
    <col min="10" max="10" width="5" style="16" bestFit="1" customWidth="1"/>
    <col min="11" max="11" width="3" style="16" bestFit="1" customWidth="1"/>
    <col min="12" max="12" width="3.140625" style="16" bestFit="1" customWidth="1"/>
    <col min="13" max="13" width="2.7109375" style="16" customWidth="1"/>
    <col min="14" max="17" width="9.140625" style="16"/>
    <col min="18" max="18" width="12.85546875" style="16" bestFit="1" customWidth="1"/>
    <col min="19" max="19" width="16.28515625" style="16" bestFit="1" customWidth="1"/>
    <col min="20" max="21" width="9.140625" style="16"/>
    <col min="22" max="22" width="11" style="16" bestFit="1" customWidth="1"/>
    <col min="23" max="24" width="9.140625" style="16"/>
    <col min="25" max="25" width="2.7109375" style="16" customWidth="1"/>
    <col min="26" max="26" width="9.140625" style="16"/>
    <col min="27" max="27" width="2.7109375" style="16" customWidth="1"/>
    <col min="28" max="28" width="9.140625" style="16"/>
    <col min="29" max="29" width="9.85546875" style="16" bestFit="1" customWidth="1"/>
    <col min="30" max="30" width="9.140625" style="16"/>
    <col min="31" max="32" width="2.7109375" style="16" customWidth="1"/>
    <col min="33" max="33" width="5" style="16" bestFit="1" customWidth="1"/>
    <col min="34" max="34" width="3" style="16" bestFit="1" customWidth="1"/>
    <col min="35" max="35" width="3.140625" style="16" bestFit="1" customWidth="1"/>
    <col min="36" max="16384" width="9.140625" style="16"/>
  </cols>
  <sheetData>
    <row r="1" spans="1:36" s="141" customFormat="1" x14ac:dyDescent="0.2">
      <c r="A1" s="141" t="s">
        <v>179</v>
      </c>
      <c r="F1" s="17"/>
      <c r="N1" s="221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6"/>
      <c r="AF1" s="190"/>
      <c r="AG1" s="190"/>
      <c r="AH1" s="190"/>
      <c r="AI1" s="190"/>
      <c r="AJ1" s="190"/>
    </row>
    <row r="2" spans="1:36" s="141" customFormat="1" x14ac:dyDescent="0.2">
      <c r="F2" s="17"/>
      <c r="N2" s="185"/>
      <c r="O2" s="162"/>
      <c r="P2" s="162"/>
      <c r="Q2" s="162"/>
      <c r="R2" s="162"/>
      <c r="S2" s="184" t="s">
        <v>149</v>
      </c>
      <c r="T2" s="162"/>
      <c r="U2" s="162"/>
      <c r="V2" s="162"/>
      <c r="W2" s="162"/>
      <c r="X2" s="220"/>
      <c r="Y2" s="162"/>
      <c r="Z2" s="162"/>
      <c r="AA2" s="162"/>
      <c r="AB2" s="275" t="s">
        <v>141</v>
      </c>
      <c r="AC2" s="184" t="s">
        <v>2</v>
      </c>
      <c r="AD2" s="220"/>
      <c r="AE2" s="183"/>
      <c r="AF2" s="190"/>
      <c r="AG2" s="190"/>
      <c r="AH2" s="190"/>
      <c r="AI2" s="190"/>
      <c r="AJ2" s="190"/>
    </row>
    <row r="3" spans="1:36" x14ac:dyDescent="0.2">
      <c r="A3" s="48"/>
      <c r="B3" s="47"/>
      <c r="C3" s="47"/>
      <c r="D3" s="47"/>
      <c r="E3" s="45"/>
      <c r="F3" s="46"/>
      <c r="G3" s="45"/>
      <c r="H3" s="44"/>
      <c r="N3" s="167"/>
      <c r="O3" s="162"/>
      <c r="P3" s="220"/>
      <c r="Q3" s="220"/>
      <c r="R3" s="220"/>
      <c r="S3" s="220" t="e">
        <f>_xll.qlInterpolation(,InterpolationType,_xll.ohFilter(N5:N42,W5:W42),_xll.ohFilter(V5:V42,W5:W42))</f>
        <v>#NUM!</v>
      </c>
      <c r="T3" s="220"/>
      <c r="U3" s="220"/>
      <c r="V3" s="220"/>
      <c r="W3" s="220"/>
      <c r="X3" s="220"/>
      <c r="Y3" s="162"/>
      <c r="Z3" s="162"/>
      <c r="AA3" s="162"/>
      <c r="AB3" s="220"/>
      <c r="AC3" s="220"/>
      <c r="AD3" s="181">
        <f>_xll.ohTrigger(AD5:AD42)</f>
        <v>1</v>
      </c>
      <c r="AE3" s="158"/>
      <c r="AF3" s="190"/>
      <c r="AG3" s="190"/>
      <c r="AH3" s="190"/>
      <c r="AI3" s="190"/>
      <c r="AJ3" s="190"/>
    </row>
    <row r="4" spans="1:36" ht="23.25" thickBot="1" x14ac:dyDescent="0.25">
      <c r="A4" s="28"/>
      <c r="B4" s="42" t="s">
        <v>61</v>
      </c>
      <c r="C4" s="43"/>
      <c r="D4" s="42"/>
      <c r="E4" s="41" t="str">
        <f>Currency&amp;"_010_Sw"&amp;$C$6&amp;$D$6&amp;".xml"</f>
        <v>HKD_010_Sw1L6L.xml</v>
      </c>
      <c r="F4" s="40" t="e">
        <f ca="1">IF(Serialize,_xll.ohObjectSave(F5:F42,SerializationPath&amp;E4,FileOverwrite,,Serialize),"---")</f>
        <v>#NUM!</v>
      </c>
      <c r="G4" s="23" t="str">
        <f ca="1">_xll.ohRangeRetrieveError(F4)</f>
        <v>ohObjectSave - ObjectHandler error: attempt to retrieve object with unknown ID 'HKD1L6L6M_Quote'</v>
      </c>
      <c r="H4" s="329" t="s">
        <v>182</v>
      </c>
      <c r="N4" s="167"/>
      <c r="O4" s="263"/>
      <c r="P4" s="217"/>
      <c r="Q4" s="217"/>
      <c r="R4" s="217"/>
      <c r="S4" s="180" t="e">
        <f ca="1">_xll.RData(S5:S42,T4:U4,,ReutersRtMode,,T5)</f>
        <v>#NAME?</v>
      </c>
      <c r="T4" s="216" t="s">
        <v>160</v>
      </c>
      <c r="U4" s="216" t="s">
        <v>145</v>
      </c>
      <c r="V4" s="216" t="s">
        <v>164</v>
      </c>
      <c r="W4" s="216"/>
      <c r="X4" s="176" t="s">
        <v>163</v>
      </c>
      <c r="Y4" s="162"/>
      <c r="Z4" s="178" t="s">
        <v>139</v>
      </c>
      <c r="AA4" s="162"/>
      <c r="AB4" s="177" t="s">
        <v>138</v>
      </c>
      <c r="AC4" s="262" t="s">
        <v>137</v>
      </c>
      <c r="AD4" s="261" t="s">
        <v>136</v>
      </c>
      <c r="AE4" s="158"/>
      <c r="AF4" s="190"/>
      <c r="AG4" s="190"/>
      <c r="AH4" s="190"/>
      <c r="AI4" s="190"/>
      <c r="AJ4" s="190"/>
    </row>
    <row r="5" spans="1:36" x14ac:dyDescent="0.2">
      <c r="A5" s="28"/>
      <c r="B5" s="39" t="s">
        <v>60</v>
      </c>
      <c r="C5" s="26" t="str">
        <f>VLOOKUP(Currency,$J$10:$L$14,2)</f>
        <v>1L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HKD1L6L6M_Quote</v>
      </c>
      <c r="F5" s="24" t="str">
        <f>_xll.qlSimpleQuote(E5,,RateTickValue,Permanent,Trigger,ObjectOverwrite)</f>
        <v>HKD1L6L6M_Quote#0000</v>
      </c>
      <c r="G5" s="23" t="str">
        <f>_xll.ohRangeRetrieveError(F5)</f>
        <v/>
      </c>
      <c r="H5" s="22"/>
      <c r="N5" s="274">
        <v>0.5</v>
      </c>
      <c r="O5" s="203" t="s">
        <v>60</v>
      </c>
      <c r="P5" s="202" t="str">
        <f t="array" ref="P5:P42">VLOOKUP(Currency,Conventions,2)</f>
        <v>1L</v>
      </c>
      <c r="Q5" s="202" t="str">
        <f t="array" ref="Q5:Q42">VLOOKUP(Currency,Conventions,3)</f>
        <v>6L</v>
      </c>
      <c r="R5" s="200" t="str">
        <f t="shared" ref="R5:R42" si="1">Currency&amp;$P5&amp;$Q5&amp;$O5</f>
        <v>HKD1L6L6M</v>
      </c>
      <c r="S5" s="165" t="str">
        <f t="array" ref="S5:S42">Instruments&amp;"="&amp;VLOOKUP(Contributor,ContributorTable,2,FALSE)</f>
        <v>HKD1L6L6M=ICAP</v>
      </c>
      <c r="T5" s="273" t="s">
        <v>189</v>
      </c>
      <c r="U5" s="273" t="s">
        <v>189</v>
      </c>
      <c r="V5" s="273" t="e">
        <f>_xll.qlMidEquivalent(T5,U5)</f>
        <v>#NUM!</v>
      </c>
      <c r="W5" s="169" t="b">
        <f t="shared" ref="W5:W42" si="2">IF(ISNUMBER(V5),TRUE,FALSE)</f>
        <v>0</v>
      </c>
      <c r="X5" s="272" t="e">
        <f t="array" ref="X5:X42">_xll.qlInterpolationInterpolate(S3,N5:N42)</f>
        <v>#VALUE!</v>
      </c>
      <c r="Y5" s="162"/>
      <c r="Z5" s="271" t="e">
        <v>#VALUE!</v>
      </c>
      <c r="AA5" s="162"/>
      <c r="AB5" s="170" t="str">
        <f t="shared" ref="AB5:AB42" si="3">$R5&amp;$AC$2</f>
        <v>HKD1L6L6M_Quote</v>
      </c>
      <c r="AC5" s="270" t="e">
        <f t="array" ref="AC5:AC42">QuoteStatic</f>
        <v>#VALUE!</v>
      </c>
      <c r="AD5" s="168" t="e">
        <f>_xll.qlSimpleQuoteSetValue($AB5,ROUND($AC5/10000,6),Trigger)</f>
        <v>#NUM!</v>
      </c>
      <c r="AE5" s="158"/>
      <c r="AF5" s="190"/>
      <c r="AG5" s="256" t="s">
        <v>54</v>
      </c>
      <c r="AH5" s="269" t="s">
        <v>41</v>
      </c>
      <c r="AI5" s="268" t="s">
        <v>45</v>
      </c>
      <c r="AJ5" s="190"/>
    </row>
    <row r="6" spans="1:36" x14ac:dyDescent="0.2">
      <c r="A6" s="28"/>
      <c r="B6" s="39" t="s">
        <v>59</v>
      </c>
      <c r="C6" s="26" t="str">
        <f t="shared" ref="C6:C42" si="4">C5</f>
        <v>1L</v>
      </c>
      <c r="D6" s="25" t="str">
        <f t="shared" ref="D6:D42" si="5">D5</f>
        <v>6L</v>
      </c>
      <c r="E6" s="24" t="str">
        <f t="shared" si="0"/>
        <v>HKD1L6L1Y_Quote</v>
      </c>
      <c r="F6" s="24" t="str">
        <f>_xll.qlSimpleQuote(E6,,RateTickValue,Permanent,Trigger,ObjectOverwrite)</f>
        <v>HKD1L6L1Y_Quote#0000</v>
      </c>
      <c r="G6" s="23" t="str">
        <f>_xll.ohRangeRetrieveError(F6)</f>
        <v/>
      </c>
      <c r="H6" s="22"/>
      <c r="N6" s="274">
        <v>1</v>
      </c>
      <c r="O6" s="203" t="s">
        <v>59</v>
      </c>
      <c r="P6" s="202" t="str">
        <v>1L</v>
      </c>
      <c r="Q6" s="202" t="str">
        <v>6L</v>
      </c>
      <c r="R6" s="200" t="str">
        <f t="shared" si="1"/>
        <v>HKD1L6L1Y</v>
      </c>
      <c r="S6" s="165" t="str">
        <v>HKD1L6L1Y=ICAP</v>
      </c>
      <c r="T6" s="273" t="s">
        <v>189</v>
      </c>
      <c r="U6" s="273" t="s">
        <v>189</v>
      </c>
      <c r="V6" s="273" t="e">
        <f>_xll.qlMidEquivalent(T6,U6)</f>
        <v>#NUM!</v>
      </c>
      <c r="W6" s="169" t="b">
        <f t="shared" si="2"/>
        <v>0</v>
      </c>
      <c r="X6" s="272" t="e">
        <v>#VALUE!</v>
      </c>
      <c r="Y6" s="162"/>
      <c r="Z6" s="271" t="e">
        <v>#VALUE!</v>
      </c>
      <c r="AA6" s="162"/>
      <c r="AB6" s="170" t="str">
        <f t="shared" si="3"/>
        <v>HKD1L6L1Y_Quote</v>
      </c>
      <c r="AC6" s="270" t="e">
        <v>#VALUE!</v>
      </c>
      <c r="AD6" s="168" t="e">
        <f>_xll.qlSimpleQuoteSetValue($AB6,ROUND($AC6/10000,6),Trigger)</f>
        <v>#NUM!</v>
      </c>
      <c r="AE6" s="158"/>
      <c r="AF6" s="190"/>
      <c r="AG6" s="239" t="s">
        <v>52</v>
      </c>
      <c r="AH6" s="189" t="s">
        <v>51</v>
      </c>
      <c r="AI6" s="238" t="s">
        <v>50</v>
      </c>
      <c r="AJ6" s="190"/>
    </row>
    <row r="7" spans="1:36" s="38" customFormat="1" ht="12.75" x14ac:dyDescent="0.2">
      <c r="A7" s="28"/>
      <c r="B7" s="39" t="s">
        <v>58</v>
      </c>
      <c r="C7" s="26" t="str">
        <f t="shared" si="4"/>
        <v>1L</v>
      </c>
      <c r="D7" s="25" t="str">
        <f t="shared" si="5"/>
        <v>6L</v>
      </c>
      <c r="E7" s="24" t="str">
        <f t="shared" si="0"/>
        <v>HKD1L6L15M_Quote</v>
      </c>
      <c r="F7" s="24" t="str">
        <f>_xll.qlSimpleQuote(E7,,RateTickValue,Permanent,Trigger,ObjectOverwrite)</f>
        <v>HKD1L6L15M_Quote#0000</v>
      </c>
      <c r="G7" s="23" t="str">
        <f>_xll.ohRangeRetrieveError(F7)</f>
        <v/>
      </c>
      <c r="H7" s="22"/>
      <c r="N7" s="274">
        <v>1.25</v>
      </c>
      <c r="O7" s="203" t="s">
        <v>58</v>
      </c>
      <c r="P7" s="202" t="str">
        <v>1L</v>
      </c>
      <c r="Q7" s="202" t="str">
        <v>6L</v>
      </c>
      <c r="R7" s="200" t="str">
        <f t="shared" si="1"/>
        <v>HKD1L6L15M</v>
      </c>
      <c r="S7" s="165" t="str">
        <v>HKD1L6L15M=ICAP</v>
      </c>
      <c r="T7" s="273" t="s">
        <v>189</v>
      </c>
      <c r="U7" s="273" t="s">
        <v>189</v>
      </c>
      <c r="V7" s="273" t="e">
        <f>_xll.qlMidEquivalent(T7,U7)</f>
        <v>#NUM!</v>
      </c>
      <c r="W7" s="169" t="b">
        <f t="shared" si="2"/>
        <v>0</v>
      </c>
      <c r="X7" s="272" t="e">
        <v>#VALUE!</v>
      </c>
      <c r="Y7" s="162"/>
      <c r="Z7" s="271" t="e">
        <v>#VALUE!</v>
      </c>
      <c r="AA7" s="162"/>
      <c r="AB7" s="170" t="str">
        <f t="shared" si="3"/>
        <v>HKD1L6L15M_Quote</v>
      </c>
      <c r="AC7" s="270" t="e">
        <v>#VALUE!</v>
      </c>
      <c r="AD7" s="168" t="e">
        <f>_xll.qlSimpleQuoteSetValue($AB7,ROUND($AC7/10000,6),Trigger)</f>
        <v>#NUM!</v>
      </c>
      <c r="AE7" s="158"/>
      <c r="AF7" s="190"/>
      <c r="AG7" s="239" t="s">
        <v>48</v>
      </c>
      <c r="AH7" s="189" t="s">
        <v>41</v>
      </c>
      <c r="AI7" s="238" t="s">
        <v>45</v>
      </c>
      <c r="AJ7" s="190"/>
    </row>
    <row r="8" spans="1:36" s="38" customFormat="1" ht="12.75" x14ac:dyDescent="0.2">
      <c r="A8" s="28"/>
      <c r="B8" s="39" t="s">
        <v>57</v>
      </c>
      <c r="C8" s="26" t="str">
        <f t="shared" si="4"/>
        <v>1L</v>
      </c>
      <c r="D8" s="25" t="str">
        <f t="shared" si="5"/>
        <v>6L</v>
      </c>
      <c r="E8" s="24" t="str">
        <f t="shared" si="0"/>
        <v>HKD1L6L18M_Quote</v>
      </c>
      <c r="F8" s="24" t="str">
        <f>_xll.qlSimpleQuote(E8,,RateTickValue,Permanent,Trigger,ObjectOverwrite)</f>
        <v>HKD1L6L18M_Quote#0000</v>
      </c>
      <c r="G8" s="23" t="str">
        <f>_xll.ohRangeRetrieveError(F8)</f>
        <v/>
      </c>
      <c r="H8" s="22"/>
      <c r="N8" s="274">
        <v>1.5</v>
      </c>
      <c r="O8" s="203" t="s">
        <v>57</v>
      </c>
      <c r="P8" s="202" t="str">
        <v>1L</v>
      </c>
      <c r="Q8" s="202" t="str">
        <v>6L</v>
      </c>
      <c r="R8" s="200" t="str">
        <f t="shared" si="1"/>
        <v>HKD1L6L18M</v>
      </c>
      <c r="S8" s="165" t="str">
        <v>HKD1L6L18M=ICAP</v>
      </c>
      <c r="T8" s="273" t="s">
        <v>189</v>
      </c>
      <c r="U8" s="273" t="s">
        <v>189</v>
      </c>
      <c r="V8" s="273" t="e">
        <f>_xll.qlMidEquivalent(T8,U8)</f>
        <v>#NUM!</v>
      </c>
      <c r="W8" s="169" t="b">
        <f t="shared" si="2"/>
        <v>0</v>
      </c>
      <c r="X8" s="272" t="e">
        <v>#VALUE!</v>
      </c>
      <c r="Y8" s="162"/>
      <c r="Z8" s="271" t="e">
        <v>#VALUE!</v>
      </c>
      <c r="AA8" s="162"/>
      <c r="AB8" s="170" t="str">
        <f t="shared" si="3"/>
        <v>HKD1L6L18M_Quote</v>
      </c>
      <c r="AC8" s="270" t="e">
        <v>#VALUE!</v>
      </c>
      <c r="AD8" s="168" t="e">
        <f>_xll.qlSimpleQuoteSetValue($AB8,ROUND($AC8/10000,6),Trigger)</f>
        <v>#NUM!</v>
      </c>
      <c r="AE8" s="158"/>
      <c r="AF8" s="190"/>
      <c r="AG8" s="239" t="s">
        <v>46</v>
      </c>
      <c r="AH8" s="189" t="s">
        <v>41</v>
      </c>
      <c r="AI8" s="238" t="s">
        <v>45</v>
      </c>
      <c r="AJ8" s="190"/>
    </row>
    <row r="9" spans="1:36" s="38" customFormat="1" ht="13.5" thickBot="1" x14ac:dyDescent="0.25">
      <c r="A9" s="28"/>
      <c r="B9" s="39" t="s">
        <v>56</v>
      </c>
      <c r="C9" s="26" t="str">
        <f t="shared" si="4"/>
        <v>1L</v>
      </c>
      <c r="D9" s="25" t="str">
        <f t="shared" si="5"/>
        <v>6L</v>
      </c>
      <c r="E9" s="24" t="str">
        <f t="shared" si="0"/>
        <v>HKD1L6L21M_Quote</v>
      </c>
      <c r="F9" s="24" t="str">
        <f>_xll.qlSimpleQuote(E9,,RateTickValue,Permanent,Trigger,ObjectOverwrite)</f>
        <v>HKD1L6L21M_Quote#0000</v>
      </c>
      <c r="G9" s="23" t="str">
        <f>_xll.ohRangeRetrieveError(F9)</f>
        <v/>
      </c>
      <c r="H9" s="22"/>
      <c r="N9" s="274">
        <v>1.75</v>
      </c>
      <c r="O9" s="203" t="s">
        <v>56</v>
      </c>
      <c r="P9" s="202" t="str">
        <v>1L</v>
      </c>
      <c r="Q9" s="202" t="str">
        <v>6L</v>
      </c>
      <c r="R9" s="200" t="str">
        <f t="shared" si="1"/>
        <v>HKD1L6L21M</v>
      </c>
      <c r="S9" s="165" t="str">
        <v>HKD1L6L21M=ICAP</v>
      </c>
      <c r="T9" s="273" t="s">
        <v>189</v>
      </c>
      <c r="U9" s="273" t="s">
        <v>189</v>
      </c>
      <c r="V9" s="273" t="e">
        <f>_xll.qlMidEquivalent(T9,U9)</f>
        <v>#NUM!</v>
      </c>
      <c r="W9" s="169" t="b">
        <f t="shared" si="2"/>
        <v>0</v>
      </c>
      <c r="X9" s="272" t="e">
        <v>#VALUE!</v>
      </c>
      <c r="Y9" s="162"/>
      <c r="Z9" s="271" t="e">
        <v>#VALUE!</v>
      </c>
      <c r="AA9" s="162"/>
      <c r="AB9" s="170" t="str">
        <f t="shared" si="3"/>
        <v>HKD1L6L21M_Quote</v>
      </c>
      <c r="AC9" s="270" t="e">
        <v>#VALUE!</v>
      </c>
      <c r="AD9" s="168" t="e">
        <f>_xll.qlSimpleQuoteSetValue($AB9,ROUND($AC9/10000,6),Trigger)</f>
        <v>#NUM!</v>
      </c>
      <c r="AE9" s="158"/>
      <c r="AF9" s="190"/>
      <c r="AG9" s="237" t="s">
        <v>43</v>
      </c>
      <c r="AH9" s="267" t="s">
        <v>42</v>
      </c>
      <c r="AI9" s="236" t="s">
        <v>41</v>
      </c>
      <c r="AJ9" s="190"/>
    </row>
    <row r="10" spans="1:36" x14ac:dyDescent="0.2">
      <c r="A10" s="28"/>
      <c r="B10" s="27" t="s">
        <v>55</v>
      </c>
      <c r="C10" s="26" t="str">
        <f t="shared" si="4"/>
        <v>1L</v>
      </c>
      <c r="D10" s="25" t="str">
        <f t="shared" si="5"/>
        <v>6L</v>
      </c>
      <c r="E10" s="24" t="str">
        <f t="shared" si="0"/>
        <v>HKD1L6L2Y_Quote</v>
      </c>
      <c r="F10" s="24" t="str">
        <f>_xll.qlSimpleQuote(E10,,RateTickValue,Permanent,Trigger,ObjectOverwrite)</f>
        <v>HKD1L6L2Y_Quote#0000</v>
      </c>
      <c r="G10" s="23" t="str">
        <f>_xll.ohRangeRetrieveError(F10)</f>
        <v/>
      </c>
      <c r="H10" s="22"/>
      <c r="J10" s="37" t="s">
        <v>54</v>
      </c>
      <c r="K10" s="36" t="s">
        <v>41</v>
      </c>
      <c r="L10" s="35" t="s">
        <v>45</v>
      </c>
      <c r="N10" s="167">
        <v>2</v>
      </c>
      <c r="O10" s="203" t="s">
        <v>55</v>
      </c>
      <c r="P10" s="202" t="str">
        <v>1L</v>
      </c>
      <c r="Q10" s="202" t="str">
        <v>6L</v>
      </c>
      <c r="R10" s="200" t="str">
        <f t="shared" si="1"/>
        <v>HKD1L6L2Y</v>
      </c>
      <c r="S10" s="165" t="str">
        <v>HKD1L6L2Y=ICAP</v>
      </c>
      <c r="T10" s="273" t="s">
        <v>189</v>
      </c>
      <c r="U10" s="273" t="s">
        <v>189</v>
      </c>
      <c r="V10" s="273" t="e">
        <f>_xll.qlMidEquivalent(T10,U10)</f>
        <v>#NUM!</v>
      </c>
      <c r="W10" s="169" t="b">
        <f t="shared" si="2"/>
        <v>0</v>
      </c>
      <c r="X10" s="272" t="e">
        <v>#VALUE!</v>
      </c>
      <c r="Y10" s="162"/>
      <c r="Z10" s="271" t="e">
        <v>#VALUE!</v>
      </c>
      <c r="AA10" s="162"/>
      <c r="AB10" s="170" t="str">
        <f t="shared" si="3"/>
        <v>HKD1L6L2Y_Quote</v>
      </c>
      <c r="AC10" s="270" t="e">
        <v>#VALUE!</v>
      </c>
      <c r="AD10" s="168" t="e">
        <f>_xll.qlSimpleQuoteSetValue($AB10,ROUND($AC10/10000,6),Trigger)</f>
        <v>#NUM!</v>
      </c>
      <c r="AE10" s="158"/>
      <c r="AF10" s="190"/>
      <c r="AG10" s="190"/>
      <c r="AH10" s="190"/>
      <c r="AI10" s="190"/>
      <c r="AJ10" s="190"/>
    </row>
    <row r="11" spans="1:36" x14ac:dyDescent="0.2">
      <c r="A11" s="28"/>
      <c r="B11" s="27" t="s">
        <v>53</v>
      </c>
      <c r="C11" s="26" t="str">
        <f t="shared" si="4"/>
        <v>1L</v>
      </c>
      <c r="D11" s="25" t="str">
        <f t="shared" si="5"/>
        <v>6L</v>
      </c>
      <c r="E11" s="24" t="str">
        <f t="shared" si="0"/>
        <v>HKD1L6L3Y_Quote</v>
      </c>
      <c r="F11" s="24" t="str">
        <f>_xll.qlSimpleQuote(E11,,RateTickValue,Permanent,Trigger,ObjectOverwrite)</f>
        <v>HKD1L6L3Y_Quote#0000</v>
      </c>
      <c r="G11" s="23" t="str">
        <f>_xll.ohRangeRetrieveError(F11)</f>
        <v/>
      </c>
      <c r="H11" s="22"/>
      <c r="J11" s="34" t="s">
        <v>52</v>
      </c>
      <c r="K11" s="33" t="s">
        <v>51</v>
      </c>
      <c r="L11" s="32" t="s">
        <v>50</v>
      </c>
      <c r="N11" s="167">
        <v>3</v>
      </c>
      <c r="O11" s="203" t="s">
        <v>53</v>
      </c>
      <c r="P11" s="202" t="str">
        <v>1L</v>
      </c>
      <c r="Q11" s="202" t="str">
        <v>6L</v>
      </c>
      <c r="R11" s="200" t="str">
        <f t="shared" si="1"/>
        <v>HKD1L6L3Y</v>
      </c>
      <c r="S11" s="165" t="str">
        <v>HKD1L6L3Y=ICAP</v>
      </c>
      <c r="T11" s="273" t="s">
        <v>189</v>
      </c>
      <c r="U11" s="273" t="s">
        <v>189</v>
      </c>
      <c r="V11" s="273" t="e">
        <f>_xll.qlMidEquivalent(T11,U11)</f>
        <v>#NUM!</v>
      </c>
      <c r="W11" s="169" t="b">
        <f t="shared" si="2"/>
        <v>0</v>
      </c>
      <c r="X11" s="272" t="e">
        <v>#VALUE!</v>
      </c>
      <c r="Y11" s="162"/>
      <c r="Z11" s="271" t="e">
        <v>#VALUE!</v>
      </c>
      <c r="AA11" s="162"/>
      <c r="AB11" s="170" t="str">
        <f t="shared" si="3"/>
        <v>HKD1L6L3Y_Quote</v>
      </c>
      <c r="AC11" s="270" t="e">
        <v>#VALUE!</v>
      </c>
      <c r="AD11" s="168" t="e">
        <f>_xll.qlSimpleQuoteSetValue($AB11,ROUND($AC11/10000,6),Trigger)</f>
        <v>#NUM!</v>
      </c>
      <c r="AE11" s="158"/>
      <c r="AF11" s="190"/>
      <c r="AG11" s="190"/>
      <c r="AH11" s="190"/>
      <c r="AI11" s="190"/>
      <c r="AJ11" s="190"/>
    </row>
    <row r="12" spans="1:36" x14ac:dyDescent="0.2">
      <c r="A12" s="28"/>
      <c r="B12" s="27" t="s">
        <v>49</v>
      </c>
      <c r="C12" s="26" t="str">
        <f t="shared" si="4"/>
        <v>1L</v>
      </c>
      <c r="D12" s="25" t="str">
        <f t="shared" si="5"/>
        <v>6L</v>
      </c>
      <c r="E12" s="24" t="str">
        <f t="shared" si="0"/>
        <v>HKD1L6L4Y_Quote</v>
      </c>
      <c r="F12" s="24" t="str">
        <f>_xll.qlSimpleQuote(E12,,RateTickValue,Permanent,Trigger,ObjectOverwrite)</f>
        <v>HKD1L6L4Y_Quote#0000</v>
      </c>
      <c r="G12" s="23" t="str">
        <f>_xll.ohRangeRetrieveError(F12)</f>
        <v/>
      </c>
      <c r="H12" s="22"/>
      <c r="J12" s="34" t="s">
        <v>48</v>
      </c>
      <c r="K12" s="33" t="s">
        <v>41</v>
      </c>
      <c r="L12" s="32" t="s">
        <v>45</v>
      </c>
      <c r="N12" s="167">
        <v>4</v>
      </c>
      <c r="O12" s="203" t="s">
        <v>49</v>
      </c>
      <c r="P12" s="202" t="str">
        <v>1L</v>
      </c>
      <c r="Q12" s="202" t="str">
        <v>6L</v>
      </c>
      <c r="R12" s="200" t="str">
        <f t="shared" si="1"/>
        <v>HKD1L6L4Y</v>
      </c>
      <c r="S12" s="165" t="str">
        <v>HKD1L6L4Y=ICAP</v>
      </c>
      <c r="T12" s="273" t="s">
        <v>189</v>
      </c>
      <c r="U12" s="273" t="s">
        <v>189</v>
      </c>
      <c r="V12" s="273" t="e">
        <f>_xll.qlMidEquivalent(T12,U12)</f>
        <v>#NUM!</v>
      </c>
      <c r="W12" s="169" t="b">
        <f t="shared" si="2"/>
        <v>0</v>
      </c>
      <c r="X12" s="272" t="e">
        <v>#VALUE!</v>
      </c>
      <c r="Y12" s="162"/>
      <c r="Z12" s="271" t="e">
        <v>#VALUE!</v>
      </c>
      <c r="AA12" s="162"/>
      <c r="AB12" s="170" t="str">
        <f t="shared" si="3"/>
        <v>HKD1L6L4Y_Quote</v>
      </c>
      <c r="AC12" s="270" t="e">
        <v>#VALUE!</v>
      </c>
      <c r="AD12" s="168" t="e">
        <f>_xll.qlSimpleQuoteSetValue($AB12,ROUND($AC12/10000,6),Trigger)</f>
        <v>#NUM!</v>
      </c>
      <c r="AE12" s="158"/>
      <c r="AF12" s="190"/>
      <c r="AG12" s="190"/>
      <c r="AH12" s="190"/>
      <c r="AI12" s="190"/>
      <c r="AJ12" s="190"/>
    </row>
    <row r="13" spans="1:36" x14ac:dyDescent="0.2">
      <c r="A13" s="28"/>
      <c r="B13" s="27" t="s">
        <v>47</v>
      </c>
      <c r="C13" s="26" t="str">
        <f t="shared" si="4"/>
        <v>1L</v>
      </c>
      <c r="D13" s="25" t="str">
        <f t="shared" si="5"/>
        <v>6L</v>
      </c>
      <c r="E13" s="24" t="str">
        <f t="shared" si="0"/>
        <v>HKD1L6L5Y_Quote</v>
      </c>
      <c r="F13" s="24" t="str">
        <f>_xll.qlSimpleQuote(E13,,RateTickValue,Permanent,Trigger,ObjectOverwrite)</f>
        <v>HKD1L6L5Y_Quote#0000</v>
      </c>
      <c r="G13" s="23" t="str">
        <f>_xll.ohRangeRetrieveError(F13)</f>
        <v/>
      </c>
      <c r="H13" s="22"/>
      <c r="J13" s="34" t="s">
        <v>46</v>
      </c>
      <c r="K13" s="33" t="s">
        <v>41</v>
      </c>
      <c r="L13" s="32" t="s">
        <v>45</v>
      </c>
      <c r="N13" s="167">
        <v>5</v>
      </c>
      <c r="O13" s="203" t="s">
        <v>47</v>
      </c>
      <c r="P13" s="202" t="str">
        <v>1L</v>
      </c>
      <c r="Q13" s="202" t="str">
        <v>6L</v>
      </c>
      <c r="R13" s="200" t="str">
        <f t="shared" si="1"/>
        <v>HKD1L6L5Y</v>
      </c>
      <c r="S13" s="165" t="str">
        <v>HKD1L6L5Y=ICAP</v>
      </c>
      <c r="T13" s="273" t="s">
        <v>189</v>
      </c>
      <c r="U13" s="273" t="s">
        <v>189</v>
      </c>
      <c r="V13" s="273" t="e">
        <f>_xll.qlMidEquivalent(T13,U13)</f>
        <v>#NUM!</v>
      </c>
      <c r="W13" s="169" t="b">
        <f t="shared" si="2"/>
        <v>0</v>
      </c>
      <c r="X13" s="272" t="e">
        <v>#VALUE!</v>
      </c>
      <c r="Y13" s="162"/>
      <c r="Z13" s="271" t="e">
        <v>#VALUE!</v>
      </c>
      <c r="AA13" s="162"/>
      <c r="AB13" s="170" t="str">
        <f t="shared" si="3"/>
        <v>HKD1L6L5Y_Quote</v>
      </c>
      <c r="AC13" s="270" t="e">
        <v>#VALUE!</v>
      </c>
      <c r="AD13" s="168" t="e">
        <f>_xll.qlSimpleQuoteSetValue($AB13,ROUND($AC13/10000,6),Trigger)</f>
        <v>#NUM!</v>
      </c>
      <c r="AE13" s="158"/>
      <c r="AF13" s="190"/>
      <c r="AG13" s="190"/>
      <c r="AH13" s="190"/>
      <c r="AI13" s="190"/>
      <c r="AJ13" s="190"/>
    </row>
    <row r="14" spans="1:36" ht="12" thickBot="1" x14ac:dyDescent="0.25">
      <c r="A14" s="28"/>
      <c r="B14" s="27" t="s">
        <v>44</v>
      </c>
      <c r="C14" s="26" t="str">
        <f t="shared" si="4"/>
        <v>1L</v>
      </c>
      <c r="D14" s="25" t="str">
        <f t="shared" si="5"/>
        <v>6L</v>
      </c>
      <c r="E14" s="24" t="str">
        <f t="shared" si="0"/>
        <v>HKD1L6L6Y_Quote</v>
      </c>
      <c r="F14" s="24" t="str">
        <f>_xll.qlSimpleQuote(E14,,RateTickValue,Permanent,Trigger,ObjectOverwrite)</f>
        <v>HKD1L6L6Y_Quote#0000</v>
      </c>
      <c r="G14" s="23" t="str">
        <f>_xll.ohRangeRetrieveError(F14)</f>
        <v/>
      </c>
      <c r="H14" s="22"/>
      <c r="J14" s="31" t="s">
        <v>43</v>
      </c>
      <c r="K14" s="30" t="s">
        <v>42</v>
      </c>
      <c r="L14" s="29" t="s">
        <v>41</v>
      </c>
      <c r="N14" s="167">
        <v>6</v>
      </c>
      <c r="O14" s="203" t="s">
        <v>44</v>
      </c>
      <c r="P14" s="202" t="str">
        <v>1L</v>
      </c>
      <c r="Q14" s="202" t="str">
        <v>6L</v>
      </c>
      <c r="R14" s="200" t="str">
        <f t="shared" si="1"/>
        <v>HKD1L6L6Y</v>
      </c>
      <c r="S14" s="165" t="str">
        <v>HKD1L6L6Y=ICAP</v>
      </c>
      <c r="T14" s="273" t="s">
        <v>189</v>
      </c>
      <c r="U14" s="273" t="s">
        <v>189</v>
      </c>
      <c r="V14" s="273" t="e">
        <f>_xll.qlMidEquivalent(T14,U14)</f>
        <v>#NUM!</v>
      </c>
      <c r="W14" s="169" t="b">
        <f t="shared" si="2"/>
        <v>0</v>
      </c>
      <c r="X14" s="272" t="e">
        <v>#VALUE!</v>
      </c>
      <c r="Y14" s="162"/>
      <c r="Z14" s="271" t="e">
        <v>#VALUE!</v>
      </c>
      <c r="AA14" s="162"/>
      <c r="AB14" s="170" t="str">
        <f t="shared" si="3"/>
        <v>HKD1L6L6Y_Quote</v>
      </c>
      <c r="AC14" s="270" t="e">
        <v>#VALUE!</v>
      </c>
      <c r="AD14" s="168" t="e">
        <f>_xll.qlSimpleQuoteSetValue($AB14,ROUND($AC14/10000,6),Trigger)</f>
        <v>#NUM!</v>
      </c>
      <c r="AE14" s="158"/>
      <c r="AF14" s="190"/>
      <c r="AG14" s="190"/>
      <c r="AH14" s="190"/>
      <c r="AI14" s="190"/>
      <c r="AJ14" s="190"/>
    </row>
    <row r="15" spans="1:36" x14ac:dyDescent="0.2">
      <c r="A15" s="28"/>
      <c r="B15" s="27" t="s">
        <v>40</v>
      </c>
      <c r="C15" s="26" t="str">
        <f t="shared" si="4"/>
        <v>1L</v>
      </c>
      <c r="D15" s="25" t="str">
        <f t="shared" si="5"/>
        <v>6L</v>
      </c>
      <c r="E15" s="24" t="str">
        <f t="shared" si="0"/>
        <v>HKD1L6L7Y_Quote</v>
      </c>
      <c r="F15" s="24" t="str">
        <f>_xll.qlSimpleQuote(E15,,RateTickValue,Permanent,Trigger,ObjectOverwrite)</f>
        <v>HKD1L6L7Y_Quote#0000</v>
      </c>
      <c r="G15" s="23" t="str">
        <f>_xll.ohRangeRetrieveError(F15)</f>
        <v/>
      </c>
      <c r="H15" s="22"/>
      <c r="N15" s="167">
        <v>7</v>
      </c>
      <c r="O15" s="203" t="s">
        <v>40</v>
      </c>
      <c r="P15" s="202" t="str">
        <v>1L</v>
      </c>
      <c r="Q15" s="202" t="str">
        <v>6L</v>
      </c>
      <c r="R15" s="200" t="str">
        <f t="shared" si="1"/>
        <v>HKD1L6L7Y</v>
      </c>
      <c r="S15" s="165" t="str">
        <v>HKD1L6L7Y=ICAP</v>
      </c>
      <c r="T15" s="273" t="s">
        <v>189</v>
      </c>
      <c r="U15" s="273" t="s">
        <v>189</v>
      </c>
      <c r="V15" s="273" t="e">
        <f>_xll.qlMidEquivalent(T15,U15)</f>
        <v>#NUM!</v>
      </c>
      <c r="W15" s="169" t="b">
        <f t="shared" si="2"/>
        <v>0</v>
      </c>
      <c r="X15" s="272" t="e">
        <v>#VALUE!</v>
      </c>
      <c r="Y15" s="162"/>
      <c r="Z15" s="271" t="e">
        <v>#VALUE!</v>
      </c>
      <c r="AA15" s="162"/>
      <c r="AB15" s="170" t="str">
        <f t="shared" si="3"/>
        <v>HKD1L6L7Y_Quote</v>
      </c>
      <c r="AC15" s="270" t="e">
        <v>#VALUE!</v>
      </c>
      <c r="AD15" s="168" t="e">
        <f>_xll.qlSimpleQuoteSetValue($AB15,ROUND($AC15/10000,6),Trigger)</f>
        <v>#NUM!</v>
      </c>
      <c r="AE15" s="158"/>
      <c r="AF15" s="190"/>
      <c r="AG15" s="190"/>
      <c r="AH15" s="190"/>
      <c r="AI15" s="190"/>
      <c r="AJ15" s="190"/>
    </row>
    <row r="16" spans="1:36" x14ac:dyDescent="0.2">
      <c r="A16" s="28"/>
      <c r="B16" s="27" t="s">
        <v>39</v>
      </c>
      <c r="C16" s="26" t="str">
        <f t="shared" si="4"/>
        <v>1L</v>
      </c>
      <c r="D16" s="25" t="str">
        <f t="shared" si="5"/>
        <v>6L</v>
      </c>
      <c r="E16" s="24" t="str">
        <f t="shared" si="0"/>
        <v>HKD1L6L8Y_Quote</v>
      </c>
      <c r="F16" s="24" t="str">
        <f>_xll.qlSimpleQuote(E16,,RateTickValue,Permanent,Trigger,ObjectOverwrite)</f>
        <v>HKD1L6L8Y_Quote#0000</v>
      </c>
      <c r="G16" s="23" t="str">
        <f>_xll.ohRangeRetrieveError(F16)</f>
        <v/>
      </c>
      <c r="H16" s="22"/>
      <c r="N16" s="167">
        <v>8</v>
      </c>
      <c r="O16" s="203" t="s">
        <v>39</v>
      </c>
      <c r="P16" s="202" t="str">
        <v>1L</v>
      </c>
      <c r="Q16" s="202" t="str">
        <v>6L</v>
      </c>
      <c r="R16" s="200" t="str">
        <f t="shared" si="1"/>
        <v>HKD1L6L8Y</v>
      </c>
      <c r="S16" s="165" t="str">
        <v>HKD1L6L8Y=ICAP</v>
      </c>
      <c r="T16" s="273" t="s">
        <v>189</v>
      </c>
      <c r="U16" s="273" t="s">
        <v>189</v>
      </c>
      <c r="V16" s="273" t="e">
        <f>_xll.qlMidEquivalent(T16,U16)</f>
        <v>#NUM!</v>
      </c>
      <c r="W16" s="169" t="b">
        <f t="shared" si="2"/>
        <v>0</v>
      </c>
      <c r="X16" s="272" t="e">
        <v>#VALUE!</v>
      </c>
      <c r="Y16" s="162"/>
      <c r="Z16" s="271" t="e">
        <v>#VALUE!</v>
      </c>
      <c r="AA16" s="162"/>
      <c r="AB16" s="170" t="str">
        <f t="shared" si="3"/>
        <v>HKD1L6L8Y_Quote</v>
      </c>
      <c r="AC16" s="270" t="e">
        <v>#VALUE!</v>
      </c>
      <c r="AD16" s="168" t="e">
        <f>_xll.qlSimpleQuoteSetValue($AB16,ROUND($AC16/10000,6),Trigger)</f>
        <v>#NUM!</v>
      </c>
      <c r="AE16" s="158"/>
      <c r="AF16" s="190"/>
      <c r="AG16" s="190"/>
      <c r="AH16" s="190"/>
      <c r="AI16" s="190"/>
      <c r="AJ16" s="190"/>
    </row>
    <row r="17" spans="1:36" x14ac:dyDescent="0.2">
      <c r="A17" s="28"/>
      <c r="B17" s="27" t="s">
        <v>38</v>
      </c>
      <c r="C17" s="26" t="str">
        <f t="shared" si="4"/>
        <v>1L</v>
      </c>
      <c r="D17" s="25" t="str">
        <f t="shared" si="5"/>
        <v>6L</v>
      </c>
      <c r="E17" s="24" t="str">
        <f t="shared" si="0"/>
        <v>HKD1L6L9Y_Quote</v>
      </c>
      <c r="F17" s="24" t="str">
        <f>_xll.qlSimpleQuote(E17,,RateTickValue,Permanent,Trigger,ObjectOverwrite)</f>
        <v>HKD1L6L9Y_Quote#0000</v>
      </c>
      <c r="G17" s="23" t="str">
        <f>_xll.ohRangeRetrieveError(F17)</f>
        <v/>
      </c>
      <c r="H17" s="22"/>
      <c r="N17" s="167">
        <v>9</v>
      </c>
      <c r="O17" s="203" t="s">
        <v>38</v>
      </c>
      <c r="P17" s="202" t="str">
        <v>1L</v>
      </c>
      <c r="Q17" s="202" t="str">
        <v>6L</v>
      </c>
      <c r="R17" s="200" t="str">
        <f t="shared" si="1"/>
        <v>HKD1L6L9Y</v>
      </c>
      <c r="S17" s="165" t="str">
        <v>HKD1L6L9Y=ICAP</v>
      </c>
      <c r="T17" s="273" t="s">
        <v>189</v>
      </c>
      <c r="U17" s="273" t="s">
        <v>189</v>
      </c>
      <c r="V17" s="273" t="e">
        <f>_xll.qlMidEquivalent(T17,U17)</f>
        <v>#NUM!</v>
      </c>
      <c r="W17" s="169" t="b">
        <f t="shared" si="2"/>
        <v>0</v>
      </c>
      <c r="X17" s="272" t="e">
        <v>#VALUE!</v>
      </c>
      <c r="Y17" s="162"/>
      <c r="Z17" s="271" t="e">
        <v>#VALUE!</v>
      </c>
      <c r="AA17" s="162"/>
      <c r="AB17" s="170" t="str">
        <f t="shared" si="3"/>
        <v>HKD1L6L9Y_Quote</v>
      </c>
      <c r="AC17" s="270" t="e">
        <v>#VALUE!</v>
      </c>
      <c r="AD17" s="168" t="e">
        <f>_xll.qlSimpleQuoteSetValue($AB17,ROUND($AC17/10000,6),Trigger)</f>
        <v>#NUM!</v>
      </c>
      <c r="AE17" s="158"/>
      <c r="AF17" s="190"/>
      <c r="AG17" s="190"/>
      <c r="AH17" s="190"/>
      <c r="AI17" s="190"/>
      <c r="AJ17" s="190"/>
    </row>
    <row r="18" spans="1:36" x14ac:dyDescent="0.2">
      <c r="A18" s="28"/>
      <c r="B18" s="27" t="s">
        <v>37</v>
      </c>
      <c r="C18" s="26" t="str">
        <f t="shared" si="4"/>
        <v>1L</v>
      </c>
      <c r="D18" s="25" t="str">
        <f t="shared" si="5"/>
        <v>6L</v>
      </c>
      <c r="E18" s="24" t="str">
        <f t="shared" si="0"/>
        <v>HKD1L6L10Y_Quote</v>
      </c>
      <c r="F18" s="24" t="str">
        <f>_xll.qlSimpleQuote(E18,,RateTickValue,Permanent,Trigger,ObjectOverwrite)</f>
        <v>HKD1L6L10Y_Quote#0000</v>
      </c>
      <c r="G18" s="23" t="str">
        <f>_xll.ohRangeRetrieveError(F18)</f>
        <v/>
      </c>
      <c r="H18" s="22"/>
      <c r="N18" s="167">
        <v>10</v>
      </c>
      <c r="O18" s="203" t="s">
        <v>37</v>
      </c>
      <c r="P18" s="202" t="str">
        <v>1L</v>
      </c>
      <c r="Q18" s="202" t="str">
        <v>6L</v>
      </c>
      <c r="R18" s="200" t="str">
        <f t="shared" si="1"/>
        <v>HKD1L6L10Y</v>
      </c>
      <c r="S18" s="165" t="str">
        <v>HKD1L6L10Y=ICAP</v>
      </c>
      <c r="T18" s="273" t="s">
        <v>189</v>
      </c>
      <c r="U18" s="273" t="s">
        <v>189</v>
      </c>
      <c r="V18" s="273" t="e">
        <f>_xll.qlMidEquivalent(T18,U18)</f>
        <v>#NUM!</v>
      </c>
      <c r="W18" s="169" t="b">
        <f t="shared" si="2"/>
        <v>0</v>
      </c>
      <c r="X18" s="272" t="e">
        <v>#VALUE!</v>
      </c>
      <c r="Y18" s="162"/>
      <c r="Z18" s="271" t="e">
        <v>#VALUE!</v>
      </c>
      <c r="AA18" s="162"/>
      <c r="AB18" s="170" t="str">
        <f t="shared" si="3"/>
        <v>HKD1L6L10Y_Quote</v>
      </c>
      <c r="AC18" s="270" t="e">
        <v>#VALUE!</v>
      </c>
      <c r="AD18" s="168" t="e">
        <f>_xll.qlSimpleQuoteSetValue($AB18,ROUND($AC18/10000,6),Trigger)</f>
        <v>#NUM!</v>
      </c>
      <c r="AE18" s="158"/>
      <c r="AF18" s="190"/>
      <c r="AG18" s="190"/>
      <c r="AH18" s="190"/>
      <c r="AI18" s="190"/>
      <c r="AJ18" s="190"/>
    </row>
    <row r="19" spans="1:36" x14ac:dyDescent="0.2">
      <c r="A19" s="28"/>
      <c r="B19" s="27" t="s">
        <v>36</v>
      </c>
      <c r="C19" s="26" t="str">
        <f t="shared" si="4"/>
        <v>1L</v>
      </c>
      <c r="D19" s="25" t="str">
        <f t="shared" si="5"/>
        <v>6L</v>
      </c>
      <c r="E19" s="24" t="str">
        <f t="shared" si="0"/>
        <v>HKD1L6L11Y_Quote</v>
      </c>
      <c r="F19" s="24" t="str">
        <f>_xll.qlSimpleQuote(E19,,RateTickValue,Permanent,Trigger,ObjectOverwrite)</f>
        <v>HKD1L6L11Y_Quote#0000</v>
      </c>
      <c r="G19" s="23" t="str">
        <f>_xll.ohRangeRetrieveError(F19)</f>
        <v/>
      </c>
      <c r="H19" s="22"/>
      <c r="N19" s="167">
        <v>11</v>
      </c>
      <c r="O19" s="203" t="s">
        <v>36</v>
      </c>
      <c r="P19" s="202" t="str">
        <v>1L</v>
      </c>
      <c r="Q19" s="202" t="str">
        <v>6L</v>
      </c>
      <c r="R19" s="200" t="str">
        <f t="shared" si="1"/>
        <v>HKD1L6L11Y</v>
      </c>
      <c r="S19" s="165" t="str">
        <v>HKD1L6L11Y=ICAP</v>
      </c>
      <c r="T19" s="273" t="s">
        <v>189</v>
      </c>
      <c r="U19" s="273" t="s">
        <v>189</v>
      </c>
      <c r="V19" s="273" t="e">
        <f>_xll.qlMidEquivalent(T19,U19)</f>
        <v>#NUM!</v>
      </c>
      <c r="W19" s="169" t="b">
        <f t="shared" si="2"/>
        <v>0</v>
      </c>
      <c r="X19" s="272" t="e">
        <v>#VALUE!</v>
      </c>
      <c r="Y19" s="162"/>
      <c r="Z19" s="271" t="e">
        <v>#VALUE!</v>
      </c>
      <c r="AA19" s="162"/>
      <c r="AB19" s="170" t="str">
        <f t="shared" si="3"/>
        <v>HKD1L6L11Y_Quote</v>
      </c>
      <c r="AC19" s="270" t="e">
        <v>#VALUE!</v>
      </c>
      <c r="AD19" s="168" t="e">
        <f>_xll.qlSimpleQuoteSetValue($AB19,ROUND($AC19/10000,6),Trigger)</f>
        <v>#NUM!</v>
      </c>
      <c r="AE19" s="158"/>
      <c r="AF19" s="190"/>
      <c r="AG19" s="190"/>
      <c r="AH19" s="190"/>
      <c r="AI19" s="190"/>
      <c r="AJ19" s="190"/>
    </row>
    <row r="20" spans="1:36" x14ac:dyDescent="0.2">
      <c r="A20" s="28"/>
      <c r="B20" s="27" t="s">
        <v>35</v>
      </c>
      <c r="C20" s="26" t="str">
        <f t="shared" si="4"/>
        <v>1L</v>
      </c>
      <c r="D20" s="25" t="str">
        <f t="shared" si="5"/>
        <v>6L</v>
      </c>
      <c r="E20" s="24" t="str">
        <f t="shared" si="0"/>
        <v>HKD1L6L12Y_Quote</v>
      </c>
      <c r="F20" s="24" t="str">
        <f>_xll.qlSimpleQuote(E20,,RateTickValue,Permanent,Trigger,ObjectOverwrite)</f>
        <v>HKD1L6L12Y_Quote#0000</v>
      </c>
      <c r="G20" s="23" t="str">
        <f>_xll.ohRangeRetrieveError(F20)</f>
        <v/>
      </c>
      <c r="H20" s="22"/>
      <c r="N20" s="167">
        <v>12</v>
      </c>
      <c r="O20" s="203" t="s">
        <v>35</v>
      </c>
      <c r="P20" s="202" t="str">
        <v>1L</v>
      </c>
      <c r="Q20" s="202" t="str">
        <v>6L</v>
      </c>
      <c r="R20" s="200" t="str">
        <f t="shared" si="1"/>
        <v>HKD1L6L12Y</v>
      </c>
      <c r="S20" s="165" t="str">
        <v>HKD1L6L12Y=ICAP</v>
      </c>
      <c r="T20" s="273" t="s">
        <v>189</v>
      </c>
      <c r="U20" s="273" t="s">
        <v>189</v>
      </c>
      <c r="V20" s="273" t="e">
        <f>_xll.qlMidEquivalent(T20,U20)</f>
        <v>#NUM!</v>
      </c>
      <c r="W20" s="169" t="b">
        <f t="shared" si="2"/>
        <v>0</v>
      </c>
      <c r="X20" s="272" t="e">
        <v>#VALUE!</v>
      </c>
      <c r="Y20" s="162"/>
      <c r="Z20" s="271" t="e">
        <v>#VALUE!</v>
      </c>
      <c r="AA20" s="162"/>
      <c r="AB20" s="170" t="str">
        <f t="shared" si="3"/>
        <v>HKD1L6L12Y_Quote</v>
      </c>
      <c r="AC20" s="270" t="e">
        <v>#VALUE!</v>
      </c>
      <c r="AD20" s="168" t="e">
        <f>_xll.qlSimpleQuoteSetValue($AB20,ROUND($AC20/10000,6),Trigger)</f>
        <v>#NUM!</v>
      </c>
      <c r="AE20" s="158"/>
      <c r="AF20" s="190"/>
      <c r="AG20" s="190"/>
      <c r="AH20" s="190"/>
      <c r="AI20" s="190"/>
      <c r="AJ20" s="190"/>
    </row>
    <row r="21" spans="1:36" x14ac:dyDescent="0.2">
      <c r="A21" s="28"/>
      <c r="B21" s="27" t="s">
        <v>34</v>
      </c>
      <c r="C21" s="26" t="str">
        <f t="shared" si="4"/>
        <v>1L</v>
      </c>
      <c r="D21" s="25" t="str">
        <f t="shared" si="5"/>
        <v>6L</v>
      </c>
      <c r="E21" s="24" t="str">
        <f t="shared" si="0"/>
        <v>HKD1L6L13Y_Quote</v>
      </c>
      <c r="F21" s="24" t="str">
        <f>_xll.qlSimpleQuote(E21,,RateTickValue,Permanent,Trigger,ObjectOverwrite)</f>
        <v>HKD1L6L13Y_Quote#0000</v>
      </c>
      <c r="G21" s="23" t="str">
        <f>_xll.ohRangeRetrieveError(F21)</f>
        <v/>
      </c>
      <c r="H21" s="22"/>
      <c r="N21" s="167">
        <v>13</v>
      </c>
      <c r="O21" s="203" t="s">
        <v>34</v>
      </c>
      <c r="P21" s="202" t="str">
        <v>1L</v>
      </c>
      <c r="Q21" s="202" t="str">
        <v>6L</v>
      </c>
      <c r="R21" s="200" t="str">
        <f t="shared" si="1"/>
        <v>HKD1L6L13Y</v>
      </c>
      <c r="S21" s="165" t="str">
        <v>HKD1L6L13Y=ICAP</v>
      </c>
      <c r="T21" s="273" t="s">
        <v>189</v>
      </c>
      <c r="U21" s="273" t="s">
        <v>189</v>
      </c>
      <c r="V21" s="273" t="e">
        <f>_xll.qlMidEquivalent(T21,U21)</f>
        <v>#NUM!</v>
      </c>
      <c r="W21" s="169" t="b">
        <f t="shared" si="2"/>
        <v>0</v>
      </c>
      <c r="X21" s="272" t="e">
        <v>#VALUE!</v>
      </c>
      <c r="Y21" s="162"/>
      <c r="Z21" s="271" t="e">
        <v>#VALUE!</v>
      </c>
      <c r="AA21" s="162"/>
      <c r="AB21" s="170" t="str">
        <f t="shared" si="3"/>
        <v>HKD1L6L13Y_Quote</v>
      </c>
      <c r="AC21" s="270" t="e">
        <v>#VALUE!</v>
      </c>
      <c r="AD21" s="168" t="e">
        <f>_xll.qlSimpleQuoteSetValue($AB21,ROUND($AC21/10000,6),Trigger)</f>
        <v>#NUM!</v>
      </c>
      <c r="AE21" s="158"/>
      <c r="AF21" s="190"/>
      <c r="AG21" s="190"/>
      <c r="AH21" s="190"/>
      <c r="AI21" s="190"/>
      <c r="AJ21" s="190"/>
    </row>
    <row r="22" spans="1:36" x14ac:dyDescent="0.2">
      <c r="A22" s="28"/>
      <c r="B22" s="27" t="s">
        <v>33</v>
      </c>
      <c r="C22" s="26" t="str">
        <f t="shared" si="4"/>
        <v>1L</v>
      </c>
      <c r="D22" s="25" t="str">
        <f t="shared" si="5"/>
        <v>6L</v>
      </c>
      <c r="E22" s="24" t="str">
        <f t="shared" si="0"/>
        <v>HKD1L6L14Y_Quote</v>
      </c>
      <c r="F22" s="24" t="str">
        <f>_xll.qlSimpleQuote(E22,,RateTickValue,Permanent,Trigger,ObjectOverwrite)</f>
        <v>HKD1L6L14Y_Quote#0000</v>
      </c>
      <c r="G22" s="23" t="str">
        <f>_xll.ohRangeRetrieveError(F22)</f>
        <v/>
      </c>
      <c r="H22" s="22"/>
      <c r="N22" s="167">
        <v>14</v>
      </c>
      <c r="O22" s="203" t="s">
        <v>33</v>
      </c>
      <c r="P22" s="202" t="str">
        <v>1L</v>
      </c>
      <c r="Q22" s="202" t="str">
        <v>6L</v>
      </c>
      <c r="R22" s="200" t="str">
        <f t="shared" si="1"/>
        <v>HKD1L6L14Y</v>
      </c>
      <c r="S22" s="165" t="str">
        <v>HKD1L6L14Y=ICAP</v>
      </c>
      <c r="T22" s="273" t="s">
        <v>189</v>
      </c>
      <c r="U22" s="273" t="s">
        <v>189</v>
      </c>
      <c r="V22" s="273" t="e">
        <f>_xll.qlMidEquivalent(T22,U22)</f>
        <v>#NUM!</v>
      </c>
      <c r="W22" s="169" t="b">
        <f t="shared" si="2"/>
        <v>0</v>
      </c>
      <c r="X22" s="272" t="e">
        <v>#VALUE!</v>
      </c>
      <c r="Y22" s="162"/>
      <c r="Z22" s="271" t="e">
        <v>#VALUE!</v>
      </c>
      <c r="AA22" s="162"/>
      <c r="AB22" s="170" t="str">
        <f t="shared" si="3"/>
        <v>HKD1L6L14Y_Quote</v>
      </c>
      <c r="AC22" s="270" t="e">
        <v>#VALUE!</v>
      </c>
      <c r="AD22" s="168" t="e">
        <f>_xll.qlSimpleQuoteSetValue($AB22,ROUND($AC22/10000,6),Trigger)</f>
        <v>#NUM!</v>
      </c>
      <c r="AE22" s="158"/>
      <c r="AF22" s="190"/>
      <c r="AG22" s="190"/>
      <c r="AH22" s="190"/>
      <c r="AI22" s="190"/>
      <c r="AJ22" s="190"/>
    </row>
    <row r="23" spans="1:36" x14ac:dyDescent="0.2">
      <c r="A23" s="28"/>
      <c r="B23" s="27" t="s">
        <v>32</v>
      </c>
      <c r="C23" s="26" t="str">
        <f t="shared" si="4"/>
        <v>1L</v>
      </c>
      <c r="D23" s="25" t="str">
        <f t="shared" si="5"/>
        <v>6L</v>
      </c>
      <c r="E23" s="24" t="str">
        <f t="shared" si="0"/>
        <v>HKD1L6L15Y_Quote</v>
      </c>
      <c r="F23" s="24" t="str">
        <f>_xll.qlSimpleQuote(E23,,RateTickValue,Permanent,Trigger,ObjectOverwrite)</f>
        <v>HKD1L6L15Y_Quote#0000</v>
      </c>
      <c r="G23" s="23" t="str">
        <f>_xll.ohRangeRetrieveError(F23)</f>
        <v/>
      </c>
      <c r="H23" s="22"/>
      <c r="N23" s="167">
        <v>15</v>
      </c>
      <c r="O23" s="203" t="s">
        <v>32</v>
      </c>
      <c r="P23" s="202" t="str">
        <v>1L</v>
      </c>
      <c r="Q23" s="202" t="str">
        <v>6L</v>
      </c>
      <c r="R23" s="200" t="str">
        <f t="shared" si="1"/>
        <v>HKD1L6L15Y</v>
      </c>
      <c r="S23" s="165" t="str">
        <v>HKD1L6L15Y=ICAP</v>
      </c>
      <c r="T23" s="273" t="s">
        <v>189</v>
      </c>
      <c r="U23" s="273" t="s">
        <v>189</v>
      </c>
      <c r="V23" s="273" t="e">
        <f>_xll.qlMidEquivalent(T23,U23)</f>
        <v>#NUM!</v>
      </c>
      <c r="W23" s="169" t="b">
        <f t="shared" si="2"/>
        <v>0</v>
      </c>
      <c r="X23" s="272" t="e">
        <v>#VALUE!</v>
      </c>
      <c r="Y23" s="162"/>
      <c r="Z23" s="271" t="e">
        <v>#VALUE!</v>
      </c>
      <c r="AA23" s="162"/>
      <c r="AB23" s="170" t="str">
        <f t="shared" si="3"/>
        <v>HKD1L6L15Y_Quote</v>
      </c>
      <c r="AC23" s="270" t="e">
        <v>#VALUE!</v>
      </c>
      <c r="AD23" s="168" t="e">
        <f>_xll.qlSimpleQuoteSetValue($AB23,ROUND($AC23/10000,6),Trigger)</f>
        <v>#NUM!</v>
      </c>
      <c r="AE23" s="158"/>
      <c r="AF23" s="190"/>
      <c r="AG23" s="190"/>
      <c r="AH23" s="190"/>
      <c r="AI23" s="190"/>
      <c r="AJ23" s="190"/>
    </row>
    <row r="24" spans="1:36" x14ac:dyDescent="0.2">
      <c r="A24" s="28"/>
      <c r="B24" s="27" t="s">
        <v>31</v>
      </c>
      <c r="C24" s="26" t="str">
        <f t="shared" si="4"/>
        <v>1L</v>
      </c>
      <c r="D24" s="25" t="str">
        <f t="shared" si="5"/>
        <v>6L</v>
      </c>
      <c r="E24" s="24" t="str">
        <f t="shared" si="0"/>
        <v>HKD1L6L16Y_Quote</v>
      </c>
      <c r="F24" s="24" t="str">
        <f>_xll.qlSimpleQuote(E24,,RateTickValue,Permanent,Trigger,ObjectOverwrite)</f>
        <v>HKD1L6L16Y_Quote#0000</v>
      </c>
      <c r="G24" s="23" t="str">
        <f>_xll.ohRangeRetrieveError(F24)</f>
        <v/>
      </c>
      <c r="H24" s="22"/>
      <c r="N24" s="167">
        <v>16</v>
      </c>
      <c r="O24" s="203" t="s">
        <v>31</v>
      </c>
      <c r="P24" s="202" t="str">
        <v>1L</v>
      </c>
      <c r="Q24" s="202" t="str">
        <v>6L</v>
      </c>
      <c r="R24" s="200" t="str">
        <f t="shared" si="1"/>
        <v>HKD1L6L16Y</v>
      </c>
      <c r="S24" s="165" t="str">
        <v>HKD1L6L16Y=ICAP</v>
      </c>
      <c r="T24" s="273" t="s">
        <v>189</v>
      </c>
      <c r="U24" s="273" t="s">
        <v>189</v>
      </c>
      <c r="V24" s="273" t="e">
        <f>_xll.qlMidEquivalent(T24,U24)</f>
        <v>#NUM!</v>
      </c>
      <c r="W24" s="169" t="b">
        <f t="shared" si="2"/>
        <v>0</v>
      </c>
      <c r="X24" s="272" t="e">
        <v>#VALUE!</v>
      </c>
      <c r="Y24" s="162"/>
      <c r="Z24" s="271" t="e">
        <v>#VALUE!</v>
      </c>
      <c r="AA24" s="162"/>
      <c r="AB24" s="170" t="str">
        <f t="shared" si="3"/>
        <v>HKD1L6L16Y_Quote</v>
      </c>
      <c r="AC24" s="270" t="e">
        <v>#VALUE!</v>
      </c>
      <c r="AD24" s="168" t="e">
        <f>_xll.qlSimpleQuoteSetValue($AB24,ROUND($AC24/10000,6),Trigger)</f>
        <v>#NUM!</v>
      </c>
      <c r="AE24" s="158"/>
      <c r="AF24" s="190"/>
      <c r="AG24" s="190"/>
      <c r="AH24" s="190"/>
      <c r="AI24" s="190"/>
      <c r="AJ24" s="190"/>
    </row>
    <row r="25" spans="1:36" x14ac:dyDescent="0.2">
      <c r="A25" s="28"/>
      <c r="B25" s="27" t="s">
        <v>30</v>
      </c>
      <c r="C25" s="26" t="str">
        <f t="shared" si="4"/>
        <v>1L</v>
      </c>
      <c r="D25" s="25" t="str">
        <f t="shared" si="5"/>
        <v>6L</v>
      </c>
      <c r="E25" s="24" t="str">
        <f t="shared" si="0"/>
        <v>HKD1L6L17Y_Quote</v>
      </c>
      <c r="F25" s="24" t="str">
        <f>_xll.qlSimpleQuote(E25,,RateTickValue,Permanent,Trigger,ObjectOverwrite)</f>
        <v>HKD1L6L17Y_Quote#0000</v>
      </c>
      <c r="G25" s="23" t="str">
        <f>_xll.ohRangeRetrieveError(F25)</f>
        <v/>
      </c>
      <c r="H25" s="22"/>
      <c r="N25" s="167">
        <v>17</v>
      </c>
      <c r="O25" s="203" t="s">
        <v>30</v>
      </c>
      <c r="P25" s="202" t="str">
        <v>1L</v>
      </c>
      <c r="Q25" s="202" t="str">
        <v>6L</v>
      </c>
      <c r="R25" s="200" t="str">
        <f t="shared" si="1"/>
        <v>HKD1L6L17Y</v>
      </c>
      <c r="S25" s="165" t="str">
        <v>HKD1L6L17Y=ICAP</v>
      </c>
      <c r="T25" s="273" t="s">
        <v>189</v>
      </c>
      <c r="U25" s="273" t="s">
        <v>189</v>
      </c>
      <c r="V25" s="273" t="e">
        <f>_xll.qlMidEquivalent(T25,U25)</f>
        <v>#NUM!</v>
      </c>
      <c r="W25" s="169" t="b">
        <f t="shared" si="2"/>
        <v>0</v>
      </c>
      <c r="X25" s="272" t="e">
        <v>#VALUE!</v>
      </c>
      <c r="Y25" s="162"/>
      <c r="Z25" s="271" t="e">
        <v>#VALUE!</v>
      </c>
      <c r="AA25" s="162"/>
      <c r="AB25" s="170" t="str">
        <f t="shared" si="3"/>
        <v>HKD1L6L17Y_Quote</v>
      </c>
      <c r="AC25" s="270" t="e">
        <v>#VALUE!</v>
      </c>
      <c r="AD25" s="168" t="e">
        <f>_xll.qlSimpleQuoteSetValue($AB25,ROUND($AC25/10000,6),Trigger)</f>
        <v>#NUM!</v>
      </c>
      <c r="AE25" s="158"/>
      <c r="AF25" s="190"/>
      <c r="AG25" s="190"/>
      <c r="AH25" s="190"/>
      <c r="AI25" s="190"/>
      <c r="AJ25" s="190"/>
    </row>
    <row r="26" spans="1:36" x14ac:dyDescent="0.2">
      <c r="A26" s="28"/>
      <c r="B26" s="27" t="s">
        <v>29</v>
      </c>
      <c r="C26" s="26" t="str">
        <f t="shared" si="4"/>
        <v>1L</v>
      </c>
      <c r="D26" s="25" t="str">
        <f t="shared" si="5"/>
        <v>6L</v>
      </c>
      <c r="E26" s="24" t="str">
        <f t="shared" si="0"/>
        <v>HKD1L6L18Y_Quote</v>
      </c>
      <c r="F26" s="24" t="str">
        <f>_xll.qlSimpleQuote(E26,,RateTickValue,Permanent,Trigger,ObjectOverwrite)</f>
        <v>HKD1L6L18Y_Quote#0000</v>
      </c>
      <c r="G26" s="23" t="str">
        <f>_xll.ohRangeRetrieveError(F26)</f>
        <v/>
      </c>
      <c r="H26" s="22"/>
      <c r="N26" s="167">
        <v>18</v>
      </c>
      <c r="O26" s="203" t="s">
        <v>29</v>
      </c>
      <c r="P26" s="202" t="str">
        <v>1L</v>
      </c>
      <c r="Q26" s="202" t="str">
        <v>6L</v>
      </c>
      <c r="R26" s="200" t="str">
        <f t="shared" si="1"/>
        <v>HKD1L6L18Y</v>
      </c>
      <c r="S26" s="165" t="str">
        <v>HKD1L6L18Y=ICAP</v>
      </c>
      <c r="T26" s="273" t="s">
        <v>189</v>
      </c>
      <c r="U26" s="273" t="s">
        <v>189</v>
      </c>
      <c r="V26" s="273" t="e">
        <f>_xll.qlMidEquivalent(T26,U26)</f>
        <v>#NUM!</v>
      </c>
      <c r="W26" s="169" t="b">
        <f t="shared" si="2"/>
        <v>0</v>
      </c>
      <c r="X26" s="272" t="e">
        <v>#VALUE!</v>
      </c>
      <c r="Y26" s="162"/>
      <c r="Z26" s="271" t="e">
        <v>#VALUE!</v>
      </c>
      <c r="AA26" s="162"/>
      <c r="AB26" s="170" t="str">
        <f t="shared" si="3"/>
        <v>HKD1L6L18Y_Quote</v>
      </c>
      <c r="AC26" s="270" t="e">
        <v>#VALUE!</v>
      </c>
      <c r="AD26" s="168" t="e">
        <f>_xll.qlSimpleQuoteSetValue($AB26,ROUND($AC26/10000,6),Trigger)</f>
        <v>#NUM!</v>
      </c>
      <c r="AE26" s="158"/>
      <c r="AF26" s="190"/>
      <c r="AG26" s="190"/>
      <c r="AH26" s="190"/>
      <c r="AI26" s="190"/>
      <c r="AJ26" s="190"/>
    </row>
    <row r="27" spans="1:36" x14ac:dyDescent="0.2">
      <c r="A27" s="28"/>
      <c r="B27" s="27" t="s">
        <v>28</v>
      </c>
      <c r="C27" s="26" t="str">
        <f t="shared" si="4"/>
        <v>1L</v>
      </c>
      <c r="D27" s="25" t="str">
        <f t="shared" si="5"/>
        <v>6L</v>
      </c>
      <c r="E27" s="24" t="str">
        <f t="shared" si="0"/>
        <v>HKD1L6L19Y_Quote</v>
      </c>
      <c r="F27" s="24" t="str">
        <f>_xll.qlSimpleQuote(E27,,RateTickValue,Permanent,Trigger,ObjectOverwrite)</f>
        <v>HKD1L6L19Y_Quote#0000</v>
      </c>
      <c r="G27" s="23" t="str">
        <f>_xll.ohRangeRetrieveError(F27)</f>
        <v/>
      </c>
      <c r="H27" s="22"/>
      <c r="N27" s="167">
        <v>19</v>
      </c>
      <c r="O27" s="203" t="s">
        <v>28</v>
      </c>
      <c r="P27" s="202" t="str">
        <v>1L</v>
      </c>
      <c r="Q27" s="202" t="str">
        <v>6L</v>
      </c>
      <c r="R27" s="200" t="str">
        <f t="shared" si="1"/>
        <v>HKD1L6L19Y</v>
      </c>
      <c r="S27" s="165" t="str">
        <v>HKD1L6L19Y=ICAP</v>
      </c>
      <c r="T27" s="273" t="s">
        <v>189</v>
      </c>
      <c r="U27" s="273" t="s">
        <v>189</v>
      </c>
      <c r="V27" s="273" t="e">
        <f>_xll.qlMidEquivalent(T27,U27)</f>
        <v>#NUM!</v>
      </c>
      <c r="W27" s="169" t="b">
        <f t="shared" si="2"/>
        <v>0</v>
      </c>
      <c r="X27" s="272" t="e">
        <v>#VALUE!</v>
      </c>
      <c r="Y27" s="162"/>
      <c r="Z27" s="271" t="e">
        <v>#VALUE!</v>
      </c>
      <c r="AA27" s="162"/>
      <c r="AB27" s="170" t="str">
        <f t="shared" si="3"/>
        <v>HKD1L6L19Y_Quote</v>
      </c>
      <c r="AC27" s="270" t="e">
        <v>#VALUE!</v>
      </c>
      <c r="AD27" s="168" t="e">
        <f>_xll.qlSimpleQuoteSetValue($AB27,ROUND($AC27/10000,6),Trigger)</f>
        <v>#NUM!</v>
      </c>
      <c r="AE27" s="158"/>
      <c r="AF27" s="190"/>
      <c r="AG27" s="190"/>
      <c r="AH27" s="190"/>
      <c r="AI27" s="190"/>
      <c r="AJ27" s="190"/>
    </row>
    <row r="28" spans="1:36" x14ac:dyDescent="0.2">
      <c r="A28" s="28"/>
      <c r="B28" s="27" t="s">
        <v>27</v>
      </c>
      <c r="C28" s="26" t="str">
        <f t="shared" si="4"/>
        <v>1L</v>
      </c>
      <c r="D28" s="25" t="str">
        <f t="shared" si="5"/>
        <v>6L</v>
      </c>
      <c r="E28" s="24" t="str">
        <f t="shared" si="0"/>
        <v>HKD1L6L20Y_Quote</v>
      </c>
      <c r="F28" s="24" t="str">
        <f>_xll.qlSimpleQuote(E28,,RateTickValue,Permanent,Trigger,ObjectOverwrite)</f>
        <v>HKD1L6L20Y_Quote#0000</v>
      </c>
      <c r="G28" s="23" t="str">
        <f>_xll.ohRangeRetrieveError(F28)</f>
        <v/>
      </c>
      <c r="H28" s="22"/>
      <c r="N28" s="167">
        <v>20</v>
      </c>
      <c r="O28" s="203" t="s">
        <v>27</v>
      </c>
      <c r="P28" s="202" t="str">
        <v>1L</v>
      </c>
      <c r="Q28" s="202" t="str">
        <v>6L</v>
      </c>
      <c r="R28" s="200" t="str">
        <f t="shared" si="1"/>
        <v>HKD1L6L20Y</v>
      </c>
      <c r="S28" s="165" t="str">
        <v>HKD1L6L20Y=ICAP</v>
      </c>
      <c r="T28" s="273" t="s">
        <v>189</v>
      </c>
      <c r="U28" s="273" t="s">
        <v>189</v>
      </c>
      <c r="V28" s="273" t="e">
        <f>_xll.qlMidEquivalent(T28,U28)</f>
        <v>#NUM!</v>
      </c>
      <c r="W28" s="169" t="b">
        <f t="shared" si="2"/>
        <v>0</v>
      </c>
      <c r="X28" s="272" t="e">
        <v>#VALUE!</v>
      </c>
      <c r="Y28" s="162"/>
      <c r="Z28" s="271" t="e">
        <v>#VALUE!</v>
      </c>
      <c r="AA28" s="162"/>
      <c r="AB28" s="170" t="str">
        <f t="shared" si="3"/>
        <v>HKD1L6L20Y_Quote</v>
      </c>
      <c r="AC28" s="270" t="e">
        <v>#VALUE!</v>
      </c>
      <c r="AD28" s="168" t="e">
        <f>_xll.qlSimpleQuoteSetValue($AB28,ROUND($AC28/10000,6),Trigger)</f>
        <v>#NUM!</v>
      </c>
      <c r="AE28" s="158"/>
      <c r="AF28" s="190"/>
      <c r="AG28" s="190"/>
      <c r="AH28" s="190"/>
      <c r="AI28" s="190"/>
      <c r="AJ28" s="190"/>
    </row>
    <row r="29" spans="1:36" x14ac:dyDescent="0.2">
      <c r="A29" s="28"/>
      <c r="B29" s="27" t="s">
        <v>26</v>
      </c>
      <c r="C29" s="26" t="str">
        <f t="shared" si="4"/>
        <v>1L</v>
      </c>
      <c r="D29" s="25" t="str">
        <f t="shared" si="5"/>
        <v>6L</v>
      </c>
      <c r="E29" s="24" t="str">
        <f t="shared" si="0"/>
        <v>HKD1L6L21Y_Quote</v>
      </c>
      <c r="F29" s="24" t="str">
        <f>_xll.qlSimpleQuote(E29,,RateTickValue,Permanent,Trigger,ObjectOverwrite)</f>
        <v>HKD1L6L21Y_Quote#0000</v>
      </c>
      <c r="G29" s="23" t="str">
        <f>_xll.ohRangeRetrieveError(F29)</f>
        <v/>
      </c>
      <c r="H29" s="22"/>
      <c r="N29" s="167">
        <v>21</v>
      </c>
      <c r="O29" s="203" t="s">
        <v>26</v>
      </c>
      <c r="P29" s="202" t="str">
        <v>1L</v>
      </c>
      <c r="Q29" s="202" t="str">
        <v>6L</v>
      </c>
      <c r="R29" s="200" t="str">
        <f t="shared" si="1"/>
        <v>HKD1L6L21Y</v>
      </c>
      <c r="S29" s="165" t="str">
        <v>HKD1L6L21Y=ICAP</v>
      </c>
      <c r="T29" s="273" t="s">
        <v>189</v>
      </c>
      <c r="U29" s="273" t="s">
        <v>189</v>
      </c>
      <c r="V29" s="273" t="e">
        <f>_xll.qlMidEquivalent(T29,U29)</f>
        <v>#NUM!</v>
      </c>
      <c r="W29" s="169" t="b">
        <f t="shared" si="2"/>
        <v>0</v>
      </c>
      <c r="X29" s="272" t="e">
        <v>#VALUE!</v>
      </c>
      <c r="Y29" s="162"/>
      <c r="Z29" s="271" t="e">
        <v>#VALUE!</v>
      </c>
      <c r="AA29" s="162"/>
      <c r="AB29" s="170" t="str">
        <f t="shared" si="3"/>
        <v>HKD1L6L21Y_Quote</v>
      </c>
      <c r="AC29" s="270" t="e">
        <v>#VALUE!</v>
      </c>
      <c r="AD29" s="168" t="e">
        <f>_xll.qlSimpleQuoteSetValue($AB29,ROUND($AC29/10000,6),Trigger)</f>
        <v>#NUM!</v>
      </c>
      <c r="AE29" s="158"/>
      <c r="AF29" s="190"/>
      <c r="AG29" s="190"/>
      <c r="AH29" s="190"/>
      <c r="AI29" s="190"/>
      <c r="AJ29" s="190"/>
    </row>
    <row r="30" spans="1:36" x14ac:dyDescent="0.2">
      <c r="A30" s="28"/>
      <c r="B30" s="27" t="s">
        <v>25</v>
      </c>
      <c r="C30" s="26" t="str">
        <f t="shared" si="4"/>
        <v>1L</v>
      </c>
      <c r="D30" s="25" t="str">
        <f t="shared" si="5"/>
        <v>6L</v>
      </c>
      <c r="E30" s="24" t="str">
        <f t="shared" si="0"/>
        <v>HKD1L6L22Y_Quote</v>
      </c>
      <c r="F30" s="24" t="str">
        <f>_xll.qlSimpleQuote(E30,,RateTickValue,Permanent,Trigger,ObjectOverwrite)</f>
        <v>HKD1L6L22Y_Quote#0000</v>
      </c>
      <c r="G30" s="23" t="str">
        <f>_xll.ohRangeRetrieveError(F30)</f>
        <v/>
      </c>
      <c r="H30" s="22"/>
      <c r="N30" s="167">
        <v>22</v>
      </c>
      <c r="O30" s="203" t="s">
        <v>25</v>
      </c>
      <c r="P30" s="202" t="str">
        <v>1L</v>
      </c>
      <c r="Q30" s="202" t="str">
        <v>6L</v>
      </c>
      <c r="R30" s="200" t="str">
        <f t="shared" si="1"/>
        <v>HKD1L6L22Y</v>
      </c>
      <c r="S30" s="165" t="str">
        <v>HKD1L6L22Y=ICAP</v>
      </c>
      <c r="T30" s="273" t="s">
        <v>189</v>
      </c>
      <c r="U30" s="273" t="s">
        <v>189</v>
      </c>
      <c r="V30" s="273" t="e">
        <f>_xll.qlMidEquivalent(T30,U30)</f>
        <v>#NUM!</v>
      </c>
      <c r="W30" s="169" t="b">
        <f t="shared" si="2"/>
        <v>0</v>
      </c>
      <c r="X30" s="272" t="e">
        <v>#VALUE!</v>
      </c>
      <c r="Y30" s="162"/>
      <c r="Z30" s="271" t="e">
        <v>#VALUE!</v>
      </c>
      <c r="AA30" s="162"/>
      <c r="AB30" s="170" t="str">
        <f t="shared" si="3"/>
        <v>HKD1L6L22Y_Quote</v>
      </c>
      <c r="AC30" s="270" t="e">
        <v>#VALUE!</v>
      </c>
      <c r="AD30" s="168" t="e">
        <f>_xll.qlSimpleQuoteSetValue($AB30,ROUND($AC30/10000,6),Trigger)</f>
        <v>#NUM!</v>
      </c>
      <c r="AE30" s="158"/>
      <c r="AF30" s="190"/>
      <c r="AG30" s="190"/>
      <c r="AH30" s="190"/>
      <c r="AI30" s="190"/>
      <c r="AJ30" s="190"/>
    </row>
    <row r="31" spans="1:36" x14ac:dyDescent="0.2">
      <c r="A31" s="28"/>
      <c r="B31" s="27" t="s">
        <v>24</v>
      </c>
      <c r="C31" s="26" t="str">
        <f t="shared" si="4"/>
        <v>1L</v>
      </c>
      <c r="D31" s="25" t="str">
        <f t="shared" si="5"/>
        <v>6L</v>
      </c>
      <c r="E31" s="24" t="str">
        <f t="shared" si="0"/>
        <v>HKD1L6L23Y_Quote</v>
      </c>
      <c r="F31" s="24" t="str">
        <f>_xll.qlSimpleQuote(E31,,RateTickValue,Permanent,Trigger,ObjectOverwrite)</f>
        <v>HKD1L6L23Y_Quote#0000</v>
      </c>
      <c r="G31" s="23" t="str">
        <f>_xll.ohRangeRetrieveError(F31)</f>
        <v/>
      </c>
      <c r="H31" s="22"/>
      <c r="N31" s="167">
        <v>23</v>
      </c>
      <c r="O31" s="203" t="s">
        <v>24</v>
      </c>
      <c r="P31" s="202" t="str">
        <v>1L</v>
      </c>
      <c r="Q31" s="202" t="str">
        <v>6L</v>
      </c>
      <c r="R31" s="200" t="str">
        <f t="shared" si="1"/>
        <v>HKD1L6L23Y</v>
      </c>
      <c r="S31" s="165" t="str">
        <v>HKD1L6L23Y=ICAP</v>
      </c>
      <c r="T31" s="273" t="s">
        <v>189</v>
      </c>
      <c r="U31" s="273" t="s">
        <v>189</v>
      </c>
      <c r="V31" s="273" t="e">
        <f>_xll.qlMidEquivalent(T31,U31)</f>
        <v>#NUM!</v>
      </c>
      <c r="W31" s="169" t="b">
        <f t="shared" si="2"/>
        <v>0</v>
      </c>
      <c r="X31" s="272" t="e">
        <v>#VALUE!</v>
      </c>
      <c r="Y31" s="162"/>
      <c r="Z31" s="271" t="e">
        <v>#VALUE!</v>
      </c>
      <c r="AA31" s="162"/>
      <c r="AB31" s="170" t="str">
        <f t="shared" si="3"/>
        <v>HKD1L6L23Y_Quote</v>
      </c>
      <c r="AC31" s="270" t="e">
        <v>#VALUE!</v>
      </c>
      <c r="AD31" s="168" t="e">
        <f>_xll.qlSimpleQuoteSetValue($AB31,ROUND($AC31/10000,6),Trigger)</f>
        <v>#NUM!</v>
      </c>
      <c r="AE31" s="158"/>
      <c r="AF31" s="190"/>
      <c r="AG31" s="190"/>
      <c r="AH31" s="190"/>
      <c r="AI31" s="190"/>
      <c r="AJ31" s="190"/>
    </row>
    <row r="32" spans="1:36" x14ac:dyDescent="0.2">
      <c r="A32" s="28"/>
      <c r="B32" s="27" t="s">
        <v>23</v>
      </c>
      <c r="C32" s="26" t="str">
        <f t="shared" si="4"/>
        <v>1L</v>
      </c>
      <c r="D32" s="25" t="str">
        <f t="shared" si="5"/>
        <v>6L</v>
      </c>
      <c r="E32" s="24" t="str">
        <f t="shared" si="0"/>
        <v>HKD1L6L24Y_Quote</v>
      </c>
      <c r="F32" s="24" t="str">
        <f>_xll.qlSimpleQuote(E32,,RateTickValue,Permanent,Trigger,ObjectOverwrite)</f>
        <v>HKD1L6L24Y_Quote#0000</v>
      </c>
      <c r="G32" s="23" t="str">
        <f>_xll.ohRangeRetrieveError(F32)</f>
        <v/>
      </c>
      <c r="H32" s="22"/>
      <c r="N32" s="167">
        <v>24</v>
      </c>
      <c r="O32" s="203" t="s">
        <v>23</v>
      </c>
      <c r="P32" s="202" t="str">
        <v>1L</v>
      </c>
      <c r="Q32" s="202" t="str">
        <v>6L</v>
      </c>
      <c r="R32" s="200" t="str">
        <f t="shared" si="1"/>
        <v>HKD1L6L24Y</v>
      </c>
      <c r="S32" s="165" t="str">
        <v>HKD1L6L24Y=ICAP</v>
      </c>
      <c r="T32" s="273" t="s">
        <v>189</v>
      </c>
      <c r="U32" s="273" t="s">
        <v>189</v>
      </c>
      <c r="V32" s="273" t="e">
        <f>_xll.qlMidEquivalent(T32,U32)</f>
        <v>#NUM!</v>
      </c>
      <c r="W32" s="169" t="b">
        <f t="shared" si="2"/>
        <v>0</v>
      </c>
      <c r="X32" s="272" t="e">
        <v>#VALUE!</v>
      </c>
      <c r="Y32" s="162"/>
      <c r="Z32" s="271" t="e">
        <v>#VALUE!</v>
      </c>
      <c r="AA32" s="162"/>
      <c r="AB32" s="170" t="str">
        <f t="shared" si="3"/>
        <v>HKD1L6L24Y_Quote</v>
      </c>
      <c r="AC32" s="270" t="e">
        <v>#VALUE!</v>
      </c>
      <c r="AD32" s="168" t="e">
        <f>_xll.qlSimpleQuoteSetValue($AB32,ROUND($AC32/10000,6),Trigger)</f>
        <v>#NUM!</v>
      </c>
      <c r="AE32" s="158"/>
      <c r="AF32" s="190"/>
      <c r="AG32" s="190"/>
      <c r="AH32" s="190"/>
      <c r="AI32" s="190"/>
      <c r="AJ32" s="190"/>
    </row>
    <row r="33" spans="1:36" x14ac:dyDescent="0.2">
      <c r="A33" s="28"/>
      <c r="B33" s="27" t="s">
        <v>22</v>
      </c>
      <c r="C33" s="26" t="str">
        <f t="shared" si="4"/>
        <v>1L</v>
      </c>
      <c r="D33" s="25" t="str">
        <f t="shared" si="5"/>
        <v>6L</v>
      </c>
      <c r="E33" s="24" t="str">
        <f t="shared" si="0"/>
        <v>HKD1L6L25Y_Quote</v>
      </c>
      <c r="F33" s="24" t="str">
        <f>_xll.qlSimpleQuote(E33,,RateTickValue,Permanent,Trigger,ObjectOverwrite)</f>
        <v>HKD1L6L25Y_Quote#0000</v>
      </c>
      <c r="G33" s="23" t="str">
        <f>_xll.ohRangeRetrieveError(F33)</f>
        <v/>
      </c>
      <c r="H33" s="22"/>
      <c r="N33" s="167">
        <v>25</v>
      </c>
      <c r="O33" s="203" t="s">
        <v>22</v>
      </c>
      <c r="P33" s="202" t="str">
        <v>1L</v>
      </c>
      <c r="Q33" s="202" t="str">
        <v>6L</v>
      </c>
      <c r="R33" s="200" t="str">
        <f t="shared" si="1"/>
        <v>HKD1L6L25Y</v>
      </c>
      <c r="S33" s="165" t="str">
        <v>HKD1L6L25Y=ICAP</v>
      </c>
      <c r="T33" s="273" t="s">
        <v>189</v>
      </c>
      <c r="U33" s="273" t="s">
        <v>189</v>
      </c>
      <c r="V33" s="273" t="e">
        <f>_xll.qlMidEquivalent(T33,U33)</f>
        <v>#NUM!</v>
      </c>
      <c r="W33" s="169" t="b">
        <f t="shared" si="2"/>
        <v>0</v>
      </c>
      <c r="X33" s="272" t="e">
        <v>#VALUE!</v>
      </c>
      <c r="Y33" s="162"/>
      <c r="Z33" s="271" t="e">
        <v>#VALUE!</v>
      </c>
      <c r="AA33" s="162"/>
      <c r="AB33" s="170" t="str">
        <f t="shared" si="3"/>
        <v>HKD1L6L25Y_Quote</v>
      </c>
      <c r="AC33" s="270" t="e">
        <v>#VALUE!</v>
      </c>
      <c r="AD33" s="168" t="e">
        <f>_xll.qlSimpleQuoteSetValue($AB33,ROUND($AC33/10000,6),Trigger)</f>
        <v>#NUM!</v>
      </c>
      <c r="AE33" s="158"/>
      <c r="AF33" s="190"/>
      <c r="AG33" s="190"/>
      <c r="AH33" s="190"/>
      <c r="AI33" s="190"/>
      <c r="AJ33" s="190"/>
    </row>
    <row r="34" spans="1:36" x14ac:dyDescent="0.2">
      <c r="A34" s="28"/>
      <c r="B34" s="27" t="s">
        <v>21</v>
      </c>
      <c r="C34" s="26" t="str">
        <f t="shared" si="4"/>
        <v>1L</v>
      </c>
      <c r="D34" s="25" t="str">
        <f t="shared" si="5"/>
        <v>6L</v>
      </c>
      <c r="E34" s="24" t="str">
        <f t="shared" si="0"/>
        <v>HKD1L6L26Y_Quote</v>
      </c>
      <c r="F34" s="24" t="str">
        <f>_xll.qlSimpleQuote(E34,,RateTickValue,Permanent,Trigger,ObjectOverwrite)</f>
        <v>HKD1L6L26Y_Quote#0000</v>
      </c>
      <c r="G34" s="23" t="str">
        <f>_xll.ohRangeRetrieveError(F34)</f>
        <v/>
      </c>
      <c r="H34" s="22"/>
      <c r="N34" s="167">
        <v>26</v>
      </c>
      <c r="O34" s="203" t="s">
        <v>21</v>
      </c>
      <c r="P34" s="202" t="str">
        <v>1L</v>
      </c>
      <c r="Q34" s="202" t="str">
        <v>6L</v>
      </c>
      <c r="R34" s="200" t="str">
        <f t="shared" si="1"/>
        <v>HKD1L6L26Y</v>
      </c>
      <c r="S34" s="165" t="str">
        <v>HKD1L6L26Y=ICAP</v>
      </c>
      <c r="T34" s="273" t="s">
        <v>189</v>
      </c>
      <c r="U34" s="273" t="s">
        <v>189</v>
      </c>
      <c r="V34" s="273" t="e">
        <f>_xll.qlMidEquivalent(T34,U34)</f>
        <v>#NUM!</v>
      </c>
      <c r="W34" s="169" t="b">
        <f t="shared" si="2"/>
        <v>0</v>
      </c>
      <c r="X34" s="272" t="e">
        <v>#VALUE!</v>
      </c>
      <c r="Y34" s="162"/>
      <c r="Z34" s="271" t="e">
        <v>#VALUE!</v>
      </c>
      <c r="AA34" s="162"/>
      <c r="AB34" s="170" t="str">
        <f t="shared" si="3"/>
        <v>HKD1L6L26Y_Quote</v>
      </c>
      <c r="AC34" s="270" t="e">
        <v>#VALUE!</v>
      </c>
      <c r="AD34" s="168" t="e">
        <f>_xll.qlSimpleQuoteSetValue($AB34,ROUND($AC34/10000,6),Trigger)</f>
        <v>#NUM!</v>
      </c>
      <c r="AE34" s="158"/>
      <c r="AF34" s="190"/>
      <c r="AG34" s="190"/>
      <c r="AH34" s="190"/>
      <c r="AI34" s="190"/>
      <c r="AJ34" s="190"/>
    </row>
    <row r="35" spans="1:36" x14ac:dyDescent="0.2">
      <c r="A35" s="28"/>
      <c r="B35" s="27" t="s">
        <v>20</v>
      </c>
      <c r="C35" s="26" t="str">
        <f t="shared" si="4"/>
        <v>1L</v>
      </c>
      <c r="D35" s="25" t="str">
        <f t="shared" si="5"/>
        <v>6L</v>
      </c>
      <c r="E35" s="24" t="str">
        <f t="shared" si="0"/>
        <v>HKD1L6L27Y_Quote</v>
      </c>
      <c r="F35" s="24" t="str">
        <f>_xll.qlSimpleQuote(E35,,RateTickValue,Permanent,Trigger,ObjectOverwrite)</f>
        <v>HKD1L6L27Y_Quote#0000</v>
      </c>
      <c r="G35" s="23" t="str">
        <f>_xll.ohRangeRetrieveError(F35)</f>
        <v/>
      </c>
      <c r="H35" s="22"/>
      <c r="N35" s="167">
        <v>27</v>
      </c>
      <c r="O35" s="203" t="s">
        <v>20</v>
      </c>
      <c r="P35" s="202" t="str">
        <v>1L</v>
      </c>
      <c r="Q35" s="202" t="str">
        <v>6L</v>
      </c>
      <c r="R35" s="200" t="str">
        <f t="shared" si="1"/>
        <v>HKD1L6L27Y</v>
      </c>
      <c r="S35" s="165" t="str">
        <v>HKD1L6L27Y=ICAP</v>
      </c>
      <c r="T35" s="273" t="s">
        <v>189</v>
      </c>
      <c r="U35" s="273" t="s">
        <v>189</v>
      </c>
      <c r="V35" s="273" t="e">
        <f>_xll.qlMidEquivalent(T35,U35)</f>
        <v>#NUM!</v>
      </c>
      <c r="W35" s="169" t="b">
        <f t="shared" si="2"/>
        <v>0</v>
      </c>
      <c r="X35" s="272" t="e">
        <v>#VALUE!</v>
      </c>
      <c r="Y35" s="162"/>
      <c r="Z35" s="271" t="e">
        <v>#VALUE!</v>
      </c>
      <c r="AA35" s="162"/>
      <c r="AB35" s="170" t="str">
        <f t="shared" si="3"/>
        <v>HKD1L6L27Y_Quote</v>
      </c>
      <c r="AC35" s="270" t="e">
        <v>#VALUE!</v>
      </c>
      <c r="AD35" s="168" t="e">
        <f>_xll.qlSimpleQuoteSetValue($AB35,ROUND($AC35/10000,6),Trigger)</f>
        <v>#NUM!</v>
      </c>
      <c r="AE35" s="158"/>
      <c r="AF35" s="190"/>
      <c r="AG35" s="190"/>
      <c r="AH35" s="190"/>
      <c r="AI35" s="190"/>
      <c r="AJ35" s="190"/>
    </row>
    <row r="36" spans="1:36" x14ac:dyDescent="0.2">
      <c r="A36" s="28"/>
      <c r="B36" s="27" t="s">
        <v>19</v>
      </c>
      <c r="C36" s="26" t="str">
        <f t="shared" si="4"/>
        <v>1L</v>
      </c>
      <c r="D36" s="25" t="str">
        <f t="shared" si="5"/>
        <v>6L</v>
      </c>
      <c r="E36" s="24" t="str">
        <f t="shared" si="0"/>
        <v>HKD1L6L28Y_Quote</v>
      </c>
      <c r="F36" s="24" t="str">
        <f>_xll.qlSimpleQuote(E36,,RateTickValue,Permanent,Trigger,ObjectOverwrite)</f>
        <v>HKD1L6L28Y_Quote#0000</v>
      </c>
      <c r="G36" s="23" t="str">
        <f>_xll.ohRangeRetrieveError(F36)</f>
        <v/>
      </c>
      <c r="H36" s="22"/>
      <c r="N36" s="167">
        <v>28</v>
      </c>
      <c r="O36" s="203" t="s">
        <v>19</v>
      </c>
      <c r="P36" s="202" t="str">
        <v>1L</v>
      </c>
      <c r="Q36" s="202" t="str">
        <v>6L</v>
      </c>
      <c r="R36" s="200" t="str">
        <f t="shared" si="1"/>
        <v>HKD1L6L28Y</v>
      </c>
      <c r="S36" s="165" t="str">
        <v>HKD1L6L28Y=ICAP</v>
      </c>
      <c r="T36" s="273" t="s">
        <v>189</v>
      </c>
      <c r="U36" s="273" t="s">
        <v>189</v>
      </c>
      <c r="V36" s="273" t="e">
        <f>_xll.qlMidEquivalent(T36,U36)</f>
        <v>#NUM!</v>
      </c>
      <c r="W36" s="169" t="b">
        <f t="shared" si="2"/>
        <v>0</v>
      </c>
      <c r="X36" s="272" t="e">
        <v>#VALUE!</v>
      </c>
      <c r="Y36" s="162"/>
      <c r="Z36" s="271" t="e">
        <v>#VALUE!</v>
      </c>
      <c r="AA36" s="162"/>
      <c r="AB36" s="170" t="str">
        <f t="shared" si="3"/>
        <v>HKD1L6L28Y_Quote</v>
      </c>
      <c r="AC36" s="270" t="e">
        <v>#VALUE!</v>
      </c>
      <c r="AD36" s="168" t="e">
        <f>_xll.qlSimpleQuoteSetValue($AB36,ROUND($AC36/10000,6),Trigger)</f>
        <v>#NUM!</v>
      </c>
      <c r="AE36" s="158"/>
      <c r="AF36" s="190"/>
      <c r="AG36" s="190"/>
      <c r="AH36" s="190"/>
      <c r="AI36" s="190"/>
      <c r="AJ36" s="190"/>
    </row>
    <row r="37" spans="1:36" x14ac:dyDescent="0.2">
      <c r="A37" s="28"/>
      <c r="B37" s="27" t="s">
        <v>18</v>
      </c>
      <c r="C37" s="26" t="str">
        <f t="shared" si="4"/>
        <v>1L</v>
      </c>
      <c r="D37" s="25" t="str">
        <f t="shared" si="5"/>
        <v>6L</v>
      </c>
      <c r="E37" s="24" t="str">
        <f t="shared" si="0"/>
        <v>HKD1L6L29Y_Quote</v>
      </c>
      <c r="F37" s="24" t="str">
        <f>_xll.qlSimpleQuote(E37,,RateTickValue,Permanent,Trigger,ObjectOverwrite)</f>
        <v>HKD1L6L29Y_Quote#0000</v>
      </c>
      <c r="G37" s="23" t="str">
        <f>_xll.ohRangeRetrieveError(F37)</f>
        <v/>
      </c>
      <c r="H37" s="22"/>
      <c r="N37" s="167">
        <v>29</v>
      </c>
      <c r="O37" s="203" t="s">
        <v>18</v>
      </c>
      <c r="P37" s="202" t="str">
        <v>1L</v>
      </c>
      <c r="Q37" s="202" t="str">
        <v>6L</v>
      </c>
      <c r="R37" s="200" t="str">
        <f t="shared" si="1"/>
        <v>HKD1L6L29Y</v>
      </c>
      <c r="S37" s="165" t="str">
        <v>HKD1L6L29Y=ICAP</v>
      </c>
      <c r="T37" s="273" t="s">
        <v>189</v>
      </c>
      <c r="U37" s="273" t="s">
        <v>189</v>
      </c>
      <c r="V37" s="273" t="e">
        <f>_xll.qlMidEquivalent(T37,U37)</f>
        <v>#NUM!</v>
      </c>
      <c r="W37" s="169" t="b">
        <f t="shared" si="2"/>
        <v>0</v>
      </c>
      <c r="X37" s="272" t="e">
        <v>#VALUE!</v>
      </c>
      <c r="Y37" s="162"/>
      <c r="Z37" s="271" t="e">
        <v>#VALUE!</v>
      </c>
      <c r="AA37" s="162"/>
      <c r="AB37" s="170" t="str">
        <f t="shared" si="3"/>
        <v>HKD1L6L29Y_Quote</v>
      </c>
      <c r="AC37" s="270" t="e">
        <v>#VALUE!</v>
      </c>
      <c r="AD37" s="168" t="e">
        <f>_xll.qlSimpleQuoteSetValue($AB37,ROUND($AC37/10000,6),Trigger)</f>
        <v>#NUM!</v>
      </c>
      <c r="AE37" s="158"/>
      <c r="AF37" s="190"/>
      <c r="AG37" s="190"/>
      <c r="AH37" s="190"/>
      <c r="AI37" s="190"/>
      <c r="AJ37" s="190"/>
    </row>
    <row r="38" spans="1:36" x14ac:dyDescent="0.2">
      <c r="A38" s="28"/>
      <c r="B38" s="27" t="s">
        <v>17</v>
      </c>
      <c r="C38" s="26" t="str">
        <f t="shared" si="4"/>
        <v>1L</v>
      </c>
      <c r="D38" s="25" t="str">
        <f t="shared" si="5"/>
        <v>6L</v>
      </c>
      <c r="E38" s="24" t="str">
        <f t="shared" si="0"/>
        <v>HKD1L6L30Y_Quote</v>
      </c>
      <c r="F38" s="24" t="str">
        <f>_xll.qlSimpleQuote(E38,,RateTickValue,Permanent,Trigger,ObjectOverwrite)</f>
        <v>HKD1L6L30Y_Quote#0000</v>
      </c>
      <c r="G38" s="23" t="str">
        <f>_xll.ohRangeRetrieveError(F38)</f>
        <v/>
      </c>
      <c r="H38" s="22"/>
      <c r="N38" s="167">
        <v>30</v>
      </c>
      <c r="O38" s="203" t="s">
        <v>17</v>
      </c>
      <c r="P38" s="202" t="str">
        <v>1L</v>
      </c>
      <c r="Q38" s="202" t="str">
        <v>6L</v>
      </c>
      <c r="R38" s="200" t="str">
        <f t="shared" si="1"/>
        <v>HKD1L6L30Y</v>
      </c>
      <c r="S38" s="165" t="str">
        <v>HKD1L6L30Y=ICAP</v>
      </c>
      <c r="T38" s="273" t="s">
        <v>189</v>
      </c>
      <c r="U38" s="273" t="s">
        <v>189</v>
      </c>
      <c r="V38" s="273" t="e">
        <f>_xll.qlMidEquivalent(T38,U38)</f>
        <v>#NUM!</v>
      </c>
      <c r="W38" s="169" t="b">
        <f t="shared" si="2"/>
        <v>0</v>
      </c>
      <c r="X38" s="272" t="e">
        <v>#VALUE!</v>
      </c>
      <c r="Y38" s="162"/>
      <c r="Z38" s="271" t="e">
        <v>#VALUE!</v>
      </c>
      <c r="AA38" s="162"/>
      <c r="AB38" s="170" t="str">
        <f t="shared" si="3"/>
        <v>HKD1L6L30Y_Quote</v>
      </c>
      <c r="AC38" s="270" t="e">
        <v>#VALUE!</v>
      </c>
      <c r="AD38" s="168" t="e">
        <f>_xll.qlSimpleQuoteSetValue($AB38,ROUND($AC38/10000,6),Trigger)</f>
        <v>#NUM!</v>
      </c>
      <c r="AE38" s="158"/>
      <c r="AF38" s="190"/>
      <c r="AG38" s="190"/>
      <c r="AH38" s="190"/>
      <c r="AI38" s="190"/>
      <c r="AJ38" s="190"/>
    </row>
    <row r="39" spans="1:36" x14ac:dyDescent="0.2">
      <c r="A39" s="28"/>
      <c r="B39" s="27" t="s">
        <v>16</v>
      </c>
      <c r="C39" s="26" t="str">
        <f t="shared" si="4"/>
        <v>1L</v>
      </c>
      <c r="D39" s="25" t="str">
        <f t="shared" si="5"/>
        <v>6L</v>
      </c>
      <c r="E39" s="24" t="str">
        <f t="shared" si="0"/>
        <v>HKD1L6L35Y_Quote</v>
      </c>
      <c r="F39" s="24" t="str">
        <f>_xll.qlSimpleQuote(E39,,RateTickValue,Permanent,Trigger,ObjectOverwrite)</f>
        <v>HKD1L6L35Y_Quote#0000</v>
      </c>
      <c r="G39" s="23" t="str">
        <f>_xll.ohRangeRetrieveError(F39)</f>
        <v/>
      </c>
      <c r="H39" s="22"/>
      <c r="N39" s="167">
        <v>35</v>
      </c>
      <c r="O39" s="203" t="s">
        <v>16</v>
      </c>
      <c r="P39" s="202" t="str">
        <v>1L</v>
      </c>
      <c r="Q39" s="202" t="str">
        <v>6L</v>
      </c>
      <c r="R39" s="200" t="str">
        <f t="shared" si="1"/>
        <v>HKD1L6L35Y</v>
      </c>
      <c r="S39" s="165" t="str">
        <v>HKD1L6L35Y=ICAP</v>
      </c>
      <c r="T39" s="273" t="s">
        <v>189</v>
      </c>
      <c r="U39" s="273" t="s">
        <v>189</v>
      </c>
      <c r="V39" s="273" t="e">
        <f>_xll.qlMidEquivalent(T39,U39)</f>
        <v>#NUM!</v>
      </c>
      <c r="W39" s="169" t="b">
        <f t="shared" si="2"/>
        <v>0</v>
      </c>
      <c r="X39" s="272" t="e">
        <v>#VALUE!</v>
      </c>
      <c r="Y39" s="162"/>
      <c r="Z39" s="271" t="e">
        <v>#VALUE!</v>
      </c>
      <c r="AA39" s="162"/>
      <c r="AB39" s="170" t="str">
        <f t="shared" si="3"/>
        <v>HKD1L6L35Y_Quote</v>
      </c>
      <c r="AC39" s="270" t="e">
        <v>#VALUE!</v>
      </c>
      <c r="AD39" s="168" t="e">
        <f>_xll.qlSimpleQuoteSetValue($AB39,ROUND($AC39/10000,6),Trigger)</f>
        <v>#NUM!</v>
      </c>
      <c r="AE39" s="158"/>
      <c r="AF39" s="190"/>
      <c r="AG39" s="190"/>
      <c r="AH39" s="190"/>
      <c r="AI39" s="190"/>
      <c r="AJ39" s="190"/>
    </row>
    <row r="40" spans="1:36" x14ac:dyDescent="0.2">
      <c r="A40" s="28"/>
      <c r="B40" s="27" t="s">
        <v>15</v>
      </c>
      <c r="C40" s="26" t="str">
        <f t="shared" si="4"/>
        <v>1L</v>
      </c>
      <c r="D40" s="25" t="str">
        <f t="shared" si="5"/>
        <v>6L</v>
      </c>
      <c r="E40" s="24" t="str">
        <f t="shared" si="0"/>
        <v>HKD1L6L40Y_Quote</v>
      </c>
      <c r="F40" s="24" t="str">
        <f>_xll.qlSimpleQuote(E40,,RateTickValue,Permanent,Trigger,ObjectOverwrite)</f>
        <v>HKD1L6L40Y_Quote#0000</v>
      </c>
      <c r="G40" s="23" t="str">
        <f>_xll.ohRangeRetrieveError(F40)</f>
        <v/>
      </c>
      <c r="H40" s="22"/>
      <c r="N40" s="167">
        <v>40</v>
      </c>
      <c r="O40" s="203" t="s">
        <v>15</v>
      </c>
      <c r="P40" s="202" t="str">
        <v>1L</v>
      </c>
      <c r="Q40" s="202" t="str">
        <v>6L</v>
      </c>
      <c r="R40" s="200" t="str">
        <f t="shared" si="1"/>
        <v>HKD1L6L40Y</v>
      </c>
      <c r="S40" s="165" t="str">
        <v>HKD1L6L40Y=ICAP</v>
      </c>
      <c r="T40" s="273" t="s">
        <v>189</v>
      </c>
      <c r="U40" s="273" t="s">
        <v>189</v>
      </c>
      <c r="V40" s="273" t="e">
        <f>_xll.qlMidEquivalent(T40,U40)</f>
        <v>#NUM!</v>
      </c>
      <c r="W40" s="169" t="b">
        <f t="shared" si="2"/>
        <v>0</v>
      </c>
      <c r="X40" s="272" t="e">
        <v>#VALUE!</v>
      </c>
      <c r="Y40" s="162"/>
      <c r="Z40" s="271" t="e">
        <v>#VALUE!</v>
      </c>
      <c r="AA40" s="162"/>
      <c r="AB40" s="170" t="str">
        <f t="shared" si="3"/>
        <v>HKD1L6L40Y_Quote</v>
      </c>
      <c r="AC40" s="270" t="e">
        <v>#VALUE!</v>
      </c>
      <c r="AD40" s="168" t="e">
        <f>_xll.qlSimpleQuoteSetValue($AB40,ROUND($AC40/10000,6),Trigger)</f>
        <v>#NUM!</v>
      </c>
      <c r="AE40" s="158"/>
      <c r="AF40" s="190"/>
      <c r="AG40" s="190"/>
      <c r="AH40" s="190"/>
      <c r="AI40" s="190"/>
      <c r="AJ40" s="190"/>
    </row>
    <row r="41" spans="1:36" x14ac:dyDescent="0.2">
      <c r="A41" s="28"/>
      <c r="B41" s="27" t="s">
        <v>14</v>
      </c>
      <c r="C41" s="26" t="str">
        <f t="shared" si="4"/>
        <v>1L</v>
      </c>
      <c r="D41" s="25" t="str">
        <f t="shared" si="5"/>
        <v>6L</v>
      </c>
      <c r="E41" s="24" t="str">
        <f t="shared" si="0"/>
        <v>HKD1L6L50Y_Quote</v>
      </c>
      <c r="F41" s="24" t="str">
        <f>_xll.qlSimpleQuote(E41,,RateTickValue,Permanent,Trigger,ObjectOverwrite)</f>
        <v>HKD1L6L50Y_Quote#0000</v>
      </c>
      <c r="G41" s="23" t="str">
        <f>_xll.ohRangeRetrieveError(F41)</f>
        <v/>
      </c>
      <c r="H41" s="22"/>
      <c r="N41" s="167">
        <v>50</v>
      </c>
      <c r="O41" s="203" t="s">
        <v>14</v>
      </c>
      <c r="P41" s="202" t="str">
        <v>1L</v>
      </c>
      <c r="Q41" s="202" t="str">
        <v>6L</v>
      </c>
      <c r="R41" s="200" t="str">
        <f t="shared" si="1"/>
        <v>HKD1L6L50Y</v>
      </c>
      <c r="S41" s="165" t="str">
        <v>HKD1L6L50Y=ICAP</v>
      </c>
      <c r="T41" s="273" t="s">
        <v>189</v>
      </c>
      <c r="U41" s="273" t="s">
        <v>189</v>
      </c>
      <c r="V41" s="273" t="e">
        <f>_xll.qlMidEquivalent(T41,U41)</f>
        <v>#NUM!</v>
      </c>
      <c r="W41" s="169" t="b">
        <f t="shared" si="2"/>
        <v>0</v>
      </c>
      <c r="X41" s="272" t="e">
        <v>#VALUE!</v>
      </c>
      <c r="Y41" s="162"/>
      <c r="Z41" s="271" t="e">
        <v>#VALUE!</v>
      </c>
      <c r="AA41" s="162"/>
      <c r="AB41" s="170" t="str">
        <f t="shared" si="3"/>
        <v>HKD1L6L50Y_Quote</v>
      </c>
      <c r="AC41" s="270" t="e">
        <v>#VALUE!</v>
      </c>
      <c r="AD41" s="168" t="e">
        <f>_xll.qlSimpleQuoteSetValue($AB41,ROUND($AC41/10000,6),Trigger)</f>
        <v>#NUM!</v>
      </c>
      <c r="AE41" s="158"/>
      <c r="AF41" s="190"/>
      <c r="AG41" s="190"/>
      <c r="AH41" s="190"/>
      <c r="AI41" s="190"/>
      <c r="AJ41" s="190"/>
    </row>
    <row r="42" spans="1:36" x14ac:dyDescent="0.2">
      <c r="A42" s="28"/>
      <c r="B42" s="27" t="s">
        <v>13</v>
      </c>
      <c r="C42" s="26" t="str">
        <f t="shared" si="4"/>
        <v>1L</v>
      </c>
      <c r="D42" s="25" t="str">
        <f t="shared" si="5"/>
        <v>6L</v>
      </c>
      <c r="E42" s="24" t="str">
        <f t="shared" si="0"/>
        <v>HKD1L6L60Y_Quote</v>
      </c>
      <c r="F42" s="24" t="str">
        <f>_xll.qlSimpleQuote(E42,,RateTickValue,Permanent,Trigger,ObjectOverwrite)</f>
        <v>HKD1L6L60Y_Quote#0000</v>
      </c>
      <c r="G42" s="23" t="str">
        <f>_xll.ohRangeRetrieveError(F42)</f>
        <v/>
      </c>
      <c r="H42" s="22"/>
      <c r="N42" s="167">
        <v>60</v>
      </c>
      <c r="O42" s="203" t="s">
        <v>13</v>
      </c>
      <c r="P42" s="202" t="str">
        <v>1L</v>
      </c>
      <c r="Q42" s="202" t="str">
        <v>6L</v>
      </c>
      <c r="R42" s="200" t="str">
        <f t="shared" si="1"/>
        <v>HKD1L6L60Y</v>
      </c>
      <c r="S42" s="165" t="str">
        <v>HKD1L6L60Y=ICAP</v>
      </c>
      <c r="T42" s="273" t="s">
        <v>189</v>
      </c>
      <c r="U42" s="273" t="s">
        <v>189</v>
      </c>
      <c r="V42" s="273" t="e">
        <f>_xll.qlMidEquivalent(T42,U42)</f>
        <v>#NUM!</v>
      </c>
      <c r="W42" s="169" t="b">
        <f t="shared" si="2"/>
        <v>0</v>
      </c>
      <c r="X42" s="272" t="e">
        <v>#VALUE!</v>
      </c>
      <c r="Y42" s="162"/>
      <c r="Z42" s="271" t="e">
        <v>#VALUE!</v>
      </c>
      <c r="AA42" s="162"/>
      <c r="AB42" s="170" t="str">
        <f t="shared" si="3"/>
        <v>HKD1L6L60Y_Quote</v>
      </c>
      <c r="AC42" s="270" t="e">
        <v>#VALUE!</v>
      </c>
      <c r="AD42" s="168" t="e">
        <f>_xll.qlSimpleQuoteSetValue($AB42,ROUND($AC42/10000,6),Trigger)</f>
        <v>#NUM!</v>
      </c>
      <c r="AE42" s="158"/>
      <c r="AF42" s="190"/>
      <c r="AG42" s="190"/>
      <c r="AH42" s="190"/>
      <c r="AI42" s="190"/>
      <c r="AJ42" s="190"/>
    </row>
    <row r="43" spans="1:36" ht="12" thickBot="1" x14ac:dyDescent="0.25">
      <c r="A43" s="21"/>
      <c r="B43" s="20"/>
      <c r="C43" s="20"/>
      <c r="D43" s="20"/>
      <c r="E43" s="20"/>
      <c r="F43" s="19"/>
      <c r="G43" s="19"/>
      <c r="H43" s="18"/>
      <c r="N43" s="157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5"/>
      <c r="Z43" s="156"/>
      <c r="AA43" s="155"/>
      <c r="AB43" s="156"/>
      <c r="AC43" s="156"/>
      <c r="AD43" s="156"/>
      <c r="AE43" s="257"/>
      <c r="AF43" s="190"/>
      <c r="AG43" s="190"/>
      <c r="AH43" s="190"/>
      <c r="AI43" s="190"/>
      <c r="AJ43" s="190"/>
    </row>
    <row r="44" spans="1:36" x14ac:dyDescent="0.2"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0"/>
      <c r="AH44" s="190"/>
      <c r="AI44" s="190"/>
      <c r="AJ44" s="190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workbookViewId="0"/>
  </sheetViews>
  <sheetFormatPr defaultRowHeight="12.75" x14ac:dyDescent="0.2"/>
  <cols>
    <col min="1" max="1" width="2.7109375" style="38" customWidth="1"/>
    <col min="2" max="2" width="6.5703125" style="38" bestFit="1" customWidth="1"/>
    <col min="3" max="4" width="2.7109375" style="38" bestFit="1" customWidth="1"/>
    <col min="5" max="5" width="17.85546875" style="38" bestFit="1" customWidth="1"/>
    <col min="6" max="6" width="19.7109375" style="38" bestFit="1" customWidth="1"/>
    <col min="7" max="7" width="36.28515625" style="38" customWidth="1"/>
    <col min="8" max="9" width="2.7109375" style="38" customWidth="1"/>
    <col min="10" max="12" width="3.5703125" style="38" customWidth="1"/>
    <col min="13" max="13" width="2.7109375" style="38" customWidth="1"/>
    <col min="14" max="24" width="9.140625" style="38"/>
    <col min="25" max="25" width="2.7109375" style="38" customWidth="1"/>
    <col min="26" max="26" width="9.140625" style="38"/>
    <col min="27" max="27" width="2.7109375" style="38" customWidth="1"/>
    <col min="28" max="30" width="9.140625" style="38"/>
    <col min="31" max="32" width="2.7109375" style="38" customWidth="1"/>
    <col min="33" max="33" width="4.5703125" style="38" bestFit="1" customWidth="1"/>
    <col min="34" max="35" width="3.140625" style="38" bestFit="1" customWidth="1"/>
    <col min="36" max="16384" width="9.140625" style="38"/>
  </cols>
  <sheetData>
    <row r="1" spans="1:38" x14ac:dyDescent="0.2">
      <c r="A1" s="38" t="s">
        <v>179</v>
      </c>
      <c r="N1" s="221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6"/>
      <c r="AF1" s="190"/>
      <c r="AG1" s="190"/>
      <c r="AH1" s="190"/>
      <c r="AI1" s="190"/>
      <c r="AJ1" s="190"/>
      <c r="AK1" s="190"/>
      <c r="AL1" s="190"/>
    </row>
    <row r="2" spans="1:38" x14ac:dyDescent="0.2">
      <c r="N2" s="185"/>
      <c r="O2" s="220"/>
      <c r="P2" s="162"/>
      <c r="Q2" s="162"/>
      <c r="R2" s="162"/>
      <c r="S2" s="184" t="s">
        <v>149</v>
      </c>
      <c r="T2" s="162"/>
      <c r="U2" s="162"/>
      <c r="V2" s="162"/>
      <c r="W2" s="162"/>
      <c r="X2" s="220"/>
      <c r="Y2" s="162"/>
      <c r="Z2" s="162"/>
      <c r="AA2" s="162"/>
      <c r="AB2" s="275" t="s">
        <v>141</v>
      </c>
      <c r="AC2" s="184" t="s">
        <v>2</v>
      </c>
      <c r="AD2" s="220"/>
      <c r="AE2" s="183"/>
      <c r="AF2" s="190"/>
      <c r="AG2" s="190"/>
      <c r="AH2" s="190"/>
      <c r="AI2" s="190"/>
      <c r="AJ2" s="190"/>
      <c r="AK2" s="190"/>
      <c r="AL2" s="190"/>
    </row>
    <row r="3" spans="1:38" x14ac:dyDescent="0.2">
      <c r="A3" s="48"/>
      <c r="B3" s="47"/>
      <c r="C3" s="47"/>
      <c r="D3" s="47"/>
      <c r="E3" s="49"/>
      <c r="F3" s="50"/>
      <c r="G3" s="49"/>
      <c r="H3" s="44"/>
      <c r="N3" s="167"/>
      <c r="O3" s="162"/>
      <c r="P3" s="220"/>
      <c r="Q3" s="220"/>
      <c r="R3" s="220"/>
      <c r="S3" s="220" t="e">
        <f>_xll.qlInterpolation(,InterpolationType,_xll.ohFilter(N5:N42,W5:W42),_xll.ohFilter(V5:V42,W5:W42))</f>
        <v>#NUM!</v>
      </c>
      <c r="T3" s="220"/>
      <c r="U3" s="220"/>
      <c r="V3" s="220"/>
      <c r="W3" s="220"/>
      <c r="X3" s="220"/>
      <c r="Y3" s="162"/>
      <c r="Z3" s="162"/>
      <c r="AA3" s="162"/>
      <c r="AB3" s="220"/>
      <c r="AC3" s="220"/>
      <c r="AD3" s="181">
        <f>_xll.ohTrigger(AD5:AD42)</f>
        <v>1</v>
      </c>
      <c r="AE3" s="158"/>
      <c r="AF3" s="190"/>
      <c r="AG3" s="190"/>
      <c r="AH3" s="190"/>
      <c r="AI3" s="190"/>
      <c r="AJ3" s="190"/>
      <c r="AK3" s="190"/>
      <c r="AL3" s="190"/>
    </row>
    <row r="4" spans="1:38" ht="23.25" thickBot="1" x14ac:dyDescent="0.25">
      <c r="A4" s="28"/>
      <c r="B4" s="42" t="s">
        <v>61</v>
      </c>
      <c r="C4" s="43"/>
      <c r="D4" s="42"/>
      <c r="E4" s="41" t="str">
        <f>Currency&amp;"_010_Sw"&amp;$C$6&amp;$D$6&amp;".xml"</f>
        <v>HKD_010_Sw3L6L.xml</v>
      </c>
      <c r="F4" s="40" t="e">
        <f ca="1">IF(Serialize,_xll.ohObjectSave(F5:F42,SerializationPath&amp;E4,FileOverwrite,,Serialize),"---")</f>
        <v>#NUM!</v>
      </c>
      <c r="G4" s="23" t="str">
        <f ca="1">_xll.ohRangeRetrieveError(F4)</f>
        <v>ohObjectSave - ObjectHandler error: attempt to retrieve object with unknown ID 'HKD3L6L6M_Quote'</v>
      </c>
      <c r="H4" s="329" t="s">
        <v>182</v>
      </c>
      <c r="N4" s="167"/>
      <c r="O4" s="263"/>
      <c r="P4" s="217"/>
      <c r="Q4" s="217"/>
      <c r="R4" s="217"/>
      <c r="S4" s="180" t="e">
        <f ca="1">_xll.RData(S5:S42,T4:U4,,ReutersRtMode,,T5)</f>
        <v>#NAME?</v>
      </c>
      <c r="T4" s="216" t="s">
        <v>160</v>
      </c>
      <c r="U4" s="216" t="s">
        <v>145</v>
      </c>
      <c r="V4" s="216" t="s">
        <v>164</v>
      </c>
      <c r="W4" s="216"/>
      <c r="X4" s="176" t="s">
        <v>163</v>
      </c>
      <c r="Y4" s="162"/>
      <c r="Z4" s="178" t="s">
        <v>139</v>
      </c>
      <c r="AA4" s="162"/>
      <c r="AB4" s="177" t="s">
        <v>138</v>
      </c>
      <c r="AC4" s="262" t="s">
        <v>137</v>
      </c>
      <c r="AD4" s="261" t="s">
        <v>136</v>
      </c>
      <c r="AE4" s="158"/>
      <c r="AF4" s="190"/>
      <c r="AG4" s="190"/>
      <c r="AH4" s="190"/>
      <c r="AI4" s="190"/>
      <c r="AJ4" s="190"/>
      <c r="AK4" s="215" t="s">
        <v>165</v>
      </c>
      <c r="AL4" s="190"/>
    </row>
    <row r="5" spans="1:38" x14ac:dyDescent="0.2">
      <c r="A5" s="28"/>
      <c r="B5" s="39" t="s">
        <v>60</v>
      </c>
      <c r="C5" s="26" t="str">
        <f>VLOOKUP(Currency,$J$10:$L$14,2)</f>
        <v>3L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HKD3L6L6M_Quote</v>
      </c>
      <c r="F5" s="24" t="str">
        <f>_xll.qlSimpleQuote(E5,,RateTickValue,Permanent,Trigger,ObjectOverwrite)</f>
        <v>HKD3L6L6M_Quote#0000</v>
      </c>
      <c r="G5" s="23" t="str">
        <f>_xll.ohRangeRetrieveError(F5)</f>
        <v/>
      </c>
      <c r="H5" s="22"/>
      <c r="N5" s="274">
        <v>0.5</v>
      </c>
      <c r="O5" s="203" t="s">
        <v>60</v>
      </c>
      <c r="P5" s="202" t="str">
        <f t="array" ref="P5:P42">VLOOKUP(Currency,Conventions,2)</f>
        <v>3L</v>
      </c>
      <c r="Q5" s="202" t="str">
        <f t="array" ref="Q5:Q42">VLOOKUP(Currency,Conventions,3)</f>
        <v>6L</v>
      </c>
      <c r="R5" s="200" t="str">
        <f t="shared" ref="R5:R42" si="1">Currency&amp;$P5&amp;$Q5&amp;$O5</f>
        <v>HKD3L6L6M</v>
      </c>
      <c r="S5" s="165" t="str">
        <f t="array" ref="S5:S42">Instruments&amp;"="&amp;VLOOKUP(Contributor,ContributorTable,2,FALSE)</f>
        <v>HKD3L6L6M=ICAP</v>
      </c>
      <c r="T5" s="273" t="s">
        <v>189</v>
      </c>
      <c r="U5" s="273" t="s">
        <v>189</v>
      </c>
      <c r="V5" s="273" t="e">
        <f>_xll.qlMidEquivalent(T5,U5)</f>
        <v>#NUM!</v>
      </c>
      <c r="W5" s="169" t="b">
        <f t="shared" ref="W5:W42" si="2">IF(ISNUMBER(V5),TRUE,FALSE)</f>
        <v>0</v>
      </c>
      <c r="X5" s="279" t="e">
        <f t="array" ref="X5:X41">_xll.qlInterpolationInterpolate(S3,N5:N42)</f>
        <v>#VALUE!</v>
      </c>
      <c r="Y5" s="162"/>
      <c r="Z5" s="271" t="e">
        <v>#VALUE!</v>
      </c>
      <c r="AA5" s="162"/>
      <c r="AB5" s="170" t="str">
        <f t="shared" ref="AB5:AB42" si="3">$R5&amp;$AC$2</f>
        <v>HKD3L6L6M_Quote</v>
      </c>
      <c r="AC5" s="270" t="e">
        <f t="array" ref="AC5:AC42">QuoteStatic</f>
        <v>#VALUE!</v>
      </c>
      <c r="AD5" s="168" t="e">
        <f>_xll.qlSimpleQuoteSetValue($AB5,ROUND($AC5/10000,6),Trigger)</f>
        <v>#NUM!</v>
      </c>
      <c r="AE5" s="158"/>
      <c r="AF5" s="190"/>
      <c r="AG5" s="256" t="s">
        <v>54</v>
      </c>
      <c r="AH5" s="269" t="s">
        <v>42</v>
      </c>
      <c r="AI5" s="268" t="s">
        <v>45</v>
      </c>
      <c r="AJ5" s="190" t="str">
        <f t="shared" ref="AJ5:AJ42" si="4">O5</f>
        <v>6M</v>
      </c>
      <c r="AK5" s="276" t="e">
        <f>((#REF!-Swap3M!U5)*100-AC5)/10000</f>
        <v>#REF!</v>
      </c>
      <c r="AL5" s="190"/>
    </row>
    <row r="6" spans="1:38" x14ac:dyDescent="0.2">
      <c r="A6" s="28"/>
      <c r="B6" s="39" t="s">
        <v>59</v>
      </c>
      <c r="C6" s="26" t="str">
        <f t="shared" ref="C6:C42" si="5">C5</f>
        <v>3L</v>
      </c>
      <c r="D6" s="25" t="str">
        <f t="shared" ref="D6:D42" si="6">D5</f>
        <v>6L</v>
      </c>
      <c r="E6" s="24" t="str">
        <f t="shared" si="0"/>
        <v>HKD3L6L1Y_Quote</v>
      </c>
      <c r="F6" s="24" t="str">
        <f>_xll.qlSimpleQuote(E6,,RateTickValue,Permanent,Trigger,ObjectOverwrite)</f>
        <v>HKD3L6L1Y_Quote#0000</v>
      </c>
      <c r="G6" s="23" t="str">
        <f>_xll.ohRangeRetrieveError(F6)</f>
        <v/>
      </c>
      <c r="H6" s="22"/>
      <c r="N6" s="274">
        <v>1</v>
      </c>
      <c r="O6" s="203" t="s">
        <v>59</v>
      </c>
      <c r="P6" s="202" t="str">
        <v>3L</v>
      </c>
      <c r="Q6" s="202" t="str">
        <v>6L</v>
      </c>
      <c r="R6" s="200" t="str">
        <f t="shared" si="1"/>
        <v>HKD3L6L1Y</v>
      </c>
      <c r="S6" s="165" t="str">
        <v>HKD3L6L1Y=ICAP</v>
      </c>
      <c r="T6" s="273" t="s">
        <v>189</v>
      </c>
      <c r="U6" s="273" t="s">
        <v>189</v>
      </c>
      <c r="V6" s="273" t="e">
        <f>_xll.qlMidEquivalent(T6,U6)</f>
        <v>#NUM!</v>
      </c>
      <c r="W6" s="169" t="b">
        <f t="shared" si="2"/>
        <v>0</v>
      </c>
      <c r="X6" s="279" t="e">
        <v>#VALUE!</v>
      </c>
      <c r="Y6" s="162"/>
      <c r="Z6" s="271" t="e">
        <v>#VALUE!</v>
      </c>
      <c r="AA6" s="162"/>
      <c r="AB6" s="170" t="str">
        <f t="shared" si="3"/>
        <v>HKD3L6L1Y_Quote</v>
      </c>
      <c r="AC6" s="270" t="e">
        <v>#VALUE!</v>
      </c>
      <c r="AD6" s="168" t="e">
        <f>_xll.qlSimpleQuoteSetValue($AB6,ROUND($AC6/10000,6),Trigger)</f>
        <v>#NUM!</v>
      </c>
      <c r="AE6" s="158"/>
      <c r="AF6" s="190"/>
      <c r="AG6" s="239" t="s">
        <v>52</v>
      </c>
      <c r="AH6" s="189" t="s">
        <v>62</v>
      </c>
      <c r="AI6" s="238" t="s">
        <v>50</v>
      </c>
      <c r="AJ6" s="190" t="str">
        <f t="shared" si="4"/>
        <v>1Y</v>
      </c>
      <c r="AK6" s="276" t="e">
        <f>((#REF!-Swap3M!U6)*100-AC6)/10000</f>
        <v>#REF!</v>
      </c>
      <c r="AL6" s="190"/>
    </row>
    <row r="7" spans="1:38" x14ac:dyDescent="0.2">
      <c r="A7" s="28"/>
      <c r="B7" s="39" t="s">
        <v>58</v>
      </c>
      <c r="C7" s="26" t="str">
        <f t="shared" si="5"/>
        <v>3L</v>
      </c>
      <c r="D7" s="25" t="str">
        <f t="shared" si="6"/>
        <v>6L</v>
      </c>
      <c r="E7" s="24" t="str">
        <f t="shared" si="0"/>
        <v>HKD3L6L15M_Quote</v>
      </c>
      <c r="F7" s="24" t="str">
        <f>_xll.qlSimpleQuote(E7,,RateTickValue,Permanent,Trigger,ObjectOverwrite)</f>
        <v>HKD3L6L15M_Quote#0000</v>
      </c>
      <c r="G7" s="23" t="str">
        <f>_xll.ohRangeRetrieveError(F7)</f>
        <v/>
      </c>
      <c r="H7" s="22"/>
      <c r="N7" s="274">
        <v>1.25</v>
      </c>
      <c r="O7" s="203" t="s">
        <v>58</v>
      </c>
      <c r="P7" s="202" t="str">
        <v>3L</v>
      </c>
      <c r="Q7" s="202" t="str">
        <v>6L</v>
      </c>
      <c r="R7" s="200" t="str">
        <f t="shared" si="1"/>
        <v>HKD3L6L15M</v>
      </c>
      <c r="S7" s="165" t="str">
        <v>HKD3L6L15M=ICAP</v>
      </c>
      <c r="T7" s="273" t="s">
        <v>189</v>
      </c>
      <c r="U7" s="273" t="s">
        <v>189</v>
      </c>
      <c r="V7" s="273" t="e">
        <f>_xll.qlMidEquivalent(T7,U7)</f>
        <v>#NUM!</v>
      </c>
      <c r="W7" s="169" t="b">
        <f t="shared" si="2"/>
        <v>0</v>
      </c>
      <c r="X7" s="279" t="e">
        <v>#VALUE!</v>
      </c>
      <c r="Y7" s="162"/>
      <c r="Z7" s="271" t="e">
        <v>#VALUE!</v>
      </c>
      <c r="AA7" s="162"/>
      <c r="AB7" s="170" t="str">
        <f t="shared" si="3"/>
        <v>HKD3L6L15M_Quote</v>
      </c>
      <c r="AC7" s="270" t="e">
        <v>#VALUE!</v>
      </c>
      <c r="AD7" s="168" t="e">
        <f>_xll.qlSimpleQuoteSetValue($AB7,ROUND($AC7/10000,6),Trigger)</f>
        <v>#NUM!</v>
      </c>
      <c r="AE7" s="158"/>
      <c r="AF7" s="190"/>
      <c r="AG7" s="239" t="s">
        <v>48</v>
      </c>
      <c r="AH7" s="189" t="s">
        <v>42</v>
      </c>
      <c r="AI7" s="238" t="s">
        <v>45</v>
      </c>
      <c r="AJ7" s="190" t="str">
        <f t="shared" si="4"/>
        <v>15M</v>
      </c>
      <c r="AK7" s="276" t="e">
        <f>((#REF!-Swap3M!U7)*100-AC7)/10000</f>
        <v>#REF!</v>
      </c>
      <c r="AL7" s="190"/>
    </row>
    <row r="8" spans="1:38" x14ac:dyDescent="0.2">
      <c r="A8" s="28"/>
      <c r="B8" s="39" t="s">
        <v>57</v>
      </c>
      <c r="C8" s="26" t="str">
        <f t="shared" si="5"/>
        <v>3L</v>
      </c>
      <c r="D8" s="25" t="str">
        <f t="shared" si="6"/>
        <v>6L</v>
      </c>
      <c r="E8" s="24" t="str">
        <f t="shared" si="0"/>
        <v>HKD3L6L18M_Quote</v>
      </c>
      <c r="F8" s="24" t="str">
        <f>_xll.qlSimpleQuote(E8,,RateTickValue,Permanent,Trigger,ObjectOverwrite)</f>
        <v>HKD3L6L18M_Quote#0000</v>
      </c>
      <c r="G8" s="23" t="str">
        <f>_xll.ohRangeRetrieveError(F8)</f>
        <v/>
      </c>
      <c r="H8" s="22"/>
      <c r="N8" s="274">
        <v>1.5</v>
      </c>
      <c r="O8" s="203" t="s">
        <v>57</v>
      </c>
      <c r="P8" s="202" t="str">
        <v>3L</v>
      </c>
      <c r="Q8" s="202" t="str">
        <v>6L</v>
      </c>
      <c r="R8" s="200" t="str">
        <f t="shared" si="1"/>
        <v>HKD3L6L18M</v>
      </c>
      <c r="S8" s="165" t="str">
        <v>HKD3L6L18M=ICAP</v>
      </c>
      <c r="T8" s="273" t="s">
        <v>189</v>
      </c>
      <c r="U8" s="273" t="s">
        <v>189</v>
      </c>
      <c r="V8" s="273" t="e">
        <f>_xll.qlMidEquivalent(T8,U8)</f>
        <v>#NUM!</v>
      </c>
      <c r="W8" s="169" t="b">
        <f t="shared" si="2"/>
        <v>0</v>
      </c>
      <c r="X8" s="279" t="e">
        <v>#VALUE!</v>
      </c>
      <c r="Y8" s="162"/>
      <c r="Z8" s="271" t="e">
        <v>#VALUE!</v>
      </c>
      <c r="AA8" s="162"/>
      <c r="AB8" s="170" t="str">
        <f t="shared" si="3"/>
        <v>HKD3L6L18M_Quote</v>
      </c>
      <c r="AC8" s="270" t="e">
        <v>#VALUE!</v>
      </c>
      <c r="AD8" s="168" t="e">
        <f>_xll.qlSimpleQuoteSetValue($AB8,ROUND($AC8/10000,6),Trigger)</f>
        <v>#NUM!</v>
      </c>
      <c r="AE8" s="158"/>
      <c r="AF8" s="190"/>
      <c r="AG8" s="239" t="s">
        <v>46</v>
      </c>
      <c r="AH8" s="189" t="s">
        <v>42</v>
      </c>
      <c r="AI8" s="238" t="s">
        <v>45</v>
      </c>
      <c r="AJ8" s="190" t="str">
        <f t="shared" si="4"/>
        <v>18M</v>
      </c>
      <c r="AK8" s="276" t="e">
        <f>((#REF!-Swap3M!U8)*100-AC8)/10000</f>
        <v>#REF!</v>
      </c>
      <c r="AL8" s="190"/>
    </row>
    <row r="9" spans="1:38" ht="13.5" thickBot="1" x14ac:dyDescent="0.25">
      <c r="A9" s="28"/>
      <c r="B9" s="39" t="s">
        <v>56</v>
      </c>
      <c r="C9" s="26" t="str">
        <f t="shared" si="5"/>
        <v>3L</v>
      </c>
      <c r="D9" s="25" t="str">
        <f t="shared" si="6"/>
        <v>6L</v>
      </c>
      <c r="E9" s="24" t="str">
        <f t="shared" si="0"/>
        <v>HKD3L6L21M_Quote</v>
      </c>
      <c r="F9" s="24" t="str">
        <f>_xll.qlSimpleQuote(E9,,RateTickValue,Permanent,Trigger,ObjectOverwrite)</f>
        <v>HKD3L6L21M_Quote#0000</v>
      </c>
      <c r="G9" s="23" t="str">
        <f>_xll.ohRangeRetrieveError(F9)</f>
        <v/>
      </c>
      <c r="H9" s="22"/>
      <c r="N9" s="274">
        <v>1.75</v>
      </c>
      <c r="O9" s="203" t="s">
        <v>56</v>
      </c>
      <c r="P9" s="202" t="str">
        <v>3L</v>
      </c>
      <c r="Q9" s="202" t="str">
        <v>6L</v>
      </c>
      <c r="R9" s="200" t="str">
        <f t="shared" si="1"/>
        <v>HKD3L6L21M</v>
      </c>
      <c r="S9" s="165" t="str">
        <v>HKD3L6L21M=ICAP</v>
      </c>
      <c r="T9" s="273" t="s">
        <v>189</v>
      </c>
      <c r="U9" s="273" t="s">
        <v>189</v>
      </c>
      <c r="V9" s="273" t="e">
        <f>_xll.qlMidEquivalent(T9,U9)</f>
        <v>#NUM!</v>
      </c>
      <c r="W9" s="169" t="b">
        <f t="shared" si="2"/>
        <v>0</v>
      </c>
      <c r="X9" s="279" t="e">
        <v>#VALUE!</v>
      </c>
      <c r="Y9" s="162"/>
      <c r="Z9" s="271" t="e">
        <v>#VALUE!</v>
      </c>
      <c r="AA9" s="162"/>
      <c r="AB9" s="170" t="str">
        <f t="shared" si="3"/>
        <v>HKD3L6L21M_Quote</v>
      </c>
      <c r="AC9" s="270" t="e">
        <v>#VALUE!</v>
      </c>
      <c r="AD9" s="168" t="e">
        <f>_xll.qlSimpleQuoteSetValue($AB9,ROUND($AC9/10000,6),Trigger)</f>
        <v>#NUM!</v>
      </c>
      <c r="AE9" s="158"/>
      <c r="AF9" s="190"/>
      <c r="AG9" s="237" t="s">
        <v>43</v>
      </c>
      <c r="AH9" s="267" t="s">
        <v>45</v>
      </c>
      <c r="AI9" s="236" t="s">
        <v>42</v>
      </c>
      <c r="AJ9" s="190" t="str">
        <f t="shared" si="4"/>
        <v>21M</v>
      </c>
      <c r="AK9" s="276" t="e">
        <f>((#REF!-Swap3M!U9)*100-AC9)/10000</f>
        <v>#REF!</v>
      </c>
      <c r="AL9" s="190"/>
    </row>
    <row r="10" spans="1:38" x14ac:dyDescent="0.2">
      <c r="A10" s="28"/>
      <c r="B10" s="27" t="s">
        <v>55</v>
      </c>
      <c r="C10" s="26" t="str">
        <f t="shared" si="5"/>
        <v>3L</v>
      </c>
      <c r="D10" s="25" t="str">
        <f t="shared" si="6"/>
        <v>6L</v>
      </c>
      <c r="E10" s="24" t="str">
        <f t="shared" si="0"/>
        <v>HKD3L6L2Y_Quote</v>
      </c>
      <c r="F10" s="24" t="str">
        <f>_xll.qlSimpleQuote(E10,,RateTickValue,Permanent,Trigger,ObjectOverwrite)</f>
        <v>HKD3L6L2Y_Quote#0000</v>
      </c>
      <c r="G10" s="23" t="str">
        <f>_xll.ohRangeRetrieveError(F10)</f>
        <v/>
      </c>
      <c r="H10" s="22"/>
      <c r="J10" s="37" t="s">
        <v>54</v>
      </c>
      <c r="K10" s="36" t="s">
        <v>42</v>
      </c>
      <c r="L10" s="35" t="s">
        <v>45</v>
      </c>
      <c r="N10" s="167">
        <v>2</v>
      </c>
      <c r="O10" s="203" t="s">
        <v>55</v>
      </c>
      <c r="P10" s="202" t="str">
        <v>3L</v>
      </c>
      <c r="Q10" s="202" t="str">
        <v>6L</v>
      </c>
      <c r="R10" s="200" t="str">
        <f t="shared" si="1"/>
        <v>HKD3L6L2Y</v>
      </c>
      <c r="S10" s="165" t="str">
        <v>HKD3L6L2Y=ICAP</v>
      </c>
      <c r="T10" s="273" t="s">
        <v>189</v>
      </c>
      <c r="U10" s="273" t="s">
        <v>189</v>
      </c>
      <c r="V10" s="273" t="e">
        <f>_xll.qlMidEquivalent(T10,U10)</f>
        <v>#NUM!</v>
      </c>
      <c r="W10" s="169" t="b">
        <f t="shared" si="2"/>
        <v>0</v>
      </c>
      <c r="X10" s="279" t="e">
        <v>#VALUE!</v>
      </c>
      <c r="Y10" s="162"/>
      <c r="Z10" s="271" t="e">
        <v>#VALUE!</v>
      </c>
      <c r="AA10" s="162"/>
      <c r="AB10" s="170" t="str">
        <f t="shared" si="3"/>
        <v>HKD3L6L2Y_Quote</v>
      </c>
      <c r="AC10" s="270" t="e">
        <v>#VALUE!</v>
      </c>
      <c r="AD10" s="168" t="e">
        <f>_xll.qlSimpleQuoteSetValue($AB10,ROUND($AC10/10000,6),Trigger)</f>
        <v>#NUM!</v>
      </c>
      <c r="AE10" s="158"/>
      <c r="AF10" s="190"/>
      <c r="AG10" s="190"/>
      <c r="AH10" s="190"/>
      <c r="AI10" s="190"/>
      <c r="AJ10" s="190" t="str">
        <f t="shared" si="4"/>
        <v>2Y</v>
      </c>
      <c r="AK10" s="276" t="e">
        <f>((#REF!-Swap3M!U10)*100-AC10)/10000</f>
        <v>#REF!</v>
      </c>
      <c r="AL10" s="190"/>
    </row>
    <row r="11" spans="1:38" x14ac:dyDescent="0.2">
      <c r="A11" s="28"/>
      <c r="B11" s="27" t="s">
        <v>53</v>
      </c>
      <c r="C11" s="26" t="str">
        <f t="shared" si="5"/>
        <v>3L</v>
      </c>
      <c r="D11" s="25" t="str">
        <f t="shared" si="6"/>
        <v>6L</v>
      </c>
      <c r="E11" s="24" t="str">
        <f t="shared" si="0"/>
        <v>HKD3L6L3Y_Quote</v>
      </c>
      <c r="F11" s="24" t="str">
        <f>_xll.qlSimpleQuote(E11,,RateTickValue,Permanent,Trigger,ObjectOverwrite)</f>
        <v>HKD3L6L3Y_Quote#0000</v>
      </c>
      <c r="G11" s="23" t="str">
        <f>_xll.ohRangeRetrieveError(F11)</f>
        <v/>
      </c>
      <c r="H11" s="22"/>
      <c r="J11" s="34" t="s">
        <v>52</v>
      </c>
      <c r="K11" s="33" t="s">
        <v>62</v>
      </c>
      <c r="L11" s="32" t="s">
        <v>50</v>
      </c>
      <c r="N11" s="167">
        <v>3</v>
      </c>
      <c r="O11" s="203" t="s">
        <v>53</v>
      </c>
      <c r="P11" s="202" t="str">
        <v>3L</v>
      </c>
      <c r="Q11" s="202" t="str">
        <v>6L</v>
      </c>
      <c r="R11" s="200" t="str">
        <f t="shared" si="1"/>
        <v>HKD3L6L3Y</v>
      </c>
      <c r="S11" s="165" t="str">
        <v>HKD3L6L3Y=ICAP</v>
      </c>
      <c r="T11" s="273" t="s">
        <v>189</v>
      </c>
      <c r="U11" s="273" t="s">
        <v>189</v>
      </c>
      <c r="V11" s="273" t="e">
        <f>_xll.qlMidEquivalent(T11,U11)</f>
        <v>#NUM!</v>
      </c>
      <c r="W11" s="169" t="b">
        <f t="shared" si="2"/>
        <v>0</v>
      </c>
      <c r="X11" s="279" t="e">
        <v>#VALUE!</v>
      </c>
      <c r="Y11" s="162"/>
      <c r="Z11" s="271" t="e">
        <v>#VALUE!</v>
      </c>
      <c r="AA11" s="162"/>
      <c r="AB11" s="170" t="str">
        <f t="shared" si="3"/>
        <v>HKD3L6L3Y_Quote</v>
      </c>
      <c r="AC11" s="270" t="e">
        <v>#VALUE!</v>
      </c>
      <c r="AD11" s="168" t="e">
        <f>_xll.qlSimpleQuoteSetValue($AB11,ROUND($AC11/10000,6),Trigger)</f>
        <v>#NUM!</v>
      </c>
      <c r="AE11" s="158"/>
      <c r="AF11" s="190"/>
      <c r="AG11" s="190"/>
      <c r="AH11" s="190"/>
      <c r="AI11" s="190"/>
      <c r="AJ11" s="190" t="str">
        <f t="shared" si="4"/>
        <v>3Y</v>
      </c>
      <c r="AK11" s="276" t="e">
        <f>((#REF!-Swap3M!U11)*100-AC11)/10000</f>
        <v>#REF!</v>
      </c>
      <c r="AL11" s="190"/>
    </row>
    <row r="12" spans="1:38" x14ac:dyDescent="0.2">
      <c r="A12" s="28"/>
      <c r="B12" s="27" t="s">
        <v>49</v>
      </c>
      <c r="C12" s="26" t="str">
        <f t="shared" si="5"/>
        <v>3L</v>
      </c>
      <c r="D12" s="25" t="str">
        <f t="shared" si="6"/>
        <v>6L</v>
      </c>
      <c r="E12" s="24" t="str">
        <f t="shared" si="0"/>
        <v>HKD3L6L4Y_Quote</v>
      </c>
      <c r="F12" s="24" t="str">
        <f>_xll.qlSimpleQuote(E12,,RateTickValue,Permanent,Trigger,ObjectOverwrite)</f>
        <v>HKD3L6L4Y_Quote#0000</v>
      </c>
      <c r="G12" s="23" t="str">
        <f>_xll.ohRangeRetrieveError(F12)</f>
        <v/>
      </c>
      <c r="H12" s="22"/>
      <c r="J12" s="34" t="s">
        <v>48</v>
      </c>
      <c r="K12" s="33" t="s">
        <v>42</v>
      </c>
      <c r="L12" s="32" t="s">
        <v>45</v>
      </c>
      <c r="N12" s="167">
        <v>4</v>
      </c>
      <c r="O12" s="203" t="s">
        <v>49</v>
      </c>
      <c r="P12" s="202" t="str">
        <v>3L</v>
      </c>
      <c r="Q12" s="202" t="str">
        <v>6L</v>
      </c>
      <c r="R12" s="200" t="str">
        <f t="shared" si="1"/>
        <v>HKD3L6L4Y</v>
      </c>
      <c r="S12" s="165" t="str">
        <v>HKD3L6L4Y=ICAP</v>
      </c>
      <c r="T12" s="273" t="s">
        <v>189</v>
      </c>
      <c r="U12" s="273" t="s">
        <v>189</v>
      </c>
      <c r="V12" s="273" t="e">
        <f>_xll.qlMidEquivalent(T12,U12)</f>
        <v>#NUM!</v>
      </c>
      <c r="W12" s="169" t="b">
        <f t="shared" si="2"/>
        <v>0</v>
      </c>
      <c r="X12" s="279" t="e">
        <v>#VALUE!</v>
      </c>
      <c r="Y12" s="162"/>
      <c r="Z12" s="271" t="e">
        <v>#VALUE!</v>
      </c>
      <c r="AA12" s="162"/>
      <c r="AB12" s="170" t="str">
        <f t="shared" si="3"/>
        <v>HKD3L6L4Y_Quote</v>
      </c>
      <c r="AC12" s="270" t="e">
        <v>#VALUE!</v>
      </c>
      <c r="AD12" s="168" t="e">
        <f>_xll.qlSimpleQuoteSetValue($AB12,ROUND($AC12/10000,6),Trigger)</f>
        <v>#NUM!</v>
      </c>
      <c r="AE12" s="158"/>
      <c r="AF12" s="190"/>
      <c r="AG12" s="190"/>
      <c r="AH12" s="190"/>
      <c r="AI12" s="190"/>
      <c r="AJ12" s="190" t="str">
        <f t="shared" si="4"/>
        <v>4Y</v>
      </c>
      <c r="AK12" s="276" t="e">
        <f>((#REF!-Swap3M!U12)*100-AC12)/10000</f>
        <v>#REF!</v>
      </c>
      <c r="AL12" s="190"/>
    </row>
    <row r="13" spans="1:38" x14ac:dyDescent="0.2">
      <c r="A13" s="28"/>
      <c r="B13" s="27" t="s">
        <v>47</v>
      </c>
      <c r="C13" s="26" t="str">
        <f t="shared" si="5"/>
        <v>3L</v>
      </c>
      <c r="D13" s="25" t="str">
        <f t="shared" si="6"/>
        <v>6L</v>
      </c>
      <c r="E13" s="24" t="str">
        <f t="shared" si="0"/>
        <v>HKD3L6L5Y_Quote</v>
      </c>
      <c r="F13" s="24" t="str">
        <f>_xll.qlSimpleQuote(E13,,RateTickValue,Permanent,Trigger,ObjectOverwrite)</f>
        <v>HKD3L6L5Y_Quote#0000</v>
      </c>
      <c r="G13" s="23" t="str">
        <f>_xll.ohRangeRetrieveError(F13)</f>
        <v/>
      </c>
      <c r="H13" s="22"/>
      <c r="J13" s="34" t="s">
        <v>46</v>
      </c>
      <c r="K13" s="33" t="s">
        <v>42</v>
      </c>
      <c r="L13" s="32" t="s">
        <v>45</v>
      </c>
      <c r="N13" s="167">
        <v>5</v>
      </c>
      <c r="O13" s="203" t="s">
        <v>47</v>
      </c>
      <c r="P13" s="202" t="str">
        <v>3L</v>
      </c>
      <c r="Q13" s="202" t="str">
        <v>6L</v>
      </c>
      <c r="R13" s="200" t="str">
        <f t="shared" si="1"/>
        <v>HKD3L6L5Y</v>
      </c>
      <c r="S13" s="165" t="str">
        <v>HKD3L6L5Y=ICAP</v>
      </c>
      <c r="T13" s="273" t="s">
        <v>189</v>
      </c>
      <c r="U13" s="273" t="s">
        <v>189</v>
      </c>
      <c r="V13" s="273" t="e">
        <f>_xll.qlMidEquivalent(T13,U13)</f>
        <v>#NUM!</v>
      </c>
      <c r="W13" s="169" t="b">
        <f t="shared" si="2"/>
        <v>0</v>
      </c>
      <c r="X13" s="279" t="e">
        <v>#VALUE!</v>
      </c>
      <c r="Y13" s="162"/>
      <c r="Z13" s="271" t="e">
        <v>#VALUE!</v>
      </c>
      <c r="AA13" s="162"/>
      <c r="AB13" s="170" t="str">
        <f t="shared" si="3"/>
        <v>HKD3L6L5Y_Quote</v>
      </c>
      <c r="AC13" s="270" t="e">
        <v>#VALUE!</v>
      </c>
      <c r="AD13" s="168" t="e">
        <f>_xll.qlSimpleQuoteSetValue($AB13,ROUND($AC13/10000,6),Trigger)</f>
        <v>#NUM!</v>
      </c>
      <c r="AE13" s="158"/>
      <c r="AF13" s="190"/>
      <c r="AG13" s="190"/>
      <c r="AH13" s="190"/>
      <c r="AI13" s="190"/>
      <c r="AJ13" s="190" t="str">
        <f t="shared" si="4"/>
        <v>5Y</v>
      </c>
      <c r="AK13" s="276" t="e">
        <f>((#REF!-Swap3M!U13)*100-AC13)/10000</f>
        <v>#REF!</v>
      </c>
      <c r="AL13" s="190"/>
    </row>
    <row r="14" spans="1:38" ht="13.5" thickBot="1" x14ac:dyDescent="0.25">
      <c r="A14" s="28"/>
      <c r="B14" s="27" t="s">
        <v>44</v>
      </c>
      <c r="C14" s="26" t="str">
        <f t="shared" si="5"/>
        <v>3L</v>
      </c>
      <c r="D14" s="25" t="str">
        <f t="shared" si="6"/>
        <v>6L</v>
      </c>
      <c r="E14" s="24" t="str">
        <f t="shared" si="0"/>
        <v>HKD3L6L6Y_Quote</v>
      </c>
      <c r="F14" s="24" t="str">
        <f>_xll.qlSimpleQuote(E14,,RateTickValue,Permanent,Trigger,ObjectOverwrite)</f>
        <v>HKD3L6L6Y_Quote#0000</v>
      </c>
      <c r="G14" s="23" t="str">
        <f>_xll.ohRangeRetrieveError(F14)</f>
        <v/>
      </c>
      <c r="H14" s="22"/>
      <c r="J14" s="31" t="s">
        <v>43</v>
      </c>
      <c r="K14" s="30" t="s">
        <v>45</v>
      </c>
      <c r="L14" s="29" t="s">
        <v>42</v>
      </c>
      <c r="N14" s="167">
        <v>6</v>
      </c>
      <c r="O14" s="203" t="s">
        <v>44</v>
      </c>
      <c r="P14" s="202" t="str">
        <v>3L</v>
      </c>
      <c r="Q14" s="202" t="str">
        <v>6L</v>
      </c>
      <c r="R14" s="200" t="str">
        <f t="shared" si="1"/>
        <v>HKD3L6L6Y</v>
      </c>
      <c r="S14" s="165" t="str">
        <v>HKD3L6L6Y=ICAP</v>
      </c>
      <c r="T14" s="273" t="s">
        <v>189</v>
      </c>
      <c r="U14" s="273" t="s">
        <v>189</v>
      </c>
      <c r="V14" s="273" t="e">
        <f>_xll.qlMidEquivalent(T14,U14)</f>
        <v>#NUM!</v>
      </c>
      <c r="W14" s="169" t="b">
        <f t="shared" si="2"/>
        <v>0</v>
      </c>
      <c r="X14" s="279" t="e">
        <v>#VALUE!</v>
      </c>
      <c r="Y14" s="162"/>
      <c r="Z14" s="271" t="e">
        <v>#VALUE!</v>
      </c>
      <c r="AA14" s="162"/>
      <c r="AB14" s="170" t="str">
        <f t="shared" si="3"/>
        <v>HKD3L6L6Y_Quote</v>
      </c>
      <c r="AC14" s="270" t="e">
        <v>#VALUE!</v>
      </c>
      <c r="AD14" s="168" t="e">
        <f>_xll.qlSimpleQuoteSetValue($AB14,ROUND($AC14/10000,6),Trigger)</f>
        <v>#NUM!</v>
      </c>
      <c r="AE14" s="158"/>
      <c r="AF14" s="190"/>
      <c r="AG14" s="190"/>
      <c r="AH14" s="190"/>
      <c r="AI14" s="190"/>
      <c r="AJ14" s="190" t="str">
        <f t="shared" si="4"/>
        <v>6Y</v>
      </c>
      <c r="AK14" s="276" t="e">
        <f>((#REF!-Swap3M!U14)*100-AC14)/10000</f>
        <v>#REF!</v>
      </c>
      <c r="AL14" s="190"/>
    </row>
    <row r="15" spans="1:38" x14ac:dyDescent="0.2">
      <c r="A15" s="28"/>
      <c r="B15" s="27" t="s">
        <v>40</v>
      </c>
      <c r="C15" s="26" t="str">
        <f t="shared" si="5"/>
        <v>3L</v>
      </c>
      <c r="D15" s="25" t="str">
        <f t="shared" si="6"/>
        <v>6L</v>
      </c>
      <c r="E15" s="24" t="str">
        <f t="shared" si="0"/>
        <v>HKD3L6L7Y_Quote</v>
      </c>
      <c r="F15" s="24" t="str">
        <f>_xll.qlSimpleQuote(E15,,RateTickValue,Permanent,Trigger,ObjectOverwrite)</f>
        <v>HKD3L6L7Y_Quote#0000</v>
      </c>
      <c r="G15" s="23" t="str">
        <f>_xll.ohRangeRetrieveError(F15)</f>
        <v/>
      </c>
      <c r="H15" s="22"/>
      <c r="N15" s="167">
        <v>7</v>
      </c>
      <c r="O15" s="203" t="s">
        <v>40</v>
      </c>
      <c r="P15" s="202" t="str">
        <v>3L</v>
      </c>
      <c r="Q15" s="202" t="str">
        <v>6L</v>
      </c>
      <c r="R15" s="200" t="str">
        <f t="shared" si="1"/>
        <v>HKD3L6L7Y</v>
      </c>
      <c r="S15" s="165" t="str">
        <v>HKD3L6L7Y=ICAP</v>
      </c>
      <c r="T15" s="273" t="s">
        <v>189</v>
      </c>
      <c r="U15" s="273" t="s">
        <v>189</v>
      </c>
      <c r="V15" s="273" t="e">
        <f>_xll.qlMidEquivalent(T15,U15)</f>
        <v>#NUM!</v>
      </c>
      <c r="W15" s="169" t="b">
        <f t="shared" si="2"/>
        <v>0</v>
      </c>
      <c r="X15" s="279" t="e">
        <v>#VALUE!</v>
      </c>
      <c r="Y15" s="162"/>
      <c r="Z15" s="271" t="e">
        <v>#VALUE!</v>
      </c>
      <c r="AA15" s="162"/>
      <c r="AB15" s="170" t="str">
        <f t="shared" si="3"/>
        <v>HKD3L6L7Y_Quote</v>
      </c>
      <c r="AC15" s="270" t="e">
        <v>#VALUE!</v>
      </c>
      <c r="AD15" s="168" t="e">
        <f>_xll.qlSimpleQuoteSetValue($AB15,ROUND($AC15/10000,6),Trigger)</f>
        <v>#NUM!</v>
      </c>
      <c r="AE15" s="158"/>
      <c r="AF15" s="190"/>
      <c r="AG15" s="190"/>
      <c r="AH15" s="190"/>
      <c r="AI15" s="190"/>
      <c r="AJ15" s="190" t="str">
        <f t="shared" si="4"/>
        <v>7Y</v>
      </c>
      <c r="AK15" s="276" t="e">
        <f>((#REF!-Swap3M!U15)*100-AC15)/10000</f>
        <v>#REF!</v>
      </c>
      <c r="AL15" s="190"/>
    </row>
    <row r="16" spans="1:38" x14ac:dyDescent="0.2">
      <c r="A16" s="28"/>
      <c r="B16" s="27" t="s">
        <v>39</v>
      </c>
      <c r="C16" s="26" t="str">
        <f t="shared" si="5"/>
        <v>3L</v>
      </c>
      <c r="D16" s="25" t="str">
        <f t="shared" si="6"/>
        <v>6L</v>
      </c>
      <c r="E16" s="24" t="str">
        <f t="shared" si="0"/>
        <v>HKD3L6L8Y_Quote</v>
      </c>
      <c r="F16" s="24" t="str">
        <f>_xll.qlSimpleQuote(E16,,RateTickValue,Permanent,Trigger,ObjectOverwrite)</f>
        <v>HKD3L6L8Y_Quote#0000</v>
      </c>
      <c r="G16" s="23" t="str">
        <f>_xll.ohRangeRetrieveError(F16)</f>
        <v/>
      </c>
      <c r="H16" s="22"/>
      <c r="N16" s="167">
        <v>8</v>
      </c>
      <c r="O16" s="203" t="s">
        <v>39</v>
      </c>
      <c r="P16" s="202" t="str">
        <v>3L</v>
      </c>
      <c r="Q16" s="202" t="str">
        <v>6L</v>
      </c>
      <c r="R16" s="200" t="str">
        <f t="shared" si="1"/>
        <v>HKD3L6L8Y</v>
      </c>
      <c r="S16" s="165" t="str">
        <v>HKD3L6L8Y=ICAP</v>
      </c>
      <c r="T16" s="273" t="s">
        <v>189</v>
      </c>
      <c r="U16" s="273" t="s">
        <v>189</v>
      </c>
      <c r="V16" s="273" t="e">
        <f>_xll.qlMidEquivalent(T16,U16)</f>
        <v>#NUM!</v>
      </c>
      <c r="W16" s="169" t="b">
        <f t="shared" si="2"/>
        <v>0</v>
      </c>
      <c r="X16" s="279" t="e">
        <v>#VALUE!</v>
      </c>
      <c r="Y16" s="162"/>
      <c r="Z16" s="271" t="e">
        <v>#VALUE!</v>
      </c>
      <c r="AA16" s="162"/>
      <c r="AB16" s="170" t="str">
        <f t="shared" si="3"/>
        <v>HKD3L6L8Y_Quote</v>
      </c>
      <c r="AC16" s="270" t="e">
        <v>#VALUE!</v>
      </c>
      <c r="AD16" s="168" t="e">
        <f>_xll.qlSimpleQuoteSetValue($AB16,ROUND($AC16/10000,6),Trigger)</f>
        <v>#NUM!</v>
      </c>
      <c r="AE16" s="158"/>
      <c r="AF16" s="190"/>
      <c r="AG16" s="190"/>
      <c r="AH16" s="190"/>
      <c r="AI16" s="190"/>
      <c r="AJ16" s="190" t="str">
        <f t="shared" si="4"/>
        <v>8Y</v>
      </c>
      <c r="AK16" s="276" t="e">
        <f>((#REF!-Swap3M!U16)*100-AC16)/10000</f>
        <v>#REF!</v>
      </c>
      <c r="AL16" s="190"/>
    </row>
    <row r="17" spans="1:38" x14ac:dyDescent="0.2">
      <c r="A17" s="28"/>
      <c r="B17" s="27" t="s">
        <v>38</v>
      </c>
      <c r="C17" s="26" t="str">
        <f t="shared" si="5"/>
        <v>3L</v>
      </c>
      <c r="D17" s="25" t="str">
        <f t="shared" si="6"/>
        <v>6L</v>
      </c>
      <c r="E17" s="24" t="str">
        <f t="shared" si="0"/>
        <v>HKD3L6L9Y_Quote</v>
      </c>
      <c r="F17" s="24" t="str">
        <f>_xll.qlSimpleQuote(E17,,RateTickValue,Permanent,Trigger,ObjectOverwrite)</f>
        <v>HKD3L6L9Y_Quote#0000</v>
      </c>
      <c r="G17" s="23" t="str">
        <f>_xll.ohRangeRetrieveError(F17)</f>
        <v/>
      </c>
      <c r="H17" s="22"/>
      <c r="N17" s="167">
        <v>9</v>
      </c>
      <c r="O17" s="203" t="s">
        <v>38</v>
      </c>
      <c r="P17" s="202" t="str">
        <v>3L</v>
      </c>
      <c r="Q17" s="202" t="str">
        <v>6L</v>
      </c>
      <c r="R17" s="200" t="str">
        <f t="shared" si="1"/>
        <v>HKD3L6L9Y</v>
      </c>
      <c r="S17" s="165" t="str">
        <v>HKD3L6L9Y=ICAP</v>
      </c>
      <c r="T17" s="273" t="s">
        <v>189</v>
      </c>
      <c r="U17" s="273" t="s">
        <v>189</v>
      </c>
      <c r="V17" s="273" t="e">
        <f>_xll.qlMidEquivalent(T17,U17)</f>
        <v>#NUM!</v>
      </c>
      <c r="W17" s="169" t="b">
        <f t="shared" si="2"/>
        <v>0</v>
      </c>
      <c r="X17" s="279" t="e">
        <v>#VALUE!</v>
      </c>
      <c r="Y17" s="162"/>
      <c r="Z17" s="271" t="e">
        <v>#VALUE!</v>
      </c>
      <c r="AA17" s="162"/>
      <c r="AB17" s="170" t="str">
        <f t="shared" si="3"/>
        <v>HKD3L6L9Y_Quote</v>
      </c>
      <c r="AC17" s="270" t="e">
        <v>#VALUE!</v>
      </c>
      <c r="AD17" s="168" t="e">
        <f>_xll.qlSimpleQuoteSetValue($AB17,ROUND($AC17/10000,6),Trigger)</f>
        <v>#NUM!</v>
      </c>
      <c r="AE17" s="158"/>
      <c r="AF17" s="190"/>
      <c r="AG17" s="190"/>
      <c r="AH17" s="190"/>
      <c r="AI17" s="190"/>
      <c r="AJ17" s="190" t="str">
        <f t="shared" si="4"/>
        <v>9Y</v>
      </c>
      <c r="AK17" s="276" t="e">
        <f>((#REF!-Swap3M!U17)*100-AC17)/10000</f>
        <v>#REF!</v>
      </c>
      <c r="AL17" s="190"/>
    </row>
    <row r="18" spans="1:38" x14ac:dyDescent="0.2">
      <c r="A18" s="28"/>
      <c r="B18" s="27" t="s">
        <v>37</v>
      </c>
      <c r="C18" s="26" t="str">
        <f t="shared" si="5"/>
        <v>3L</v>
      </c>
      <c r="D18" s="25" t="str">
        <f t="shared" si="6"/>
        <v>6L</v>
      </c>
      <c r="E18" s="24" t="str">
        <f t="shared" si="0"/>
        <v>HKD3L6L10Y_Quote</v>
      </c>
      <c r="F18" s="24" t="str">
        <f>_xll.qlSimpleQuote(E18,,RateTickValue,Permanent,Trigger,ObjectOverwrite)</f>
        <v>HKD3L6L10Y_Quote#0000</v>
      </c>
      <c r="G18" s="23" t="str">
        <f>_xll.ohRangeRetrieveError(F18)</f>
        <v/>
      </c>
      <c r="H18" s="22"/>
      <c r="N18" s="167">
        <v>10</v>
      </c>
      <c r="O18" s="203" t="s">
        <v>37</v>
      </c>
      <c r="P18" s="202" t="str">
        <v>3L</v>
      </c>
      <c r="Q18" s="202" t="str">
        <v>6L</v>
      </c>
      <c r="R18" s="200" t="str">
        <f t="shared" si="1"/>
        <v>HKD3L6L10Y</v>
      </c>
      <c r="S18" s="165" t="str">
        <v>HKD3L6L10Y=ICAP</v>
      </c>
      <c r="T18" s="273" t="s">
        <v>189</v>
      </c>
      <c r="U18" s="273" t="s">
        <v>189</v>
      </c>
      <c r="V18" s="273" t="e">
        <f>_xll.qlMidEquivalent(T18,U18)</f>
        <v>#NUM!</v>
      </c>
      <c r="W18" s="169" t="b">
        <f t="shared" si="2"/>
        <v>0</v>
      </c>
      <c r="X18" s="279" t="e">
        <v>#VALUE!</v>
      </c>
      <c r="Y18" s="162"/>
      <c r="Z18" s="271" t="e">
        <v>#VALUE!</v>
      </c>
      <c r="AA18" s="162"/>
      <c r="AB18" s="170" t="str">
        <f t="shared" si="3"/>
        <v>HKD3L6L10Y_Quote</v>
      </c>
      <c r="AC18" s="270" t="e">
        <v>#VALUE!</v>
      </c>
      <c r="AD18" s="168" t="e">
        <f>_xll.qlSimpleQuoteSetValue($AB18,ROUND($AC18/10000,6),Trigger)</f>
        <v>#NUM!</v>
      </c>
      <c r="AE18" s="158"/>
      <c r="AF18" s="190"/>
      <c r="AG18" s="190"/>
      <c r="AH18" s="190"/>
      <c r="AI18" s="190"/>
      <c r="AJ18" s="190" t="str">
        <f t="shared" si="4"/>
        <v>10Y</v>
      </c>
      <c r="AK18" s="276" t="e">
        <f>((#REF!-Swap3M!U18)*100-AC18)/10000</f>
        <v>#REF!</v>
      </c>
      <c r="AL18" s="190"/>
    </row>
    <row r="19" spans="1:38" x14ac:dyDescent="0.2">
      <c r="A19" s="28"/>
      <c r="B19" s="27" t="s">
        <v>36</v>
      </c>
      <c r="C19" s="26" t="str">
        <f t="shared" si="5"/>
        <v>3L</v>
      </c>
      <c r="D19" s="25" t="str">
        <f t="shared" si="6"/>
        <v>6L</v>
      </c>
      <c r="E19" s="24" t="str">
        <f t="shared" si="0"/>
        <v>HKD3L6L11Y_Quote</v>
      </c>
      <c r="F19" s="24" t="str">
        <f>_xll.qlSimpleQuote(E19,,RateTickValue,Permanent,Trigger,ObjectOverwrite)</f>
        <v>HKD3L6L11Y_Quote#0000</v>
      </c>
      <c r="G19" s="23" t="str">
        <f>_xll.ohRangeRetrieveError(F19)</f>
        <v/>
      </c>
      <c r="H19" s="22"/>
      <c r="N19" s="167">
        <v>11</v>
      </c>
      <c r="O19" s="203" t="s">
        <v>36</v>
      </c>
      <c r="P19" s="202" t="str">
        <v>3L</v>
      </c>
      <c r="Q19" s="202" t="str">
        <v>6L</v>
      </c>
      <c r="R19" s="200" t="str">
        <f t="shared" si="1"/>
        <v>HKD3L6L11Y</v>
      </c>
      <c r="S19" s="165" t="str">
        <v>HKD3L6L11Y=ICAP</v>
      </c>
      <c r="T19" s="273" t="s">
        <v>189</v>
      </c>
      <c r="U19" s="273" t="s">
        <v>189</v>
      </c>
      <c r="V19" s="273" t="e">
        <f>_xll.qlMidEquivalent(T19,U19)</f>
        <v>#NUM!</v>
      </c>
      <c r="W19" s="169" t="b">
        <f t="shared" si="2"/>
        <v>0</v>
      </c>
      <c r="X19" s="279" t="e">
        <v>#VALUE!</v>
      </c>
      <c r="Y19" s="162"/>
      <c r="Z19" s="271" t="e">
        <v>#VALUE!</v>
      </c>
      <c r="AA19" s="162"/>
      <c r="AB19" s="170" t="str">
        <f t="shared" si="3"/>
        <v>HKD3L6L11Y_Quote</v>
      </c>
      <c r="AC19" s="270" t="e">
        <v>#VALUE!</v>
      </c>
      <c r="AD19" s="168" t="e">
        <f>_xll.qlSimpleQuoteSetValue($AB19,ROUND($AC19/10000,6),Trigger)</f>
        <v>#NUM!</v>
      </c>
      <c r="AE19" s="158"/>
      <c r="AF19" s="190"/>
      <c r="AG19" s="190"/>
      <c r="AH19" s="190"/>
      <c r="AI19" s="190"/>
      <c r="AJ19" s="190" t="str">
        <f t="shared" si="4"/>
        <v>11Y</v>
      </c>
      <c r="AK19" s="276" t="e">
        <f>((#REF!-Swap3M!U19)*100-AC19)/10000</f>
        <v>#REF!</v>
      </c>
      <c r="AL19" s="190"/>
    </row>
    <row r="20" spans="1:38" x14ac:dyDescent="0.2">
      <c r="A20" s="28"/>
      <c r="B20" s="27" t="s">
        <v>35</v>
      </c>
      <c r="C20" s="26" t="str">
        <f t="shared" si="5"/>
        <v>3L</v>
      </c>
      <c r="D20" s="25" t="str">
        <f t="shared" si="6"/>
        <v>6L</v>
      </c>
      <c r="E20" s="24" t="str">
        <f t="shared" si="0"/>
        <v>HKD3L6L12Y_Quote</v>
      </c>
      <c r="F20" s="24" t="str">
        <f>_xll.qlSimpleQuote(E20,,RateTickValue,Permanent,Trigger,ObjectOverwrite)</f>
        <v>HKD3L6L12Y_Quote#0000</v>
      </c>
      <c r="G20" s="23" t="str">
        <f>_xll.ohRangeRetrieveError(F20)</f>
        <v/>
      </c>
      <c r="H20" s="22"/>
      <c r="N20" s="167">
        <v>12</v>
      </c>
      <c r="O20" s="203" t="s">
        <v>35</v>
      </c>
      <c r="P20" s="202" t="str">
        <v>3L</v>
      </c>
      <c r="Q20" s="202" t="str">
        <v>6L</v>
      </c>
      <c r="R20" s="200" t="str">
        <f t="shared" si="1"/>
        <v>HKD3L6L12Y</v>
      </c>
      <c r="S20" s="165" t="str">
        <v>HKD3L6L12Y=ICAP</v>
      </c>
      <c r="T20" s="273" t="s">
        <v>189</v>
      </c>
      <c r="U20" s="273" t="s">
        <v>189</v>
      </c>
      <c r="V20" s="273" t="e">
        <f>_xll.qlMidEquivalent(T20,U20)</f>
        <v>#NUM!</v>
      </c>
      <c r="W20" s="169" t="b">
        <f t="shared" si="2"/>
        <v>0</v>
      </c>
      <c r="X20" s="279" t="e">
        <v>#VALUE!</v>
      </c>
      <c r="Y20" s="162"/>
      <c r="Z20" s="271" t="e">
        <v>#VALUE!</v>
      </c>
      <c r="AA20" s="162"/>
      <c r="AB20" s="170" t="str">
        <f t="shared" si="3"/>
        <v>HKD3L6L12Y_Quote</v>
      </c>
      <c r="AC20" s="270" t="e">
        <v>#VALUE!</v>
      </c>
      <c r="AD20" s="168" t="e">
        <f>_xll.qlSimpleQuoteSetValue($AB20,ROUND($AC20/10000,6),Trigger)</f>
        <v>#NUM!</v>
      </c>
      <c r="AE20" s="158"/>
      <c r="AF20" s="190"/>
      <c r="AG20" s="190"/>
      <c r="AH20" s="190"/>
      <c r="AI20" s="190"/>
      <c r="AJ20" s="190" t="str">
        <f t="shared" si="4"/>
        <v>12Y</v>
      </c>
      <c r="AK20" s="276" t="e">
        <f>((#REF!-Swap3M!U20)*100-AC20)/10000</f>
        <v>#REF!</v>
      </c>
      <c r="AL20" s="190"/>
    </row>
    <row r="21" spans="1:38" x14ac:dyDescent="0.2">
      <c r="A21" s="28"/>
      <c r="B21" s="27" t="s">
        <v>34</v>
      </c>
      <c r="C21" s="26" t="str">
        <f t="shared" si="5"/>
        <v>3L</v>
      </c>
      <c r="D21" s="25" t="str">
        <f t="shared" si="6"/>
        <v>6L</v>
      </c>
      <c r="E21" s="24" t="str">
        <f t="shared" si="0"/>
        <v>HKD3L6L13Y_Quote</v>
      </c>
      <c r="F21" s="24" t="str">
        <f>_xll.qlSimpleQuote(E21,,RateTickValue,Permanent,Trigger,ObjectOverwrite)</f>
        <v>HKD3L6L13Y_Quote#0000</v>
      </c>
      <c r="G21" s="23" t="str">
        <f>_xll.ohRangeRetrieveError(F21)</f>
        <v/>
      </c>
      <c r="H21" s="22"/>
      <c r="N21" s="167">
        <v>13</v>
      </c>
      <c r="O21" s="203" t="s">
        <v>34</v>
      </c>
      <c r="P21" s="202" t="str">
        <v>3L</v>
      </c>
      <c r="Q21" s="202" t="str">
        <v>6L</v>
      </c>
      <c r="R21" s="200" t="str">
        <f t="shared" si="1"/>
        <v>HKD3L6L13Y</v>
      </c>
      <c r="S21" s="165" t="str">
        <v>HKD3L6L13Y=ICAP</v>
      </c>
      <c r="T21" s="273" t="s">
        <v>189</v>
      </c>
      <c r="U21" s="273" t="s">
        <v>189</v>
      </c>
      <c r="V21" s="273" t="e">
        <f>_xll.qlMidEquivalent(T21,U21)</f>
        <v>#NUM!</v>
      </c>
      <c r="W21" s="169" t="b">
        <f t="shared" si="2"/>
        <v>0</v>
      </c>
      <c r="X21" s="279" t="e">
        <v>#VALUE!</v>
      </c>
      <c r="Y21" s="162"/>
      <c r="Z21" s="271" t="e">
        <v>#VALUE!</v>
      </c>
      <c r="AA21" s="162"/>
      <c r="AB21" s="170" t="str">
        <f t="shared" si="3"/>
        <v>HKD3L6L13Y_Quote</v>
      </c>
      <c r="AC21" s="270" t="e">
        <v>#VALUE!</v>
      </c>
      <c r="AD21" s="168" t="e">
        <f>_xll.qlSimpleQuoteSetValue($AB21,ROUND($AC21/10000,6),Trigger)</f>
        <v>#NUM!</v>
      </c>
      <c r="AE21" s="158"/>
      <c r="AF21" s="190"/>
      <c r="AG21" s="190"/>
      <c r="AH21" s="190"/>
      <c r="AI21" s="190"/>
      <c r="AJ21" s="190" t="str">
        <f t="shared" si="4"/>
        <v>13Y</v>
      </c>
      <c r="AK21" s="276" t="e">
        <f>((#REF!-Swap3M!U21)*100-AC21)/10000</f>
        <v>#REF!</v>
      </c>
      <c r="AL21" s="190"/>
    </row>
    <row r="22" spans="1:38" x14ac:dyDescent="0.2">
      <c r="A22" s="28"/>
      <c r="B22" s="27" t="s">
        <v>33</v>
      </c>
      <c r="C22" s="26" t="str">
        <f t="shared" si="5"/>
        <v>3L</v>
      </c>
      <c r="D22" s="25" t="str">
        <f t="shared" si="6"/>
        <v>6L</v>
      </c>
      <c r="E22" s="24" t="str">
        <f t="shared" si="0"/>
        <v>HKD3L6L14Y_Quote</v>
      </c>
      <c r="F22" s="24" t="str">
        <f>_xll.qlSimpleQuote(E22,,RateTickValue,Permanent,Trigger,ObjectOverwrite)</f>
        <v>HKD3L6L14Y_Quote#0000</v>
      </c>
      <c r="G22" s="23" t="str">
        <f>_xll.ohRangeRetrieveError(F22)</f>
        <v/>
      </c>
      <c r="H22" s="22"/>
      <c r="N22" s="167">
        <v>14</v>
      </c>
      <c r="O22" s="203" t="s">
        <v>33</v>
      </c>
      <c r="P22" s="202" t="str">
        <v>3L</v>
      </c>
      <c r="Q22" s="202" t="str">
        <v>6L</v>
      </c>
      <c r="R22" s="200" t="str">
        <f t="shared" si="1"/>
        <v>HKD3L6L14Y</v>
      </c>
      <c r="S22" s="165" t="str">
        <v>HKD3L6L14Y=ICAP</v>
      </c>
      <c r="T22" s="273" t="s">
        <v>189</v>
      </c>
      <c r="U22" s="273" t="s">
        <v>189</v>
      </c>
      <c r="V22" s="273" t="e">
        <f>_xll.qlMidEquivalent(T22,U22)</f>
        <v>#NUM!</v>
      </c>
      <c r="W22" s="169" t="b">
        <f t="shared" si="2"/>
        <v>0</v>
      </c>
      <c r="X22" s="279" t="e">
        <v>#VALUE!</v>
      </c>
      <c r="Y22" s="162"/>
      <c r="Z22" s="271" t="e">
        <v>#VALUE!</v>
      </c>
      <c r="AA22" s="162"/>
      <c r="AB22" s="170" t="str">
        <f t="shared" si="3"/>
        <v>HKD3L6L14Y_Quote</v>
      </c>
      <c r="AC22" s="270" t="e">
        <v>#VALUE!</v>
      </c>
      <c r="AD22" s="168" t="e">
        <f>_xll.qlSimpleQuoteSetValue($AB22,ROUND($AC22/10000,6),Trigger)</f>
        <v>#NUM!</v>
      </c>
      <c r="AE22" s="158"/>
      <c r="AF22" s="190"/>
      <c r="AG22" s="190"/>
      <c r="AH22" s="190"/>
      <c r="AI22" s="190"/>
      <c r="AJ22" s="190" t="str">
        <f t="shared" si="4"/>
        <v>14Y</v>
      </c>
      <c r="AK22" s="276" t="e">
        <f>((#REF!-Swap3M!U22)*100-AC22)/10000</f>
        <v>#REF!</v>
      </c>
      <c r="AL22" s="190"/>
    </row>
    <row r="23" spans="1:38" x14ac:dyDescent="0.2">
      <c r="A23" s="28"/>
      <c r="B23" s="27" t="s">
        <v>32</v>
      </c>
      <c r="C23" s="26" t="str">
        <f t="shared" si="5"/>
        <v>3L</v>
      </c>
      <c r="D23" s="25" t="str">
        <f t="shared" si="6"/>
        <v>6L</v>
      </c>
      <c r="E23" s="24" t="str">
        <f t="shared" si="0"/>
        <v>HKD3L6L15Y_Quote</v>
      </c>
      <c r="F23" s="24" t="str">
        <f>_xll.qlSimpleQuote(E23,,RateTickValue,Permanent,Trigger,ObjectOverwrite)</f>
        <v>HKD3L6L15Y_Quote#0000</v>
      </c>
      <c r="G23" s="23" t="str">
        <f>_xll.ohRangeRetrieveError(F23)</f>
        <v/>
      </c>
      <c r="H23" s="22"/>
      <c r="N23" s="167">
        <v>15</v>
      </c>
      <c r="O23" s="203" t="s">
        <v>32</v>
      </c>
      <c r="P23" s="202" t="str">
        <v>3L</v>
      </c>
      <c r="Q23" s="202" t="str">
        <v>6L</v>
      </c>
      <c r="R23" s="200" t="str">
        <f t="shared" si="1"/>
        <v>HKD3L6L15Y</v>
      </c>
      <c r="S23" s="165" t="str">
        <v>HKD3L6L15Y=ICAP</v>
      </c>
      <c r="T23" s="273" t="s">
        <v>189</v>
      </c>
      <c r="U23" s="273" t="s">
        <v>189</v>
      </c>
      <c r="V23" s="273" t="e">
        <f>_xll.qlMidEquivalent(T23,U23)</f>
        <v>#NUM!</v>
      </c>
      <c r="W23" s="169" t="b">
        <f t="shared" si="2"/>
        <v>0</v>
      </c>
      <c r="X23" s="279" t="e">
        <v>#VALUE!</v>
      </c>
      <c r="Y23" s="162"/>
      <c r="Z23" s="271" t="e">
        <v>#VALUE!</v>
      </c>
      <c r="AA23" s="162"/>
      <c r="AB23" s="170" t="str">
        <f t="shared" si="3"/>
        <v>HKD3L6L15Y_Quote</v>
      </c>
      <c r="AC23" s="270" t="e">
        <v>#VALUE!</v>
      </c>
      <c r="AD23" s="168" t="e">
        <f>_xll.qlSimpleQuoteSetValue($AB23,ROUND($AC23/10000,6),Trigger)</f>
        <v>#NUM!</v>
      </c>
      <c r="AE23" s="158"/>
      <c r="AF23" s="190"/>
      <c r="AG23" s="190"/>
      <c r="AH23" s="190"/>
      <c r="AI23" s="190"/>
      <c r="AJ23" s="190" t="str">
        <f t="shared" si="4"/>
        <v>15Y</v>
      </c>
      <c r="AK23" s="276" t="e">
        <f>((#REF!-Swap3M!U23)*100-AC23)/10000</f>
        <v>#REF!</v>
      </c>
      <c r="AL23" s="190"/>
    </row>
    <row r="24" spans="1:38" x14ac:dyDescent="0.2">
      <c r="A24" s="28"/>
      <c r="B24" s="27" t="s">
        <v>31</v>
      </c>
      <c r="C24" s="26" t="str">
        <f t="shared" si="5"/>
        <v>3L</v>
      </c>
      <c r="D24" s="25" t="str">
        <f t="shared" si="6"/>
        <v>6L</v>
      </c>
      <c r="E24" s="24" t="str">
        <f t="shared" si="0"/>
        <v>HKD3L6L16Y_Quote</v>
      </c>
      <c r="F24" s="24" t="str">
        <f>_xll.qlSimpleQuote(E24,,RateTickValue,Permanent,Trigger,ObjectOverwrite)</f>
        <v>HKD3L6L16Y_Quote#0000</v>
      </c>
      <c r="G24" s="23" t="str">
        <f>_xll.ohRangeRetrieveError(F24)</f>
        <v/>
      </c>
      <c r="H24" s="22"/>
      <c r="N24" s="167">
        <v>16</v>
      </c>
      <c r="O24" s="203" t="s">
        <v>31</v>
      </c>
      <c r="P24" s="202" t="str">
        <v>3L</v>
      </c>
      <c r="Q24" s="202" t="str">
        <v>6L</v>
      </c>
      <c r="R24" s="200" t="str">
        <f t="shared" si="1"/>
        <v>HKD3L6L16Y</v>
      </c>
      <c r="S24" s="165" t="str">
        <v>HKD3L6L16Y=ICAP</v>
      </c>
      <c r="T24" s="273" t="s">
        <v>189</v>
      </c>
      <c r="U24" s="273" t="s">
        <v>189</v>
      </c>
      <c r="V24" s="273" t="e">
        <f>_xll.qlMidEquivalent(T24,U24)</f>
        <v>#NUM!</v>
      </c>
      <c r="W24" s="169" t="b">
        <f t="shared" si="2"/>
        <v>0</v>
      </c>
      <c r="X24" s="279" t="e">
        <v>#VALUE!</v>
      </c>
      <c r="Y24" s="162"/>
      <c r="Z24" s="271" t="e">
        <v>#VALUE!</v>
      </c>
      <c r="AA24" s="162"/>
      <c r="AB24" s="170" t="str">
        <f t="shared" si="3"/>
        <v>HKD3L6L16Y_Quote</v>
      </c>
      <c r="AC24" s="270" t="e">
        <v>#VALUE!</v>
      </c>
      <c r="AD24" s="168" t="e">
        <f>_xll.qlSimpleQuoteSetValue($AB24,ROUND($AC24/10000,6),Trigger)</f>
        <v>#NUM!</v>
      </c>
      <c r="AE24" s="158"/>
      <c r="AF24" s="190"/>
      <c r="AG24" s="190"/>
      <c r="AH24" s="190"/>
      <c r="AI24" s="190"/>
      <c r="AJ24" s="190" t="str">
        <f t="shared" si="4"/>
        <v>16Y</v>
      </c>
      <c r="AK24" s="276" t="e">
        <f>((#REF!-Swap3M!U24)*100-AC24)/10000</f>
        <v>#REF!</v>
      </c>
      <c r="AL24" s="190"/>
    </row>
    <row r="25" spans="1:38" x14ac:dyDescent="0.2">
      <c r="A25" s="28"/>
      <c r="B25" s="27" t="s">
        <v>30</v>
      </c>
      <c r="C25" s="26" t="str">
        <f t="shared" si="5"/>
        <v>3L</v>
      </c>
      <c r="D25" s="25" t="str">
        <f t="shared" si="6"/>
        <v>6L</v>
      </c>
      <c r="E25" s="24" t="str">
        <f t="shared" si="0"/>
        <v>HKD3L6L17Y_Quote</v>
      </c>
      <c r="F25" s="24" t="str">
        <f>_xll.qlSimpleQuote(E25,,RateTickValue,Permanent,Trigger,ObjectOverwrite)</f>
        <v>HKD3L6L17Y_Quote#0000</v>
      </c>
      <c r="G25" s="23" t="str">
        <f>_xll.ohRangeRetrieveError(F25)</f>
        <v/>
      </c>
      <c r="H25" s="22"/>
      <c r="N25" s="167">
        <v>17</v>
      </c>
      <c r="O25" s="203" t="s">
        <v>30</v>
      </c>
      <c r="P25" s="202" t="str">
        <v>3L</v>
      </c>
      <c r="Q25" s="202" t="str">
        <v>6L</v>
      </c>
      <c r="R25" s="200" t="str">
        <f t="shared" si="1"/>
        <v>HKD3L6L17Y</v>
      </c>
      <c r="S25" s="165" t="str">
        <v>HKD3L6L17Y=ICAP</v>
      </c>
      <c r="T25" s="273" t="s">
        <v>189</v>
      </c>
      <c r="U25" s="273" t="s">
        <v>189</v>
      </c>
      <c r="V25" s="273" t="e">
        <f>_xll.qlMidEquivalent(T25,U25)</f>
        <v>#NUM!</v>
      </c>
      <c r="W25" s="169" t="b">
        <f t="shared" si="2"/>
        <v>0</v>
      </c>
      <c r="X25" s="279" t="e">
        <v>#VALUE!</v>
      </c>
      <c r="Y25" s="162"/>
      <c r="Z25" s="271" t="e">
        <v>#VALUE!</v>
      </c>
      <c r="AA25" s="162"/>
      <c r="AB25" s="170" t="str">
        <f t="shared" si="3"/>
        <v>HKD3L6L17Y_Quote</v>
      </c>
      <c r="AC25" s="270" t="e">
        <v>#VALUE!</v>
      </c>
      <c r="AD25" s="168" t="e">
        <f>_xll.qlSimpleQuoteSetValue($AB25,ROUND($AC25/10000,6),Trigger)</f>
        <v>#NUM!</v>
      </c>
      <c r="AE25" s="158"/>
      <c r="AF25" s="190"/>
      <c r="AG25" s="190"/>
      <c r="AH25" s="190"/>
      <c r="AI25" s="190"/>
      <c r="AJ25" s="190" t="str">
        <f t="shared" si="4"/>
        <v>17Y</v>
      </c>
      <c r="AK25" s="276" t="e">
        <f>((#REF!-Swap3M!U25)*100-AC25)/10000</f>
        <v>#REF!</v>
      </c>
      <c r="AL25" s="190"/>
    </row>
    <row r="26" spans="1:38" x14ac:dyDescent="0.2">
      <c r="A26" s="28"/>
      <c r="B26" s="27" t="s">
        <v>29</v>
      </c>
      <c r="C26" s="26" t="str">
        <f t="shared" si="5"/>
        <v>3L</v>
      </c>
      <c r="D26" s="25" t="str">
        <f t="shared" si="6"/>
        <v>6L</v>
      </c>
      <c r="E26" s="24" t="str">
        <f t="shared" si="0"/>
        <v>HKD3L6L18Y_Quote</v>
      </c>
      <c r="F26" s="24" t="str">
        <f>_xll.qlSimpleQuote(E26,,RateTickValue,Permanent,Trigger,ObjectOverwrite)</f>
        <v>HKD3L6L18Y_Quote#0000</v>
      </c>
      <c r="G26" s="23" t="str">
        <f>_xll.ohRangeRetrieveError(F26)</f>
        <v/>
      </c>
      <c r="H26" s="22"/>
      <c r="N26" s="167">
        <v>18</v>
      </c>
      <c r="O26" s="203" t="s">
        <v>29</v>
      </c>
      <c r="P26" s="202" t="str">
        <v>3L</v>
      </c>
      <c r="Q26" s="202" t="str">
        <v>6L</v>
      </c>
      <c r="R26" s="200" t="str">
        <f t="shared" si="1"/>
        <v>HKD3L6L18Y</v>
      </c>
      <c r="S26" s="165" t="str">
        <v>HKD3L6L18Y=ICAP</v>
      </c>
      <c r="T26" s="273" t="s">
        <v>189</v>
      </c>
      <c r="U26" s="273" t="s">
        <v>189</v>
      </c>
      <c r="V26" s="273" t="e">
        <f>_xll.qlMidEquivalent(T26,U26)</f>
        <v>#NUM!</v>
      </c>
      <c r="W26" s="169" t="b">
        <f t="shared" si="2"/>
        <v>0</v>
      </c>
      <c r="X26" s="279" t="e">
        <v>#VALUE!</v>
      </c>
      <c r="Y26" s="162"/>
      <c r="Z26" s="271" t="e">
        <v>#VALUE!</v>
      </c>
      <c r="AA26" s="162"/>
      <c r="AB26" s="170" t="str">
        <f t="shared" si="3"/>
        <v>HKD3L6L18Y_Quote</v>
      </c>
      <c r="AC26" s="270" t="e">
        <v>#VALUE!</v>
      </c>
      <c r="AD26" s="168" t="e">
        <f>_xll.qlSimpleQuoteSetValue($AB26,ROUND($AC26/10000,6),Trigger)</f>
        <v>#NUM!</v>
      </c>
      <c r="AE26" s="158"/>
      <c r="AF26" s="190"/>
      <c r="AG26" s="190"/>
      <c r="AH26" s="190"/>
      <c r="AI26" s="190"/>
      <c r="AJ26" s="190" t="str">
        <f t="shared" si="4"/>
        <v>18Y</v>
      </c>
      <c r="AK26" s="276" t="e">
        <f>((#REF!-Swap3M!U26)*100-AC26)/10000</f>
        <v>#REF!</v>
      </c>
      <c r="AL26" s="190"/>
    </row>
    <row r="27" spans="1:38" x14ac:dyDescent="0.2">
      <c r="A27" s="28"/>
      <c r="B27" s="27" t="s">
        <v>28</v>
      </c>
      <c r="C27" s="26" t="str">
        <f t="shared" si="5"/>
        <v>3L</v>
      </c>
      <c r="D27" s="25" t="str">
        <f t="shared" si="6"/>
        <v>6L</v>
      </c>
      <c r="E27" s="24" t="str">
        <f t="shared" si="0"/>
        <v>HKD3L6L19Y_Quote</v>
      </c>
      <c r="F27" s="24" t="str">
        <f>_xll.qlSimpleQuote(E27,,RateTickValue,Permanent,Trigger,ObjectOverwrite)</f>
        <v>HKD3L6L19Y_Quote#0000</v>
      </c>
      <c r="G27" s="23" t="str">
        <f>_xll.ohRangeRetrieveError(F27)</f>
        <v/>
      </c>
      <c r="H27" s="22"/>
      <c r="N27" s="167">
        <v>19</v>
      </c>
      <c r="O27" s="203" t="s">
        <v>28</v>
      </c>
      <c r="P27" s="202" t="str">
        <v>3L</v>
      </c>
      <c r="Q27" s="202" t="str">
        <v>6L</v>
      </c>
      <c r="R27" s="200" t="str">
        <f t="shared" si="1"/>
        <v>HKD3L6L19Y</v>
      </c>
      <c r="S27" s="165" t="str">
        <v>HKD3L6L19Y=ICAP</v>
      </c>
      <c r="T27" s="273" t="s">
        <v>189</v>
      </c>
      <c r="U27" s="273" t="s">
        <v>189</v>
      </c>
      <c r="V27" s="273" t="e">
        <f>_xll.qlMidEquivalent(T27,U27)</f>
        <v>#NUM!</v>
      </c>
      <c r="W27" s="169" t="b">
        <f t="shared" si="2"/>
        <v>0</v>
      </c>
      <c r="X27" s="279" t="e">
        <v>#VALUE!</v>
      </c>
      <c r="Y27" s="162"/>
      <c r="Z27" s="271" t="e">
        <v>#VALUE!</v>
      </c>
      <c r="AA27" s="162"/>
      <c r="AB27" s="170" t="str">
        <f t="shared" si="3"/>
        <v>HKD3L6L19Y_Quote</v>
      </c>
      <c r="AC27" s="270" t="e">
        <v>#VALUE!</v>
      </c>
      <c r="AD27" s="168" t="e">
        <f>_xll.qlSimpleQuoteSetValue($AB27,ROUND($AC27/10000,6),Trigger)</f>
        <v>#NUM!</v>
      </c>
      <c r="AE27" s="158"/>
      <c r="AF27" s="190"/>
      <c r="AG27" s="190"/>
      <c r="AH27" s="190"/>
      <c r="AI27" s="190"/>
      <c r="AJ27" s="190" t="str">
        <f t="shared" si="4"/>
        <v>19Y</v>
      </c>
      <c r="AK27" s="276" t="e">
        <f>((#REF!-Swap3M!U27)*100-AC27)/10000</f>
        <v>#REF!</v>
      </c>
      <c r="AL27" s="190"/>
    </row>
    <row r="28" spans="1:38" x14ac:dyDescent="0.2">
      <c r="A28" s="28"/>
      <c r="B28" s="27" t="s">
        <v>27</v>
      </c>
      <c r="C28" s="26" t="str">
        <f t="shared" si="5"/>
        <v>3L</v>
      </c>
      <c r="D28" s="25" t="str">
        <f t="shared" si="6"/>
        <v>6L</v>
      </c>
      <c r="E28" s="24" t="str">
        <f t="shared" si="0"/>
        <v>HKD3L6L20Y_Quote</v>
      </c>
      <c r="F28" s="24" t="str">
        <f>_xll.qlSimpleQuote(E28,,RateTickValue,Permanent,Trigger,ObjectOverwrite)</f>
        <v>HKD3L6L20Y_Quote#0000</v>
      </c>
      <c r="G28" s="23" t="str">
        <f>_xll.ohRangeRetrieveError(F28)</f>
        <v/>
      </c>
      <c r="H28" s="22"/>
      <c r="N28" s="167">
        <v>20</v>
      </c>
      <c r="O28" s="203" t="s">
        <v>27</v>
      </c>
      <c r="P28" s="202" t="str">
        <v>3L</v>
      </c>
      <c r="Q28" s="202" t="str">
        <v>6L</v>
      </c>
      <c r="R28" s="200" t="str">
        <f t="shared" si="1"/>
        <v>HKD3L6L20Y</v>
      </c>
      <c r="S28" s="165" t="str">
        <v>HKD3L6L20Y=ICAP</v>
      </c>
      <c r="T28" s="273" t="s">
        <v>189</v>
      </c>
      <c r="U28" s="273" t="s">
        <v>189</v>
      </c>
      <c r="V28" s="273" t="e">
        <f>_xll.qlMidEquivalent(T28,U28)</f>
        <v>#NUM!</v>
      </c>
      <c r="W28" s="169" t="b">
        <f t="shared" si="2"/>
        <v>0</v>
      </c>
      <c r="X28" s="279" t="e">
        <v>#VALUE!</v>
      </c>
      <c r="Y28" s="162"/>
      <c r="Z28" s="271" t="e">
        <v>#VALUE!</v>
      </c>
      <c r="AA28" s="162"/>
      <c r="AB28" s="170" t="str">
        <f t="shared" si="3"/>
        <v>HKD3L6L20Y_Quote</v>
      </c>
      <c r="AC28" s="270" t="e">
        <v>#VALUE!</v>
      </c>
      <c r="AD28" s="168" t="e">
        <f>_xll.qlSimpleQuoteSetValue($AB28,ROUND($AC28/10000,6),Trigger)</f>
        <v>#NUM!</v>
      </c>
      <c r="AE28" s="158"/>
      <c r="AF28" s="190"/>
      <c r="AG28" s="190"/>
      <c r="AH28" s="190"/>
      <c r="AI28" s="190"/>
      <c r="AJ28" s="190" t="str">
        <f t="shared" si="4"/>
        <v>20Y</v>
      </c>
      <c r="AK28" s="276" t="e">
        <f>((#REF!-Swap3M!U28)*100-AC28)/10000</f>
        <v>#REF!</v>
      </c>
      <c r="AL28" s="190"/>
    </row>
    <row r="29" spans="1:38" x14ac:dyDescent="0.2">
      <c r="A29" s="28"/>
      <c r="B29" s="27" t="s">
        <v>26</v>
      </c>
      <c r="C29" s="26" t="str">
        <f t="shared" si="5"/>
        <v>3L</v>
      </c>
      <c r="D29" s="25" t="str">
        <f t="shared" si="6"/>
        <v>6L</v>
      </c>
      <c r="E29" s="24" t="str">
        <f t="shared" si="0"/>
        <v>HKD3L6L21Y_Quote</v>
      </c>
      <c r="F29" s="24" t="str">
        <f>_xll.qlSimpleQuote(E29,,RateTickValue,Permanent,Trigger,ObjectOverwrite)</f>
        <v>HKD3L6L21Y_Quote#0000</v>
      </c>
      <c r="G29" s="23" t="str">
        <f>_xll.ohRangeRetrieveError(F29)</f>
        <v/>
      </c>
      <c r="H29" s="22"/>
      <c r="N29" s="167">
        <v>21</v>
      </c>
      <c r="O29" s="203" t="s">
        <v>26</v>
      </c>
      <c r="P29" s="202" t="str">
        <v>3L</v>
      </c>
      <c r="Q29" s="202" t="str">
        <v>6L</v>
      </c>
      <c r="R29" s="200" t="str">
        <f t="shared" si="1"/>
        <v>HKD3L6L21Y</v>
      </c>
      <c r="S29" s="165" t="str">
        <v>HKD3L6L21Y=ICAP</v>
      </c>
      <c r="T29" s="273" t="s">
        <v>189</v>
      </c>
      <c r="U29" s="273" t="s">
        <v>189</v>
      </c>
      <c r="V29" s="273" t="e">
        <f>_xll.qlMidEquivalent(T29,U29)</f>
        <v>#NUM!</v>
      </c>
      <c r="W29" s="169" t="b">
        <f t="shared" si="2"/>
        <v>0</v>
      </c>
      <c r="X29" s="279" t="e">
        <v>#VALUE!</v>
      </c>
      <c r="Y29" s="162"/>
      <c r="Z29" s="271" t="e">
        <v>#VALUE!</v>
      </c>
      <c r="AA29" s="162"/>
      <c r="AB29" s="170" t="str">
        <f t="shared" si="3"/>
        <v>HKD3L6L21Y_Quote</v>
      </c>
      <c r="AC29" s="270" t="e">
        <v>#VALUE!</v>
      </c>
      <c r="AD29" s="168" t="e">
        <f>_xll.qlSimpleQuoteSetValue($AB29,ROUND($AC29/10000,6),Trigger)</f>
        <v>#NUM!</v>
      </c>
      <c r="AE29" s="158"/>
      <c r="AF29" s="190"/>
      <c r="AG29" s="190"/>
      <c r="AH29" s="190"/>
      <c r="AI29" s="190"/>
      <c r="AJ29" s="190" t="str">
        <f t="shared" si="4"/>
        <v>21Y</v>
      </c>
      <c r="AK29" s="276" t="e">
        <f>((#REF!-Swap3M!U29)*100-AC29)/10000</f>
        <v>#REF!</v>
      </c>
      <c r="AL29" s="190"/>
    </row>
    <row r="30" spans="1:38" x14ac:dyDescent="0.2">
      <c r="A30" s="28"/>
      <c r="B30" s="27" t="s">
        <v>25</v>
      </c>
      <c r="C30" s="26" t="str">
        <f t="shared" si="5"/>
        <v>3L</v>
      </c>
      <c r="D30" s="25" t="str">
        <f t="shared" si="6"/>
        <v>6L</v>
      </c>
      <c r="E30" s="24" t="str">
        <f t="shared" si="0"/>
        <v>HKD3L6L22Y_Quote</v>
      </c>
      <c r="F30" s="24" t="str">
        <f>_xll.qlSimpleQuote(E30,,RateTickValue,Permanent,Trigger,ObjectOverwrite)</f>
        <v>HKD3L6L22Y_Quote#0000</v>
      </c>
      <c r="G30" s="23" t="str">
        <f>_xll.ohRangeRetrieveError(F30)</f>
        <v/>
      </c>
      <c r="H30" s="22"/>
      <c r="N30" s="167">
        <v>22</v>
      </c>
      <c r="O30" s="203" t="s">
        <v>25</v>
      </c>
      <c r="P30" s="202" t="str">
        <v>3L</v>
      </c>
      <c r="Q30" s="202" t="str">
        <v>6L</v>
      </c>
      <c r="R30" s="200" t="str">
        <f t="shared" si="1"/>
        <v>HKD3L6L22Y</v>
      </c>
      <c r="S30" s="165" t="str">
        <v>HKD3L6L22Y=ICAP</v>
      </c>
      <c r="T30" s="273" t="s">
        <v>189</v>
      </c>
      <c r="U30" s="273" t="s">
        <v>189</v>
      </c>
      <c r="V30" s="273" t="e">
        <f>_xll.qlMidEquivalent(T30,U30)</f>
        <v>#NUM!</v>
      </c>
      <c r="W30" s="169" t="b">
        <f t="shared" si="2"/>
        <v>0</v>
      </c>
      <c r="X30" s="279" t="e">
        <v>#VALUE!</v>
      </c>
      <c r="Y30" s="162"/>
      <c r="Z30" s="271" t="e">
        <v>#VALUE!</v>
      </c>
      <c r="AA30" s="162"/>
      <c r="AB30" s="170" t="str">
        <f t="shared" si="3"/>
        <v>HKD3L6L22Y_Quote</v>
      </c>
      <c r="AC30" s="270" t="e">
        <v>#VALUE!</v>
      </c>
      <c r="AD30" s="168" t="e">
        <f>_xll.qlSimpleQuoteSetValue($AB30,ROUND($AC30/10000,6),Trigger)</f>
        <v>#NUM!</v>
      </c>
      <c r="AE30" s="158"/>
      <c r="AF30" s="190"/>
      <c r="AG30" s="190"/>
      <c r="AH30" s="190"/>
      <c r="AI30" s="190"/>
      <c r="AJ30" s="190" t="str">
        <f t="shared" si="4"/>
        <v>22Y</v>
      </c>
      <c r="AK30" s="276" t="e">
        <f>((#REF!-Swap3M!U30)*100-AC30)/10000</f>
        <v>#REF!</v>
      </c>
      <c r="AL30" s="190"/>
    </row>
    <row r="31" spans="1:38" x14ac:dyDescent="0.2">
      <c r="A31" s="28"/>
      <c r="B31" s="27" t="s">
        <v>24</v>
      </c>
      <c r="C31" s="26" t="str">
        <f t="shared" si="5"/>
        <v>3L</v>
      </c>
      <c r="D31" s="25" t="str">
        <f t="shared" si="6"/>
        <v>6L</v>
      </c>
      <c r="E31" s="24" t="str">
        <f t="shared" si="0"/>
        <v>HKD3L6L23Y_Quote</v>
      </c>
      <c r="F31" s="24" t="str">
        <f>_xll.qlSimpleQuote(E31,,RateTickValue,Permanent,Trigger,ObjectOverwrite)</f>
        <v>HKD3L6L23Y_Quote#0000</v>
      </c>
      <c r="G31" s="23" t="str">
        <f>_xll.ohRangeRetrieveError(F31)</f>
        <v/>
      </c>
      <c r="H31" s="22"/>
      <c r="N31" s="167">
        <v>23</v>
      </c>
      <c r="O31" s="203" t="s">
        <v>24</v>
      </c>
      <c r="P31" s="202" t="str">
        <v>3L</v>
      </c>
      <c r="Q31" s="202" t="str">
        <v>6L</v>
      </c>
      <c r="R31" s="200" t="str">
        <f t="shared" si="1"/>
        <v>HKD3L6L23Y</v>
      </c>
      <c r="S31" s="165" t="str">
        <v>HKD3L6L23Y=ICAP</v>
      </c>
      <c r="T31" s="273" t="s">
        <v>189</v>
      </c>
      <c r="U31" s="273" t="s">
        <v>189</v>
      </c>
      <c r="V31" s="273" t="e">
        <f>_xll.qlMidEquivalent(T31,U31)</f>
        <v>#NUM!</v>
      </c>
      <c r="W31" s="169" t="b">
        <f t="shared" si="2"/>
        <v>0</v>
      </c>
      <c r="X31" s="279" t="e">
        <v>#VALUE!</v>
      </c>
      <c r="Y31" s="162"/>
      <c r="Z31" s="271" t="e">
        <v>#VALUE!</v>
      </c>
      <c r="AA31" s="162"/>
      <c r="AB31" s="170" t="str">
        <f t="shared" si="3"/>
        <v>HKD3L6L23Y_Quote</v>
      </c>
      <c r="AC31" s="270" t="e">
        <v>#VALUE!</v>
      </c>
      <c r="AD31" s="168" t="e">
        <f>_xll.qlSimpleQuoteSetValue($AB31,ROUND($AC31/10000,6),Trigger)</f>
        <v>#NUM!</v>
      </c>
      <c r="AE31" s="158"/>
      <c r="AF31" s="190"/>
      <c r="AG31" s="190"/>
      <c r="AH31" s="190"/>
      <c r="AI31" s="190"/>
      <c r="AJ31" s="190" t="str">
        <f t="shared" si="4"/>
        <v>23Y</v>
      </c>
      <c r="AK31" s="276" t="e">
        <f>((#REF!-Swap3M!U31)*100-AC31)/10000</f>
        <v>#REF!</v>
      </c>
      <c r="AL31" s="190"/>
    </row>
    <row r="32" spans="1:38" x14ac:dyDescent="0.2">
      <c r="A32" s="28"/>
      <c r="B32" s="27" t="s">
        <v>23</v>
      </c>
      <c r="C32" s="26" t="str">
        <f t="shared" si="5"/>
        <v>3L</v>
      </c>
      <c r="D32" s="25" t="str">
        <f t="shared" si="6"/>
        <v>6L</v>
      </c>
      <c r="E32" s="24" t="str">
        <f t="shared" si="0"/>
        <v>HKD3L6L24Y_Quote</v>
      </c>
      <c r="F32" s="24" t="str">
        <f>_xll.qlSimpleQuote(E32,,RateTickValue,Permanent,Trigger,ObjectOverwrite)</f>
        <v>HKD3L6L24Y_Quote#0000</v>
      </c>
      <c r="G32" s="23" t="str">
        <f>_xll.ohRangeRetrieveError(F32)</f>
        <v/>
      </c>
      <c r="H32" s="22"/>
      <c r="N32" s="167">
        <v>24</v>
      </c>
      <c r="O32" s="203" t="s">
        <v>23</v>
      </c>
      <c r="P32" s="202" t="str">
        <v>3L</v>
      </c>
      <c r="Q32" s="202" t="str">
        <v>6L</v>
      </c>
      <c r="R32" s="200" t="str">
        <f t="shared" si="1"/>
        <v>HKD3L6L24Y</v>
      </c>
      <c r="S32" s="165" t="str">
        <v>HKD3L6L24Y=ICAP</v>
      </c>
      <c r="T32" s="273" t="s">
        <v>189</v>
      </c>
      <c r="U32" s="273" t="s">
        <v>189</v>
      </c>
      <c r="V32" s="273" t="e">
        <f>_xll.qlMidEquivalent(T32,U32)</f>
        <v>#NUM!</v>
      </c>
      <c r="W32" s="169" t="b">
        <f t="shared" si="2"/>
        <v>0</v>
      </c>
      <c r="X32" s="279" t="e">
        <v>#VALUE!</v>
      </c>
      <c r="Y32" s="162"/>
      <c r="Z32" s="271" t="e">
        <v>#VALUE!</v>
      </c>
      <c r="AA32" s="162"/>
      <c r="AB32" s="170" t="str">
        <f t="shared" si="3"/>
        <v>HKD3L6L24Y_Quote</v>
      </c>
      <c r="AC32" s="270" t="e">
        <v>#VALUE!</v>
      </c>
      <c r="AD32" s="168" t="e">
        <f>_xll.qlSimpleQuoteSetValue($AB32,ROUND($AC32/10000,6),Trigger)</f>
        <v>#NUM!</v>
      </c>
      <c r="AE32" s="158"/>
      <c r="AF32" s="190"/>
      <c r="AG32" s="190"/>
      <c r="AH32" s="190"/>
      <c r="AI32" s="190"/>
      <c r="AJ32" s="190" t="str">
        <f t="shared" si="4"/>
        <v>24Y</v>
      </c>
      <c r="AK32" s="276" t="e">
        <f>((#REF!-Swap3M!U32)*100-AC32)/10000</f>
        <v>#REF!</v>
      </c>
      <c r="AL32" s="190"/>
    </row>
    <row r="33" spans="1:38" x14ac:dyDescent="0.2">
      <c r="A33" s="28"/>
      <c r="B33" s="27" t="s">
        <v>22</v>
      </c>
      <c r="C33" s="26" t="str">
        <f t="shared" si="5"/>
        <v>3L</v>
      </c>
      <c r="D33" s="25" t="str">
        <f t="shared" si="6"/>
        <v>6L</v>
      </c>
      <c r="E33" s="24" t="str">
        <f t="shared" si="0"/>
        <v>HKD3L6L25Y_Quote</v>
      </c>
      <c r="F33" s="24" t="str">
        <f>_xll.qlSimpleQuote(E33,,RateTickValue,Permanent,Trigger,ObjectOverwrite)</f>
        <v>HKD3L6L25Y_Quote#0000</v>
      </c>
      <c r="G33" s="23" t="str">
        <f>_xll.ohRangeRetrieveError(F33)</f>
        <v/>
      </c>
      <c r="H33" s="22"/>
      <c r="N33" s="167">
        <v>25</v>
      </c>
      <c r="O33" s="203" t="s">
        <v>22</v>
      </c>
      <c r="P33" s="202" t="str">
        <v>3L</v>
      </c>
      <c r="Q33" s="202" t="str">
        <v>6L</v>
      </c>
      <c r="R33" s="200" t="str">
        <f t="shared" si="1"/>
        <v>HKD3L6L25Y</v>
      </c>
      <c r="S33" s="165" t="str">
        <v>HKD3L6L25Y=ICAP</v>
      </c>
      <c r="T33" s="273" t="s">
        <v>189</v>
      </c>
      <c r="U33" s="273" t="s">
        <v>189</v>
      </c>
      <c r="V33" s="273" t="e">
        <f>_xll.qlMidEquivalent(T33,U33)</f>
        <v>#NUM!</v>
      </c>
      <c r="W33" s="169" t="b">
        <f t="shared" si="2"/>
        <v>0</v>
      </c>
      <c r="X33" s="279" t="e">
        <v>#VALUE!</v>
      </c>
      <c r="Y33" s="162"/>
      <c r="Z33" s="271" t="e">
        <v>#VALUE!</v>
      </c>
      <c r="AA33" s="162"/>
      <c r="AB33" s="170" t="str">
        <f t="shared" si="3"/>
        <v>HKD3L6L25Y_Quote</v>
      </c>
      <c r="AC33" s="270" t="e">
        <v>#VALUE!</v>
      </c>
      <c r="AD33" s="168" t="e">
        <f>_xll.qlSimpleQuoteSetValue($AB33,ROUND($AC33/10000,6),Trigger)</f>
        <v>#NUM!</v>
      </c>
      <c r="AE33" s="158"/>
      <c r="AF33" s="190"/>
      <c r="AG33" s="190"/>
      <c r="AH33" s="190"/>
      <c r="AI33" s="190"/>
      <c r="AJ33" s="190" t="str">
        <f t="shared" si="4"/>
        <v>25Y</v>
      </c>
      <c r="AK33" s="276" t="e">
        <f>((#REF!-Swap3M!#REF!)*100-AC33)/10000</f>
        <v>#REF!</v>
      </c>
      <c r="AL33" s="190"/>
    </row>
    <row r="34" spans="1:38" x14ac:dyDescent="0.2">
      <c r="A34" s="28"/>
      <c r="B34" s="27" t="s">
        <v>21</v>
      </c>
      <c r="C34" s="26" t="str">
        <f t="shared" si="5"/>
        <v>3L</v>
      </c>
      <c r="D34" s="25" t="str">
        <f t="shared" si="6"/>
        <v>6L</v>
      </c>
      <c r="E34" s="24" t="str">
        <f t="shared" si="0"/>
        <v>HKD3L6L26Y_Quote</v>
      </c>
      <c r="F34" s="24" t="str">
        <f>_xll.qlSimpleQuote(E34,,RateTickValue,Permanent,Trigger,ObjectOverwrite)</f>
        <v>HKD3L6L26Y_Quote#0000</v>
      </c>
      <c r="G34" s="23" t="str">
        <f>_xll.ohRangeRetrieveError(F34)</f>
        <v/>
      </c>
      <c r="H34" s="22"/>
      <c r="N34" s="167">
        <v>26</v>
      </c>
      <c r="O34" s="203" t="s">
        <v>21</v>
      </c>
      <c r="P34" s="202" t="str">
        <v>3L</v>
      </c>
      <c r="Q34" s="202" t="str">
        <v>6L</v>
      </c>
      <c r="R34" s="200" t="str">
        <f t="shared" si="1"/>
        <v>HKD3L6L26Y</v>
      </c>
      <c r="S34" s="165" t="str">
        <v>HKD3L6L26Y=ICAP</v>
      </c>
      <c r="T34" s="273" t="s">
        <v>189</v>
      </c>
      <c r="U34" s="273" t="s">
        <v>189</v>
      </c>
      <c r="V34" s="273" t="e">
        <f>_xll.qlMidEquivalent(T34,U34)</f>
        <v>#NUM!</v>
      </c>
      <c r="W34" s="169" t="b">
        <f t="shared" si="2"/>
        <v>0</v>
      </c>
      <c r="X34" s="279" t="e">
        <v>#VALUE!</v>
      </c>
      <c r="Y34" s="162"/>
      <c r="Z34" s="271" t="e">
        <v>#VALUE!</v>
      </c>
      <c r="AA34" s="162"/>
      <c r="AB34" s="170" t="str">
        <f t="shared" si="3"/>
        <v>HKD3L6L26Y_Quote</v>
      </c>
      <c r="AC34" s="270" t="e">
        <v>#VALUE!</v>
      </c>
      <c r="AD34" s="168" t="e">
        <f>_xll.qlSimpleQuoteSetValue($AB34,ROUND($AC34/10000,6),Trigger)</f>
        <v>#NUM!</v>
      </c>
      <c r="AE34" s="158"/>
      <c r="AF34" s="190"/>
      <c r="AG34" s="190"/>
      <c r="AH34" s="190"/>
      <c r="AI34" s="190"/>
      <c r="AJ34" s="190" t="str">
        <f t="shared" si="4"/>
        <v>26Y</v>
      </c>
      <c r="AK34" s="276" t="e">
        <f>((#REF!-Swap3M!#REF!)*100-AC34)/10000</f>
        <v>#REF!</v>
      </c>
      <c r="AL34" s="190"/>
    </row>
    <row r="35" spans="1:38" x14ac:dyDescent="0.2">
      <c r="A35" s="28"/>
      <c r="B35" s="27" t="s">
        <v>20</v>
      </c>
      <c r="C35" s="26" t="str">
        <f t="shared" si="5"/>
        <v>3L</v>
      </c>
      <c r="D35" s="25" t="str">
        <f t="shared" si="6"/>
        <v>6L</v>
      </c>
      <c r="E35" s="24" t="str">
        <f t="shared" si="0"/>
        <v>HKD3L6L27Y_Quote</v>
      </c>
      <c r="F35" s="24" t="str">
        <f>_xll.qlSimpleQuote(E35,,RateTickValue,Permanent,Trigger,ObjectOverwrite)</f>
        <v>HKD3L6L27Y_Quote#0000</v>
      </c>
      <c r="G35" s="23" t="str">
        <f>_xll.ohRangeRetrieveError(F35)</f>
        <v/>
      </c>
      <c r="H35" s="22"/>
      <c r="N35" s="167">
        <v>27</v>
      </c>
      <c r="O35" s="203" t="s">
        <v>20</v>
      </c>
      <c r="P35" s="202" t="str">
        <v>3L</v>
      </c>
      <c r="Q35" s="202" t="str">
        <v>6L</v>
      </c>
      <c r="R35" s="200" t="str">
        <f t="shared" si="1"/>
        <v>HKD3L6L27Y</v>
      </c>
      <c r="S35" s="165" t="str">
        <v>HKD3L6L27Y=ICAP</v>
      </c>
      <c r="T35" s="273" t="s">
        <v>189</v>
      </c>
      <c r="U35" s="273" t="s">
        <v>189</v>
      </c>
      <c r="V35" s="273" t="e">
        <f>_xll.qlMidEquivalent(T35,U35)</f>
        <v>#NUM!</v>
      </c>
      <c r="W35" s="169" t="b">
        <f t="shared" si="2"/>
        <v>0</v>
      </c>
      <c r="X35" s="279" t="e">
        <v>#VALUE!</v>
      </c>
      <c r="Y35" s="162"/>
      <c r="Z35" s="271" t="e">
        <v>#VALUE!</v>
      </c>
      <c r="AA35" s="162"/>
      <c r="AB35" s="170" t="str">
        <f t="shared" si="3"/>
        <v>HKD3L6L27Y_Quote</v>
      </c>
      <c r="AC35" s="270" t="e">
        <v>#VALUE!</v>
      </c>
      <c r="AD35" s="168" t="e">
        <f>_xll.qlSimpleQuoteSetValue($AB35,ROUND($AC35/10000,6),Trigger)</f>
        <v>#NUM!</v>
      </c>
      <c r="AE35" s="158"/>
      <c r="AF35" s="190"/>
      <c r="AG35" s="190"/>
      <c r="AH35" s="190"/>
      <c r="AI35" s="190"/>
      <c r="AJ35" s="190" t="str">
        <f t="shared" si="4"/>
        <v>27Y</v>
      </c>
      <c r="AK35" s="276" t="e">
        <f>((#REF!-Swap3M!#REF!)*100-AC35)/10000</f>
        <v>#REF!</v>
      </c>
      <c r="AL35" s="190"/>
    </row>
    <row r="36" spans="1:38" x14ac:dyDescent="0.2">
      <c r="A36" s="28"/>
      <c r="B36" s="27" t="s">
        <v>19</v>
      </c>
      <c r="C36" s="26" t="str">
        <f t="shared" si="5"/>
        <v>3L</v>
      </c>
      <c r="D36" s="25" t="str">
        <f t="shared" si="6"/>
        <v>6L</v>
      </c>
      <c r="E36" s="24" t="str">
        <f t="shared" si="0"/>
        <v>HKD3L6L28Y_Quote</v>
      </c>
      <c r="F36" s="24" t="str">
        <f>_xll.qlSimpleQuote(E36,,RateTickValue,Permanent,Trigger,ObjectOverwrite)</f>
        <v>HKD3L6L28Y_Quote#0000</v>
      </c>
      <c r="G36" s="23" t="str">
        <f>_xll.ohRangeRetrieveError(F36)</f>
        <v/>
      </c>
      <c r="H36" s="22"/>
      <c r="N36" s="167">
        <v>28</v>
      </c>
      <c r="O36" s="203" t="s">
        <v>19</v>
      </c>
      <c r="P36" s="202" t="str">
        <v>3L</v>
      </c>
      <c r="Q36" s="202" t="str">
        <v>6L</v>
      </c>
      <c r="R36" s="200" t="str">
        <f t="shared" si="1"/>
        <v>HKD3L6L28Y</v>
      </c>
      <c r="S36" s="165" t="str">
        <v>HKD3L6L28Y=ICAP</v>
      </c>
      <c r="T36" s="273" t="s">
        <v>189</v>
      </c>
      <c r="U36" s="273" t="s">
        <v>189</v>
      </c>
      <c r="V36" s="273" t="e">
        <f>_xll.qlMidEquivalent(T36,U36)</f>
        <v>#NUM!</v>
      </c>
      <c r="W36" s="169" t="b">
        <f t="shared" si="2"/>
        <v>0</v>
      </c>
      <c r="X36" s="279" t="e">
        <v>#VALUE!</v>
      </c>
      <c r="Y36" s="162"/>
      <c r="Z36" s="271" t="e">
        <v>#VALUE!</v>
      </c>
      <c r="AA36" s="162"/>
      <c r="AB36" s="170" t="str">
        <f t="shared" si="3"/>
        <v>HKD3L6L28Y_Quote</v>
      </c>
      <c r="AC36" s="270" t="e">
        <v>#VALUE!</v>
      </c>
      <c r="AD36" s="168" t="e">
        <f>_xll.qlSimpleQuoteSetValue($AB36,ROUND($AC36/10000,6),Trigger)</f>
        <v>#NUM!</v>
      </c>
      <c r="AE36" s="158"/>
      <c r="AF36" s="190"/>
      <c r="AG36" s="190"/>
      <c r="AH36" s="190"/>
      <c r="AI36" s="190"/>
      <c r="AJ36" s="190" t="str">
        <f t="shared" si="4"/>
        <v>28Y</v>
      </c>
      <c r="AK36" s="276" t="e">
        <f>((#REF!-Swap3M!#REF!)*100-AC36)/10000</f>
        <v>#REF!</v>
      </c>
      <c r="AL36" s="190"/>
    </row>
    <row r="37" spans="1:38" x14ac:dyDescent="0.2">
      <c r="A37" s="28"/>
      <c r="B37" s="27" t="s">
        <v>18</v>
      </c>
      <c r="C37" s="26" t="str">
        <f t="shared" si="5"/>
        <v>3L</v>
      </c>
      <c r="D37" s="25" t="str">
        <f t="shared" si="6"/>
        <v>6L</v>
      </c>
      <c r="E37" s="24" t="str">
        <f t="shared" si="0"/>
        <v>HKD3L6L29Y_Quote</v>
      </c>
      <c r="F37" s="24" t="str">
        <f>_xll.qlSimpleQuote(E37,,RateTickValue,Permanent,Trigger,ObjectOverwrite)</f>
        <v>HKD3L6L29Y_Quote#0000</v>
      </c>
      <c r="G37" s="23" t="str">
        <f>_xll.ohRangeRetrieveError(F37)</f>
        <v/>
      </c>
      <c r="H37" s="22"/>
      <c r="N37" s="167">
        <v>29</v>
      </c>
      <c r="O37" s="203" t="s">
        <v>18</v>
      </c>
      <c r="P37" s="202" t="str">
        <v>3L</v>
      </c>
      <c r="Q37" s="202" t="str">
        <v>6L</v>
      </c>
      <c r="R37" s="200" t="str">
        <f t="shared" si="1"/>
        <v>HKD3L6L29Y</v>
      </c>
      <c r="S37" s="165" t="str">
        <v>HKD3L6L29Y=ICAP</v>
      </c>
      <c r="T37" s="273" t="s">
        <v>189</v>
      </c>
      <c r="U37" s="273" t="s">
        <v>189</v>
      </c>
      <c r="V37" s="273" t="e">
        <f>_xll.qlMidEquivalent(T37,U37)</f>
        <v>#NUM!</v>
      </c>
      <c r="W37" s="169" t="b">
        <f t="shared" si="2"/>
        <v>0</v>
      </c>
      <c r="X37" s="279" t="e">
        <v>#VALUE!</v>
      </c>
      <c r="Y37" s="162"/>
      <c r="Z37" s="271" t="e">
        <v>#VALUE!</v>
      </c>
      <c r="AA37" s="162"/>
      <c r="AB37" s="170" t="str">
        <f t="shared" si="3"/>
        <v>HKD3L6L29Y_Quote</v>
      </c>
      <c r="AC37" s="270" t="e">
        <v>#VALUE!</v>
      </c>
      <c r="AD37" s="168" t="e">
        <f>_xll.qlSimpleQuoteSetValue($AB37,ROUND($AC37/10000,6),Trigger)</f>
        <v>#NUM!</v>
      </c>
      <c r="AE37" s="158"/>
      <c r="AF37" s="190"/>
      <c r="AG37" s="190"/>
      <c r="AH37" s="190"/>
      <c r="AI37" s="190"/>
      <c r="AJ37" s="190" t="str">
        <f t="shared" si="4"/>
        <v>29Y</v>
      </c>
      <c r="AK37" s="276" t="e">
        <f>((#REF!-Swap3M!#REF!)*100-AC37)/10000</f>
        <v>#REF!</v>
      </c>
      <c r="AL37" s="190"/>
    </row>
    <row r="38" spans="1:38" x14ac:dyDescent="0.2">
      <c r="A38" s="28"/>
      <c r="B38" s="27" t="s">
        <v>17</v>
      </c>
      <c r="C38" s="26" t="str">
        <f t="shared" si="5"/>
        <v>3L</v>
      </c>
      <c r="D38" s="25" t="str">
        <f t="shared" si="6"/>
        <v>6L</v>
      </c>
      <c r="E38" s="24" t="str">
        <f t="shared" si="0"/>
        <v>HKD3L6L30Y_Quote</v>
      </c>
      <c r="F38" s="24" t="str">
        <f>_xll.qlSimpleQuote(E38,,RateTickValue,Permanent,Trigger,ObjectOverwrite)</f>
        <v>HKD3L6L30Y_Quote#0000</v>
      </c>
      <c r="G38" s="23" t="str">
        <f>_xll.ohRangeRetrieveError(F38)</f>
        <v/>
      </c>
      <c r="H38" s="22"/>
      <c r="N38" s="167">
        <v>30</v>
      </c>
      <c r="O38" s="203" t="s">
        <v>17</v>
      </c>
      <c r="P38" s="202" t="str">
        <v>3L</v>
      </c>
      <c r="Q38" s="202" t="str">
        <v>6L</v>
      </c>
      <c r="R38" s="200" t="str">
        <f t="shared" si="1"/>
        <v>HKD3L6L30Y</v>
      </c>
      <c r="S38" s="165" t="str">
        <v>HKD3L6L30Y=ICAP</v>
      </c>
      <c r="T38" s="273" t="s">
        <v>189</v>
      </c>
      <c r="U38" s="273" t="s">
        <v>189</v>
      </c>
      <c r="V38" s="273" t="e">
        <f>_xll.qlMidEquivalent(T38,U38)</f>
        <v>#NUM!</v>
      </c>
      <c r="W38" s="169" t="b">
        <f t="shared" si="2"/>
        <v>0</v>
      </c>
      <c r="X38" s="279" t="e">
        <v>#VALUE!</v>
      </c>
      <c r="Y38" s="162"/>
      <c r="Z38" s="271" t="e">
        <v>#VALUE!</v>
      </c>
      <c r="AA38" s="162"/>
      <c r="AB38" s="170" t="str">
        <f t="shared" si="3"/>
        <v>HKD3L6L30Y_Quote</v>
      </c>
      <c r="AC38" s="270" t="e">
        <v>#VALUE!</v>
      </c>
      <c r="AD38" s="168" t="e">
        <f>_xll.qlSimpleQuoteSetValue($AB38,ROUND($AC38/10000,6),Trigger)</f>
        <v>#NUM!</v>
      </c>
      <c r="AE38" s="158"/>
      <c r="AF38" s="190"/>
      <c r="AG38" s="190"/>
      <c r="AH38" s="190"/>
      <c r="AI38" s="190"/>
      <c r="AJ38" s="190" t="str">
        <f t="shared" si="4"/>
        <v>30Y</v>
      </c>
      <c r="AK38" s="276" t="e">
        <f>((#REF!-Swap3M!#REF!)*100-AC38)/10000</f>
        <v>#REF!</v>
      </c>
      <c r="AL38" s="190"/>
    </row>
    <row r="39" spans="1:38" x14ac:dyDescent="0.2">
      <c r="A39" s="28"/>
      <c r="B39" s="27" t="s">
        <v>16</v>
      </c>
      <c r="C39" s="26" t="str">
        <f t="shared" si="5"/>
        <v>3L</v>
      </c>
      <c r="D39" s="25" t="str">
        <f t="shared" si="6"/>
        <v>6L</v>
      </c>
      <c r="E39" s="24" t="str">
        <f t="shared" si="0"/>
        <v>HKD3L6L35Y_Quote</v>
      </c>
      <c r="F39" s="24" t="str">
        <f>_xll.qlSimpleQuote(E39,,RateTickValue,Permanent,Trigger,ObjectOverwrite)</f>
        <v>HKD3L6L35Y_Quote#0000</v>
      </c>
      <c r="G39" s="23" t="str">
        <f>_xll.ohRangeRetrieveError(F39)</f>
        <v/>
      </c>
      <c r="H39" s="22"/>
      <c r="N39" s="167">
        <v>35</v>
      </c>
      <c r="O39" s="203" t="s">
        <v>16</v>
      </c>
      <c r="P39" s="202" t="str">
        <v>3L</v>
      </c>
      <c r="Q39" s="202" t="str">
        <v>6L</v>
      </c>
      <c r="R39" s="200" t="str">
        <f t="shared" si="1"/>
        <v>HKD3L6L35Y</v>
      </c>
      <c r="S39" s="165" t="str">
        <v>HKD3L6L35Y=ICAP</v>
      </c>
      <c r="T39" s="273" t="s">
        <v>189</v>
      </c>
      <c r="U39" s="273" t="s">
        <v>189</v>
      </c>
      <c r="V39" s="273" t="e">
        <f>_xll.qlMidEquivalent(T39,U39)</f>
        <v>#NUM!</v>
      </c>
      <c r="W39" s="169" t="b">
        <f t="shared" si="2"/>
        <v>0</v>
      </c>
      <c r="X39" s="279" t="e">
        <v>#VALUE!</v>
      </c>
      <c r="Y39" s="162"/>
      <c r="Z39" s="271" t="e">
        <v>#VALUE!</v>
      </c>
      <c r="AA39" s="162"/>
      <c r="AB39" s="170" t="str">
        <f t="shared" si="3"/>
        <v>HKD3L6L35Y_Quote</v>
      </c>
      <c r="AC39" s="270" t="e">
        <v>#VALUE!</v>
      </c>
      <c r="AD39" s="168" t="e">
        <f>_xll.qlSimpleQuoteSetValue($AB39,ROUND($AC39/10000,6),Trigger)</f>
        <v>#NUM!</v>
      </c>
      <c r="AE39" s="158"/>
      <c r="AF39" s="190"/>
      <c r="AG39" s="190"/>
      <c r="AH39" s="190"/>
      <c r="AI39" s="190"/>
      <c r="AJ39" s="190" t="str">
        <f t="shared" si="4"/>
        <v>35Y</v>
      </c>
      <c r="AK39" s="276" t="e">
        <f>((#REF!-Swap3M!#REF!)*100-AC39)/10000</f>
        <v>#REF!</v>
      </c>
      <c r="AL39" s="190"/>
    </row>
    <row r="40" spans="1:38" x14ac:dyDescent="0.2">
      <c r="A40" s="28"/>
      <c r="B40" s="27" t="s">
        <v>15</v>
      </c>
      <c r="C40" s="26" t="str">
        <f t="shared" si="5"/>
        <v>3L</v>
      </c>
      <c r="D40" s="25" t="str">
        <f t="shared" si="6"/>
        <v>6L</v>
      </c>
      <c r="E40" s="24" t="str">
        <f t="shared" si="0"/>
        <v>HKD3L6L40Y_Quote</v>
      </c>
      <c r="F40" s="24" t="str">
        <f>_xll.qlSimpleQuote(E40,,RateTickValue,Permanent,Trigger,ObjectOverwrite)</f>
        <v>HKD3L6L40Y_Quote#0000</v>
      </c>
      <c r="G40" s="23" t="str">
        <f>_xll.ohRangeRetrieveError(F40)</f>
        <v/>
      </c>
      <c r="H40" s="22"/>
      <c r="N40" s="167">
        <v>40</v>
      </c>
      <c r="O40" s="203" t="s">
        <v>15</v>
      </c>
      <c r="P40" s="202" t="str">
        <v>3L</v>
      </c>
      <c r="Q40" s="202" t="str">
        <v>6L</v>
      </c>
      <c r="R40" s="200" t="str">
        <f t="shared" si="1"/>
        <v>HKD3L6L40Y</v>
      </c>
      <c r="S40" s="165" t="str">
        <v>HKD3L6L40Y=ICAP</v>
      </c>
      <c r="T40" s="273" t="s">
        <v>189</v>
      </c>
      <c r="U40" s="273" t="s">
        <v>189</v>
      </c>
      <c r="V40" s="273" t="e">
        <f>_xll.qlMidEquivalent(T40,U40)</f>
        <v>#NUM!</v>
      </c>
      <c r="W40" s="169" t="b">
        <f t="shared" si="2"/>
        <v>0</v>
      </c>
      <c r="X40" s="279" t="e">
        <v>#VALUE!</v>
      </c>
      <c r="Y40" s="277" t="e">
        <f>X38-X40</f>
        <v>#VALUE!</v>
      </c>
      <c r="Z40" s="271" t="e">
        <v>#VALUE!</v>
      </c>
      <c r="AA40" s="162"/>
      <c r="AB40" s="170" t="str">
        <f t="shared" si="3"/>
        <v>HKD3L6L40Y_Quote</v>
      </c>
      <c r="AC40" s="270" t="e">
        <v>#VALUE!</v>
      </c>
      <c r="AD40" s="168" t="e">
        <f>_xll.qlSimpleQuoteSetValue($AB40,ROUND($AC40/10000,6),Trigger)</f>
        <v>#NUM!</v>
      </c>
      <c r="AE40" s="158"/>
      <c r="AF40" s="190"/>
      <c r="AG40" s="190"/>
      <c r="AH40" s="190"/>
      <c r="AI40" s="190"/>
      <c r="AJ40" s="190" t="str">
        <f t="shared" si="4"/>
        <v>40Y</v>
      </c>
      <c r="AK40" s="276" t="e">
        <f>((#REF!-Swap3M!#REF!)*100-AC40)/10000</f>
        <v>#REF!</v>
      </c>
      <c r="AL40" s="190"/>
    </row>
    <row r="41" spans="1:38" x14ac:dyDescent="0.2">
      <c r="A41" s="28"/>
      <c r="B41" s="27" t="s">
        <v>14</v>
      </c>
      <c r="C41" s="26" t="str">
        <f t="shared" si="5"/>
        <v>3L</v>
      </c>
      <c r="D41" s="25" t="str">
        <f t="shared" si="6"/>
        <v>6L</v>
      </c>
      <c r="E41" s="24" t="str">
        <f t="shared" si="0"/>
        <v>HKD3L6L50Y_Quote</v>
      </c>
      <c r="F41" s="24" t="str">
        <f>_xll.qlSimpleQuote(E41,,RateTickValue,Permanent,Trigger,ObjectOverwrite)</f>
        <v>HKD3L6L50Y_Quote#0000</v>
      </c>
      <c r="G41" s="23" t="str">
        <f>_xll.ohRangeRetrieveError(F41)</f>
        <v/>
      </c>
      <c r="H41" s="22"/>
      <c r="N41" s="167">
        <v>50</v>
      </c>
      <c r="O41" s="203" t="s">
        <v>14</v>
      </c>
      <c r="P41" s="202" t="str">
        <v>3L</v>
      </c>
      <c r="Q41" s="202" t="str">
        <v>6L</v>
      </c>
      <c r="R41" s="200" t="str">
        <f t="shared" si="1"/>
        <v>HKD3L6L50Y</v>
      </c>
      <c r="S41" s="165" t="str">
        <v>HKD3L6L50Y=ICAP</v>
      </c>
      <c r="T41" s="273" t="s">
        <v>189</v>
      </c>
      <c r="U41" s="273" t="s">
        <v>189</v>
      </c>
      <c r="V41" s="273" t="e">
        <f>_xll.qlMidEquivalent(T41,U41)</f>
        <v>#NUM!</v>
      </c>
      <c r="W41" s="169" t="b">
        <f t="shared" si="2"/>
        <v>0</v>
      </c>
      <c r="X41" s="279" t="e">
        <v>#VALUE!</v>
      </c>
      <c r="Y41" s="277" t="e">
        <f>X40-X41</f>
        <v>#VALUE!</v>
      </c>
      <c r="Z41" s="271" t="e">
        <v>#VALUE!</v>
      </c>
      <c r="AA41" s="162"/>
      <c r="AB41" s="170" t="str">
        <f t="shared" si="3"/>
        <v>HKD3L6L50Y_Quote</v>
      </c>
      <c r="AC41" s="270" t="e">
        <v>#VALUE!</v>
      </c>
      <c r="AD41" s="168" t="e">
        <f>_xll.qlSimpleQuoteSetValue($AB41,ROUND($AC41/10000,6),Trigger)</f>
        <v>#NUM!</v>
      </c>
      <c r="AE41" s="158"/>
      <c r="AF41" s="190"/>
      <c r="AG41" s="190"/>
      <c r="AH41" s="190"/>
      <c r="AI41" s="190"/>
      <c r="AJ41" s="190" t="str">
        <f t="shared" si="4"/>
        <v>50Y</v>
      </c>
      <c r="AK41" s="276" t="e">
        <f>((#REF!-Swap3M!#REF!)*100-AC41)/10000</f>
        <v>#REF!</v>
      </c>
      <c r="AL41" s="190"/>
    </row>
    <row r="42" spans="1:38" x14ac:dyDescent="0.2">
      <c r="A42" s="28"/>
      <c r="B42" s="27" t="s">
        <v>13</v>
      </c>
      <c r="C42" s="26" t="str">
        <f t="shared" si="5"/>
        <v>3L</v>
      </c>
      <c r="D42" s="25" t="str">
        <f t="shared" si="6"/>
        <v>6L</v>
      </c>
      <c r="E42" s="24" t="str">
        <f t="shared" si="0"/>
        <v>HKD3L6L60Y_Quote</v>
      </c>
      <c r="F42" s="24" t="str">
        <f>_xll.qlSimpleQuote(E42,,RateTickValue,Permanent,Trigger,ObjectOverwrite)</f>
        <v>HKD3L6L60Y_Quote#0000</v>
      </c>
      <c r="G42" s="23" t="str">
        <f>_xll.ohRangeRetrieveError(F42)</f>
        <v/>
      </c>
      <c r="H42" s="22"/>
      <c r="N42" s="167">
        <v>60</v>
      </c>
      <c r="O42" s="203" t="s">
        <v>13</v>
      </c>
      <c r="P42" s="202" t="str">
        <v>3L</v>
      </c>
      <c r="Q42" s="202" t="str">
        <v>6L</v>
      </c>
      <c r="R42" s="200" t="str">
        <f t="shared" si="1"/>
        <v>HKD3L6L60Y</v>
      </c>
      <c r="S42" s="165" t="str">
        <v>HKD3L6L60Y=ICAP</v>
      </c>
      <c r="T42" s="273" t="s">
        <v>189</v>
      </c>
      <c r="U42" s="273" t="s">
        <v>189</v>
      </c>
      <c r="V42" s="273" t="e">
        <f>_xll.qlMidEquivalent(T42,U42)</f>
        <v>#NUM!</v>
      </c>
      <c r="W42" s="169" t="b">
        <f t="shared" si="2"/>
        <v>0</v>
      </c>
      <c r="X42" s="278" t="e">
        <f>X41-Y42</f>
        <v>#VALUE!</v>
      </c>
      <c r="Y42" s="277" t="e">
        <f>Y41/Y40*Y41</f>
        <v>#VALUE!</v>
      </c>
      <c r="Z42" s="271" t="e">
        <v>#VALUE!</v>
      </c>
      <c r="AA42" s="162"/>
      <c r="AB42" s="170" t="str">
        <f t="shared" si="3"/>
        <v>HKD3L6L60Y_Quote</v>
      </c>
      <c r="AC42" s="270" t="e">
        <v>#VALUE!</v>
      </c>
      <c r="AD42" s="168" t="e">
        <f>_xll.qlSimpleQuoteSetValue($AB42,ROUND($AC42/10000,6),Trigger)</f>
        <v>#NUM!</v>
      </c>
      <c r="AE42" s="158"/>
      <c r="AF42" s="190"/>
      <c r="AG42" s="190"/>
      <c r="AH42" s="190"/>
      <c r="AI42" s="190"/>
      <c r="AJ42" s="190" t="str">
        <f t="shared" si="4"/>
        <v>60Y</v>
      </c>
      <c r="AK42" s="276" t="e">
        <f>((#REF!-Swap3M!#REF!)*100-AC42)/10000</f>
        <v>#REF!</v>
      </c>
      <c r="AL42" s="190"/>
    </row>
    <row r="43" spans="1:38" ht="13.5" thickBot="1" x14ac:dyDescent="0.25">
      <c r="A43" s="21"/>
      <c r="B43" s="20"/>
      <c r="C43" s="20"/>
      <c r="D43" s="20"/>
      <c r="E43" s="20"/>
      <c r="F43" s="19"/>
      <c r="G43" s="19"/>
      <c r="H43" s="18"/>
      <c r="N43" s="157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5"/>
      <c r="Z43" s="156"/>
      <c r="AA43" s="155"/>
      <c r="AB43" s="156"/>
      <c r="AC43" s="156"/>
      <c r="AD43" s="156"/>
      <c r="AE43" s="257"/>
      <c r="AF43" s="190"/>
      <c r="AG43" s="190"/>
      <c r="AH43" s="190"/>
      <c r="AI43" s="190"/>
      <c r="AJ43" s="190"/>
      <c r="AK43" s="190"/>
      <c r="AL43" s="190"/>
    </row>
    <row r="44" spans="1:38" x14ac:dyDescent="0.2"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0"/>
      <c r="AH44" s="190"/>
      <c r="AI44" s="190"/>
      <c r="AJ44" s="190"/>
      <c r="AK44" s="190"/>
      <c r="AL44" s="190"/>
    </row>
    <row r="45" spans="1:38" ht="15" x14ac:dyDescent="0.25"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190"/>
      <c r="AE45" s="190"/>
      <c r="AF45" s="190"/>
      <c r="AG45"/>
      <c r="AH45" s="190"/>
      <c r="AI45" s="190"/>
      <c r="AJ45" s="190"/>
      <c r="AK45" s="190"/>
      <c r="AL45" s="190"/>
    </row>
    <row r="46" spans="1:38" x14ac:dyDescent="0.2"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190"/>
      <c r="AE46" s="190"/>
      <c r="AF46" s="190"/>
      <c r="AG46" s="190"/>
      <c r="AH46" s="190"/>
      <c r="AI46" s="190"/>
      <c r="AJ46" s="190"/>
      <c r="AK46" s="190"/>
      <c r="AL46" s="190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59</vt:i4>
      </vt:variant>
    </vt:vector>
  </HeadingPairs>
  <TitlesOfParts>
    <vt:vector size="70" baseType="lpstr">
      <vt:lpstr>General Settings</vt:lpstr>
      <vt:lpstr>Hibor</vt:lpstr>
      <vt:lpstr>Hibor Time Series</vt:lpstr>
      <vt:lpstr>OIS</vt:lpstr>
      <vt:lpstr>Deposits</vt:lpstr>
      <vt:lpstr>FRA</vt:lpstr>
      <vt:lpstr>Futures3M</vt:lpstr>
      <vt:lpstr>Swaps1M</vt:lpstr>
      <vt:lpstr>Swap3M</vt:lpstr>
      <vt:lpstr>BasisSwap1M3M</vt:lpstr>
      <vt:lpstr>BasisSwap3M6M</vt:lpstr>
      <vt:lpstr>BasisSwap1M3M!Contributor</vt:lpstr>
      <vt:lpstr>BasisSwap3M6M!Contributor</vt:lpstr>
      <vt:lpstr>FRA!Contributor</vt:lpstr>
      <vt:lpstr>OIS!Contributor</vt:lpstr>
      <vt:lpstr>Swap3M!Contributor</vt:lpstr>
      <vt:lpstr>Swaps1M!Contributor</vt:lpstr>
      <vt:lpstr>Contributors</vt:lpstr>
      <vt:lpstr>ContributorTable</vt:lpstr>
      <vt:lpstr>BasisSwap1M3M!Conventions</vt:lpstr>
      <vt:lpstr>BasisSwap3M6M!Conventions</vt:lpstr>
      <vt:lpstr>Currency</vt:lpstr>
      <vt:lpstr>Hibor!FamilyName</vt:lpstr>
      <vt:lpstr>Hibor!FileName</vt:lpstr>
      <vt:lpstr>FileOverwrite</vt:lpstr>
      <vt:lpstr>Futures3M!FuturesCodes</vt:lpstr>
      <vt:lpstr>Futures3M!FuturesDates</vt:lpstr>
      <vt:lpstr>BasisSwap1M3M!Instruments</vt:lpstr>
      <vt:lpstr>BasisSwap3M6M!Instruments</vt:lpstr>
      <vt:lpstr>FRA!Instruments</vt:lpstr>
      <vt:lpstr>Swap3M!Instruments</vt:lpstr>
      <vt:lpstr>Swaps1M!Instruments</vt:lpstr>
      <vt:lpstr>InterpolationType</vt:lpstr>
      <vt:lpstr>LastUpdate</vt:lpstr>
      <vt:lpstr>LiveDataFeed</vt:lpstr>
      <vt:lpstr>ObjectOverwrite</vt:lpstr>
      <vt:lpstr>Permanent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Trigger</vt:lpstr>
      <vt:lpstr>TriggerCounter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2013-11-19T00:34:40Z</dcterms:created>
  <dcterms:modified xsi:type="dcterms:W3CDTF">2014-02-10T16:38:25Z</dcterms:modified>
</cp:coreProperties>
</file>
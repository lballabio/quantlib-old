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15" yWindow="-15" windowWidth="15075" windowHeight="7785" tabRatio="777"/>
  </bookViews>
  <sheets>
    <sheet name="General Settings" sheetId="40" r:id="rId1"/>
    <sheet name="Hibor" sheetId="36" r:id="rId2"/>
    <sheet name="OIS" sheetId="16" r:id="rId3"/>
    <sheet name="Deposits" sheetId="9" r:id="rId4"/>
    <sheet name="FRA" sheetId="10" r:id="rId5"/>
    <sheet name="Futures3M" sheetId="12" r:id="rId6"/>
    <sheet name="Swaps1M" sheetId="17" r:id="rId7"/>
    <sheet name="Swap3M" sheetId="19" r:id="rId8"/>
    <sheet name="BasisSwap1M3M" sheetId="5" r:id="rId9"/>
    <sheet name="BasisSwap3M6M" sheetId="6" r:id="rId10"/>
  </sheets>
  <functionGroups builtInGroupCount="17"/>
  <definedNames>
    <definedName name="Contributor" localSheetId="8">BasisSwap1M3M!$S$2</definedName>
    <definedName name="Contributor" localSheetId="9">BasisSwap3M6M!$S$2</definedName>
    <definedName name="Contributor" localSheetId="4">FRA!$M$2</definedName>
    <definedName name="Contributor" localSheetId="2">OIS!$L$2</definedName>
    <definedName name="Contributor" localSheetId="7">Swap3M!$L$2</definedName>
    <definedName name="Contributor" localSheetId="6">Swaps1M!$L$2</definedName>
    <definedName name="Contributors">'General Settings'!$C$26:$C$33</definedName>
    <definedName name="ContributorTable">'General Settings'!$C$26:$D$33</definedName>
    <definedName name="Conventions" localSheetId="8">BasisSwap1M3M!$AG$5:$AI$9</definedName>
    <definedName name="Conventions" localSheetId="9">BasisSwap3M6M!$AG$5:$AI$9</definedName>
    <definedName name="Conventions" localSheetId="7">Swap3M!#REF!</definedName>
    <definedName name="Currency">'General Settings'!$D$16</definedName>
    <definedName name="FamilyName" localSheetId="1">Hibor!$K$3</definedName>
    <definedName name="FileName" localSheetId="1">Hibor!$M$3</definedName>
    <definedName name="FileOverwrite">'General Settings'!$D$14</definedName>
    <definedName name="FuturesCodes" localSheetId="5">Futures3M!$M$4:$M$39</definedName>
    <definedName name="FuturesDates" localSheetId="5">Futures3M!$N$4:$N$39</definedName>
    <definedName name="GENERAL_SETTINGS">'General Settings'!#REF!</definedName>
    <definedName name="Instruments" localSheetId="8">BasisSwap1M3M!$R$5:$R$42</definedName>
    <definedName name="Instruments" localSheetId="9">BasisSwap3M6M!$R$5:$R$42</definedName>
    <definedName name="Instruments" localSheetId="4">FRA!$L$7:$L$38</definedName>
    <definedName name="Instruments" localSheetId="7">Swap3M!$K$5:$K$32</definedName>
    <definedName name="Instruments" localSheetId="6">Swaps1M!$K$5:$K$15</definedName>
    <definedName name="InterpolationType">'General Settings'!$D$23</definedName>
    <definedName name="LastUpdate">'General Settings'!$D$6</definedName>
    <definedName name="LiveDataFeed">'General Settings'!$D$7</definedName>
    <definedName name="ObjectOverwrite">'General Settings'!$D$10</definedName>
    <definedName name="Permanent">'General Settings'!$D$9</definedName>
    <definedName name="PriceTickValue">'General Settings'!$D$19</definedName>
    <definedName name="Quote" localSheetId="8">BasisSwap1M3M!$AC$5:$AC$42</definedName>
    <definedName name="Quote" localSheetId="9">BasisSwap3M6M!$AC$5:$AC$42</definedName>
    <definedName name="Quote" localSheetId="3">Deposits!$N$4:$N$21</definedName>
    <definedName name="Quote" localSheetId="4">FRA!$V$7:$V$38</definedName>
    <definedName name="Quote" localSheetId="5">Futures3M!$Y$4:$Y$39</definedName>
    <definedName name="Quote" localSheetId="2">OIS!$U$5:$U$23</definedName>
    <definedName name="Quote" localSheetId="7">Swap3M!$U$5:$U$32</definedName>
    <definedName name="Quote" localSheetId="6">Swaps1M!$U$5:$U$15</definedName>
    <definedName name="QuoteLive" localSheetId="8">BasisSwap1M3M!$X$5:$X$42</definedName>
    <definedName name="QuoteLive" localSheetId="9">BasisSwap3M6M!$X$5:$X$42</definedName>
    <definedName name="QuoteLive" localSheetId="3">Deposits!$J$4:$J$21</definedName>
    <definedName name="QuoteLive" localSheetId="4">FRA!$R$7:$R$38</definedName>
    <definedName name="QuoteLive" localSheetId="5">Futures3M!$U$4:$U$39</definedName>
    <definedName name="QuoteLive" localSheetId="2">OIS!$Q$5:$Q$23</definedName>
    <definedName name="QuoteLive" localSheetId="7">Swap3M!$Q$5:$Q$32</definedName>
    <definedName name="QuoteLive" localSheetId="6">Swaps1M!$Q$5:$Q$15</definedName>
    <definedName name="QuoteStatic" localSheetId="8">BasisSwap1M3M!$Z$5:$Z$42</definedName>
    <definedName name="QuoteStatic" localSheetId="9">BasisSwap3M6M!$Z$5:$Z$42</definedName>
    <definedName name="QuoteStatic" localSheetId="3">Deposits!$L$4:$L$21</definedName>
    <definedName name="QuoteStatic" localSheetId="4">FRA!$T$7:$T$38</definedName>
    <definedName name="QuoteStatic" localSheetId="5">Futures3M!$W$4:$W$39</definedName>
    <definedName name="QuoteStatic" localSheetId="2">OIS!$S$5:$S$23</definedName>
    <definedName name="QuoteStatic" localSheetId="7">Swap3M!$S$5:$S$32</definedName>
    <definedName name="QuoteStatic" localSheetId="6">Swaps1M!$S$5:$S$15</definedName>
    <definedName name="QuoteSuffix">'General Settings'!$D$17</definedName>
    <definedName name="RateTickValue">'General Settings'!$D$18</definedName>
    <definedName name="ReutersRtMode">'General Settings'!$D$21</definedName>
    <definedName name="SerializationPath">'General Settings'!$D$13</definedName>
    <definedName name="Serialize">'General Settings'!$D$12</definedName>
    <definedName name="Swap3M4Y">Swap3M!$U$12</definedName>
    <definedName name="Trigger">'General Settings'!$D$4</definedName>
    <definedName name="TriggerCounter">'General Settings'!$D$22</definedName>
  </definedNames>
  <calcPr calcId="145621"/>
</workbook>
</file>

<file path=xl/calcChain.xml><?xml version="1.0" encoding="utf-8"?>
<calcChain xmlns="http://schemas.openxmlformats.org/spreadsheetml/2006/main">
  <c r="AC5" i="6" l="1" a="1"/>
  <c r="AC5" i="5" a="1"/>
  <c r="U5" i="19" a="1"/>
  <c r="U5" i="17" a="1"/>
  <c r="Y4" i="12" a="1"/>
  <c r="V7" i="10" a="1"/>
  <c r="N4" i="9" a="1"/>
  <c r="N4" i="9" s="1"/>
  <c r="U5" i="16" a="1"/>
  <c r="U32" i="19" l="1"/>
  <c r="U31" i="19"/>
  <c r="U30" i="19"/>
  <c r="U29" i="19"/>
  <c r="N18" i="9"/>
  <c r="N15" i="9"/>
  <c r="N7" i="9"/>
  <c r="N19" i="9"/>
  <c r="N17" i="9"/>
  <c r="N16" i="9"/>
  <c r="N14" i="9"/>
  <c r="N13" i="9"/>
  <c r="N12" i="9"/>
  <c r="N11" i="9"/>
  <c r="N10" i="9"/>
  <c r="N9" i="9"/>
  <c r="N8" i="9"/>
  <c r="N6" i="9"/>
  <c r="N21" i="9"/>
  <c r="N5" i="9"/>
  <c r="N20" i="9"/>
  <c r="J14" i="36" l="1"/>
  <c r="J13" i="36"/>
  <c r="J12" i="36"/>
  <c r="J11" i="36"/>
  <c r="J10" i="36"/>
  <c r="J9" i="36"/>
  <c r="J8" i="36"/>
  <c r="J7" i="36"/>
  <c r="J6" i="36"/>
  <c r="K15" i="36"/>
  <c r="R14" i="36" l="1"/>
  <c r="R13" i="36"/>
  <c r="T13" i="36" s="1"/>
  <c r="R12" i="36"/>
  <c r="R11" i="36"/>
  <c r="R10" i="36"/>
  <c r="T10" i="36" s="1"/>
  <c r="R9" i="36"/>
  <c r="R8" i="36"/>
  <c r="R6" i="36"/>
  <c r="W13" i="36"/>
  <c r="D13" i="36"/>
  <c r="W10" i="36"/>
  <c r="D10" i="36"/>
  <c r="K7" i="36"/>
  <c r="K13" i="36"/>
  <c r="K10" i="36"/>
  <c r="K28" i="19" l="1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L7" i="36"/>
  <c r="L13" i="36"/>
  <c r="L10" i="36"/>
  <c r="N10" i="36" s="1"/>
  <c r="S13" i="36" l="1"/>
  <c r="S10" i="36"/>
  <c r="S7" i="36"/>
  <c r="D9" i="10"/>
  <c r="D11" i="36"/>
  <c r="W11" i="36"/>
  <c r="N13" i="36"/>
  <c r="X10" i="36"/>
  <c r="M10" i="36"/>
  <c r="X13" i="36"/>
  <c r="K11" i="36"/>
  <c r="E9" i="10"/>
  <c r="M13" i="36"/>
  <c r="M7" i="36"/>
  <c r="D13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7" i="10"/>
  <c r="R8" i="10"/>
  <c r="D4" i="12" a="1"/>
  <c r="N4" i="12" a="1"/>
  <c r="Y13" i="36"/>
  <c r="L11" i="36"/>
  <c r="Y10" i="36"/>
  <c r="V8" i="10" l="1"/>
  <c r="V7" i="10"/>
  <c r="S11" i="36"/>
  <c r="D19" i="12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N11" i="36"/>
  <c r="M11" i="36"/>
  <c r="X11" i="36"/>
  <c r="M4" i="12" a="1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Y11" i="36"/>
  <c r="W6" i="36" l="1"/>
  <c r="W7" i="36"/>
  <c r="W8" i="36"/>
  <c r="W9" i="36"/>
  <c r="W12" i="36"/>
  <c r="W14" i="36"/>
  <c r="F14" i="16"/>
  <c r="F15" i="17"/>
  <c r="F6" i="16"/>
  <c r="F5" i="16"/>
  <c r="F11" i="16"/>
  <c r="F8" i="16"/>
  <c r="F18" i="16"/>
  <c r="F5" i="17"/>
  <c r="F14" i="17"/>
  <c r="F13" i="16"/>
  <c r="F7" i="16"/>
  <c r="F6" i="17"/>
  <c r="F15" i="16"/>
  <c r="F8" i="17"/>
  <c r="F12" i="17"/>
  <c r="F7" i="17"/>
  <c r="F19" i="16"/>
  <c r="F12" i="16"/>
  <c r="X7" i="36"/>
  <c r="F10" i="16"/>
  <c r="F10" i="17"/>
  <c r="F9" i="16"/>
  <c r="F16" i="16"/>
  <c r="F13" i="17"/>
  <c r="F17" i="16"/>
  <c r="F11" i="17"/>
  <c r="F9" i="17"/>
  <c r="T11" i="36" l="1"/>
  <c r="T6" i="36"/>
  <c r="T14" i="36"/>
  <c r="T8" i="36"/>
  <c r="T12" i="36"/>
  <c r="T7" i="36"/>
  <c r="T9" i="36"/>
  <c r="Y7" i="36"/>
  <c r="D26" i="40" l="1"/>
  <c r="B1" i="40"/>
  <c r="L5" i="16" l="1"/>
  <c r="Q5" i="16"/>
  <c r="U5" i="16" s="1"/>
  <c r="L6" i="16"/>
  <c r="Q6" i="16"/>
  <c r="U6" i="16" s="1"/>
  <c r="L7" i="16"/>
  <c r="Q7" i="16"/>
  <c r="U7" i="16" s="1"/>
  <c r="L8" i="16"/>
  <c r="Q8" i="16"/>
  <c r="U8" i="16" s="1"/>
  <c r="L9" i="16"/>
  <c r="Q9" i="16"/>
  <c r="U9" i="16" s="1"/>
  <c r="L10" i="16"/>
  <c r="Q10" i="16"/>
  <c r="U10" i="16" s="1"/>
  <c r="L11" i="16"/>
  <c r="Q11" i="16"/>
  <c r="U11" i="16" s="1"/>
  <c r="L12" i="16"/>
  <c r="Q12" i="16"/>
  <c r="U12" i="16" s="1"/>
  <c r="L13" i="16"/>
  <c r="Q13" i="16"/>
  <c r="U13" i="16" s="1"/>
  <c r="L14" i="16"/>
  <c r="Q14" i="16"/>
  <c r="U14" i="16" s="1"/>
  <c r="L15" i="16"/>
  <c r="Q15" i="16"/>
  <c r="U15" i="16" s="1"/>
  <c r="L16" i="16"/>
  <c r="Q16" i="16"/>
  <c r="U16" i="16" s="1"/>
  <c r="L17" i="16"/>
  <c r="Q17" i="16"/>
  <c r="U17" i="16" s="1"/>
  <c r="L18" i="16"/>
  <c r="Q18" i="16"/>
  <c r="U18" i="16" s="1"/>
  <c r="L19" i="16"/>
  <c r="Q19" i="16"/>
  <c r="U19" i="16" s="1"/>
  <c r="L20" i="16"/>
  <c r="Q20" i="16"/>
  <c r="U20" i="16" s="1"/>
  <c r="L21" i="16"/>
  <c r="Q21" i="16"/>
  <c r="U21" i="16" s="1"/>
  <c r="L22" i="16"/>
  <c r="Q22" i="16"/>
  <c r="U22" i="16" s="1"/>
  <c r="L23" i="16"/>
  <c r="Q23" i="16"/>
  <c r="U23" i="16" s="1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6" i="6"/>
  <c r="V31" i="6"/>
  <c r="V22" i="6"/>
  <c r="V30" i="6"/>
  <c r="V17" i="6"/>
  <c r="V11" i="6"/>
  <c r="V28" i="6"/>
  <c r="V8" i="6"/>
  <c r="V42" i="6"/>
  <c r="V5" i="6"/>
  <c r="V41" i="6"/>
  <c r="V37" i="6"/>
  <c r="V10" i="6"/>
  <c r="V14" i="6"/>
  <c r="V9" i="6"/>
  <c r="V12" i="6"/>
  <c r="V27" i="6"/>
  <c r="V40" i="6"/>
  <c r="V18" i="6"/>
  <c r="V38" i="6"/>
  <c r="V34" i="6"/>
  <c r="V39" i="6"/>
  <c r="V36" i="6"/>
  <c r="V13" i="6"/>
  <c r="V23" i="6"/>
  <c r="V21" i="6"/>
  <c r="V6" i="6"/>
  <c r="V20" i="6"/>
  <c r="V19" i="6"/>
  <c r="V35" i="6"/>
  <c r="V7" i="6"/>
  <c r="V29" i="6"/>
  <c r="V25" i="6"/>
  <c r="V33" i="6"/>
  <c r="V16" i="6"/>
  <c r="V15" i="6"/>
  <c r="V24" i="6"/>
  <c r="V32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V32" i="5"/>
  <c r="Q7" i="19"/>
  <c r="V34" i="5"/>
  <c r="V20" i="5"/>
  <c r="V25" i="5"/>
  <c r="V39" i="5"/>
  <c r="Q22" i="19"/>
  <c r="Q12" i="19"/>
  <c r="V19" i="5"/>
  <c r="Q27" i="19"/>
  <c r="V31" i="5"/>
  <c r="V28" i="5"/>
  <c r="V18" i="5"/>
  <c r="Q19" i="19"/>
  <c r="Q24" i="19"/>
  <c r="Q26" i="19"/>
  <c r="V15" i="5"/>
  <c r="V27" i="5"/>
  <c r="Q20" i="19"/>
  <c r="Q14" i="17"/>
  <c r="V10" i="5"/>
  <c r="Q7" i="17"/>
  <c r="V24" i="5"/>
  <c r="V36" i="5"/>
  <c r="V41" i="5"/>
  <c r="V12" i="5"/>
  <c r="Q13" i="19"/>
  <c r="V42" i="5"/>
  <c r="Q5" i="19"/>
  <c r="Q15" i="19"/>
  <c r="Q12" i="17"/>
  <c r="V37" i="5"/>
  <c r="V11" i="5"/>
  <c r="Q28" i="19"/>
  <c r="V8" i="5"/>
  <c r="Q13" i="17"/>
  <c r="V30" i="5"/>
  <c r="Q21" i="19"/>
  <c r="V26" i="5"/>
  <c r="V40" i="5"/>
  <c r="V16" i="5"/>
  <c r="V6" i="5"/>
  <c r="Q9" i="19"/>
  <c r="V14" i="5"/>
  <c r="V35" i="5"/>
  <c r="V21" i="5"/>
  <c r="V33" i="5"/>
  <c r="Q8" i="19"/>
  <c r="Q18" i="19"/>
  <c r="Q6" i="19"/>
  <c r="Q16" i="19"/>
  <c r="Q9" i="17"/>
  <c r="Q14" i="19"/>
  <c r="V38" i="5"/>
  <c r="V23" i="5"/>
  <c r="Q5" i="17"/>
  <c r="V5" i="5"/>
  <c r="Q15" i="17"/>
  <c r="Q8" i="17"/>
  <c r="Q25" i="19"/>
  <c r="Q23" i="19"/>
  <c r="Q10" i="17"/>
  <c r="V22" i="5"/>
  <c r="V13" i="5"/>
  <c r="V9" i="5"/>
  <c r="Q11" i="17"/>
  <c r="Q17" i="19"/>
  <c r="Q11" i="19"/>
  <c r="V17" i="5"/>
  <c r="V29" i="5"/>
  <c r="V7" i="5"/>
  <c r="Q10" i="19"/>
  <c r="Q6" i="17"/>
  <c r="U6" i="17" l="1"/>
  <c r="U10" i="19"/>
  <c r="U11" i="19"/>
  <c r="U17" i="19"/>
  <c r="U11" i="17"/>
  <c r="U10" i="17"/>
  <c r="U23" i="19"/>
  <c r="U25" i="19"/>
  <c r="U8" i="17"/>
  <c r="U15" i="17"/>
  <c r="U5" i="17"/>
  <c r="U14" i="19"/>
  <c r="U9" i="17"/>
  <c r="U16" i="19"/>
  <c r="U6" i="19"/>
  <c r="U18" i="19"/>
  <c r="U8" i="19"/>
  <c r="U9" i="19"/>
  <c r="U21" i="19"/>
  <c r="U13" i="17"/>
  <c r="U28" i="19"/>
  <c r="U12" i="17"/>
  <c r="U15" i="19"/>
  <c r="U5" i="19"/>
  <c r="U13" i="19"/>
  <c r="U7" i="17"/>
  <c r="U14" i="17"/>
  <c r="U20" i="19"/>
  <c r="U26" i="19"/>
  <c r="U24" i="19"/>
  <c r="U19" i="19"/>
  <c r="U27" i="19"/>
  <c r="U12" i="19"/>
  <c r="U22" i="19"/>
  <c r="U7" i="19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16" i="12"/>
  <c r="U36" i="12"/>
  <c r="U32" i="12"/>
  <c r="U34" i="12"/>
  <c r="U29" i="12"/>
  <c r="U19" i="12"/>
  <c r="U4" i="12"/>
  <c r="U7" i="12"/>
  <c r="U21" i="12"/>
  <c r="U30" i="12"/>
  <c r="U28" i="12"/>
  <c r="U27" i="12"/>
  <c r="U13" i="12"/>
  <c r="U24" i="12"/>
  <c r="U37" i="12"/>
  <c r="U17" i="12"/>
  <c r="U18" i="12"/>
  <c r="U35" i="12"/>
  <c r="U23" i="12"/>
  <c r="U14" i="12"/>
  <c r="U9" i="12"/>
  <c r="U11" i="12"/>
  <c r="U10" i="12"/>
  <c r="U6" i="12"/>
  <c r="U5" i="12"/>
  <c r="U20" i="12"/>
  <c r="U8" i="12"/>
  <c r="U26" i="12"/>
  <c r="U15" i="12"/>
  <c r="U22" i="12"/>
  <c r="U31" i="12"/>
  <c r="U12" i="12"/>
  <c r="U25" i="12"/>
  <c r="U33" i="12"/>
  <c r="Y33" i="12" l="1"/>
  <c r="Y25" i="12"/>
  <c r="Y12" i="12"/>
  <c r="Y31" i="12"/>
  <c r="Y22" i="12"/>
  <c r="Y15" i="12"/>
  <c r="Y26" i="12"/>
  <c r="Y8" i="12"/>
  <c r="Y20" i="12"/>
  <c r="Y5" i="12"/>
  <c r="Y6" i="12"/>
  <c r="Y10" i="12"/>
  <c r="Y11" i="12"/>
  <c r="Y9" i="12"/>
  <c r="Y14" i="12"/>
  <c r="Y23" i="12"/>
  <c r="Y35" i="12"/>
  <c r="Y18" i="12"/>
  <c r="Y17" i="12"/>
  <c r="Y37" i="12"/>
  <c r="Y24" i="12"/>
  <c r="Y13" i="12"/>
  <c r="Y27" i="12"/>
  <c r="Y28" i="12"/>
  <c r="Y30" i="12"/>
  <c r="Y21" i="12"/>
  <c r="Y7" i="12"/>
  <c r="Y4" i="12"/>
  <c r="Y19" i="12"/>
  <c r="Y29" i="12"/>
  <c r="Y34" i="12"/>
  <c r="Y32" i="12"/>
  <c r="Y36" i="12"/>
  <c r="Y16" i="12"/>
  <c r="R29" i="5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6" i="10"/>
  <c r="R29" i="10"/>
  <c r="U39" i="12"/>
  <c r="R22" i="10"/>
  <c r="R21" i="10"/>
  <c r="R14" i="10"/>
  <c r="R25" i="10"/>
  <c r="R12" i="10"/>
  <c r="R26" i="10"/>
  <c r="R13" i="10"/>
  <c r="R23" i="10"/>
  <c r="R30" i="10"/>
  <c r="R33" i="10"/>
  <c r="R31" i="10"/>
  <c r="R24" i="10"/>
  <c r="R18" i="10"/>
  <c r="R38" i="10"/>
  <c r="R10" i="10"/>
  <c r="R28" i="10"/>
  <c r="R35" i="10"/>
  <c r="R11" i="10"/>
  <c r="R19" i="10"/>
  <c r="R32" i="10"/>
  <c r="R36" i="10"/>
  <c r="U38" i="12"/>
  <c r="R17" i="10"/>
  <c r="R9" i="10"/>
  <c r="R27" i="10"/>
  <c r="R34" i="10"/>
  <c r="R20" i="10"/>
  <c r="R37" i="10"/>
  <c r="R15" i="10"/>
  <c r="V15" i="10" l="1"/>
  <c r="V37" i="10"/>
  <c r="V20" i="10"/>
  <c r="V34" i="10"/>
  <c r="V27" i="10"/>
  <c r="V9" i="10"/>
  <c r="V17" i="10"/>
  <c r="Y38" i="12"/>
  <c r="V36" i="10"/>
  <c r="V32" i="10"/>
  <c r="V19" i="10"/>
  <c r="V11" i="10"/>
  <c r="V35" i="10"/>
  <c r="V28" i="10"/>
  <c r="V10" i="10"/>
  <c r="V38" i="10"/>
  <c r="V18" i="10"/>
  <c r="V24" i="10"/>
  <c r="V31" i="10"/>
  <c r="V33" i="10"/>
  <c r="V30" i="10"/>
  <c r="V23" i="10"/>
  <c r="V13" i="10"/>
  <c r="V26" i="10"/>
  <c r="V12" i="10"/>
  <c r="V25" i="10"/>
  <c r="V14" i="10"/>
  <c r="V21" i="10"/>
  <c r="V22" i="10"/>
  <c r="Y39" i="12"/>
  <c r="V29" i="10"/>
  <c r="V16" i="10"/>
  <c r="Z16" i="10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M3" i="36" l="1"/>
  <c r="D6" i="36"/>
  <c r="D8" i="36"/>
  <c r="D9" i="36"/>
  <c r="K6" i="36"/>
  <c r="K8" i="36"/>
  <c r="K9" i="36"/>
  <c r="D12" i="36" l="1"/>
  <c r="D14" i="36"/>
  <c r="L8" i="36"/>
  <c r="K12" i="36"/>
  <c r="N7" i="36"/>
  <c r="K14" i="36"/>
  <c r="L6" i="36"/>
  <c r="N8" i="36"/>
  <c r="L9" i="36"/>
  <c r="S6" i="36" l="1"/>
  <c r="S9" i="36"/>
  <c r="S8" i="36"/>
  <c r="E4" i="19"/>
  <c r="N6" i="36"/>
  <c r="F25" i="19"/>
  <c r="M6" i="36"/>
  <c r="F8" i="19"/>
  <c r="F24" i="19"/>
  <c r="F5" i="19"/>
  <c r="F6" i="19"/>
  <c r="F16" i="19"/>
  <c r="F15" i="19"/>
  <c r="F7" i="19"/>
  <c r="F21" i="19"/>
  <c r="F9" i="19"/>
  <c r="F10" i="19"/>
  <c r="X8" i="36"/>
  <c r="M8" i="36"/>
  <c r="X9" i="36"/>
  <c r="F20" i="19"/>
  <c r="L14" i="36"/>
  <c r="N14" i="36" s="1"/>
  <c r="M9" i="36"/>
  <c r="F19" i="19"/>
  <c r="F14" i="19"/>
  <c r="F22" i="19"/>
  <c r="N9" i="36"/>
  <c r="F17" i="19"/>
  <c r="X6" i="36"/>
  <c r="F23" i="19"/>
  <c r="F11" i="19"/>
  <c r="F13" i="19"/>
  <c r="L12" i="36"/>
  <c r="F26" i="19"/>
  <c r="F28" i="19"/>
  <c r="F12" i="19"/>
  <c r="F27" i="19"/>
  <c r="F18" i="19"/>
  <c r="V8" i="19"/>
  <c r="V24" i="19"/>
  <c r="V5" i="19"/>
  <c r="V19" i="19"/>
  <c r="V21" i="19"/>
  <c r="V6" i="19"/>
  <c r="V7" i="19"/>
  <c r="V20" i="19"/>
  <c r="V26" i="19"/>
  <c r="V23" i="19"/>
  <c r="V11" i="19"/>
  <c r="V18" i="19"/>
  <c r="V16" i="19"/>
  <c r="V12" i="19"/>
  <c r="V25" i="19"/>
  <c r="V10" i="19"/>
  <c r="V28" i="19"/>
  <c r="V14" i="19"/>
  <c r="V13" i="19"/>
  <c r="V22" i="19"/>
  <c r="V17" i="19"/>
  <c r="V27" i="19"/>
  <c r="V15" i="19"/>
  <c r="V9" i="19"/>
  <c r="S12" i="36" l="1"/>
  <c r="S14" i="36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N12" i="36"/>
  <c r="G6" i="19"/>
  <c r="G17" i="16"/>
  <c r="F20" i="16"/>
  <c r="G10" i="19"/>
  <c r="G24" i="19"/>
  <c r="F23" i="16"/>
  <c r="G10" i="16"/>
  <c r="G15" i="19"/>
  <c r="G6" i="17"/>
  <c r="G14" i="17"/>
  <c r="G12" i="19"/>
  <c r="G7" i="17"/>
  <c r="G23" i="19"/>
  <c r="G14" i="16"/>
  <c r="X12" i="36"/>
  <c r="G22" i="19"/>
  <c r="Y8" i="36"/>
  <c r="G8" i="19"/>
  <c r="G25" i="19"/>
  <c r="G14" i="19"/>
  <c r="G13" i="16"/>
  <c r="G13" i="19"/>
  <c r="G26" i="19"/>
  <c r="G16" i="19"/>
  <c r="Y9" i="36"/>
  <c r="G13" i="17"/>
  <c r="G12" i="16"/>
  <c r="G9" i="17"/>
  <c r="F22" i="16"/>
  <c r="G15" i="17"/>
  <c r="G5" i="16"/>
  <c r="G18" i="16"/>
  <c r="G16" i="16"/>
  <c r="G7" i="16"/>
  <c r="G27" i="19"/>
  <c r="G20" i="19"/>
  <c r="G21" i="19"/>
  <c r="G8" i="17"/>
  <c r="G5" i="17"/>
  <c r="G11" i="19"/>
  <c r="G11" i="17"/>
  <c r="G17" i="19"/>
  <c r="X14" i="36"/>
  <c r="M12" i="36"/>
  <c r="Y6" i="36"/>
  <c r="M14" i="36"/>
  <c r="G12" i="17"/>
  <c r="G8" i="16"/>
  <c r="F21" i="16"/>
  <c r="G9" i="16"/>
  <c r="G11" i="16"/>
  <c r="G15" i="16"/>
  <c r="G7" i="19"/>
  <c r="G10" i="17"/>
  <c r="G19" i="19"/>
  <c r="G18" i="19"/>
  <c r="G6" i="16"/>
  <c r="G19" i="16"/>
  <c r="G5" i="19"/>
  <c r="G28" i="19"/>
  <c r="G9" i="19"/>
  <c r="V5" i="17"/>
  <c r="V15" i="17"/>
  <c r="V13" i="17"/>
  <c r="V10" i="17"/>
  <c r="V12" i="17"/>
  <c r="V8" i="17"/>
  <c r="V14" i="17"/>
  <c r="V6" i="17"/>
  <c r="V7" i="17"/>
  <c r="V9" i="17"/>
  <c r="V11" i="17"/>
  <c r="V10" i="16"/>
  <c r="V20" i="16"/>
  <c r="V6" i="16"/>
  <c r="V18" i="16"/>
  <c r="V9" i="16"/>
  <c r="V8" i="16"/>
  <c r="V13" i="16"/>
  <c r="V23" i="16"/>
  <c r="V7" i="16"/>
  <c r="V5" i="16"/>
  <c r="V12" i="16"/>
  <c r="V22" i="16"/>
  <c r="V17" i="16"/>
  <c r="V21" i="16"/>
  <c r="V19" i="16"/>
  <c r="V16" i="16"/>
  <c r="V11" i="16"/>
  <c r="V15" i="16"/>
  <c r="V14" i="16"/>
  <c r="L3" i="36"/>
  <c r="F4" i="19"/>
  <c r="F4" i="17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15" i="10"/>
  <c r="D6" i="9"/>
  <c r="D20" i="9"/>
  <c r="E31" i="10"/>
  <c r="D5" i="9"/>
  <c r="Y12" i="36"/>
  <c r="D8" i="9"/>
  <c r="E12" i="10"/>
  <c r="E32" i="10"/>
  <c r="G20" i="16"/>
  <c r="E17" i="10"/>
  <c r="E20" i="10"/>
  <c r="E14" i="10"/>
  <c r="D13" i="9"/>
  <c r="E38" i="10"/>
  <c r="E33" i="10"/>
  <c r="E16" i="10"/>
  <c r="E40" i="10"/>
  <c r="E6" i="10"/>
  <c r="D16" i="9"/>
  <c r="Y14" i="36"/>
  <c r="E5" i="10"/>
  <c r="E37" i="10"/>
  <c r="D17" i="9"/>
  <c r="D14" i="9"/>
  <c r="E29" i="10"/>
  <c r="E8" i="10"/>
  <c r="E10" i="10"/>
  <c r="G23" i="16"/>
  <c r="E18" i="10"/>
  <c r="E13" i="10"/>
  <c r="D11" i="9"/>
  <c r="E26" i="10"/>
  <c r="D19" i="9"/>
  <c r="D21" i="9"/>
  <c r="E21" i="10"/>
  <c r="E24" i="10"/>
  <c r="E35" i="10"/>
  <c r="E19" i="10"/>
  <c r="D7" i="9"/>
  <c r="E30" i="10"/>
  <c r="E11" i="10"/>
  <c r="G21" i="16"/>
  <c r="E36" i="10"/>
  <c r="D10" i="9"/>
  <c r="E28" i="10"/>
  <c r="D9" i="9"/>
  <c r="E7" i="10"/>
  <c r="E34" i="10"/>
  <c r="E27" i="10"/>
  <c r="E39" i="10"/>
  <c r="E23" i="10"/>
  <c r="D12" i="9"/>
  <c r="G22" i="16"/>
  <c r="D4" i="9"/>
  <c r="D15" i="9"/>
  <c r="E25" i="10"/>
  <c r="E22" i="10"/>
  <c r="D18" i="9"/>
  <c r="W21" i="10"/>
  <c r="W37" i="10"/>
  <c r="W20" i="10"/>
  <c r="W34" i="10"/>
  <c r="W30" i="10"/>
  <c r="W22" i="10"/>
  <c r="W14" i="10"/>
  <c r="W25" i="10"/>
  <c r="W19" i="10"/>
  <c r="W23" i="10"/>
  <c r="W28" i="10"/>
  <c r="W15" i="10"/>
  <c r="W33" i="10"/>
  <c r="W35" i="10"/>
  <c r="W27" i="10"/>
  <c r="W11" i="10"/>
  <c r="W26" i="10"/>
  <c r="W10" i="10"/>
  <c r="W18" i="10"/>
  <c r="W32" i="10"/>
  <c r="W13" i="10"/>
  <c r="W38" i="10"/>
  <c r="W16" i="10"/>
  <c r="W8" i="10"/>
  <c r="W12" i="10"/>
  <c r="W36" i="10"/>
  <c r="W31" i="10"/>
  <c r="W29" i="10"/>
  <c r="W24" i="10"/>
  <c r="W7" i="10"/>
  <c r="W17" i="10"/>
  <c r="O5" i="9"/>
  <c r="O12" i="9"/>
  <c r="O6" i="9"/>
  <c r="O14" i="9"/>
  <c r="O13" i="9"/>
  <c r="O15" i="9"/>
  <c r="O20" i="9"/>
  <c r="O9" i="9"/>
  <c r="O19" i="9"/>
  <c r="O8" i="9"/>
  <c r="O11" i="9"/>
  <c r="O18" i="9"/>
  <c r="O10" i="9"/>
  <c r="O7" i="9"/>
  <c r="O4" i="9"/>
  <c r="O21" i="9"/>
  <c r="O16" i="9"/>
  <c r="O17" i="9"/>
  <c r="G4" i="19"/>
  <c r="N3" i="36"/>
  <c r="G4" i="17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14" i="10"/>
  <c r="E12" i="9"/>
  <c r="F24" i="12"/>
  <c r="F22" i="10"/>
  <c r="F30" i="10"/>
  <c r="F21" i="12"/>
  <c r="F23" i="12"/>
  <c r="F5" i="12"/>
  <c r="F5" i="10"/>
  <c r="F17" i="10"/>
  <c r="F9" i="12"/>
  <c r="E10" i="9"/>
  <c r="E13" i="9"/>
  <c r="F12" i="10"/>
  <c r="E5" i="9"/>
  <c r="F37" i="12"/>
  <c r="F33" i="10"/>
  <c r="F13" i="10"/>
  <c r="F24" i="10"/>
  <c r="E4" i="9"/>
  <c r="F35" i="12"/>
  <c r="F20" i="10"/>
  <c r="F10" i="12"/>
  <c r="F31" i="12"/>
  <c r="F12" i="12"/>
  <c r="F16" i="10"/>
  <c r="F18" i="10"/>
  <c r="F6" i="10"/>
  <c r="F34" i="10"/>
  <c r="F19" i="12"/>
  <c r="F26" i="10"/>
  <c r="E9" i="9"/>
  <c r="E21" i="9"/>
  <c r="E19" i="9"/>
  <c r="F17" i="12"/>
  <c r="F4" i="12"/>
  <c r="F40" i="10"/>
  <c r="F36" i="10"/>
  <c r="F39" i="10"/>
  <c r="F29" i="10"/>
  <c r="F19" i="10"/>
  <c r="F10" i="10"/>
  <c r="F9" i="10"/>
  <c r="E15" i="9"/>
  <c r="F11" i="12"/>
  <c r="E20" i="9"/>
  <c r="E14" i="9"/>
  <c r="F7" i="12"/>
  <c r="E6" i="9"/>
  <c r="F13" i="12"/>
  <c r="F29" i="12"/>
  <c r="F25" i="12"/>
  <c r="E16" i="9"/>
  <c r="F22" i="12"/>
  <c r="F8" i="10"/>
  <c r="F18" i="12"/>
  <c r="F32" i="10"/>
  <c r="F33" i="12"/>
  <c r="F26" i="12"/>
  <c r="F27" i="12"/>
  <c r="F21" i="10"/>
  <c r="F25" i="10"/>
  <c r="F27" i="10"/>
  <c r="F38" i="12"/>
  <c r="E7" i="9"/>
  <c r="F38" i="10"/>
  <c r="F28" i="10"/>
  <c r="E17" i="9"/>
  <c r="F30" i="12"/>
  <c r="E8" i="9"/>
  <c r="F35" i="10"/>
  <c r="F37" i="10"/>
  <c r="E18" i="9"/>
  <c r="F31" i="10"/>
  <c r="F28" i="12"/>
  <c r="F20" i="12"/>
  <c r="F15" i="12"/>
  <c r="F6" i="12"/>
  <c r="F16" i="12"/>
  <c r="F32" i="12"/>
  <c r="F7" i="10"/>
  <c r="F23" i="10"/>
  <c r="E11" i="9"/>
  <c r="F34" i="12"/>
  <c r="F8" i="12"/>
  <c r="F11" i="10"/>
  <c r="F36" i="12"/>
  <c r="F15" i="10"/>
  <c r="F14" i="12"/>
  <c r="F39" i="12"/>
  <c r="Z39" i="12"/>
  <c r="Z32" i="12"/>
  <c r="Z27" i="12"/>
  <c r="Z38" i="12"/>
  <c r="Z21" i="12"/>
  <c r="Z11" i="12"/>
  <c r="Z6" i="12"/>
  <c r="Z8" i="12"/>
  <c r="Z4" i="12"/>
  <c r="Z7" i="12"/>
  <c r="Z23" i="12"/>
  <c r="Z34" i="12"/>
  <c r="Z18" i="12"/>
  <c r="Z26" i="12"/>
  <c r="Z25" i="12"/>
  <c r="Z29" i="12"/>
  <c r="Z31" i="12"/>
  <c r="Z12" i="12"/>
  <c r="Z9" i="12"/>
  <c r="Z24" i="12"/>
  <c r="Z17" i="12"/>
  <c r="Z15" i="12"/>
  <c r="Z20" i="12"/>
  <c r="Z35" i="12"/>
  <c r="Z37" i="12"/>
  <c r="Z5" i="12"/>
  <c r="Z22" i="12"/>
  <c r="Z14" i="12"/>
  <c r="Z13" i="12"/>
  <c r="Z28" i="12"/>
  <c r="Z19" i="12"/>
  <c r="Z16" i="12"/>
  <c r="Z10" i="12"/>
  <c r="Z36" i="12"/>
  <c r="Z30" i="12"/>
  <c r="Z33" i="12"/>
  <c r="F4" i="16"/>
  <c r="E4" i="10"/>
  <c r="D3" i="9"/>
  <c r="C5" i="6" l="1"/>
  <c r="D5" i="6"/>
  <c r="G37" i="12"/>
  <c r="G7" i="12"/>
  <c r="G29" i="12"/>
  <c r="G20" i="12"/>
  <c r="G21" i="12"/>
  <c r="G15" i="12"/>
  <c r="G34" i="12"/>
  <c r="G25" i="12"/>
  <c r="G27" i="12"/>
  <c r="G24" i="12"/>
  <c r="G12" i="12"/>
  <c r="G23" i="12"/>
  <c r="G31" i="12"/>
  <c r="G39" i="12"/>
  <c r="G14" i="12"/>
  <c r="G18" i="12"/>
  <c r="G5" i="12"/>
  <c r="G30" i="12"/>
  <c r="G6" i="12"/>
  <c r="G9" i="12"/>
  <c r="G22" i="12"/>
  <c r="G35" i="12"/>
  <c r="G36" i="12"/>
  <c r="G11" i="12"/>
  <c r="G8" i="12"/>
  <c r="G33" i="12"/>
  <c r="G38" i="12"/>
  <c r="G10" i="12"/>
  <c r="G16" i="12"/>
  <c r="G32" i="12"/>
  <c r="G28" i="12"/>
  <c r="G13" i="12"/>
  <c r="G26" i="12"/>
  <c r="G19" i="12"/>
  <c r="G4" i="12"/>
  <c r="G17" i="12"/>
  <c r="E3" i="9"/>
  <c r="G4" i="16"/>
  <c r="F4" i="10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G20" i="6"/>
  <c r="F21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F27" i="6"/>
  <c r="G26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F31" i="6"/>
  <c r="G30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G42" i="6"/>
  <c r="F5" i="5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G36" i="5"/>
  <c r="F37" i="5"/>
  <c r="E38" i="5" l="1"/>
  <c r="C39" i="5"/>
  <c r="D39" i="5"/>
  <c r="G37" i="5"/>
  <c r="F38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F3" i="12"/>
  <c r="L4" i="17"/>
  <c r="I3" i="9"/>
  <c r="F4" i="6"/>
  <c r="L4" i="16"/>
  <c r="M4" i="10"/>
  <c r="L4" i="19"/>
  <c r="F4" i="5"/>
  <c r="S4" i="5"/>
  <c r="S4" i="6"/>
  <c r="X24" i="6" l="1"/>
  <c r="AC24" i="6" s="1"/>
  <c r="X16" i="6"/>
  <c r="AC16" i="6" s="1"/>
  <c r="X9" i="6"/>
  <c r="AC9" i="6" s="1"/>
  <c r="X7" i="6"/>
  <c r="AC7" i="6" s="1"/>
  <c r="X18" i="6"/>
  <c r="AC18" i="6" s="1"/>
  <c r="X19" i="6"/>
  <c r="AC19" i="6" s="1"/>
  <c r="X22" i="6"/>
  <c r="AC22" i="6" s="1"/>
  <c r="X29" i="6"/>
  <c r="AC29" i="6" s="1"/>
  <c r="X20" i="6"/>
  <c r="AC20" i="6" s="1"/>
  <c r="X36" i="6"/>
  <c r="AC36" i="6" s="1"/>
  <c r="X17" i="6"/>
  <c r="AC17" i="6" s="1"/>
  <c r="X15" i="6"/>
  <c r="AC15" i="6" s="1"/>
  <c r="X38" i="6"/>
  <c r="AC38" i="6" s="1"/>
  <c r="X35" i="6"/>
  <c r="AC35" i="6" s="1"/>
  <c r="X25" i="6"/>
  <c r="AC25" i="6" s="1"/>
  <c r="X40" i="6"/>
  <c r="AC40" i="6" s="1"/>
  <c r="X27" i="6"/>
  <c r="AC27" i="6" s="1"/>
  <c r="X10" i="6"/>
  <c r="AC10" i="6" s="1"/>
  <c r="X12" i="6"/>
  <c r="AC12" i="6" s="1"/>
  <c r="X33" i="6"/>
  <c r="AC33" i="6" s="1"/>
  <c r="X21" i="6"/>
  <c r="AC21" i="6" s="1"/>
  <c r="X26" i="6"/>
  <c r="AC26" i="6" s="1"/>
  <c r="X32" i="6"/>
  <c r="AC32" i="6" s="1"/>
  <c r="X28" i="6"/>
  <c r="AC28" i="6" s="1"/>
  <c r="X11" i="6"/>
  <c r="AC11" i="6" s="1"/>
  <c r="X30" i="6"/>
  <c r="AC30" i="6" s="1"/>
  <c r="X5" i="6"/>
  <c r="AC5" i="6" s="1"/>
  <c r="X39" i="6"/>
  <c r="AC39" i="6" s="1"/>
  <c r="X41" i="6"/>
  <c r="AC41" i="6" s="1"/>
  <c r="X23" i="6"/>
  <c r="AC23" i="6" s="1"/>
  <c r="X34" i="6"/>
  <c r="AC34" i="6" s="1"/>
  <c r="X14" i="6"/>
  <c r="AC14" i="6" s="1"/>
  <c r="X6" i="6"/>
  <c r="AC6" i="6" s="1"/>
  <c r="X37" i="6"/>
  <c r="AC37" i="6" s="1"/>
  <c r="X31" i="6"/>
  <c r="AC31" i="6" s="1"/>
  <c r="X8" i="6"/>
  <c r="AC8" i="6" s="1"/>
  <c r="X13" i="6"/>
  <c r="AC13" i="6" s="1"/>
  <c r="X5" i="5" a="1"/>
  <c r="G42" i="5"/>
  <c r="G4" i="6"/>
  <c r="G3" i="12"/>
  <c r="G4" i="5"/>
  <c r="Y41" i="6" l="1"/>
  <c r="X31" i="5"/>
  <c r="AC31" i="5" s="1"/>
  <c r="X41" i="5"/>
  <c r="AC41" i="5" s="1"/>
  <c r="X12" i="5"/>
  <c r="AC12" i="5" s="1"/>
  <c r="X33" i="5"/>
  <c r="AC33" i="5" s="1"/>
  <c r="X7" i="5"/>
  <c r="AC7" i="5" s="1"/>
  <c r="X35" i="5"/>
  <c r="AC35" i="5" s="1"/>
  <c r="X32" i="5"/>
  <c r="AC32" i="5" s="1"/>
  <c r="X6" i="5"/>
  <c r="AC6" i="5" s="1"/>
  <c r="X30" i="5"/>
  <c r="AC30" i="5" s="1"/>
  <c r="X38" i="5"/>
  <c r="AC38" i="5" s="1"/>
  <c r="X23" i="5"/>
  <c r="AC23" i="5" s="1"/>
  <c r="X15" i="5"/>
  <c r="AC15" i="5" s="1"/>
  <c r="X5" i="5"/>
  <c r="AC5" i="5" s="1"/>
  <c r="X19" i="5"/>
  <c r="AC19" i="5" s="1"/>
  <c r="X21" i="5"/>
  <c r="AC21" i="5" s="1"/>
  <c r="X22" i="5"/>
  <c r="AC22" i="5" s="1"/>
  <c r="X25" i="5"/>
  <c r="AC25" i="5" s="1"/>
  <c r="X34" i="5"/>
  <c r="AC34" i="5" s="1"/>
  <c r="X11" i="5"/>
  <c r="AC11" i="5" s="1"/>
  <c r="X27" i="5"/>
  <c r="AC27" i="5" s="1"/>
  <c r="X16" i="5"/>
  <c r="AC16" i="5" s="1"/>
  <c r="X29" i="5"/>
  <c r="AC29" i="5" s="1"/>
  <c r="X20" i="5"/>
  <c r="AC20" i="5" s="1"/>
  <c r="X24" i="5"/>
  <c r="AC24" i="5" s="1"/>
  <c r="X39" i="5"/>
  <c r="AC39" i="5" s="1"/>
  <c r="X28" i="5"/>
  <c r="AC28" i="5" s="1"/>
  <c r="X37" i="5"/>
  <c r="AC37" i="5" s="1"/>
  <c r="X10" i="5"/>
  <c r="AC10" i="5" s="1"/>
  <c r="X42" i="5"/>
  <c r="AC42" i="5" s="1"/>
  <c r="X13" i="5"/>
  <c r="AC13" i="5" s="1"/>
  <c r="X14" i="5"/>
  <c r="AC14" i="5" s="1"/>
  <c r="X18" i="5"/>
  <c r="AC18" i="5" s="1"/>
  <c r="X26" i="5"/>
  <c r="AC26" i="5" s="1"/>
  <c r="X9" i="5"/>
  <c r="AC9" i="5" s="1"/>
  <c r="X40" i="5"/>
  <c r="AC40" i="5" s="1"/>
  <c r="X36" i="5"/>
  <c r="AC36" i="5" s="1"/>
  <c r="X17" i="5"/>
  <c r="AC17" i="5" s="1"/>
  <c r="X8" i="5"/>
  <c r="AC8" i="5" s="1"/>
  <c r="Y40" i="6"/>
  <c r="AD42" i="5"/>
  <c r="Z2" i="12"/>
  <c r="O3" i="12"/>
  <c r="T5" i="36"/>
  <c r="Y42" i="6" l="1"/>
  <c r="X42" i="6" s="1"/>
  <c r="AC42" i="6" s="1"/>
  <c r="AK9" i="6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31" i="6"/>
  <c r="AD41" i="6"/>
  <c r="AD17" i="6"/>
  <c r="AD22" i="6"/>
  <c r="AD26" i="6"/>
  <c r="AD21" i="6"/>
  <c r="AD5" i="6"/>
  <c r="AD29" i="6"/>
  <c r="AD10" i="6"/>
  <c r="AD30" i="6"/>
  <c r="AD8" i="6"/>
  <c r="AD6" i="6"/>
  <c r="AD33" i="6"/>
  <c r="AD18" i="6"/>
  <c r="AD32" i="6"/>
  <c r="AD11" i="6"/>
  <c r="AD14" i="6"/>
  <c r="AD16" i="6"/>
  <c r="AD28" i="6"/>
  <c r="AD40" i="6"/>
  <c r="AD7" i="6"/>
  <c r="AD37" i="6"/>
  <c r="AD9" i="6"/>
  <c r="AD15" i="6"/>
  <c r="AD25" i="6"/>
  <c r="AD20" i="6"/>
  <c r="AD38" i="6"/>
  <c r="AD35" i="6"/>
  <c r="AD19" i="6"/>
  <c r="AD39" i="6"/>
  <c r="AD34" i="6"/>
  <c r="AD23" i="6"/>
  <c r="AD42" i="6"/>
  <c r="AD24" i="6"/>
  <c r="AD27" i="6"/>
  <c r="AD36" i="6"/>
  <c r="AD12" i="6"/>
  <c r="AD13" i="6"/>
  <c r="AD17" i="5"/>
  <c r="AD6" i="5"/>
  <c r="AD39" i="5"/>
  <c r="AD40" i="5"/>
  <c r="AD24" i="5"/>
  <c r="AD10" i="5"/>
  <c r="AD37" i="5"/>
  <c r="AD19" i="5"/>
  <c r="AD34" i="5"/>
  <c r="AD7" i="5"/>
  <c r="AD25" i="5"/>
  <c r="AD22" i="5"/>
  <c r="AD29" i="5"/>
  <c r="AD28" i="5"/>
  <c r="AD16" i="5"/>
  <c r="AD36" i="5"/>
  <c r="AD8" i="5"/>
  <c r="AD5" i="5"/>
  <c r="AD23" i="5"/>
  <c r="AD33" i="5"/>
  <c r="AD13" i="5"/>
  <c r="AD38" i="5"/>
  <c r="AD11" i="5"/>
  <c r="AD30" i="5"/>
  <c r="AD14" i="5"/>
  <c r="AD26" i="5"/>
  <c r="AD20" i="5"/>
  <c r="AD32" i="5"/>
  <c r="AD35" i="5"/>
  <c r="AD21" i="5"/>
  <c r="AD9" i="5"/>
  <c r="AD27" i="5"/>
  <c r="AD31" i="5"/>
  <c r="AD18" i="5"/>
  <c r="AD12" i="5"/>
  <c r="AD41" i="5"/>
  <c r="AD15" i="5"/>
  <c r="AD3" i="5" s="1"/>
  <c r="AK42" i="6" l="1"/>
  <c r="AD3" i="6"/>
  <c r="D22" i="40"/>
</calcChain>
</file>

<file path=xl/sharedStrings.xml><?xml version="1.0" encoding="utf-8"?>
<sst xmlns="http://schemas.openxmlformats.org/spreadsheetml/2006/main" count="1141" uniqueCount="190">
  <si>
    <t>PriceTickValue</t>
  </si>
  <si>
    <t>RateTickValue</t>
  </si>
  <si>
    <t>_Quote</t>
  </si>
  <si>
    <t>QuoteSuffix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</si>
  <si>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</si>
  <si>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</si>
  <si>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</si>
  <si>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</si>
  <si>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</si>
  <si>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</si>
  <si>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</si>
  <si>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</si>
  <si>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</si>
  <si>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</si>
  <si>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</si>
  <si>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</si>
  <si>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</si>
  <si>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</si>
  <si>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</si>
  <si>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</si>
  <si>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</si>
  <si>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</si>
  <si>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</si>
  <si>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</si>
  <si>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</si>
  <si>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</si>
  <si>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</si>
  <si>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</si>
  <si>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</si>
  <si>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</si>
  <si>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</si>
  <si>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</si>
  <si>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</si>
  <si>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</si>
  <si>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</si>
  <si>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</si>
  <si>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</si>
  <si>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</si>
  <si>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</si>
  <si>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</si>
  <si>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</si>
  <si>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</si>
  <si>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</si>
  <si>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</si>
  <si>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</si>
  <si>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</si>
  <si>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</si>
  <si>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</si>
  <si>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</si>
  <si>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</si>
  <si>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</si>
  <si>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</si>
  <si>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</si>
  <si>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</si>
  <si>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</si>
  <si>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</si>
  <si>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</si>
  <si>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</si>
  <si>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</si>
  <si>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</si>
  <si>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</si>
  <si>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</si>
  <si>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</si>
  <si>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</si>
  <si>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</si>
  <si>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</si>
  <si>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</si>
  <si>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</si>
  <si>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</si>
  <si>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</si>
  <si>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</si>
  <si>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</si>
  <si>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</si>
  <si>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</si>
  <si>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</si>
  <si>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</si>
  <si>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</si>
  <si>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</si>
  <si>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</si>
  <si>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</si>
  <si>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</si>
  <si>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</si>
  <si>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</si>
  <si>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</si>
  <si>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</si>
  <si>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</si>
  <si>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</si>
  <si>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</si>
  <si>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</si>
  <si>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</si>
  <si>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</si>
  <si>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</si>
  <si>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</si>
  <si>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</si>
  <si>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</si>
  <si>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</si>
  <si>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</si>
  <si>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</si>
  <si>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</si>
  <si>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</si>
  <si>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</si>
  <si>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</si>
  <si>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</si>
  <si>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</si>
  <si>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</si>
  <si>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</si>
  <si>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</si>
  <si>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</si>
  <si>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</si>
  <si>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</si>
  <si>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</si>
  <si>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</si>
  <si>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</si>
  <si>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</si>
  <si>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</si>
  <si>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</si>
  <si>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</si>
  <si>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</si>
  <si>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</si>
  <si>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</si>
  <si>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</si>
  <si>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</si>
  <si>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</si>
  <si>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</si>
  <si>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</si>
  <si>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</si>
  <si>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</si>
  <si>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</si>
  <si>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</si>
  <si>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</si>
  <si>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</si>
  <si>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</si>
  <si>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</si>
  <si>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</si>
  <si>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</si>
  <si>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</si>
  <si>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</si>
  <si>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</si>
  <si>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</si>
  <si>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</si>
  <si>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</si>
  <si>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</si>
  <si>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</si>
  <si>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</si>
  <si>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</si>
  <si>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</si>
  <si>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</si>
  <si>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</si>
  <si>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</si>
  <si>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</si>
  <si>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</si>
  <si>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</si>
  <si>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</si>
  <si>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</si>
  <si>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</si>
  <si>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</si>
  <si>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</si>
  <si>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</si>
  <si>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</si>
  <si>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</si>
  <si>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</si>
  <si>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</si>
  <si>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</si>
  <si>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</si>
  <si>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</si>
  <si>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</si>
  <si>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</si>
  <si>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</si>
  <si>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</si>
  <si>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</si>
  <si>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</si>
  <si>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</si>
  <si>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</si>
  <si>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</si>
  <si>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</si>
  <si>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</si>
  <si>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</si>
  <si>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</si>
  <si>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</si>
  <si>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</si>
  <si>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</si>
  <si>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</si>
  <si>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</si>
  <si>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</si>
  <si>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Indexes</t>
  </si>
  <si>
    <t>Index Last Fixing</t>
  </si>
  <si>
    <t>STD</t>
  </si>
  <si>
    <t>*The record could not be found</t>
  </si>
  <si>
    <t>Index</t>
  </si>
  <si>
    <t>Last Fixing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</si>
</sst>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  <numFmt numFmtId="176" formatCode="0.00000"/>
    <numFmt numFmtId="177" formatCode="0.00000%"/>
  </numFmts>
  <fonts count="2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354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3" fillId="2" borderId="24" xfId="2" applyFont="1" applyFill="1" applyBorder="1" applyAlignment="1">
      <alignment horizontal="center"/>
    </xf>
    <xf numFmtId="0" fontId="18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1" fillId="3" borderId="0" xfId="1" applyFill="1" applyBorder="1"/>
    <xf numFmtId="0" fontId="18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18" fillId="3" borderId="18" xfId="1" applyFont="1" applyFill="1" applyBorder="1"/>
    <xf numFmtId="0" fontId="18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8" fillId="3" borderId="7" xfId="2" applyFont="1" applyFill="1" applyBorder="1"/>
    <xf numFmtId="0" fontId="18" fillId="3" borderId="0" xfId="2" applyFont="1" applyFill="1" applyBorder="1"/>
    <xf numFmtId="0" fontId="18" fillId="3" borderId="4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19" fillId="2" borderId="26" xfId="2" applyFont="1" applyFill="1" applyBorder="1"/>
    <xf numFmtId="1" fontId="19" fillId="3" borderId="14" xfId="2" applyNumberFormat="1" applyFont="1" applyFill="1" applyBorder="1" applyAlignment="1">
      <alignment horizontal="center"/>
    </xf>
    <xf numFmtId="0" fontId="19" fillId="2" borderId="15" xfId="2" applyFont="1" applyFill="1" applyBorder="1"/>
    <xf numFmtId="1" fontId="19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19" fillId="3" borderId="6" xfId="2" applyFont="1" applyFill="1" applyBorder="1" applyAlignment="1">
      <alignment horizontal="center"/>
    </xf>
    <xf numFmtId="0" fontId="19" fillId="3" borderId="5" xfId="2" applyFont="1" applyFill="1" applyBorder="1" applyAlignment="1">
      <alignment horizontal="center"/>
    </xf>
    <xf numFmtId="0" fontId="19" fillId="3" borderId="26" xfId="2" applyFont="1" applyFill="1" applyBorder="1" applyAlignment="1">
      <alignment horizontal="center"/>
    </xf>
    <xf numFmtId="0" fontId="19" fillId="3" borderId="14" xfId="2" applyFont="1" applyFill="1" applyBorder="1" applyAlignment="1">
      <alignment horizontal="center"/>
    </xf>
    <xf numFmtId="0" fontId="19" fillId="3" borderId="15" xfId="2" applyFont="1" applyFill="1" applyBorder="1" applyAlignment="1">
      <alignment horizontal="center"/>
    </xf>
    <xf numFmtId="0" fontId="19" fillId="3" borderId="11" xfId="2" applyFont="1" applyFill="1" applyBorder="1" applyAlignment="1">
      <alignment horizontal="center"/>
    </xf>
    <xf numFmtId="0" fontId="19" fillId="3" borderId="0" xfId="2" applyFont="1" applyFill="1" applyBorder="1" applyAlignment="1">
      <alignment horizontal="center"/>
    </xf>
    <xf numFmtId="0" fontId="2" fillId="3" borderId="3" xfId="2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19" fillId="2" borderId="25" xfId="2" applyFont="1" applyFill="1" applyBorder="1"/>
    <xf numFmtId="0" fontId="19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8" fillId="3" borderId="17" xfId="1" applyFont="1" applyFill="1" applyBorder="1"/>
    <xf numFmtId="0" fontId="18" fillId="3" borderId="4" xfId="1" applyFont="1" applyFill="1" applyBorder="1"/>
    <xf numFmtId="0" fontId="18" fillId="3" borderId="3" xfId="1" applyFont="1" applyFill="1" applyBorder="1"/>
    <xf numFmtId="0" fontId="18" fillId="3" borderId="2" xfId="1" applyFont="1" applyFill="1" applyBorder="1"/>
    <xf numFmtId="0" fontId="18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9" fillId="3" borderId="24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10" fillId="0" borderId="22" xfId="10" applyNumberFormat="1" applyFont="1" applyFill="1" applyBorder="1" applyAlignment="1"/>
    <xf numFmtId="0" fontId="10" fillId="0" borderId="16" xfId="10" applyNumberFormat="1" applyFont="1" applyFill="1" applyBorder="1" applyAlignment="1"/>
    <xf numFmtId="0" fontId="10" fillId="0" borderId="13" xfId="10" applyNumberFormat="1" applyFont="1" applyFill="1" applyBorder="1" applyAlignment="1"/>
    <xf numFmtId="0" fontId="3" fillId="2" borderId="13" xfId="2" applyFont="1" applyFill="1" applyBorder="1" applyAlignment="1">
      <alignment horizontal="center"/>
    </xf>
    <xf numFmtId="176" fontId="1" fillId="0" borderId="21" xfId="10" applyNumberFormat="1" applyFont="1" applyFill="1" applyBorder="1" applyAlignment="1"/>
    <xf numFmtId="176" fontId="1" fillId="0" borderId="0" xfId="10" applyNumberFormat="1" applyFont="1" applyFill="1" applyBorder="1" applyAlignment="1"/>
    <xf numFmtId="176" fontId="1" fillId="0" borderId="12" xfId="10" applyNumberFormat="1" applyFont="1" applyFill="1" applyBorder="1" applyAlignment="1"/>
    <xf numFmtId="177" fontId="1" fillId="0" borderId="20" xfId="10" applyNumberFormat="1" applyFont="1" applyFill="1" applyBorder="1" applyAlignment="1"/>
    <xf numFmtId="177" fontId="1" fillId="0" borderId="14" xfId="10" applyNumberFormat="1" applyFont="1" applyFill="1" applyBorder="1" applyAlignment="1"/>
    <xf numFmtId="177" fontId="1" fillId="0" borderId="11" xfId="10" applyNumberFormat="1" applyFont="1" applyFill="1" applyBorder="1" applyAlignment="1"/>
    <xf numFmtId="0" fontId="1" fillId="3" borderId="6" xfId="2" applyFont="1" applyFill="1" applyBorder="1" applyAlignment="1">
      <alignment horizontal="left"/>
    </xf>
    <xf numFmtId="174" fontId="19" fillId="3" borderId="6" xfId="2" applyNumberFormat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0" xfId="2" applyFont="1" applyFill="1" applyBorder="1" applyAlignment="1">
      <alignment horizontal="left"/>
    </xf>
    <xf numFmtId="0" fontId="1" fillId="3" borderId="0" xfId="2" quotePrefix="1" applyFont="1" applyFill="1" applyBorder="1" applyAlignment="1">
      <alignment horizontal="center"/>
    </xf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17:55:23</v>
        <stp/>
        <stp>{C7B221DF-6419-4C53-B785-A9531D308766}</stp>
        <tr r="M4" s="10"/>
      </tp>
      <tp t="s">
        <v>Updated at 17:55:23</v>
        <stp/>
        <stp>{49D6A0BB-9095-4AF9-AED1-71B915CB993B}</stp>
        <tr r="L4" s="17"/>
      </tp>
      <tp t="s">
        <v>Updated at 17:55:23</v>
        <stp/>
        <stp>{0270CC3B-7665-4BC0-A718-13B0A9BEE09F}</stp>
        <tr r="L4" s="19"/>
      </tp>
      <tp t="s">
        <v>Updated at 17:55:23</v>
        <stp/>
        <stp>{778312F9-9765-4F7A-9616-817EBAEEF875}</stp>
        <tr r="T5" s="36"/>
      </tp>
      <tp t="s">
        <v>Updated at 17:55:23</v>
        <stp/>
        <stp>{C7BA2385-F15C-435A-B506-30301255C4BC}</stp>
        <tr r="I3" s="9"/>
      </tp>
      <tp t="s">
        <v>Updated at 17:55:23</v>
        <stp/>
        <stp>{5A609FB8-15E9-487B-A721-FF3F913C4B7F}</stp>
        <tr r="O3" s="12"/>
      </tp>
      <tp t="s">
        <v>Updated at 17:55:23</v>
        <stp/>
        <stp>{79F06C14-7675-4897-A823-2B53498AF831}</stp>
        <tr r="S4" s="5"/>
      </tp>
      <tp t="s">
        <v>Updated at 17:55:23</v>
        <stp/>
        <stp>{D023CB79-CD56-4852-872E-6390DA37B8DB}</stp>
        <tr r="S4" s="6"/>
      </tp>
      <tp t="s">
        <v>Updated at 17:55:23</v>
        <stp/>
        <stp>{DA07EC6B-4B49-4E94-8218-B8EA48DF494B}</stp>
        <tr r="L4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7</xdr:col>
          <xdr:colOff>171450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7</xdr:col>
          <xdr:colOff>161925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D58"/>
  <sheetViews>
    <sheetView tabSelected="1" zoomScaleNormal="100" workbookViewId="0">
      <selection activeCell="D4" sqref="D4"/>
    </sheetView>
  </sheetViews>
  <sheetFormatPr defaultRowHeight="12.75" x14ac:dyDescent="0.2"/>
  <cols>
    <col min="1" max="2" width="2.7109375" style="299" customWidth="1"/>
    <col min="3" max="3" width="12.140625" style="299" bestFit="1" customWidth="1"/>
    <col min="4" max="4" width="53.7109375" style="299" bestFit="1" customWidth="1"/>
    <col min="5" max="5" width="5.85546875" style="299" customWidth="1"/>
    <col min="6" max="16384" width="9.140625" style="299"/>
  </cols>
  <sheetData>
    <row r="1" spans="1:30" s="280" customFormat="1" ht="13.5" thickBot="1" x14ac:dyDescent="0.25">
      <c r="B1" s="280" t="str">
        <f>_xll.qlxlVersion(TRUE,Trigger)</f>
        <v>QuantLibXL 1.3.0 - MS VC++ 9.0 - Multithreaded Static Runtime library - Release Configuration - Nov 12 2013 12:02:30</v>
      </c>
    </row>
    <row r="2" spans="1:30" s="280" customFormat="1" ht="15.75" x14ac:dyDescent="0.25">
      <c r="B2" s="351" t="s">
        <v>12</v>
      </c>
      <c r="C2" s="352"/>
      <c r="D2" s="352"/>
      <c r="E2" s="353"/>
    </row>
    <row r="3" spans="1:30" s="38" customFormat="1" x14ac:dyDescent="0.2">
      <c r="A3" s="280"/>
      <c r="B3" s="8"/>
      <c r="C3" s="13"/>
      <c r="D3" s="13"/>
      <c r="E3" s="12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</row>
    <row r="4" spans="1:30" s="38" customFormat="1" x14ac:dyDescent="0.2">
      <c r="A4" s="280"/>
      <c r="B4" s="8"/>
      <c r="C4" s="7" t="s">
        <v>11</v>
      </c>
      <c r="D4" s="11">
        <v>41600.74658564815</v>
      </c>
      <c r="E4" s="5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</row>
    <row r="5" spans="1:30" s="38" customFormat="1" x14ac:dyDescent="0.2">
      <c r="A5" s="280"/>
      <c r="B5" s="8"/>
      <c r="C5" s="13"/>
      <c r="D5" s="13"/>
      <c r="E5" s="5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80"/>
      <c r="X5" s="280"/>
      <c r="Y5" s="280"/>
      <c r="Z5" s="280"/>
      <c r="AA5" s="280"/>
      <c r="AB5" s="280"/>
      <c r="AC5" s="280"/>
      <c r="AD5" s="280"/>
    </row>
    <row r="6" spans="1:30" s="38" customFormat="1" x14ac:dyDescent="0.2">
      <c r="A6" s="280"/>
      <c r="B6" s="8"/>
      <c r="C6" s="346" t="s">
        <v>174</v>
      </c>
      <c r="D6" s="347">
        <v>41600.703865740739</v>
      </c>
      <c r="E6" s="5"/>
      <c r="F6" s="280"/>
      <c r="G6" s="280"/>
      <c r="H6" s="280"/>
      <c r="I6" s="280"/>
      <c r="J6" s="280"/>
      <c r="K6" s="280"/>
      <c r="L6" s="280"/>
      <c r="M6" s="280"/>
      <c r="N6" s="280"/>
      <c r="O6" s="280"/>
      <c r="P6" s="280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</row>
    <row r="7" spans="1:30" s="38" customFormat="1" x14ac:dyDescent="0.2">
      <c r="A7" s="280"/>
      <c r="B7" s="8"/>
      <c r="C7" s="346" t="s">
        <v>175</v>
      </c>
      <c r="D7" s="348" t="b">
        <v>1</v>
      </c>
      <c r="E7" s="5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</row>
    <row r="8" spans="1:30" s="38" customFormat="1" x14ac:dyDescent="0.2">
      <c r="A8" s="280"/>
      <c r="B8" s="8"/>
      <c r="C8" s="349"/>
      <c r="D8" s="350"/>
      <c r="E8" s="5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</row>
    <row r="9" spans="1:30" s="38" customFormat="1" x14ac:dyDescent="0.2">
      <c r="A9" s="280"/>
      <c r="B9" s="8"/>
      <c r="C9" s="7" t="s">
        <v>10</v>
      </c>
      <c r="D9" s="11" t="b">
        <v>1</v>
      </c>
      <c r="E9" s="5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</row>
    <row r="10" spans="1:30" s="38" customFormat="1" x14ac:dyDescent="0.2">
      <c r="A10" s="280"/>
      <c r="B10" s="8"/>
      <c r="C10" s="7" t="s">
        <v>9</v>
      </c>
      <c r="D10" s="11" t="b">
        <v>0</v>
      </c>
      <c r="E10" s="5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</row>
    <row r="11" spans="1:30" s="38" customFormat="1" x14ac:dyDescent="0.2">
      <c r="A11" s="280"/>
      <c r="B11" s="8"/>
      <c r="C11" s="13"/>
      <c r="E11" s="12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</row>
    <row r="12" spans="1:30" s="38" customFormat="1" x14ac:dyDescent="0.2">
      <c r="A12" s="280"/>
      <c r="B12" s="8"/>
      <c r="C12" s="7" t="s">
        <v>8</v>
      </c>
      <c r="D12" s="11" t="b">
        <v>1</v>
      </c>
      <c r="E12" s="5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</row>
    <row r="13" spans="1:30" s="38" customFormat="1" x14ac:dyDescent="0.2">
      <c r="A13" s="280"/>
      <c r="B13" s="8"/>
      <c r="C13" s="7" t="s">
        <v>7</v>
      </c>
      <c r="D13" s="15" t="str">
        <f ca="1">SUBSTITUTE(LEFT(CELL("filename",A1),FIND("[",CELL("filename",A1),1)-1),"\XLS\","\XML\")</f>
        <v>C:\Projects\quantlib\QuantLibXL\Data2\XML\</v>
      </c>
      <c r="E13" s="5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</row>
    <row r="14" spans="1:30" s="38" customFormat="1" x14ac:dyDescent="0.2">
      <c r="A14" s="280"/>
      <c r="B14" s="8"/>
      <c r="C14" s="7" t="s">
        <v>6</v>
      </c>
      <c r="D14" s="10" t="b">
        <v>1</v>
      </c>
      <c r="E14" s="5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</row>
    <row r="15" spans="1:30" s="38" customFormat="1" x14ac:dyDescent="0.2">
      <c r="A15" s="280"/>
      <c r="B15" s="8"/>
      <c r="C15" s="13"/>
      <c r="D15" s="13"/>
      <c r="E15" s="12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</row>
    <row r="16" spans="1:30" s="38" customFormat="1" x14ac:dyDescent="0.2">
      <c r="A16" s="280"/>
      <c r="B16" s="8"/>
      <c r="C16" s="7" t="s">
        <v>5</v>
      </c>
      <c r="D16" s="11" t="s">
        <v>4</v>
      </c>
      <c r="E16" s="5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</row>
    <row r="17" spans="1:30" s="38" customFormat="1" x14ac:dyDescent="0.2">
      <c r="A17" s="280"/>
      <c r="B17" s="8"/>
      <c r="C17" s="7" t="s">
        <v>3</v>
      </c>
      <c r="D17" s="10" t="s">
        <v>2</v>
      </c>
      <c r="E17" s="5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</row>
    <row r="18" spans="1:30" s="38" customFormat="1" x14ac:dyDescent="0.2">
      <c r="A18" s="280"/>
      <c r="B18" s="8"/>
      <c r="C18" s="7" t="s">
        <v>1</v>
      </c>
      <c r="D18" s="9">
        <v>1E-4</v>
      </c>
      <c r="E18" s="5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</row>
    <row r="19" spans="1:30" s="38" customFormat="1" x14ac:dyDescent="0.2">
      <c r="A19" s="280"/>
      <c r="B19" s="8"/>
      <c r="C19" s="7" t="s">
        <v>0</v>
      </c>
      <c r="D19" s="6">
        <v>-0.01</v>
      </c>
      <c r="E19" s="5"/>
      <c r="F19" s="280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</row>
    <row r="20" spans="1:30" s="38" customFormat="1" x14ac:dyDescent="0.2">
      <c r="A20" s="280"/>
      <c r="B20" s="281"/>
      <c r="C20" s="282"/>
      <c r="D20" s="282"/>
      <c r="E20" s="283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0"/>
      <c r="Y20" s="280"/>
      <c r="Z20" s="280"/>
      <c r="AA20" s="280"/>
      <c r="AB20" s="280"/>
      <c r="AC20" s="280"/>
      <c r="AD20" s="280"/>
    </row>
    <row r="21" spans="1:30" s="38" customFormat="1" x14ac:dyDescent="0.2">
      <c r="A21" s="280"/>
      <c r="B21" s="281"/>
      <c r="C21" s="317" t="s">
        <v>167</v>
      </c>
      <c r="D21" s="318" t="s">
        <v>168</v>
      </c>
      <c r="E21" s="285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0"/>
      <c r="AD21" s="280"/>
    </row>
    <row r="22" spans="1:30" s="38" customFormat="1" x14ac:dyDescent="0.2">
      <c r="A22" s="280"/>
      <c r="B22" s="281"/>
      <c r="C22" s="286" t="s">
        <v>169</v>
      </c>
      <c r="D22" s="287">
        <f>_xll.ohTrigger(OIS!V3,Deposits!O2,FRA!W3,Futures3M!Z2,Swaps1M!V3,Swap3M!V3,BasisSwap1M3M!AD3,BasisSwap3M6M!AD3)</f>
        <v>9</v>
      </c>
      <c r="E22" s="285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0"/>
      <c r="W22" s="280"/>
      <c r="X22" s="280"/>
      <c r="Y22" s="280"/>
      <c r="Z22" s="280"/>
      <c r="AA22" s="280"/>
      <c r="AB22" s="280"/>
      <c r="AC22" s="280"/>
      <c r="AD22" s="280"/>
    </row>
    <row r="23" spans="1:30" s="38" customFormat="1" x14ac:dyDescent="0.2">
      <c r="A23" s="280"/>
      <c r="B23" s="281"/>
      <c r="C23" s="288" t="s">
        <v>170</v>
      </c>
      <c r="D23" s="289" t="s">
        <v>171</v>
      </c>
      <c r="E23" s="285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</row>
    <row r="24" spans="1:30" s="38" customFormat="1" x14ac:dyDescent="0.2">
      <c r="A24" s="280"/>
      <c r="B24" s="281"/>
      <c r="C24" s="284"/>
      <c r="D24" s="290"/>
      <c r="E24" s="285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</row>
    <row r="25" spans="1:30" s="38" customFormat="1" x14ac:dyDescent="0.2">
      <c r="A25" s="280"/>
      <c r="B25" s="281"/>
      <c r="C25" s="291" t="s">
        <v>142</v>
      </c>
      <c r="D25" s="292" t="s">
        <v>172</v>
      </c>
      <c r="E25" s="285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280"/>
      <c r="W25" s="280"/>
      <c r="X25" s="280"/>
      <c r="Y25" s="280"/>
      <c r="Z25" s="280"/>
      <c r="AA25" s="280"/>
      <c r="AB25" s="280"/>
      <c r="AC25" s="280"/>
      <c r="AD25" s="280"/>
    </row>
    <row r="26" spans="1:30" s="38" customFormat="1" x14ac:dyDescent="0.2">
      <c r="A26" s="280"/>
      <c r="B26" s="281"/>
      <c r="C26" s="293" t="s">
        <v>146</v>
      </c>
      <c r="D26" s="294" t="str">
        <f>""</f>
        <v/>
      </c>
      <c r="E26" s="285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  <c r="Z26" s="280"/>
      <c r="AA26" s="280"/>
      <c r="AB26" s="280"/>
      <c r="AC26" s="280"/>
      <c r="AD26" s="280"/>
    </row>
    <row r="27" spans="1:30" s="38" customFormat="1" ht="11.25" customHeight="1" x14ac:dyDescent="0.2">
      <c r="A27" s="280"/>
      <c r="B27" s="281"/>
      <c r="C27" s="293" t="s">
        <v>147</v>
      </c>
      <c r="D27" s="294" t="s">
        <v>148</v>
      </c>
      <c r="E27" s="285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  <c r="AD27" s="280"/>
    </row>
    <row r="28" spans="1:30" s="280" customFormat="1" x14ac:dyDescent="0.2">
      <c r="B28" s="281"/>
      <c r="C28" s="293" t="s">
        <v>149</v>
      </c>
      <c r="D28" s="294" t="s">
        <v>149</v>
      </c>
      <c r="E28" s="285"/>
    </row>
    <row r="29" spans="1:30" s="280" customFormat="1" x14ac:dyDescent="0.2">
      <c r="B29" s="281"/>
      <c r="C29" s="293" t="s">
        <v>166</v>
      </c>
      <c r="D29" s="294" t="s">
        <v>166</v>
      </c>
      <c r="E29" s="285"/>
    </row>
    <row r="30" spans="1:30" s="280" customFormat="1" x14ac:dyDescent="0.2">
      <c r="B30" s="281"/>
      <c r="C30" s="293" t="s">
        <v>150</v>
      </c>
      <c r="D30" s="294" t="s">
        <v>151</v>
      </c>
      <c r="E30" s="285"/>
    </row>
    <row r="31" spans="1:30" s="280" customFormat="1" x14ac:dyDescent="0.2">
      <c r="B31" s="281"/>
      <c r="C31" s="293" t="s">
        <v>152</v>
      </c>
      <c r="D31" s="294" t="s">
        <v>153</v>
      </c>
      <c r="E31" s="285"/>
    </row>
    <row r="32" spans="1:30" s="280" customFormat="1" x14ac:dyDescent="0.2">
      <c r="B32" s="281"/>
      <c r="C32" s="293" t="s">
        <v>154</v>
      </c>
      <c r="D32" s="294" t="s">
        <v>173</v>
      </c>
      <c r="E32" s="285"/>
    </row>
    <row r="33" spans="2:5" s="280" customFormat="1" x14ac:dyDescent="0.2">
      <c r="B33" s="281"/>
      <c r="C33" s="295" t="s">
        <v>155</v>
      </c>
      <c r="D33" s="296" t="s">
        <v>156</v>
      </c>
      <c r="E33" s="285"/>
    </row>
    <row r="34" spans="2:5" s="280" customFormat="1" x14ac:dyDescent="0.2">
      <c r="B34" s="281"/>
      <c r="C34" s="297"/>
      <c r="D34" s="297"/>
      <c r="E34" s="285"/>
    </row>
    <row r="35" spans="2:5" s="280" customFormat="1" x14ac:dyDescent="0.2">
      <c r="B35" s="281"/>
      <c r="C35" s="297"/>
      <c r="D35" s="297"/>
      <c r="E35" s="297"/>
    </row>
    <row r="36" spans="2:5" s="280" customFormat="1" x14ac:dyDescent="0.2">
      <c r="B36" s="281"/>
      <c r="C36" s="297"/>
      <c r="D36" s="297"/>
      <c r="E36" s="297"/>
    </row>
    <row r="37" spans="2:5" s="280" customFormat="1" x14ac:dyDescent="0.2">
      <c r="B37" s="281"/>
      <c r="C37" s="297"/>
      <c r="D37" s="297"/>
      <c r="E37" s="297"/>
    </row>
    <row r="38" spans="2:5" s="280" customFormat="1" x14ac:dyDescent="0.2">
      <c r="B38" s="281"/>
      <c r="C38" s="297"/>
      <c r="D38" s="297"/>
      <c r="E38" s="297"/>
    </row>
    <row r="39" spans="2:5" s="280" customFormat="1" ht="13.5" thickBot="1" x14ac:dyDescent="0.25">
      <c r="B39" s="298"/>
      <c r="C39" s="63"/>
      <c r="D39" s="63"/>
      <c r="E39" s="61"/>
    </row>
    <row r="40" spans="2:5" s="280" customFormat="1" x14ac:dyDescent="0.2"/>
    <row r="41" spans="2:5" s="280" customFormat="1" x14ac:dyDescent="0.2"/>
    <row r="42" spans="2:5" s="280" customFormat="1" x14ac:dyDescent="0.2"/>
    <row r="43" spans="2:5" s="280" customFormat="1" x14ac:dyDescent="0.2"/>
    <row r="44" spans="2:5" s="280" customFormat="1" x14ac:dyDescent="0.2"/>
    <row r="45" spans="2:5" s="280" customFormat="1" x14ac:dyDescent="0.2"/>
    <row r="46" spans="2:5" s="280" customFormat="1" x14ac:dyDescent="0.2"/>
    <row r="47" spans="2:5" s="280" customFormat="1" x14ac:dyDescent="0.2"/>
    <row r="48" spans="2:5" s="280" customFormat="1" x14ac:dyDescent="0.2"/>
    <row r="49" spans="2:5" s="280" customFormat="1" x14ac:dyDescent="0.2"/>
    <row r="50" spans="2:5" s="280" customFormat="1" x14ac:dyDescent="0.2"/>
    <row r="51" spans="2:5" s="280" customFormat="1" x14ac:dyDescent="0.2"/>
    <row r="52" spans="2:5" s="280" customFormat="1" x14ac:dyDescent="0.2"/>
    <row r="53" spans="2:5" s="280" customFormat="1" x14ac:dyDescent="0.2"/>
    <row r="54" spans="2:5" s="280" customFormat="1" x14ac:dyDescent="0.2"/>
    <row r="55" spans="2:5" s="280" customFormat="1" x14ac:dyDescent="0.2"/>
    <row r="56" spans="2:5" s="280" customFormat="1" x14ac:dyDescent="0.2"/>
    <row r="57" spans="2:5" s="280" customFormat="1" x14ac:dyDescent="0.2"/>
    <row r="58" spans="2:5" s="280" customFormat="1" x14ac:dyDescent="0.2">
      <c r="B58" s="299"/>
      <c r="C58" s="299"/>
      <c r="D58" s="299"/>
      <c r="E58" s="299"/>
    </row>
  </sheetData>
  <mergeCells count="1">
    <mergeCell ref="B2:E2"/>
  </mergeCells>
  <conditionalFormatting sqref="D7:D8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23:D24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16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0</xdr:colOff>
                <xdr:row>4</xdr:row>
                <xdr:rowOff>9525</xdr:rowOff>
              </from>
              <to>
                <xdr:col>7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7</xdr:col>
                <xdr:colOff>171450</xdr:colOff>
                <xdr:row>4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Z17"/>
  <sheetViews>
    <sheetView topLeftCell="N1" zoomScaleNormal="100" workbookViewId="0">
      <selection activeCell="Y6" sqref="Y6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4" style="14" bestFit="1" customWidth="1"/>
    <col min="5" max="5" width="6.5703125" style="14" bestFit="1" customWidth="1"/>
    <col min="6" max="6" width="13.140625" style="14" customWidth="1"/>
    <col min="7" max="7" width="7.28515625" style="14" customWidth="1"/>
    <col min="8" max="8" width="5.28515625" style="14" bestFit="1" customWidth="1"/>
    <col min="9" max="9" width="13.5703125" style="14" bestFit="1" customWidth="1"/>
    <col min="10" max="10" width="13.5703125" style="14" customWidth="1"/>
    <col min="11" max="11" width="11.7109375" style="14" bestFit="1" customWidth="1"/>
    <col min="12" max="12" width="15" style="14" bestFit="1" customWidth="1"/>
    <col min="13" max="13" width="26.7109375" style="14" bestFit="1" customWidth="1"/>
    <col min="14" max="14" width="17.5703125" style="14" customWidth="1"/>
    <col min="15" max="15" width="2.7109375" style="14" customWidth="1"/>
    <col min="16" max="16" width="9.5703125" style="14" customWidth="1"/>
    <col min="17" max="17" width="2.7109375" style="14" customWidth="1"/>
    <col min="18" max="18" width="5.7109375" style="14" bestFit="1" customWidth="1"/>
    <col min="19" max="19" width="14" style="14" bestFit="1" customWidth="1"/>
    <col min="20" max="20" width="9.42578125" style="14" bestFit="1" customWidth="1"/>
    <col min="21" max="21" width="10.85546875" style="14" bestFit="1" customWidth="1"/>
    <col min="22" max="22" width="6.5703125" style="14" bestFit="1" customWidth="1"/>
    <col min="23" max="23" width="6" style="14" bestFit="1" customWidth="1"/>
    <col min="24" max="24" width="9.140625" style="14" bestFit="1" customWidth="1"/>
    <col min="25" max="25" width="8" style="14" bestFit="1" customWidth="1"/>
    <col min="26" max="26" width="2.7109375" style="14" customWidth="1"/>
    <col min="27" max="16384" width="9.140625" style="14"/>
  </cols>
  <sheetData>
    <row r="1" spans="2:26" s="1" customFormat="1" ht="12" thickBot="1" x14ac:dyDescent="0.25"/>
    <row r="2" spans="2:26" s="1" customFormat="1" x14ac:dyDescent="0.2">
      <c r="B2" s="153"/>
      <c r="C2" s="152"/>
      <c r="D2" s="152"/>
      <c r="E2" s="152"/>
      <c r="F2" s="152"/>
      <c r="G2" s="152"/>
      <c r="H2" s="152"/>
      <c r="I2" s="152"/>
      <c r="J2" s="152"/>
      <c r="K2" s="152"/>
      <c r="L2" s="151"/>
      <c r="M2" s="151"/>
      <c r="N2" s="151"/>
      <c r="O2" s="150"/>
      <c r="Q2" s="153"/>
      <c r="R2" s="152"/>
      <c r="S2" s="152"/>
      <c r="T2" s="152"/>
      <c r="U2" s="152"/>
      <c r="V2" s="152"/>
      <c r="W2" s="152"/>
      <c r="X2" s="152"/>
      <c r="Y2" s="152"/>
      <c r="Z2" s="323"/>
    </row>
    <row r="3" spans="2:26" s="1" customFormat="1" x14ac:dyDescent="0.2">
      <c r="B3" s="145"/>
      <c r="C3" s="149"/>
      <c r="D3" s="149"/>
      <c r="E3" s="149"/>
      <c r="F3" s="149"/>
      <c r="G3" s="149"/>
      <c r="H3" s="149"/>
      <c r="I3" s="149"/>
      <c r="J3" s="7" t="s">
        <v>125</v>
      </c>
      <c r="K3" s="142" t="s">
        <v>124</v>
      </c>
      <c r="L3" s="104">
        <f ca="1">IF(Serialize,_xll.ohObjectSave(K6:M14,SerializationPath&amp;FileName,FileOverwrite,,Serialize),"---")</f>
        <v>27</v>
      </c>
      <c r="M3" s="147" t="str">
        <f>PROPER(Currency)&amp;FamilyName&amp;".xml"</f>
        <v>HkdHibor.xml</v>
      </c>
      <c r="N3" s="140" t="str">
        <f ca="1">_xll.ohRangeRetrieveError(L3)</f>
        <v/>
      </c>
      <c r="O3" s="146"/>
      <c r="Q3" s="145"/>
      <c r="R3" s="149"/>
      <c r="S3" s="149"/>
      <c r="T3" s="149"/>
      <c r="U3" s="149"/>
      <c r="V3" s="149"/>
      <c r="W3" s="149"/>
      <c r="X3" s="149"/>
      <c r="Y3" s="149"/>
      <c r="Z3" s="324"/>
    </row>
    <row r="4" spans="2:26" s="1" customFormat="1" x14ac:dyDescent="0.2">
      <c r="B4" s="145"/>
      <c r="C4" s="149"/>
      <c r="D4" s="149"/>
      <c r="E4" s="149"/>
      <c r="F4" s="149"/>
      <c r="G4" s="149"/>
      <c r="H4" s="149"/>
      <c r="I4" s="149"/>
      <c r="J4" s="149"/>
      <c r="K4" s="149"/>
      <c r="L4" s="148"/>
      <c r="M4" s="148"/>
      <c r="N4" s="148"/>
      <c r="O4" s="146"/>
      <c r="Q4" s="145"/>
      <c r="R4" s="149"/>
      <c r="S4" s="149"/>
      <c r="T4" s="149" t="s">
        <v>143</v>
      </c>
      <c r="U4" s="149"/>
      <c r="V4" s="149"/>
      <c r="W4" s="149"/>
      <c r="X4" s="149"/>
      <c r="Y4" s="149"/>
      <c r="Z4" s="324"/>
    </row>
    <row r="5" spans="2:26" s="1" customFormat="1" ht="22.5" x14ac:dyDescent="0.2">
      <c r="B5" s="145"/>
      <c r="C5" s="334" t="s">
        <v>135</v>
      </c>
      <c r="D5" s="334"/>
      <c r="E5" s="334" t="s">
        <v>134</v>
      </c>
      <c r="F5" s="334" t="s">
        <v>133</v>
      </c>
      <c r="G5" s="334" t="s">
        <v>132</v>
      </c>
      <c r="H5" s="334" t="s">
        <v>131</v>
      </c>
      <c r="I5" s="334" t="s">
        <v>130</v>
      </c>
      <c r="J5" s="334" t="s">
        <v>184</v>
      </c>
      <c r="K5" s="335" t="s">
        <v>183</v>
      </c>
      <c r="L5" s="335" t="s">
        <v>184</v>
      </c>
      <c r="M5" s="335" t="s">
        <v>185</v>
      </c>
      <c r="N5" s="335"/>
      <c r="O5" s="332" t="s">
        <v>182</v>
      </c>
      <c r="Q5" s="145"/>
      <c r="R5" s="314" t="s">
        <v>135</v>
      </c>
      <c r="S5" s="313" t="s">
        <v>188</v>
      </c>
      <c r="T5" s="313" t="str">
        <f>_xll.RData(T6:T14,U5:V5,"RTFEED:IDN",,,U6)</f>
        <v>Updated at 17:55:23</v>
      </c>
      <c r="U5" s="313" t="s">
        <v>178</v>
      </c>
      <c r="V5" s="313" t="s">
        <v>144</v>
      </c>
      <c r="W5" s="313" t="s">
        <v>177</v>
      </c>
      <c r="X5" s="312" t="s">
        <v>176</v>
      </c>
      <c r="Y5" s="312" t="s">
        <v>189</v>
      </c>
      <c r="Z5" s="324"/>
    </row>
    <row r="6" spans="2:26" s="1" customFormat="1" ht="15" x14ac:dyDescent="0.25">
      <c r="B6" s="145"/>
      <c r="C6" s="144" t="s">
        <v>123</v>
      </c>
      <c r="D6" s="144" t="str">
        <f>C6</f>
        <v>ON</v>
      </c>
      <c r="E6" s="144">
        <v>0</v>
      </c>
      <c r="F6" s="144" t="s">
        <v>128</v>
      </c>
      <c r="G6" s="144" t="s">
        <v>127</v>
      </c>
      <c r="H6" s="144" t="b">
        <v>1</v>
      </c>
      <c r="I6" s="144" t="s">
        <v>126</v>
      </c>
      <c r="J6" s="339" t="str">
        <f t="shared" ref="J6:J14" si="0">PROPER(Currency)&amp;FamilyName&amp;$C6</f>
        <v>HkdHiborON</v>
      </c>
      <c r="K6" s="131" t="str">
        <f>_xll.qlRelinkableHandleYieldTermStructure(Currency&amp;D6,,Permanent,Trigger,ObjectOverwrite)</f>
        <v>HKDON#0000</v>
      </c>
      <c r="L6" s="131" t="str">
        <f>_xll.qlOvernightIndex(J6,FamilyName,E6,Currency,F6,I6,K6,Permanent,Trigger,FileOverwrite)</f>
        <v>HkdHiborON#0000</v>
      </c>
      <c r="M6" s="143" t="str">
        <f>_xll.qlLastFixingQuote(PROPER(Currency)&amp;FamilyName&amp;$C6&amp;"LastFixing_Quote",L6,Permanent,Trigger,ObjectOverwrite)</f>
        <v>HkdHiborONLastFixing_Quote#0000</v>
      </c>
      <c r="N6" s="140" t="str">
        <f>_xll.ohRangeRetrieveError(L6)</f>
        <v/>
      </c>
      <c r="O6" s="333" t="s">
        <v>182</v>
      </c>
      <c r="Q6" s="145"/>
      <c r="R6" s="336" t="str">
        <f>C6</f>
        <v>ON</v>
      </c>
      <c r="S6" s="308" t="str">
        <f>IFERROR(L6,J6)</f>
        <v>HkdHiborON#0000</v>
      </c>
      <c r="T6" s="308" t="str">
        <f t="shared" ref="T6:T14" si="1">"HI"&amp;Currency&amp;$R6&amp;$T$4&amp;"="</f>
        <v>HIHKDOND=</v>
      </c>
      <c r="U6" s="311">
        <v>41600</v>
      </c>
      <c r="V6" s="340">
        <v>7.1330000000000005E-2</v>
      </c>
      <c r="W6" s="310" t="b">
        <f t="shared" ref="W6:W14" si="2">IF(AND(ISNUMBER($V6),$V6&lt;&gt;0%),TRUE,FALSE)</f>
        <v>1</v>
      </c>
      <c r="X6" s="309" t="b">
        <f>IF(W6,_xll.qlIndexAddFixings(S6,U6,V6/100,TRUE),NA())</f>
        <v>1</v>
      </c>
      <c r="Y6" s="343">
        <f>_xll.qlQuoteValue(M6,X6)</f>
        <v>7.1330000000000005E-4</v>
      </c>
      <c r="Z6" s="324"/>
    </row>
    <row r="7" spans="2:26" s="1" customFormat="1" ht="15" x14ac:dyDescent="0.25">
      <c r="B7" s="145"/>
      <c r="C7" s="144" t="s">
        <v>117</v>
      </c>
      <c r="D7" s="144" t="s">
        <v>129</v>
      </c>
      <c r="E7" s="144">
        <v>0</v>
      </c>
      <c r="F7" s="144" t="s">
        <v>128</v>
      </c>
      <c r="G7" s="144" t="s">
        <v>127</v>
      </c>
      <c r="H7" s="144" t="b">
        <v>1</v>
      </c>
      <c r="I7" s="144" t="s">
        <v>126</v>
      </c>
      <c r="J7" s="339" t="str">
        <f t="shared" si="0"/>
        <v>HkdHiborSW</v>
      </c>
      <c r="K7" s="131" t="str">
        <f>_xll.qlRelinkableHandleYieldTermStructure(Currency&amp;D7,,Permanent,Trigger,ObjectOverwrite)</f>
        <v>HKD1W#0000</v>
      </c>
      <c r="L7" s="131" t="str">
        <f>_xll.qlIborIndex(J7,FamilyName,D7,E7,Currency,F7,G7,H7,I7,K7,Permanent,Trigger,ObjectOverwrite)</f>
        <v>HkdHiborSW#0000</v>
      </c>
      <c r="M7" s="143" t="str">
        <f>_xll.qlLastFixingQuote(PROPER(Currency)&amp;FamilyName&amp;$C7&amp;"LastFixing_Quote",L7,Permanent,Trigger,ObjectOverwrite)</f>
        <v>HkdHiborSWLastFixing_Quote#0000</v>
      </c>
      <c r="N7" s="140" t="str">
        <f>_xll.ohRangeRetrieveError(L7)</f>
        <v/>
      </c>
      <c r="O7" s="333" t="s">
        <v>182</v>
      </c>
      <c r="Q7" s="145"/>
      <c r="R7" s="337" t="s">
        <v>129</v>
      </c>
      <c r="S7" s="304" t="str">
        <f t="shared" ref="S7:S14" si="3">IFERROR(L7,J7)</f>
        <v>HkdHiborSW#0000</v>
      </c>
      <c r="T7" s="304" t="str">
        <f t="shared" si="1"/>
        <v>HIHKD1WD=</v>
      </c>
      <c r="U7" s="307">
        <v>41600</v>
      </c>
      <c r="V7" s="341">
        <v>0.13066</v>
      </c>
      <c r="W7" s="306" t="b">
        <f t="shared" si="2"/>
        <v>1</v>
      </c>
      <c r="X7" s="305" t="b">
        <f>IF(W7,_xll.qlIndexAddFixings(S7,U7,V7/100,TRUE),NA())</f>
        <v>1</v>
      </c>
      <c r="Y7" s="344">
        <f>_xll.qlQuoteValue(M7,X7)</f>
        <v>1.3066E-3</v>
      </c>
      <c r="Z7" s="324"/>
    </row>
    <row r="8" spans="2:26" s="1" customFormat="1" ht="15" x14ac:dyDescent="0.25">
      <c r="B8" s="145"/>
      <c r="C8" s="144" t="s">
        <v>116</v>
      </c>
      <c r="D8" s="144" t="str">
        <f t="shared" ref="D8:D14" si="4">C8</f>
        <v>2W</v>
      </c>
      <c r="E8" s="144">
        <v>0</v>
      </c>
      <c r="F8" s="144" t="s">
        <v>128</v>
      </c>
      <c r="G8" s="144" t="s">
        <v>127</v>
      </c>
      <c r="H8" s="144" t="b">
        <v>1</v>
      </c>
      <c r="I8" s="144" t="s">
        <v>126</v>
      </c>
      <c r="J8" s="339" t="str">
        <f t="shared" si="0"/>
        <v>HkdHibor2W</v>
      </c>
      <c r="K8" s="131" t="str">
        <f>_xll.qlRelinkableHandleYieldTermStructure(Currency&amp;D8,,Permanent,Trigger,ObjectOverwrite)</f>
        <v>HKD2W#0000</v>
      </c>
      <c r="L8" s="131" t="str">
        <f>_xll.qlIborIndex(J8,FamilyName,D8,E8,Currency,F8,G8,H8,I8,K8,Permanent,Trigger,ObjectOverwrite)</f>
        <v>HkdHibor2W#0000</v>
      </c>
      <c r="M8" s="143" t="str">
        <f>_xll.qlLastFixingQuote(PROPER(Currency)&amp;FamilyName&amp;$C8&amp;"LastFixing_Quote",L8,Permanent,Trigger,ObjectOverwrite)</f>
        <v>HkdHibor2WLastFixing_Quote#0000</v>
      </c>
      <c r="N8" s="140" t="str">
        <f>_xll.ohRangeRetrieveError(L8)</f>
        <v/>
      </c>
      <c r="O8" s="333" t="s">
        <v>182</v>
      </c>
      <c r="Q8" s="145"/>
      <c r="R8" s="337" t="str">
        <f t="shared" ref="R8:R14" si="5">C8</f>
        <v>2W</v>
      </c>
      <c r="S8" s="304" t="str">
        <f t="shared" si="3"/>
        <v>HkdHibor2W#0000</v>
      </c>
      <c r="T8" s="304" t="str">
        <f t="shared" si="1"/>
        <v>HIHKD2WD=</v>
      </c>
      <c r="U8" s="307">
        <v>41600</v>
      </c>
      <c r="V8" s="341">
        <v>0.16357000000000002</v>
      </c>
      <c r="W8" s="306" t="b">
        <f t="shared" si="2"/>
        <v>1</v>
      </c>
      <c r="X8" s="305" t="b">
        <f>IF(W8,_xll.qlIndexAddFixings(S8,U8,V8/100,TRUE),NA())</f>
        <v>1</v>
      </c>
      <c r="Y8" s="344">
        <f>_xll.qlQuoteValue(M8,X8)</f>
        <v>1.6357000000000001E-3</v>
      </c>
      <c r="Z8" s="324"/>
    </row>
    <row r="9" spans="2:26" s="1" customFormat="1" ht="15" x14ac:dyDescent="0.25">
      <c r="B9" s="145"/>
      <c r="C9" s="144" t="s">
        <v>103</v>
      </c>
      <c r="D9" s="144" t="str">
        <f t="shared" si="4"/>
        <v>1M</v>
      </c>
      <c r="E9" s="144">
        <v>0</v>
      </c>
      <c r="F9" s="144" t="s">
        <v>128</v>
      </c>
      <c r="G9" s="144" t="s">
        <v>127</v>
      </c>
      <c r="H9" s="144" t="b">
        <v>1</v>
      </c>
      <c r="I9" s="144" t="s">
        <v>126</v>
      </c>
      <c r="J9" s="339" t="str">
        <f t="shared" si="0"/>
        <v>HkdHibor1M</v>
      </c>
      <c r="K9" s="131" t="str">
        <f>_xll.qlRelinkableHandleYieldTermStructure(Currency&amp;D9,,Permanent,Trigger,ObjectOverwrite)</f>
        <v>HKD1M#0000</v>
      </c>
      <c r="L9" s="131" t="str">
        <f>_xll.qlIborIndex(J9,FamilyName,D9,E9,Currency,F9,G9,H9,I9,K9,Permanent,Trigger,ObjectOverwrite)</f>
        <v>HkdHibor1M#0000</v>
      </c>
      <c r="M9" s="143" t="str">
        <f>_xll.qlLastFixingQuote(PROPER(Currency)&amp;FamilyName&amp;$C9&amp;"LastFixing_Quote",L9,Permanent,Trigger,ObjectOverwrite)</f>
        <v>HkdHibor1MLastFixing_Quote#0000</v>
      </c>
      <c r="N9" s="140" t="str">
        <f>_xll.ohRangeRetrieveError(L9)</f>
        <v/>
      </c>
      <c r="O9" s="333" t="s">
        <v>182</v>
      </c>
      <c r="Q9" s="145"/>
      <c r="R9" s="337" t="str">
        <f t="shared" si="5"/>
        <v>1M</v>
      </c>
      <c r="S9" s="304" t="str">
        <f t="shared" si="3"/>
        <v>HkdHibor1M#0000</v>
      </c>
      <c r="T9" s="304" t="str">
        <f t="shared" si="1"/>
        <v>HIHKD1MD=</v>
      </c>
      <c r="U9" s="307">
        <v>41600</v>
      </c>
      <c r="V9" s="341">
        <v>0.21643000000000001</v>
      </c>
      <c r="W9" s="306" t="b">
        <f t="shared" si="2"/>
        <v>1</v>
      </c>
      <c r="X9" s="305" t="b">
        <f>IF(W9,_xll.qlIndexAddFixings(S9,U9,V9/100,TRUE),NA())</f>
        <v>1</v>
      </c>
      <c r="Y9" s="344">
        <f>_xll.qlQuoteValue(M9,X9)</f>
        <v>2.1643000000000001E-3</v>
      </c>
      <c r="Z9" s="324"/>
    </row>
    <row r="10" spans="2:26" s="1" customFormat="1" ht="15" x14ac:dyDescent="0.25">
      <c r="B10" s="145"/>
      <c r="C10" s="144" t="s">
        <v>114</v>
      </c>
      <c r="D10" s="144" t="str">
        <f t="shared" ref="D10" si="6">C10</f>
        <v>2M</v>
      </c>
      <c r="E10" s="144">
        <v>0</v>
      </c>
      <c r="F10" s="144" t="s">
        <v>128</v>
      </c>
      <c r="G10" s="144" t="s">
        <v>127</v>
      </c>
      <c r="H10" s="144" t="b">
        <v>1</v>
      </c>
      <c r="I10" s="144" t="s">
        <v>126</v>
      </c>
      <c r="J10" s="339" t="str">
        <f t="shared" si="0"/>
        <v>HkdHibor2M</v>
      </c>
      <c r="K10" s="131" t="str">
        <f>_xll.qlRelinkableHandleYieldTermStructure(Currency&amp;D10,,Permanent,Trigger,ObjectOverwrite)</f>
        <v>HKD2M#0000</v>
      </c>
      <c r="L10" s="131" t="str">
        <f>_xll.qlIborIndex(J10,FamilyName,D10,E10,Currency,F10,G10,H10,I10,K10,Permanent,Trigger,ObjectOverwrite)</f>
        <v>HkdHibor2M#0000</v>
      </c>
      <c r="M10" s="143" t="str">
        <f>_xll.qlLastFixingQuote(PROPER(Currency)&amp;FamilyName&amp;$C10&amp;"LastFixing_Quote",L10,Permanent,Trigger,ObjectOverwrite)</f>
        <v>HkdHibor2MLastFixing_Quote#0000</v>
      </c>
      <c r="N10" s="140" t="str">
        <f>_xll.ohRangeRetrieveError(L10)</f>
        <v/>
      </c>
      <c r="O10" s="333" t="s">
        <v>182</v>
      </c>
      <c r="Q10" s="145"/>
      <c r="R10" s="337" t="str">
        <f t="shared" si="5"/>
        <v>2M</v>
      </c>
      <c r="S10" s="304" t="str">
        <f t="shared" si="3"/>
        <v>HkdHibor2M#0000</v>
      </c>
      <c r="T10" s="304" t="str">
        <f t="shared" si="1"/>
        <v>HIHKD2MD=</v>
      </c>
      <c r="U10" s="307">
        <v>41600</v>
      </c>
      <c r="V10" s="341">
        <v>0.31829000000000002</v>
      </c>
      <c r="W10" s="306" t="b">
        <f t="shared" si="2"/>
        <v>1</v>
      </c>
      <c r="X10" s="305" t="b">
        <f>IF(W10,_xll.qlIndexAddFixings(S10,U10,V10/100,TRUE),NA())</f>
        <v>1</v>
      </c>
      <c r="Y10" s="344">
        <f>_xll.qlQuoteValue(M10,X10)</f>
        <v>3.1829000000000002E-3</v>
      </c>
      <c r="Z10" s="324"/>
    </row>
    <row r="11" spans="2:26" s="1" customFormat="1" ht="15" x14ac:dyDescent="0.25">
      <c r="B11" s="145"/>
      <c r="C11" s="144" t="s">
        <v>105</v>
      </c>
      <c r="D11" s="144" t="str">
        <f t="shared" si="4"/>
        <v>3M</v>
      </c>
      <c r="E11" s="144">
        <v>0</v>
      </c>
      <c r="F11" s="144" t="s">
        <v>128</v>
      </c>
      <c r="G11" s="144" t="s">
        <v>127</v>
      </c>
      <c r="H11" s="144" t="b">
        <v>1</v>
      </c>
      <c r="I11" s="144" t="s">
        <v>126</v>
      </c>
      <c r="J11" s="339" t="str">
        <f t="shared" si="0"/>
        <v>HkdHibor3M</v>
      </c>
      <c r="K11" s="131" t="str">
        <f>_xll.qlRelinkableHandleYieldTermStructure(Currency&amp;D11,,Permanent,Trigger,ObjectOverwrite)</f>
        <v>HKD3M#0000</v>
      </c>
      <c r="L11" s="131" t="str">
        <f>_xll.qlIborIndex(J11,FamilyName,D11,E11,Currency,F11,G11,H11,I11,K11,Permanent,Trigger,ObjectOverwrite)</f>
        <v>HkdHibor3M#0000</v>
      </c>
      <c r="M11" s="143" t="str">
        <f>_xll.qlLastFixingQuote(PROPER(Currency)&amp;FamilyName&amp;$C11&amp;"LastFixing_Quote",L11,Permanent,Trigger,ObjectOverwrite)</f>
        <v>HkdHibor3MLastFixing_Quote#0000</v>
      </c>
      <c r="N11" s="140" t="str">
        <f>_xll.ohRangeRetrieveError(L11)</f>
        <v/>
      </c>
      <c r="O11" s="333" t="s">
        <v>182</v>
      </c>
      <c r="Q11" s="145"/>
      <c r="R11" s="337" t="str">
        <f t="shared" si="5"/>
        <v>3M</v>
      </c>
      <c r="S11" s="304" t="str">
        <f t="shared" si="3"/>
        <v>HkdHibor3M#0000</v>
      </c>
      <c r="T11" s="304" t="str">
        <f t="shared" si="1"/>
        <v>HIHKD3MD=</v>
      </c>
      <c r="U11" s="307">
        <v>41600</v>
      </c>
      <c r="V11" s="341">
        <v>0.38214000000000004</v>
      </c>
      <c r="W11" s="306" t="b">
        <f t="shared" si="2"/>
        <v>1</v>
      </c>
      <c r="X11" s="305" t="b">
        <f>IF(W11,_xll.qlIndexAddFixings(S11,U11,V11/100,TRUE),NA())</f>
        <v>1</v>
      </c>
      <c r="Y11" s="344">
        <f>_xll.qlQuoteValue(M11,X11)</f>
        <v>3.8214000000000004E-3</v>
      </c>
      <c r="Z11" s="324"/>
    </row>
    <row r="12" spans="2:26" s="1" customFormat="1" ht="15" x14ac:dyDescent="0.25">
      <c r="B12" s="145"/>
      <c r="C12" s="144" t="s">
        <v>60</v>
      </c>
      <c r="D12" s="144" t="str">
        <f t="shared" si="4"/>
        <v>6M</v>
      </c>
      <c r="E12" s="144">
        <v>0</v>
      </c>
      <c r="F12" s="144" t="s">
        <v>128</v>
      </c>
      <c r="G12" s="144" t="s">
        <v>127</v>
      </c>
      <c r="H12" s="144" t="b">
        <v>1</v>
      </c>
      <c r="I12" s="144" t="s">
        <v>126</v>
      </c>
      <c r="J12" s="339" t="str">
        <f t="shared" si="0"/>
        <v>HkdHibor6M</v>
      </c>
      <c r="K12" s="131" t="str">
        <f>_xll.qlRelinkableHandleYieldTermStructure(Currency&amp;D12,,Permanent,Trigger,ObjectOverwrite)</f>
        <v>HKD6M#0000</v>
      </c>
      <c r="L12" s="131" t="str">
        <f>_xll.qlIborIndex(J12,FamilyName,D12,E12,Currency,F12,G12,H12,I12,K12,Permanent,Trigger,ObjectOverwrite)</f>
        <v>HkdHibor6M#0000</v>
      </c>
      <c r="M12" s="143" t="str">
        <f>_xll.qlLastFixingQuote(PROPER(Currency)&amp;FamilyName&amp;$C12&amp;"LastFixing_Quote",L12,Permanent,Trigger,ObjectOverwrite)</f>
        <v>HkdHibor6MLastFixing_Quote#0000</v>
      </c>
      <c r="N12" s="140" t="str">
        <f>_xll.ohRangeRetrieveError(L12)</f>
        <v/>
      </c>
      <c r="O12" s="333" t="s">
        <v>182</v>
      </c>
      <c r="Q12" s="145"/>
      <c r="R12" s="337" t="str">
        <f t="shared" si="5"/>
        <v>6M</v>
      </c>
      <c r="S12" s="304" t="str">
        <f t="shared" si="3"/>
        <v>HkdHibor6M#0000</v>
      </c>
      <c r="T12" s="304" t="str">
        <f t="shared" si="1"/>
        <v>HIHKD6MD=</v>
      </c>
      <c r="U12" s="307">
        <v>41600</v>
      </c>
      <c r="V12" s="341">
        <v>0.54857</v>
      </c>
      <c r="W12" s="306" t="b">
        <f t="shared" si="2"/>
        <v>1</v>
      </c>
      <c r="X12" s="305" t="b">
        <f>IF(W12,_xll.qlIndexAddFixings(S12,U12,V12/100,TRUE),NA())</f>
        <v>1</v>
      </c>
      <c r="Y12" s="344">
        <f>_xll.qlQuoteValue(M12,X12)</f>
        <v>5.4856999999999996E-3</v>
      </c>
      <c r="Z12" s="324"/>
    </row>
    <row r="13" spans="2:26" s="1" customFormat="1" ht="15" x14ac:dyDescent="0.25">
      <c r="B13" s="145"/>
      <c r="C13" s="144" t="s">
        <v>109</v>
      </c>
      <c r="D13" s="144" t="str">
        <f t="shared" ref="D13" si="7">C13</f>
        <v>9M</v>
      </c>
      <c r="E13" s="144">
        <v>0</v>
      </c>
      <c r="F13" s="144" t="s">
        <v>128</v>
      </c>
      <c r="G13" s="144" t="s">
        <v>127</v>
      </c>
      <c r="H13" s="144" t="b">
        <v>1</v>
      </c>
      <c r="I13" s="144" t="s">
        <v>126</v>
      </c>
      <c r="J13" s="339" t="str">
        <f t="shared" si="0"/>
        <v>HkdHibor9M</v>
      </c>
      <c r="K13" s="131" t="str">
        <f>_xll.qlRelinkableHandleYieldTermStructure(Currency&amp;D13,,Permanent,Trigger,ObjectOverwrite)</f>
        <v>HKD9M#0000</v>
      </c>
      <c r="L13" s="131" t="str">
        <f>_xll.qlIborIndex(J13,FamilyName,D13,E13,Currency,F13,G13,H13,I13,K13,Permanent,Trigger,ObjectOverwrite)</f>
        <v>HkdHibor9M#0000</v>
      </c>
      <c r="M13" s="143" t="str">
        <f>_xll.qlLastFixingQuote(PROPER(Currency)&amp;FamilyName&amp;$C13&amp;"LastFixing_Quote",L13,Permanent,Trigger,ObjectOverwrite)</f>
        <v>HkdHibor9MLastFixing_Quote#0000</v>
      </c>
      <c r="N13" s="140" t="str">
        <f>_xll.ohRangeRetrieveError(L13)</f>
        <v/>
      </c>
      <c r="O13" s="333" t="s">
        <v>182</v>
      </c>
      <c r="Q13" s="145"/>
      <c r="R13" s="337" t="str">
        <f t="shared" si="5"/>
        <v>9M</v>
      </c>
      <c r="S13" s="304" t="str">
        <f t="shared" si="3"/>
        <v>HkdHibor9M#0000</v>
      </c>
      <c r="T13" s="304" t="str">
        <f t="shared" si="1"/>
        <v>HIHKD9MD=</v>
      </c>
      <c r="U13" s="307">
        <v>41600</v>
      </c>
      <c r="V13" s="341">
        <v>0.6405900000000001</v>
      </c>
      <c r="W13" s="306" t="b">
        <f t="shared" si="2"/>
        <v>1</v>
      </c>
      <c r="X13" s="305" t="b">
        <f>IF(W13,_xll.qlIndexAddFixings(S13,U13,V13/100,TRUE),NA())</f>
        <v>1</v>
      </c>
      <c r="Y13" s="344">
        <f>_xll.qlQuoteValue(M13,X13)</f>
        <v>6.4059000000000008E-3</v>
      </c>
      <c r="Z13" s="324"/>
    </row>
    <row r="14" spans="2:26" s="1" customFormat="1" ht="15" x14ac:dyDescent="0.25">
      <c r="B14" s="145"/>
      <c r="C14" s="144" t="s">
        <v>59</v>
      </c>
      <c r="D14" s="144" t="str">
        <f t="shared" si="4"/>
        <v>1Y</v>
      </c>
      <c r="E14" s="144">
        <v>0</v>
      </c>
      <c r="F14" s="144" t="s">
        <v>128</v>
      </c>
      <c r="G14" s="144" t="s">
        <v>127</v>
      </c>
      <c r="H14" s="144" t="b">
        <v>1</v>
      </c>
      <c r="I14" s="144" t="s">
        <v>126</v>
      </c>
      <c r="J14" s="339" t="str">
        <f t="shared" si="0"/>
        <v>HkdHibor1Y</v>
      </c>
      <c r="K14" s="131" t="str">
        <f>_xll.qlRelinkableHandleYieldTermStructure(Currency&amp;D14,,Permanent,Trigger,ObjectOverwrite)</f>
        <v>HKD1Y#0000</v>
      </c>
      <c r="L14" s="131" t="str">
        <f>_xll.qlIborIndex(J14,FamilyName,D14,E14,Currency,F14,G14,H14,I14,K14,Permanent,Trigger,ObjectOverwrite)</f>
        <v>HkdHibor1Y#0000</v>
      </c>
      <c r="M14" s="143" t="str">
        <f>_xll.qlLastFixingQuote(PROPER(Currency)&amp;FamilyName&amp;$C14&amp;"LastFixing_Quote",L14,Permanent,Trigger,ObjectOverwrite)</f>
        <v>HkdHibor1YLastFixing_Quote#0000</v>
      </c>
      <c r="N14" s="140" t="str">
        <f>_xll.ohRangeRetrieveError(L14)</f>
        <v/>
      </c>
      <c r="O14" s="333" t="s">
        <v>182</v>
      </c>
      <c r="Q14" s="145"/>
      <c r="R14" s="338" t="str">
        <f t="shared" si="5"/>
        <v>1Y</v>
      </c>
      <c r="S14" s="300" t="str">
        <f t="shared" si="3"/>
        <v>HkdHibor1Y#0000</v>
      </c>
      <c r="T14" s="300" t="str">
        <f t="shared" si="1"/>
        <v>HIHKD1YD=</v>
      </c>
      <c r="U14" s="303">
        <v>41600</v>
      </c>
      <c r="V14" s="342">
        <v>0.86679000000000006</v>
      </c>
      <c r="W14" s="302" t="b">
        <f t="shared" si="2"/>
        <v>1</v>
      </c>
      <c r="X14" s="301" t="b">
        <f>IF(W14,_xll.qlIndexAddFixings(S14,U14,V14/100,TRUE),NA())</f>
        <v>1</v>
      </c>
      <c r="Y14" s="345">
        <f>_xll.qlQuoteValue(M14,X14)</f>
        <v>8.667900000000001E-3</v>
      </c>
      <c r="Z14" s="324"/>
    </row>
    <row r="15" spans="2:26" s="1" customFormat="1" ht="13.5" thickBot="1" x14ac:dyDescent="0.25">
      <c r="B15" s="145"/>
      <c r="C15" s="144"/>
      <c r="D15" s="144" t="s">
        <v>186</v>
      </c>
      <c r="E15" s="144"/>
      <c r="F15" s="144"/>
      <c r="G15" s="144"/>
      <c r="H15" s="144"/>
      <c r="I15" s="144"/>
      <c r="J15" s="339"/>
      <c r="K15" s="131" t="str">
        <f>_xll.qlRelinkableHandleYieldTermStructure(Currency&amp;D15,,Permanent,Trigger,ObjectOverwrite)</f>
        <v>HKDSTD#0000</v>
      </c>
      <c r="L15" s="131"/>
      <c r="M15" s="143"/>
      <c r="N15" s="140"/>
      <c r="O15" s="333"/>
      <c r="Q15" s="325"/>
      <c r="R15" s="326"/>
      <c r="S15" s="326"/>
      <c r="T15" s="326"/>
      <c r="U15" s="326"/>
      <c r="V15" s="326"/>
      <c r="W15" s="326"/>
      <c r="X15" s="326"/>
      <c r="Y15" s="326"/>
      <c r="Z15" s="327"/>
    </row>
    <row r="16" spans="2:26" s="1" customFormat="1" ht="13.5" thickBot="1" x14ac:dyDescent="0.25"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2"/>
      <c r="R16" s="14"/>
      <c r="S16" s="14"/>
      <c r="T16" s="14"/>
      <c r="U16" s="14"/>
      <c r="V16" s="14"/>
      <c r="W16" s="14"/>
      <c r="X16" s="14"/>
      <c r="Y16" s="14"/>
    </row>
    <row r="17" spans="17:26" s="1" customFormat="1" x14ac:dyDescent="0.2">
      <c r="Q17" s="14"/>
      <c r="R17" s="14"/>
      <c r="S17" s="14"/>
      <c r="T17" s="14"/>
      <c r="U17" s="14"/>
      <c r="V17" s="14"/>
      <c r="W17" s="14"/>
      <c r="X17" s="14"/>
      <c r="Y17" s="14"/>
      <c r="Z17" s="14"/>
    </row>
  </sheetData>
  <dataValidations count="2">
    <dataValidation type="list" allowBlank="1" showInputMessage="1" showErrorMessage="1" sqref="G6:G15">
      <formula1>"Following,Modified Following,Preceding,Modified Preceding,Unadjusted"</formula1>
    </dataValidation>
    <dataValidation type="list" allowBlank="1" showInputMessage="1" showErrorMessage="1" sqref="I6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zoomScale="111" zoomScaleNormal="111" workbookViewId="0">
      <selection activeCell="F22" sqref="F22"/>
    </sheetView>
  </sheetViews>
  <sheetFormatPr defaultRowHeight="13.5" x14ac:dyDescent="0.25"/>
  <cols>
    <col min="1" max="2" width="2.7109375" style="105" customWidth="1"/>
    <col min="3" max="3" width="4" style="105" bestFit="1" customWidth="1"/>
    <col min="4" max="4" width="6" style="105" bestFit="1" customWidth="1"/>
    <col min="5" max="5" width="21.42578125" style="105" bestFit="1" customWidth="1"/>
    <col min="6" max="6" width="26.5703125" style="106" bestFit="1" customWidth="1"/>
    <col min="7" max="7" width="38.28515625" style="105" customWidth="1"/>
    <col min="8" max="10" width="2.7109375" style="105" customWidth="1"/>
    <col min="11" max="11" width="10" style="105" bestFit="1" customWidth="1"/>
    <col min="12" max="12" width="14.7109375" style="105" bestFit="1" customWidth="1"/>
    <col min="13" max="15" width="9.140625" style="105"/>
    <col min="16" max="16" width="23.28515625" style="105" bestFit="1" customWidth="1"/>
    <col min="17" max="17" width="9.140625" style="105"/>
    <col min="18" max="18" width="2.7109375" style="105" customWidth="1"/>
    <col min="19" max="19" width="9.140625" style="105"/>
    <col min="20" max="20" width="2.7109375" style="105" customWidth="1"/>
    <col min="21" max="22" width="9.140625" style="105"/>
    <col min="23" max="23" width="2.7109375" style="105" customWidth="1"/>
    <col min="24" max="16384" width="9.140625" style="105"/>
  </cols>
  <sheetData>
    <row r="1" spans="1:24" ht="15" x14ac:dyDescent="0.25">
      <c r="A1" s="105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</row>
    <row r="2" spans="1:24" ht="15.75" thickBot="1" x14ac:dyDescent="0.3">
      <c r="J2" s="185"/>
      <c r="K2" s="220"/>
      <c r="L2" s="184" t="s">
        <v>166</v>
      </c>
      <c r="M2" s="220"/>
      <c r="N2" s="220"/>
      <c r="O2" s="220"/>
      <c r="P2" s="220"/>
      <c r="Q2" s="220"/>
      <c r="R2" s="162"/>
      <c r="S2" s="162"/>
      <c r="T2" s="162"/>
      <c r="U2" s="162"/>
      <c r="V2" s="220"/>
      <c r="W2" s="183"/>
      <c r="X2"/>
    </row>
    <row r="3" spans="1:24" ht="15" x14ac:dyDescent="0.25">
      <c r="A3" s="126"/>
      <c r="B3" s="125"/>
      <c r="C3" s="125"/>
      <c r="D3" s="125"/>
      <c r="E3" s="123"/>
      <c r="F3" s="124"/>
      <c r="G3" s="123"/>
      <c r="H3" s="122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_xll.ohTrigger(V5:V23)</f>
        <v>2</v>
      </c>
      <c r="W3" s="158"/>
      <c r="X3"/>
    </row>
    <row r="4" spans="1:24" ht="15" x14ac:dyDescent="0.25">
      <c r="A4" s="115"/>
      <c r="B4" s="121"/>
      <c r="C4" s="121"/>
      <c r="D4" s="120"/>
      <c r="E4" s="119" t="str">
        <f>Currency&amp;"_010_"&amp;"OIS.xml"</f>
        <v>HKD_010_OIS.xml</v>
      </c>
      <c r="F4" s="118">
        <f ca="1">IF(Serialize,_xll.ohObjectSave(_xll.ohPack(F5:F23),SerializationPath&amp;E4,FileOverwrite,,Serialize),"---")</f>
        <v>19</v>
      </c>
      <c r="G4" s="117" t="str">
        <f ca="1">_xll.ohRangeRetrieveError(F4)</f>
        <v/>
      </c>
      <c r="H4" s="331" t="s">
        <v>182</v>
      </c>
      <c r="J4" s="167"/>
      <c r="K4" s="219"/>
      <c r="L4" s="180" t="str">
        <f>_xll.RData(L5:L23,M4:P4,,ReutersRtMode,,M5)</f>
        <v>Updated at 17:55:23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</row>
    <row r="5" spans="1:24" ht="15" x14ac:dyDescent="0.25">
      <c r="A5" s="115"/>
      <c r="B5" s="114"/>
      <c r="C5" s="114" t="s">
        <v>106</v>
      </c>
      <c r="D5" s="116" t="s">
        <v>117</v>
      </c>
      <c r="E5" s="113" t="str">
        <f t="shared" ref="E5:E23" si="0">Currency&amp;$B5&amp;$C5&amp;$D5&amp;QuoteSuffix</f>
        <v>HKDOISSW_Quote</v>
      </c>
      <c r="F5" s="113" t="str">
        <f>_xll.qlSimpleQuote(Currency&amp;$B5&amp;$C5&amp;$D5&amp;QuoteSuffix,,RateTickValue,Permanent,Trigger,ObjectOverwrite)</f>
        <v>HKDOISSW_Quote#0000</v>
      </c>
      <c r="G5" s="112" t="str">
        <f>_xll.ohRangeRetrieveError(F5)</f>
        <v/>
      </c>
      <c r="H5" s="111"/>
      <c r="J5" s="167"/>
      <c r="K5" s="166" t="str">
        <f t="shared" ref="K5:K23" si="1">Currency&amp;D5&amp;C5</f>
        <v>HKDSWOIS</v>
      </c>
      <c r="L5" s="200" t="str">
        <f t="shared" ref="L5:L23" si="2">K5&amp;"="&amp;VLOOKUP(Contributor,ContributorTable,2,FALSE)</f>
        <v>HKDSWOIS=ICHK</v>
      </c>
      <c r="M5" s="169" t="s">
        <v>187</v>
      </c>
      <c r="N5" s="169" t="s">
        <v>187</v>
      </c>
      <c r="O5" s="169" t="s">
        <v>187</v>
      </c>
      <c r="P5" s="169" t="s">
        <v>187</v>
      </c>
      <c r="Q5" s="164" t="e">
        <f t="shared" ref="Q5:Q23" si="3">AVERAGE($M5,$N5)</f>
        <v>#DIV/0!</v>
      </c>
      <c r="R5" s="162"/>
      <c r="S5" s="174" t="e">
        <v>#DIV/0!</v>
      </c>
      <c r="T5" s="162"/>
      <c r="U5" s="241" t="e">
        <f t="array" ref="U5:U23">QuoteLive</f>
        <v>#DIV/0!</v>
      </c>
      <c r="V5" s="172" t="e">
        <f>_xll.qlSimpleQuoteSetValue(E5,$U5/100,ISERROR(F5))</f>
        <v>#NUM!</v>
      </c>
      <c r="W5" s="158"/>
      <c r="X5"/>
    </row>
    <row r="6" spans="1:24" ht="15" x14ac:dyDescent="0.25">
      <c r="A6" s="115"/>
      <c r="B6" s="114"/>
      <c r="C6" s="114" t="s">
        <v>106</v>
      </c>
      <c r="D6" s="116" t="s">
        <v>116</v>
      </c>
      <c r="E6" s="113" t="str">
        <f t="shared" si="0"/>
        <v>HKDOIS2W_Quote</v>
      </c>
      <c r="F6" s="113" t="str">
        <f>_xll.qlSimpleQuote(Currency&amp;$B6&amp;$C6&amp;$D6&amp;QuoteSuffix,,RateTickValue,Permanent,Trigger,ObjectOverwrite)</f>
        <v>HKDOIS2W_Quote#0000</v>
      </c>
      <c r="G6" s="112" t="str">
        <f>_xll.ohRangeRetrieveError(F6)</f>
        <v/>
      </c>
      <c r="H6" s="111"/>
      <c r="J6" s="167"/>
      <c r="K6" s="166" t="str">
        <f t="shared" si="1"/>
        <v>HKD2WOIS</v>
      </c>
      <c r="L6" s="200" t="str">
        <f t="shared" si="2"/>
        <v>HKD2WOIS=ICHK</v>
      </c>
      <c r="M6" s="169" t="s">
        <v>187</v>
      </c>
      <c r="N6" s="169" t="s">
        <v>187</v>
      </c>
      <c r="O6" s="169" t="s">
        <v>187</v>
      </c>
      <c r="P6" s="169" t="s">
        <v>187</v>
      </c>
      <c r="Q6" s="164" t="e">
        <f t="shared" si="3"/>
        <v>#DIV/0!</v>
      </c>
      <c r="R6" s="162"/>
      <c r="S6" s="171" t="e">
        <v>#DIV/0!</v>
      </c>
      <c r="T6" s="162"/>
      <c r="U6" s="230" t="e">
        <v>#DIV/0!</v>
      </c>
      <c r="V6" s="168" t="e">
        <f>_xll.qlSimpleQuoteSetValue(E6,$U6/100,ISERROR(F6))</f>
        <v>#NUM!</v>
      </c>
      <c r="W6" s="158"/>
      <c r="X6"/>
    </row>
    <row r="7" spans="1:24" ht="15" x14ac:dyDescent="0.25">
      <c r="A7" s="115"/>
      <c r="B7" s="114"/>
      <c r="C7" s="114" t="s">
        <v>106</v>
      </c>
      <c r="D7" s="116" t="s">
        <v>115</v>
      </c>
      <c r="E7" s="113" t="str">
        <f t="shared" si="0"/>
        <v>HKDOIS3W_Quote</v>
      </c>
      <c r="F7" s="113" t="str">
        <f>_xll.qlSimpleQuote(Currency&amp;$B7&amp;$C7&amp;$D7&amp;QuoteSuffix,,RateTickValue,Permanent,Trigger,ObjectOverwrite)</f>
        <v>HKDOIS3W_Quote#0000</v>
      </c>
      <c r="G7" s="112" t="str">
        <f>_xll.ohRangeRetrieveError(F7)</f>
        <v/>
      </c>
      <c r="H7" s="111"/>
      <c r="J7" s="167"/>
      <c r="K7" s="166" t="str">
        <f t="shared" si="1"/>
        <v>HKD3WOIS</v>
      </c>
      <c r="L7" s="200" t="str">
        <f t="shared" si="2"/>
        <v>HKD3WOIS=ICHK</v>
      </c>
      <c r="M7" s="169" t="s">
        <v>187</v>
      </c>
      <c r="N7" s="169" t="s">
        <v>187</v>
      </c>
      <c r="O7" s="169" t="s">
        <v>187</v>
      </c>
      <c r="P7" s="169" t="s">
        <v>187</v>
      </c>
      <c r="Q7" s="164" t="e">
        <f t="shared" si="3"/>
        <v>#DIV/0!</v>
      </c>
      <c r="R7" s="162"/>
      <c r="S7" s="171" t="e">
        <v>#DIV/0!</v>
      </c>
      <c r="T7" s="162"/>
      <c r="U7" s="230" t="e">
        <v>#DIV/0!</v>
      </c>
      <c r="V7" s="168" t="e">
        <f>_xll.qlSimpleQuoteSetValue(E7,$U7/100,ISERROR(F7))</f>
        <v>#NUM!</v>
      </c>
      <c r="W7" s="158"/>
      <c r="X7"/>
    </row>
    <row r="8" spans="1:24" ht="15" x14ac:dyDescent="0.25">
      <c r="A8" s="115"/>
      <c r="B8" s="114"/>
      <c r="C8" s="114" t="s">
        <v>106</v>
      </c>
      <c r="D8" s="116" t="s">
        <v>103</v>
      </c>
      <c r="E8" s="113" t="str">
        <f t="shared" si="0"/>
        <v>HKDOIS1M_Quote</v>
      </c>
      <c r="F8" s="113" t="str">
        <f>_xll.qlSimpleQuote(Currency&amp;$B8&amp;$C8&amp;$D8&amp;QuoteSuffix,,RateTickValue,Permanent,Trigger,ObjectOverwrite)</f>
        <v>HKDOIS1M_Quote#0000</v>
      </c>
      <c r="G8" s="112" t="str">
        <f>_xll.ohRangeRetrieveError(F8)</f>
        <v/>
      </c>
      <c r="H8" s="111"/>
      <c r="J8" s="167"/>
      <c r="K8" s="166" t="str">
        <f t="shared" si="1"/>
        <v>HKD1MOIS</v>
      </c>
      <c r="L8" s="200" t="str">
        <f t="shared" si="2"/>
        <v>HKD1MOIS=ICHK</v>
      </c>
      <c r="M8" s="169">
        <v>0</v>
      </c>
      <c r="N8" s="169">
        <v>0.1</v>
      </c>
      <c r="O8" s="169">
        <v>0</v>
      </c>
      <c r="P8" s="169">
        <v>0</v>
      </c>
      <c r="Q8" s="164">
        <f t="shared" si="3"/>
        <v>0.05</v>
      </c>
      <c r="R8" s="162"/>
      <c r="S8" s="171">
        <v>0.05</v>
      </c>
      <c r="T8" s="162"/>
      <c r="U8" s="230">
        <v>0.05</v>
      </c>
      <c r="V8" s="168">
        <f>_xll.qlSimpleQuoteSetValue(E8,$U8/100,ISERROR(F8))</f>
        <v>0</v>
      </c>
      <c r="W8" s="158"/>
      <c r="X8"/>
    </row>
    <row r="9" spans="1:24" ht="15" x14ac:dyDescent="0.25">
      <c r="A9" s="115"/>
      <c r="B9" s="114"/>
      <c r="C9" s="114" t="s">
        <v>106</v>
      </c>
      <c r="D9" s="116" t="s">
        <v>114</v>
      </c>
      <c r="E9" s="113" t="str">
        <f t="shared" si="0"/>
        <v>HKDOIS2M_Quote</v>
      </c>
      <c r="F9" s="113" t="str">
        <f>_xll.qlSimpleQuote(Currency&amp;$B9&amp;$C9&amp;$D9&amp;QuoteSuffix,,RateTickValue,Permanent,Trigger,ObjectOverwrite)</f>
        <v>HKDOIS2M_Quote#0000</v>
      </c>
      <c r="G9" s="112" t="str">
        <f>_xll.ohRangeRetrieveError(F9)</f>
        <v/>
      </c>
      <c r="H9" s="111"/>
      <c r="J9" s="167"/>
      <c r="K9" s="166" t="str">
        <f t="shared" si="1"/>
        <v>HKD2MOIS</v>
      </c>
      <c r="L9" s="200" t="str">
        <f t="shared" si="2"/>
        <v>HKD2MOIS=ICHK</v>
      </c>
      <c r="M9" s="169">
        <v>0.02</v>
      </c>
      <c r="N9" s="169">
        <v>0.12</v>
      </c>
      <c r="O9" s="169">
        <v>0</v>
      </c>
      <c r="P9" s="169">
        <v>0</v>
      </c>
      <c r="Q9" s="164">
        <f t="shared" si="3"/>
        <v>6.9999999999999993E-2</v>
      </c>
      <c r="R9" s="162"/>
      <c r="S9" s="171">
        <v>6.9999999999999993E-2</v>
      </c>
      <c r="T9" s="162"/>
      <c r="U9" s="230">
        <v>6.9999999999999993E-2</v>
      </c>
      <c r="V9" s="168">
        <f>_xll.qlSimpleQuoteSetValue(E9,$U9/100,ISERROR(F9))</f>
        <v>0</v>
      </c>
      <c r="W9" s="158"/>
      <c r="X9"/>
    </row>
    <row r="10" spans="1:24" ht="15" x14ac:dyDescent="0.25">
      <c r="A10" s="115"/>
      <c r="B10" s="114"/>
      <c r="C10" s="114" t="s">
        <v>106</v>
      </c>
      <c r="D10" s="116" t="s">
        <v>105</v>
      </c>
      <c r="E10" s="113" t="str">
        <f t="shared" si="0"/>
        <v>HKDOIS3M_Quote</v>
      </c>
      <c r="F10" s="113" t="str">
        <f>_xll.qlSimpleQuote(Currency&amp;$B10&amp;$C10&amp;$D10&amp;QuoteSuffix,,RateTickValue,Permanent,Trigger,ObjectOverwrite)</f>
        <v>HKDOIS3M_Quote#0000</v>
      </c>
      <c r="G10" s="112" t="str">
        <f>_xll.ohRangeRetrieveError(F10)</f>
        <v/>
      </c>
      <c r="H10" s="111"/>
      <c r="J10" s="167"/>
      <c r="K10" s="166" t="str">
        <f t="shared" si="1"/>
        <v>HKD3MOIS</v>
      </c>
      <c r="L10" s="200" t="str">
        <f t="shared" si="2"/>
        <v>HKD3MOIS=ICHK</v>
      </c>
      <c r="M10" s="169">
        <v>0.04</v>
      </c>
      <c r="N10" s="169">
        <v>0.14000000000000001</v>
      </c>
      <c r="O10" s="169">
        <v>0</v>
      </c>
      <c r="P10" s="169">
        <v>0</v>
      </c>
      <c r="Q10" s="164">
        <f t="shared" si="3"/>
        <v>9.0000000000000011E-2</v>
      </c>
      <c r="R10" s="162"/>
      <c r="S10" s="171">
        <v>9.0000000000000011E-2</v>
      </c>
      <c r="T10" s="162"/>
      <c r="U10" s="230">
        <v>9.0000000000000011E-2</v>
      </c>
      <c r="V10" s="168">
        <f>_xll.qlSimpleQuoteSetValue(E10,$U10/100,ISERROR(F10))</f>
        <v>0</v>
      </c>
      <c r="W10" s="158"/>
      <c r="X10"/>
    </row>
    <row r="11" spans="1:24" ht="15" x14ac:dyDescent="0.25">
      <c r="A11" s="115"/>
      <c r="B11" s="114"/>
      <c r="C11" s="114" t="s">
        <v>106</v>
      </c>
      <c r="D11" s="116" t="s">
        <v>113</v>
      </c>
      <c r="E11" s="113" t="str">
        <f t="shared" si="0"/>
        <v>HKDOIS4M_Quote</v>
      </c>
      <c r="F11" s="113" t="str">
        <f>_xll.qlSimpleQuote(Currency&amp;$B11&amp;$C11&amp;$D11&amp;QuoteSuffix,,RateTickValue,Permanent,Trigger,ObjectOverwrite)</f>
        <v>HKDOIS4M_Quote#0000</v>
      </c>
      <c r="G11" s="112" t="str">
        <f>_xll.ohRangeRetrieveError(F11)</f>
        <v/>
      </c>
      <c r="H11" s="111"/>
      <c r="J11" s="167"/>
      <c r="K11" s="166" t="str">
        <f t="shared" si="1"/>
        <v>HKD4MOIS</v>
      </c>
      <c r="L11" s="200" t="str">
        <f t="shared" si="2"/>
        <v>HKD4MOIS=ICHK</v>
      </c>
      <c r="M11" s="169">
        <v>7.0000000000000007E-2</v>
      </c>
      <c r="N11" s="169">
        <v>0.17</v>
      </c>
      <c r="O11" s="169">
        <v>0</v>
      </c>
      <c r="P11" s="169">
        <v>0</v>
      </c>
      <c r="Q11" s="164">
        <f t="shared" si="3"/>
        <v>0.12000000000000001</v>
      </c>
      <c r="R11" s="162"/>
      <c r="S11" s="171">
        <v>0.12000000000000001</v>
      </c>
      <c r="T11" s="162"/>
      <c r="U11" s="230">
        <v>0.12000000000000001</v>
      </c>
      <c r="V11" s="168">
        <f>_xll.qlSimpleQuoteSetValue(E11,$U11/100,ISERROR(F11))</f>
        <v>0</v>
      </c>
      <c r="W11" s="158"/>
      <c r="X11"/>
    </row>
    <row r="12" spans="1:24" ht="15" x14ac:dyDescent="0.25">
      <c r="A12" s="115"/>
      <c r="B12" s="114"/>
      <c r="C12" s="114" t="s">
        <v>106</v>
      </c>
      <c r="D12" s="116" t="s">
        <v>112</v>
      </c>
      <c r="E12" s="113" t="str">
        <f t="shared" si="0"/>
        <v>HKDOIS5M_Quote</v>
      </c>
      <c r="F12" s="113" t="str">
        <f>_xll.qlSimpleQuote(Currency&amp;$B12&amp;$C12&amp;$D12&amp;QuoteSuffix,,RateTickValue,Permanent,Trigger,ObjectOverwrite)</f>
        <v>HKDOIS5M_Quote#0000</v>
      </c>
      <c r="G12" s="112" t="str">
        <f>_xll.ohRangeRetrieveError(F12)</f>
        <v/>
      </c>
      <c r="H12" s="111"/>
      <c r="J12" s="167"/>
      <c r="K12" s="166" t="str">
        <f t="shared" si="1"/>
        <v>HKD5MOIS</v>
      </c>
      <c r="L12" s="200" t="str">
        <f t="shared" si="2"/>
        <v>HKD5MOIS=ICHK</v>
      </c>
      <c r="M12" s="169">
        <v>0.05</v>
      </c>
      <c r="N12" s="169">
        <v>0.15</v>
      </c>
      <c r="O12" s="169">
        <v>0</v>
      </c>
      <c r="P12" s="169">
        <v>0</v>
      </c>
      <c r="Q12" s="164">
        <f t="shared" si="3"/>
        <v>0.1</v>
      </c>
      <c r="R12" s="162"/>
      <c r="S12" s="171">
        <v>0.1</v>
      </c>
      <c r="T12" s="162"/>
      <c r="U12" s="230">
        <v>0.1</v>
      </c>
      <c r="V12" s="168">
        <f>_xll.qlSimpleQuoteSetValue(E12,$U12/100,ISERROR(F12))</f>
        <v>0</v>
      </c>
      <c r="W12" s="158"/>
      <c r="X12"/>
    </row>
    <row r="13" spans="1:24" ht="15" x14ac:dyDescent="0.25">
      <c r="A13" s="115"/>
      <c r="B13" s="114"/>
      <c r="C13" s="114" t="s">
        <v>106</v>
      </c>
      <c r="D13" s="116" t="s">
        <v>60</v>
      </c>
      <c r="E13" s="113" t="str">
        <f t="shared" si="0"/>
        <v>HKDOIS6M_Quote</v>
      </c>
      <c r="F13" s="113" t="str">
        <f>_xll.qlSimpleQuote(Currency&amp;$B13&amp;$C13&amp;$D13&amp;QuoteSuffix,,RateTickValue,Permanent,Trigger,ObjectOverwrite)</f>
        <v>HKDOIS6M_Quote#0000</v>
      </c>
      <c r="G13" s="112" t="str">
        <f>_xll.ohRangeRetrieveError(F13)</f>
        <v/>
      </c>
      <c r="H13" s="111"/>
      <c r="J13" s="167"/>
      <c r="K13" s="166" t="str">
        <f t="shared" si="1"/>
        <v>HKD6MOIS</v>
      </c>
      <c r="L13" s="200" t="str">
        <f t="shared" si="2"/>
        <v>HKD6MOIS=ICHK</v>
      </c>
      <c r="M13" s="169">
        <v>0.06</v>
      </c>
      <c r="N13" s="169">
        <v>0.16</v>
      </c>
      <c r="O13" s="169">
        <v>0</v>
      </c>
      <c r="P13" s="169">
        <v>0</v>
      </c>
      <c r="Q13" s="164">
        <f t="shared" si="3"/>
        <v>0.11</v>
      </c>
      <c r="R13" s="162"/>
      <c r="S13" s="171">
        <v>0.11</v>
      </c>
      <c r="T13" s="162"/>
      <c r="U13" s="230">
        <v>0.11</v>
      </c>
      <c r="V13" s="168">
        <f>_xll.qlSimpleQuoteSetValue(E13,$U13/100,ISERROR(F13))</f>
        <v>0</v>
      </c>
      <c r="W13" s="158"/>
      <c r="X13"/>
    </row>
    <row r="14" spans="1:24" ht="15" x14ac:dyDescent="0.25">
      <c r="A14" s="115"/>
      <c r="B14" s="114"/>
      <c r="C14" s="114" t="s">
        <v>106</v>
      </c>
      <c r="D14" s="116" t="s">
        <v>111</v>
      </c>
      <c r="E14" s="113" t="str">
        <f t="shared" si="0"/>
        <v>HKDOIS7M_Quote</v>
      </c>
      <c r="F14" s="113" t="str">
        <f>_xll.qlSimpleQuote(Currency&amp;$B14&amp;$C14&amp;$D14&amp;QuoteSuffix,,RateTickValue,Permanent,Trigger,ObjectOverwrite)</f>
        <v>HKDOIS7M_Quote#0000</v>
      </c>
      <c r="G14" s="112" t="str">
        <f>_xll.ohRangeRetrieveError(F14)</f>
        <v/>
      </c>
      <c r="H14" s="111"/>
      <c r="J14" s="167"/>
      <c r="K14" s="166" t="str">
        <f t="shared" si="1"/>
        <v>HKD7MOIS</v>
      </c>
      <c r="L14" s="200" t="str">
        <f t="shared" si="2"/>
        <v>HKD7MOIS=ICHK</v>
      </c>
      <c r="M14" s="169" t="s">
        <v>187</v>
      </c>
      <c r="N14" s="169" t="s">
        <v>187</v>
      </c>
      <c r="O14" s="169" t="s">
        <v>187</v>
      </c>
      <c r="P14" s="169" t="s">
        <v>187</v>
      </c>
      <c r="Q14" s="164" t="e">
        <f t="shared" si="3"/>
        <v>#DIV/0!</v>
      </c>
      <c r="R14" s="162"/>
      <c r="S14" s="171" t="e">
        <v>#DIV/0!</v>
      </c>
      <c r="T14" s="162"/>
      <c r="U14" s="230" t="e">
        <v>#DIV/0!</v>
      </c>
      <c r="V14" s="168" t="e">
        <f>_xll.qlSimpleQuoteSetValue(E14,$U14/100,ISERROR(F14))</f>
        <v>#NUM!</v>
      </c>
      <c r="W14" s="158"/>
      <c r="X14"/>
    </row>
    <row r="15" spans="1:24" ht="15" x14ac:dyDescent="0.25">
      <c r="A15" s="115"/>
      <c r="B15" s="114"/>
      <c r="C15" s="114" t="s">
        <v>106</v>
      </c>
      <c r="D15" s="116" t="s">
        <v>110</v>
      </c>
      <c r="E15" s="113" t="str">
        <f t="shared" si="0"/>
        <v>HKDOIS8M_Quote</v>
      </c>
      <c r="F15" s="113" t="str">
        <f>_xll.qlSimpleQuote(Currency&amp;$B15&amp;$C15&amp;$D15&amp;QuoteSuffix,,RateTickValue,Permanent,Trigger,ObjectOverwrite)</f>
        <v>HKDOIS8M_Quote#0000</v>
      </c>
      <c r="G15" s="112" t="str">
        <f>_xll.ohRangeRetrieveError(F15)</f>
        <v/>
      </c>
      <c r="H15" s="111"/>
      <c r="J15" s="167"/>
      <c r="K15" s="166" t="str">
        <f t="shared" si="1"/>
        <v>HKD8MOIS</v>
      </c>
      <c r="L15" s="200" t="str">
        <f t="shared" si="2"/>
        <v>HKD8MOIS=ICHK</v>
      </c>
      <c r="M15" s="169" t="s">
        <v>187</v>
      </c>
      <c r="N15" s="169" t="s">
        <v>187</v>
      </c>
      <c r="O15" s="169" t="s">
        <v>187</v>
      </c>
      <c r="P15" s="169" t="s">
        <v>187</v>
      </c>
      <c r="Q15" s="164" t="e">
        <f t="shared" si="3"/>
        <v>#DIV/0!</v>
      </c>
      <c r="R15" s="162"/>
      <c r="S15" s="171" t="e">
        <v>#DIV/0!</v>
      </c>
      <c r="T15" s="162"/>
      <c r="U15" s="230" t="e">
        <v>#DIV/0!</v>
      </c>
      <c r="V15" s="168" t="e">
        <f>_xll.qlSimpleQuoteSetValue(E15,$U15/100,ISERROR(F15))</f>
        <v>#NUM!</v>
      </c>
      <c r="W15" s="158"/>
      <c r="X15"/>
    </row>
    <row r="16" spans="1:24" ht="15" x14ac:dyDescent="0.25">
      <c r="A16" s="115"/>
      <c r="B16" s="114"/>
      <c r="C16" s="114" t="s">
        <v>106</v>
      </c>
      <c r="D16" s="116" t="s">
        <v>109</v>
      </c>
      <c r="E16" s="113" t="str">
        <f t="shared" si="0"/>
        <v>HKDOIS9M_Quote</v>
      </c>
      <c r="F16" s="113" t="str">
        <f>_xll.qlSimpleQuote(Currency&amp;$B16&amp;$C16&amp;$D16&amp;QuoteSuffix,,RateTickValue,Permanent,Trigger,ObjectOverwrite)</f>
        <v>HKDOIS9M_Quote#0000</v>
      </c>
      <c r="G16" s="112" t="str">
        <f>_xll.ohRangeRetrieveError(F16)</f>
        <v/>
      </c>
      <c r="H16" s="111"/>
      <c r="J16" s="167"/>
      <c r="K16" s="166" t="str">
        <f t="shared" si="1"/>
        <v>HKD9MOIS</v>
      </c>
      <c r="L16" s="200" t="str">
        <f t="shared" si="2"/>
        <v>HKD9MOIS=ICHK</v>
      </c>
      <c r="M16" s="169">
        <v>0.12</v>
      </c>
      <c r="N16" s="169">
        <v>0.22</v>
      </c>
      <c r="O16" s="169">
        <v>0</v>
      </c>
      <c r="P16" s="169">
        <v>0</v>
      </c>
      <c r="Q16" s="164">
        <f t="shared" si="3"/>
        <v>0.16999999999999998</v>
      </c>
      <c r="R16" s="162"/>
      <c r="S16" s="171">
        <v>0.16999999999999998</v>
      </c>
      <c r="T16" s="162"/>
      <c r="U16" s="230">
        <v>0.16999999999999998</v>
      </c>
      <c r="V16" s="168">
        <f>_xll.qlSimpleQuoteSetValue(E16,$U16/100,ISERROR(F16))</f>
        <v>0</v>
      </c>
      <c r="W16" s="158"/>
      <c r="X16"/>
    </row>
    <row r="17" spans="1:24" ht="15" x14ac:dyDescent="0.25">
      <c r="A17" s="115"/>
      <c r="B17" s="114"/>
      <c r="C17" s="114" t="s">
        <v>106</v>
      </c>
      <c r="D17" s="116" t="s">
        <v>108</v>
      </c>
      <c r="E17" s="113" t="str">
        <f t="shared" si="0"/>
        <v>HKDOIS10M_Quote</v>
      </c>
      <c r="F17" s="113" t="str">
        <f>_xll.qlSimpleQuote(Currency&amp;$B17&amp;$C17&amp;$D17&amp;QuoteSuffix,,RateTickValue,Permanent,Trigger,ObjectOverwrite)</f>
        <v>HKDOIS10M_Quote#0000</v>
      </c>
      <c r="G17" s="112" t="str">
        <f>_xll.ohRangeRetrieveError(F17)</f>
        <v/>
      </c>
      <c r="H17" s="111"/>
      <c r="J17" s="167"/>
      <c r="K17" s="166" t="str">
        <f t="shared" si="1"/>
        <v>HKD10MOIS</v>
      </c>
      <c r="L17" s="200" t="str">
        <f t="shared" si="2"/>
        <v>HKD10MOIS=ICHK</v>
      </c>
      <c r="M17" s="169" t="s">
        <v>187</v>
      </c>
      <c r="N17" s="169" t="s">
        <v>187</v>
      </c>
      <c r="O17" s="169" t="s">
        <v>187</v>
      </c>
      <c r="P17" s="169" t="s">
        <v>187</v>
      </c>
      <c r="Q17" s="164" t="e">
        <f t="shared" si="3"/>
        <v>#DIV/0!</v>
      </c>
      <c r="R17" s="162"/>
      <c r="S17" s="171" t="e">
        <v>#DIV/0!</v>
      </c>
      <c r="T17" s="162"/>
      <c r="U17" s="230" t="e">
        <v>#DIV/0!</v>
      </c>
      <c r="V17" s="168" t="e">
        <f>_xll.qlSimpleQuoteSetValue(E17,$U17/100,ISERROR(F17))</f>
        <v>#NUM!</v>
      </c>
      <c r="W17" s="158"/>
      <c r="X17"/>
    </row>
    <row r="18" spans="1:24" ht="15" x14ac:dyDescent="0.25">
      <c r="A18" s="115"/>
      <c r="B18" s="114"/>
      <c r="C18" s="114" t="s">
        <v>106</v>
      </c>
      <c r="D18" s="116" t="s">
        <v>107</v>
      </c>
      <c r="E18" s="113" t="str">
        <f t="shared" si="0"/>
        <v>HKDOIS11M_Quote</v>
      </c>
      <c r="F18" s="113" t="str">
        <f>_xll.qlSimpleQuote(Currency&amp;$B18&amp;$C18&amp;$D18&amp;QuoteSuffix,,RateTickValue,Permanent,Trigger,ObjectOverwrite)</f>
        <v>HKDOIS11M_Quote#0000</v>
      </c>
      <c r="G18" s="112" t="str">
        <f>_xll.ohRangeRetrieveError(F18)</f>
        <v/>
      </c>
      <c r="H18" s="111"/>
      <c r="J18" s="167"/>
      <c r="K18" s="166" t="str">
        <f t="shared" si="1"/>
        <v>HKD11MOIS</v>
      </c>
      <c r="L18" s="200" t="str">
        <f t="shared" si="2"/>
        <v>HKD11MOIS=ICHK</v>
      </c>
      <c r="M18" s="169" t="s">
        <v>187</v>
      </c>
      <c r="N18" s="169" t="s">
        <v>187</v>
      </c>
      <c r="O18" s="169" t="s">
        <v>187</v>
      </c>
      <c r="P18" s="169" t="s">
        <v>187</v>
      </c>
      <c r="Q18" s="164" t="e">
        <f t="shared" si="3"/>
        <v>#DIV/0!</v>
      </c>
      <c r="R18" s="162"/>
      <c r="S18" s="171" t="e">
        <v>#DIV/0!</v>
      </c>
      <c r="T18" s="162"/>
      <c r="U18" s="230" t="e">
        <v>#DIV/0!</v>
      </c>
      <c r="V18" s="168" t="e">
        <f>_xll.qlSimpleQuoteSetValue(E18,$U18/100,ISERROR(F18))</f>
        <v>#NUM!</v>
      </c>
      <c r="W18" s="158"/>
      <c r="X18"/>
    </row>
    <row r="19" spans="1:24" ht="15" x14ac:dyDescent="0.25">
      <c r="A19" s="115"/>
      <c r="B19" s="114"/>
      <c r="C19" s="114" t="s">
        <v>106</v>
      </c>
      <c r="D19" s="116" t="s">
        <v>59</v>
      </c>
      <c r="E19" s="113" t="str">
        <f t="shared" si="0"/>
        <v>HKDOIS1Y_Quote</v>
      </c>
      <c r="F19" s="113" t="str">
        <f>_xll.qlSimpleQuote(Currency&amp;$B19&amp;$C19&amp;$D19&amp;QuoteSuffix,,RateTickValue,Permanent,Trigger,ObjectOverwrite)</f>
        <v>HKDOIS1Y_Quote#0000</v>
      </c>
      <c r="G19" s="112" t="str">
        <f>_xll.ohRangeRetrieveError(F19)</f>
        <v/>
      </c>
      <c r="H19" s="111"/>
      <c r="J19" s="167"/>
      <c r="K19" s="166" t="str">
        <f t="shared" si="1"/>
        <v>HKD1YOIS</v>
      </c>
      <c r="L19" s="200" t="str">
        <f t="shared" si="2"/>
        <v>HKD1YOIS=ICHK</v>
      </c>
      <c r="M19" s="169">
        <v>0.15</v>
      </c>
      <c r="N19" s="169">
        <v>0.25</v>
      </c>
      <c r="O19" s="169">
        <v>0</v>
      </c>
      <c r="P19" s="169">
        <v>0</v>
      </c>
      <c r="Q19" s="164">
        <f t="shared" si="3"/>
        <v>0.2</v>
      </c>
      <c r="R19" s="162"/>
      <c r="S19" s="171">
        <v>0.2</v>
      </c>
      <c r="T19" s="162"/>
      <c r="U19" s="230">
        <v>0.2</v>
      </c>
      <c r="V19" s="168">
        <f>_xll.qlSimpleQuoteSetValue(E19,$U19/100,ISERROR(F19))</f>
        <v>0</v>
      </c>
      <c r="W19" s="158"/>
      <c r="X19"/>
    </row>
    <row r="20" spans="1:24" ht="15" x14ac:dyDescent="0.25">
      <c r="A20" s="115"/>
      <c r="B20" s="114"/>
      <c r="C20" s="114" t="s">
        <v>106</v>
      </c>
      <c r="D20" s="116" t="s">
        <v>58</v>
      </c>
      <c r="E20" s="113" t="str">
        <f t="shared" si="0"/>
        <v>HKDOIS15M_Quote</v>
      </c>
      <c r="F20" s="113" t="str">
        <f>_xll.qlSimpleQuote(Currency&amp;$B20&amp;$C20&amp;$D20&amp;QuoteSuffix,,RateTickValue,Permanent,Trigger,ObjectOverwrite)</f>
        <v>HKDOIS15M_Quote#0000</v>
      </c>
      <c r="G20" s="112" t="str">
        <f>_xll.ohRangeRetrieveError(F20)</f>
        <v/>
      </c>
      <c r="H20" s="111"/>
      <c r="J20" s="167"/>
      <c r="K20" s="166" t="str">
        <f t="shared" si="1"/>
        <v>HKD15MOIS</v>
      </c>
      <c r="L20" s="200" t="str">
        <f t="shared" si="2"/>
        <v>HKD15MOIS=ICHK</v>
      </c>
      <c r="M20" s="169" t="s">
        <v>187</v>
      </c>
      <c r="N20" s="169" t="s">
        <v>187</v>
      </c>
      <c r="O20" s="169" t="s">
        <v>187</v>
      </c>
      <c r="P20" s="169" t="s">
        <v>187</v>
      </c>
      <c r="Q20" s="164" t="e">
        <f t="shared" si="3"/>
        <v>#DIV/0!</v>
      </c>
      <c r="R20" s="162"/>
      <c r="S20" s="171" t="e">
        <v>#DIV/0!</v>
      </c>
      <c r="T20" s="162"/>
      <c r="U20" s="230" t="e">
        <v>#DIV/0!</v>
      </c>
      <c r="V20" s="168" t="e">
        <f>_xll.qlSimpleQuoteSetValue(E20,$U20/100,ISERROR(F20))</f>
        <v>#NUM!</v>
      </c>
      <c r="W20" s="158"/>
      <c r="X20"/>
    </row>
    <row r="21" spans="1:24" ht="15" x14ac:dyDescent="0.25">
      <c r="A21" s="115"/>
      <c r="B21" s="114"/>
      <c r="C21" s="114" t="s">
        <v>106</v>
      </c>
      <c r="D21" s="116" t="s">
        <v>57</v>
      </c>
      <c r="E21" s="113" t="str">
        <f t="shared" si="0"/>
        <v>HKDOIS18M_Quote</v>
      </c>
      <c r="F21" s="113" t="str">
        <f>_xll.qlSimpleQuote(Currency&amp;$B21&amp;$C21&amp;$D21&amp;QuoteSuffix,,RateTickValue,Permanent,Trigger,ObjectOverwrite)</f>
        <v>HKDOIS18M_Quote#0000</v>
      </c>
      <c r="G21" s="112" t="str">
        <f>_xll.ohRangeRetrieveError(F21)</f>
        <v/>
      </c>
      <c r="H21" s="111"/>
      <c r="J21" s="167"/>
      <c r="K21" s="166" t="str">
        <f t="shared" si="1"/>
        <v>HKD18MOIS</v>
      </c>
      <c r="L21" s="200" t="str">
        <f t="shared" si="2"/>
        <v>HKD18MOIS=ICHK</v>
      </c>
      <c r="M21" s="169" t="s">
        <v>187</v>
      </c>
      <c r="N21" s="169" t="s">
        <v>187</v>
      </c>
      <c r="O21" s="169" t="s">
        <v>187</v>
      </c>
      <c r="P21" s="169" t="s">
        <v>187</v>
      </c>
      <c r="Q21" s="164" t="e">
        <f t="shared" si="3"/>
        <v>#DIV/0!</v>
      </c>
      <c r="R21" s="162"/>
      <c r="S21" s="171" t="e">
        <v>#DIV/0!</v>
      </c>
      <c r="T21" s="162"/>
      <c r="U21" s="230" t="e">
        <v>#DIV/0!</v>
      </c>
      <c r="V21" s="168" t="e">
        <f>_xll.qlSimpleQuoteSetValue(E21,$U21/100,ISERROR(F21))</f>
        <v>#NUM!</v>
      </c>
      <c r="W21" s="158"/>
      <c r="X21"/>
    </row>
    <row r="22" spans="1:24" ht="15" x14ac:dyDescent="0.25">
      <c r="A22" s="115"/>
      <c r="B22" s="114"/>
      <c r="C22" s="114" t="s">
        <v>106</v>
      </c>
      <c r="D22" s="116" t="s">
        <v>56</v>
      </c>
      <c r="E22" s="113" t="str">
        <f t="shared" si="0"/>
        <v>HKDOIS21M_Quote</v>
      </c>
      <c r="F22" s="113" t="str">
        <f>_xll.qlSimpleQuote(Currency&amp;$B22&amp;$C22&amp;$D22&amp;QuoteSuffix,,RateTickValue,Permanent,Trigger,ObjectOverwrite)</f>
        <v>HKDOIS21M_Quote#0000</v>
      </c>
      <c r="G22" s="112" t="str">
        <f>_xll.ohRangeRetrieveError(F22)</f>
        <v/>
      </c>
      <c r="H22" s="111"/>
      <c r="J22" s="167"/>
      <c r="K22" s="166" t="str">
        <f t="shared" si="1"/>
        <v>HKD21MOIS</v>
      </c>
      <c r="L22" s="200" t="str">
        <f t="shared" si="2"/>
        <v>HKD21MOIS=ICHK</v>
      </c>
      <c r="M22" s="169" t="s">
        <v>187</v>
      </c>
      <c r="N22" s="169" t="s">
        <v>187</v>
      </c>
      <c r="O22" s="169" t="s">
        <v>187</v>
      </c>
      <c r="P22" s="169" t="s">
        <v>187</v>
      </c>
      <c r="Q22" s="164" t="e">
        <f t="shared" si="3"/>
        <v>#DIV/0!</v>
      </c>
      <c r="R22" s="162"/>
      <c r="S22" s="171" t="e">
        <v>#DIV/0!</v>
      </c>
      <c r="T22" s="162"/>
      <c r="U22" s="230" t="e">
        <v>#DIV/0!</v>
      </c>
      <c r="V22" s="168" t="e">
        <f>_xll.qlSimpleQuoteSetValue(E22,$U22/100,ISERROR(F22))</f>
        <v>#NUM!</v>
      </c>
      <c r="W22" s="158"/>
      <c r="X22"/>
    </row>
    <row r="23" spans="1:24" ht="15" x14ac:dyDescent="0.25">
      <c r="A23" s="115"/>
      <c r="B23" s="114"/>
      <c r="C23" s="114" t="s">
        <v>106</v>
      </c>
      <c r="D23" s="116" t="s">
        <v>55</v>
      </c>
      <c r="E23" s="113" t="str">
        <f t="shared" si="0"/>
        <v>HKDOIS2Y_Quote</v>
      </c>
      <c r="F23" s="113" t="str">
        <f>_xll.qlSimpleQuote(Currency&amp;$B23&amp;$C23&amp;$D23&amp;QuoteSuffix,,RateTickValue,Permanent,Trigger,ObjectOverwrite)</f>
        <v>HKDOIS2Y_Quote#0000</v>
      </c>
      <c r="G23" s="112" t="str">
        <f>_xll.ohRangeRetrieveError(F23)</f>
        <v/>
      </c>
      <c r="H23" s="111"/>
      <c r="J23" s="167"/>
      <c r="K23" s="266" t="str">
        <f t="shared" si="1"/>
        <v>HKD2YOIS</v>
      </c>
      <c r="L23" s="206" t="str">
        <f t="shared" si="2"/>
        <v>HKD2YOIS=ICHK</v>
      </c>
      <c r="M23" s="160" t="s">
        <v>187</v>
      </c>
      <c r="N23" s="160" t="s">
        <v>187</v>
      </c>
      <c r="O23" s="160" t="s">
        <v>187</v>
      </c>
      <c r="P23" s="160" t="s">
        <v>187</v>
      </c>
      <c r="Q23" s="205" t="e">
        <f t="shared" si="3"/>
        <v>#DIV/0!</v>
      </c>
      <c r="R23" s="162"/>
      <c r="S23" s="171" t="e">
        <v>#DIV/0!</v>
      </c>
      <c r="T23" s="162"/>
      <c r="U23" s="223" t="e">
        <v>#DIV/0!</v>
      </c>
      <c r="V23" s="159" t="e">
        <f>_xll.qlSimpleQuoteSetValue(E23,$U23/100,ISERROR(F23))</f>
        <v>#NUM!</v>
      </c>
      <c r="W23" s="158"/>
      <c r="X23"/>
    </row>
    <row r="24" spans="1:24" ht="15.75" thickBot="1" x14ac:dyDescent="0.3">
      <c r="A24" s="110"/>
      <c r="B24" s="109"/>
      <c r="C24" s="109"/>
      <c r="D24" s="109"/>
      <c r="E24" s="109"/>
      <c r="F24" s="108"/>
      <c r="G24" s="108"/>
      <c r="H24" s="107"/>
      <c r="J24" s="157"/>
      <c r="K24" s="156"/>
      <c r="L24" s="156"/>
      <c r="M24" s="156"/>
      <c r="N24" s="156"/>
      <c r="O24" s="156"/>
      <c r="P24" s="156"/>
      <c r="Q24" s="156"/>
      <c r="R24" s="155"/>
      <c r="S24" s="156"/>
      <c r="T24" s="155"/>
      <c r="U24" s="156"/>
      <c r="V24" s="156"/>
      <c r="W24" s="257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Normal="100" workbookViewId="0">
      <selection activeCell="L4" sqref="L4:L21"/>
    </sheetView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1" customFormat="1" x14ac:dyDescent="0.2">
      <c r="A1" s="141" t="s">
        <v>180</v>
      </c>
      <c r="H1" s="188"/>
      <c r="I1" s="187"/>
      <c r="J1" s="187"/>
      <c r="K1" s="187"/>
      <c r="L1" s="187"/>
      <c r="M1" s="187"/>
      <c r="N1" s="187"/>
      <c r="O1" s="187"/>
      <c r="P1" s="186"/>
    </row>
    <row r="2" spans="1:16" x14ac:dyDescent="0.2">
      <c r="A2" s="58"/>
      <c r="B2" s="47"/>
      <c r="C2" s="47"/>
      <c r="D2" s="47"/>
      <c r="E2" s="47"/>
      <c r="F2" s="44"/>
      <c r="H2" s="167"/>
      <c r="I2" s="182"/>
      <c r="J2" s="182"/>
      <c r="K2" s="162"/>
      <c r="L2" s="162"/>
      <c r="M2" s="162"/>
      <c r="N2" s="182"/>
      <c r="O2" s="181">
        <f>_xll.ohTrigger(O4:O21)</f>
        <v>2</v>
      </c>
      <c r="P2" s="158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30" t="s">
        <v>182</v>
      </c>
      <c r="H3" s="167"/>
      <c r="I3" s="316" t="str">
        <f>_xll.RData(I4:I21,J3:J3,,ReutersRtMode,,J4)</f>
        <v>Updated at 17:55:23</v>
      </c>
      <c r="J3" s="179" t="s">
        <v>140</v>
      </c>
      <c r="K3" s="162"/>
      <c r="L3" s="178" t="s">
        <v>139</v>
      </c>
      <c r="M3" s="162"/>
      <c r="N3" s="177" t="s">
        <v>137</v>
      </c>
      <c r="O3" s="176" t="s">
        <v>136</v>
      </c>
      <c r="P3" s="158"/>
    </row>
    <row r="4" spans="1:16" x14ac:dyDescent="0.2">
      <c r="A4" s="28"/>
      <c r="B4" s="54" t="s">
        <v>80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HKDOND_Quote#0000</v>
      </c>
      <c r="E4" s="52" t="str">
        <f>_xll.ohRangeRetrieveError(D4)</f>
        <v/>
      </c>
      <c r="F4" s="51"/>
      <c r="H4" s="167"/>
      <c r="I4" s="170" t="str">
        <f>"HIHKD"&amp;B4&amp;"="</f>
        <v>HIHKDOND=</v>
      </c>
      <c r="J4" s="175">
        <v>7.1330000000000005E-2</v>
      </c>
      <c r="K4" s="162" t="s">
        <v>182</v>
      </c>
      <c r="L4" s="174">
        <v>7.1330000000000005E-2</v>
      </c>
      <c r="M4" s="162" t="s">
        <v>182</v>
      </c>
      <c r="N4" s="241">
        <f t="array" ref="N4:N21">QuoteLive</f>
        <v>7.1330000000000005E-2</v>
      </c>
      <c r="O4" s="172">
        <f>_xll.qlSimpleQuoteSetValue(C4,N4/100,ISERROR(D4))</f>
        <v>0</v>
      </c>
      <c r="P4" s="158"/>
    </row>
    <row r="5" spans="1:16" x14ac:dyDescent="0.2">
      <c r="A5" s="28"/>
      <c r="B5" s="54" t="s">
        <v>79</v>
      </c>
      <c r="C5" s="53" t="str">
        <f t="shared" si="0"/>
        <v>HKDTND_Quote</v>
      </c>
      <c r="D5" s="53" t="str">
        <f>_xll.qlSimpleQuote(C5,,RateTickValue,Permanent,Trigger,ObjectOverwrite)</f>
        <v>HKDTND_Quote#0000</v>
      </c>
      <c r="E5" s="52" t="str">
        <f>_xll.ohRangeRetrieveError(D5)</f>
        <v/>
      </c>
      <c r="F5" s="51"/>
      <c r="H5" s="167"/>
      <c r="I5" s="170" t="str">
        <f t="shared" ref="I5:I21" si="1">"HIHKD"&amp;B5&amp;"="</f>
        <v>HIHKDTND=</v>
      </c>
      <c r="J5" s="164" t="s">
        <v>187</v>
      </c>
      <c r="K5" s="320" t="s">
        <v>182</v>
      </c>
      <c r="L5" s="171" t="s">
        <v>187</v>
      </c>
      <c r="M5" s="320" t="s">
        <v>182</v>
      </c>
      <c r="N5" s="230" t="str">
        <v>*The record could not be found</v>
      </c>
      <c r="O5" s="168" t="e">
        <f>_xll.qlSimpleQuoteSetValue(C5,N5/100,ISERROR(D5))</f>
        <v>#NUM!</v>
      </c>
      <c r="P5" s="158"/>
    </row>
    <row r="6" spans="1:16" x14ac:dyDescent="0.2">
      <c r="A6" s="28"/>
      <c r="B6" s="54" t="s">
        <v>78</v>
      </c>
      <c r="C6" s="53" t="str">
        <f t="shared" si="0"/>
        <v>HKDSND_Quote</v>
      </c>
      <c r="D6" s="53" t="str">
        <f>_xll.qlSimpleQuote(C6,,RateTickValue,Permanent,Trigger,ObjectOverwrite)</f>
        <v>HKDSND_Quote#0000</v>
      </c>
      <c r="E6" s="52" t="str">
        <f>_xll.ohRangeRetrieveError(D6)</f>
        <v/>
      </c>
      <c r="F6" s="51"/>
      <c r="H6" s="167"/>
      <c r="I6" s="170" t="str">
        <f t="shared" si="1"/>
        <v>HIHKDSND=</v>
      </c>
      <c r="J6" s="164" t="s">
        <v>187</v>
      </c>
      <c r="K6" s="162" t="s">
        <v>182</v>
      </c>
      <c r="L6" s="171" t="s">
        <v>187</v>
      </c>
      <c r="M6" s="162" t="s">
        <v>182</v>
      </c>
      <c r="N6" s="230" t="str">
        <v>*The record could not be found</v>
      </c>
      <c r="O6" s="168" t="e">
        <f>_xll.qlSimpleQuoteSetValue(C6,N6/100,ISERROR(D6))</f>
        <v>#NUM!</v>
      </c>
      <c r="P6" s="158"/>
    </row>
    <row r="7" spans="1:16" x14ac:dyDescent="0.2">
      <c r="A7" s="28"/>
      <c r="B7" s="54" t="s">
        <v>77</v>
      </c>
      <c r="C7" s="53" t="str">
        <f t="shared" si="0"/>
        <v>HKDSWD_Quote</v>
      </c>
      <c r="D7" s="53" t="str">
        <f>_xll.qlSimpleQuote(C7,,RateTickValue,Permanent,Trigger,ObjectOverwrite)</f>
        <v>HKDSWD_Quote#0000</v>
      </c>
      <c r="E7" s="52" t="str">
        <f>_xll.ohRangeRetrieveError(D7)</f>
        <v/>
      </c>
      <c r="F7" s="51"/>
      <c r="H7" s="167"/>
      <c r="I7" s="170" t="str">
        <f t="shared" si="1"/>
        <v>HIHKDSWD=</v>
      </c>
      <c r="J7" s="164" t="s">
        <v>187</v>
      </c>
      <c r="K7" s="162" t="s">
        <v>182</v>
      </c>
      <c r="L7" s="171" t="s">
        <v>187</v>
      </c>
      <c r="M7" s="162" t="s">
        <v>182</v>
      </c>
      <c r="N7" s="230" t="str">
        <v>*The record could not be found</v>
      </c>
      <c r="O7" s="168" t="e">
        <f>_xll.qlSimpleQuoteSetValue(C7,N7/100,ISERROR(D7))</f>
        <v>#NUM!</v>
      </c>
      <c r="P7" s="158"/>
    </row>
    <row r="8" spans="1:16" x14ac:dyDescent="0.2">
      <c r="A8" s="28"/>
      <c r="B8" s="54" t="s">
        <v>76</v>
      </c>
      <c r="C8" s="53" t="str">
        <f t="shared" si="0"/>
        <v>HKD2WD_Quote</v>
      </c>
      <c r="D8" s="53" t="str">
        <f>_xll.qlSimpleQuote(C8,,RateTickValue,Permanent,Trigger,ObjectOverwrite)</f>
        <v>HKD2WD_Quote#0000</v>
      </c>
      <c r="E8" s="52" t="str">
        <f>_xll.ohRangeRetrieveError(D8)</f>
        <v/>
      </c>
      <c r="F8" s="51"/>
      <c r="H8" s="167"/>
      <c r="I8" s="170" t="str">
        <f t="shared" si="1"/>
        <v>HIHKD2WD=</v>
      </c>
      <c r="J8" s="164">
        <v>0.16357000000000002</v>
      </c>
      <c r="K8" s="162" t="s">
        <v>182</v>
      </c>
      <c r="L8" s="171">
        <v>0.16357000000000002</v>
      </c>
      <c r="M8" s="162" t="s">
        <v>182</v>
      </c>
      <c r="N8" s="230">
        <v>0.16357000000000002</v>
      </c>
      <c r="O8" s="168">
        <f>_xll.qlSimpleQuoteSetValue(C8,N8/100,ISERROR(D8))</f>
        <v>0</v>
      </c>
      <c r="P8" s="158"/>
    </row>
    <row r="9" spans="1:16" x14ac:dyDescent="0.2">
      <c r="A9" s="28"/>
      <c r="B9" s="54" t="s">
        <v>75</v>
      </c>
      <c r="C9" s="53" t="str">
        <f t="shared" si="0"/>
        <v>HKD3WD_Quote</v>
      </c>
      <c r="D9" s="53" t="str">
        <f>_xll.qlSimpleQuote(C9,,RateTickValue,Permanent,Trigger,ObjectOverwrite)</f>
        <v>HKD3WD_Quote#0000</v>
      </c>
      <c r="E9" s="52" t="str">
        <f>_xll.ohRangeRetrieveError(D9)</f>
        <v/>
      </c>
      <c r="F9" s="51"/>
      <c r="H9" s="167"/>
      <c r="I9" s="170" t="str">
        <f t="shared" si="1"/>
        <v>HIHKD3WD=</v>
      </c>
      <c r="J9" s="164" t="s">
        <v>187</v>
      </c>
      <c r="K9" s="162" t="s">
        <v>182</v>
      </c>
      <c r="L9" s="171" t="s">
        <v>187</v>
      </c>
      <c r="M9" s="162" t="s">
        <v>182</v>
      </c>
      <c r="N9" s="230" t="str">
        <v>*The record could not be found</v>
      </c>
      <c r="O9" s="168" t="e">
        <f>_xll.qlSimpleQuoteSetValue(C9,N9/100,ISERROR(D9))</f>
        <v>#NUM!</v>
      </c>
      <c r="P9" s="158"/>
    </row>
    <row r="10" spans="1:16" x14ac:dyDescent="0.2">
      <c r="A10" s="28"/>
      <c r="B10" s="54" t="s">
        <v>74</v>
      </c>
      <c r="C10" s="53" t="str">
        <f t="shared" si="0"/>
        <v>HKD1MD_Quote</v>
      </c>
      <c r="D10" s="53" t="str">
        <f>_xll.qlSimpleQuote(C10,,RateTickValue,Permanent,Trigger,ObjectOverwrite)</f>
        <v>HKD1MD_Quote#0000</v>
      </c>
      <c r="E10" s="52" t="str">
        <f>_xll.ohRangeRetrieveError(D10)</f>
        <v/>
      </c>
      <c r="F10" s="51"/>
      <c r="H10" s="167"/>
      <c r="I10" s="170" t="str">
        <f t="shared" si="1"/>
        <v>HIHKD1MD=</v>
      </c>
      <c r="J10" s="164">
        <v>0.21643000000000001</v>
      </c>
      <c r="K10" s="162" t="s">
        <v>182</v>
      </c>
      <c r="L10" s="171">
        <v>0.21643000000000001</v>
      </c>
      <c r="M10" s="162" t="s">
        <v>182</v>
      </c>
      <c r="N10" s="230">
        <v>0.21643000000000001</v>
      </c>
      <c r="O10" s="168">
        <f>_xll.qlSimpleQuoteSetValue(C10,N10/100,ISERROR(D10))</f>
        <v>0</v>
      </c>
      <c r="P10" s="158"/>
    </row>
    <row r="11" spans="1:16" x14ac:dyDescent="0.2">
      <c r="A11" s="28"/>
      <c r="B11" s="54" t="s">
        <v>73</v>
      </c>
      <c r="C11" s="53" t="str">
        <f t="shared" si="0"/>
        <v>HKD2MD_Quote</v>
      </c>
      <c r="D11" s="53" t="str">
        <f>_xll.qlSimpleQuote(C11,,RateTickValue,Permanent,Trigger,ObjectOverwrite)</f>
        <v>HKD2MD_Quote#0000</v>
      </c>
      <c r="E11" s="52" t="str">
        <f>_xll.ohRangeRetrieveError(D11)</f>
        <v/>
      </c>
      <c r="F11" s="51"/>
      <c r="H11" s="167"/>
      <c r="I11" s="170" t="str">
        <f t="shared" si="1"/>
        <v>HIHKD2MD=</v>
      </c>
      <c r="J11" s="164">
        <v>0.31829000000000002</v>
      </c>
      <c r="K11" s="162" t="s">
        <v>182</v>
      </c>
      <c r="L11" s="171">
        <v>0.31829000000000002</v>
      </c>
      <c r="M11" s="162" t="s">
        <v>182</v>
      </c>
      <c r="N11" s="230">
        <v>0.31829000000000002</v>
      </c>
      <c r="O11" s="168">
        <f>_xll.qlSimpleQuoteSetValue(C11,N11/100,ISERROR(D11))</f>
        <v>0</v>
      </c>
      <c r="P11" s="158"/>
    </row>
    <row r="12" spans="1:16" x14ac:dyDescent="0.2">
      <c r="A12" s="28"/>
      <c r="B12" s="54" t="s">
        <v>72</v>
      </c>
      <c r="C12" s="53" t="str">
        <f t="shared" si="0"/>
        <v>HKD3MD_Quote</v>
      </c>
      <c r="D12" s="53" t="str">
        <f>_xll.qlSimpleQuote(C12,,RateTickValue,Permanent,Trigger,ObjectOverwrite)</f>
        <v>HKD3MD_Quote#0000</v>
      </c>
      <c r="E12" s="52" t="str">
        <f>_xll.ohRangeRetrieveError(D12)</f>
        <v/>
      </c>
      <c r="F12" s="51"/>
      <c r="H12" s="167"/>
      <c r="I12" s="170" t="str">
        <f t="shared" si="1"/>
        <v>HIHKD3MD=</v>
      </c>
      <c r="J12" s="164">
        <v>0.38214000000000004</v>
      </c>
      <c r="K12" s="162" t="s">
        <v>182</v>
      </c>
      <c r="L12" s="171">
        <v>0.38214000000000004</v>
      </c>
      <c r="M12" s="162" t="s">
        <v>182</v>
      </c>
      <c r="N12" s="230">
        <v>0.38214000000000004</v>
      </c>
      <c r="O12" s="168">
        <f>_xll.qlSimpleQuoteSetValue(C12,N12/100,ISERROR(D12))</f>
        <v>0</v>
      </c>
      <c r="P12" s="158"/>
    </row>
    <row r="13" spans="1:16" x14ac:dyDescent="0.2">
      <c r="A13" s="28"/>
      <c r="B13" s="54" t="s">
        <v>71</v>
      </c>
      <c r="C13" s="53" t="str">
        <f t="shared" si="0"/>
        <v>HKD4MD_Quote</v>
      </c>
      <c r="D13" s="53" t="str">
        <f>_xll.qlSimpleQuote(C13,,RateTickValue,Permanent,Trigger,ObjectOverwrite)</f>
        <v>HKD4MD_Quote#0000</v>
      </c>
      <c r="E13" s="52" t="str">
        <f>_xll.ohRangeRetrieveError(D13)</f>
        <v/>
      </c>
      <c r="F13" s="51"/>
      <c r="H13" s="167"/>
      <c r="I13" s="170" t="str">
        <f t="shared" si="1"/>
        <v>HIHKD4MD=</v>
      </c>
      <c r="J13" s="164">
        <v>0.41584000000000004</v>
      </c>
      <c r="K13" s="162" t="s">
        <v>182</v>
      </c>
      <c r="L13" s="171">
        <v>0.41584000000000004</v>
      </c>
      <c r="M13" s="162" t="s">
        <v>182</v>
      </c>
      <c r="N13" s="230">
        <v>0.41584000000000004</v>
      </c>
      <c r="O13" s="168">
        <f>_xll.qlSimpleQuoteSetValue(C13,N13/100,ISERROR(D13))</f>
        <v>0</v>
      </c>
      <c r="P13" s="158"/>
    </row>
    <row r="14" spans="1:16" x14ac:dyDescent="0.2">
      <c r="A14" s="28"/>
      <c r="B14" s="54" t="s">
        <v>70</v>
      </c>
      <c r="C14" s="53" t="str">
        <f t="shared" si="0"/>
        <v>HKD5MD_Quote</v>
      </c>
      <c r="D14" s="53" t="str">
        <f>_xll.qlSimpleQuote(C14,,RateTickValue,Permanent,Trigger,ObjectOverwrite)</f>
        <v>HKD5MD_Quote#0000</v>
      </c>
      <c r="E14" s="52" t="str">
        <f>_xll.ohRangeRetrieveError(D14)</f>
        <v/>
      </c>
      <c r="F14" s="51"/>
      <c r="H14" s="167"/>
      <c r="I14" s="170" t="str">
        <f t="shared" si="1"/>
        <v>HIHKD5MD=</v>
      </c>
      <c r="J14" s="164">
        <v>0.46286000000000005</v>
      </c>
      <c r="K14" s="162" t="s">
        <v>182</v>
      </c>
      <c r="L14" s="171">
        <v>0.46286000000000005</v>
      </c>
      <c r="M14" s="162" t="s">
        <v>182</v>
      </c>
      <c r="N14" s="230">
        <v>0.46286000000000005</v>
      </c>
      <c r="O14" s="168">
        <f>_xll.qlSimpleQuoteSetValue(C14,N14/100,ISERROR(D14))</f>
        <v>0</v>
      </c>
      <c r="P14" s="158"/>
    </row>
    <row r="15" spans="1:16" x14ac:dyDescent="0.2">
      <c r="A15" s="28"/>
      <c r="B15" s="54" t="s">
        <v>69</v>
      </c>
      <c r="C15" s="53" t="str">
        <f t="shared" si="0"/>
        <v>HKD6MD_Quote</v>
      </c>
      <c r="D15" s="53" t="str">
        <f>_xll.qlSimpleQuote(C15,,RateTickValue,Permanent,Trigger,ObjectOverwrite)</f>
        <v>HKD6MD_Quote#0000</v>
      </c>
      <c r="E15" s="52" t="str">
        <f>_xll.ohRangeRetrieveError(D15)</f>
        <v/>
      </c>
      <c r="F15" s="51"/>
      <c r="H15" s="167"/>
      <c r="I15" s="170" t="str">
        <f t="shared" si="1"/>
        <v>HIHKD6MD=</v>
      </c>
      <c r="J15" s="164">
        <v>0.54857</v>
      </c>
      <c r="K15" s="162" t="s">
        <v>182</v>
      </c>
      <c r="L15" s="171">
        <v>0.54857</v>
      </c>
      <c r="M15" s="162" t="s">
        <v>182</v>
      </c>
      <c r="N15" s="230">
        <v>0.54857</v>
      </c>
      <c r="O15" s="168">
        <f>_xll.qlSimpleQuoteSetValue(C15,N15/100,ISERROR(D15))</f>
        <v>0</v>
      </c>
      <c r="P15" s="158"/>
    </row>
    <row r="16" spans="1:16" x14ac:dyDescent="0.2">
      <c r="A16" s="28"/>
      <c r="B16" s="54" t="s">
        <v>68</v>
      </c>
      <c r="C16" s="53" t="str">
        <f t="shared" si="0"/>
        <v>HKD7MD_Quote</v>
      </c>
      <c r="D16" s="53" t="str">
        <f>_xll.qlSimpleQuote(C16,,RateTickValue,Permanent,Trigger,ObjectOverwrite)</f>
        <v>HKD7MD_Quote#0000</v>
      </c>
      <c r="E16" s="52" t="str">
        <f>_xll.ohRangeRetrieveError(D16)</f>
        <v/>
      </c>
      <c r="F16" s="51"/>
      <c r="H16" s="167"/>
      <c r="I16" s="170" t="str">
        <f t="shared" si="1"/>
        <v>HIHKD7MD=</v>
      </c>
      <c r="J16" s="164">
        <v>0.57857000000000003</v>
      </c>
      <c r="K16" s="162" t="s">
        <v>182</v>
      </c>
      <c r="L16" s="171">
        <v>0.57857000000000003</v>
      </c>
      <c r="M16" s="162" t="s">
        <v>182</v>
      </c>
      <c r="N16" s="230">
        <v>0.57857000000000003</v>
      </c>
      <c r="O16" s="168">
        <f>_xll.qlSimpleQuoteSetValue(C16,N16/100,ISERROR(D16))</f>
        <v>0</v>
      </c>
      <c r="P16" s="158"/>
    </row>
    <row r="17" spans="1:16" x14ac:dyDescent="0.2">
      <c r="A17" s="28"/>
      <c r="B17" s="54" t="s">
        <v>67</v>
      </c>
      <c r="C17" s="53" t="str">
        <f t="shared" si="0"/>
        <v>HKD8MD_Quote</v>
      </c>
      <c r="D17" s="53" t="str">
        <f>_xll.qlSimpleQuote(C17,,RateTickValue,Permanent,Trigger,ObjectOverwrite)</f>
        <v>HKD8MD_Quote#0000</v>
      </c>
      <c r="E17" s="52" t="str">
        <f>_xll.ohRangeRetrieveError(D17)</f>
        <v/>
      </c>
      <c r="F17" s="51"/>
      <c r="H17" s="167"/>
      <c r="I17" s="170" t="str">
        <f t="shared" si="1"/>
        <v>HIHKD8MD=</v>
      </c>
      <c r="J17" s="164">
        <v>0.61172000000000004</v>
      </c>
      <c r="K17" s="162" t="s">
        <v>182</v>
      </c>
      <c r="L17" s="171">
        <v>0.61172000000000004</v>
      </c>
      <c r="M17" s="162" t="s">
        <v>182</v>
      </c>
      <c r="N17" s="230">
        <v>0.61172000000000004</v>
      </c>
      <c r="O17" s="168">
        <f>_xll.qlSimpleQuoteSetValue(C17,N17/100,ISERROR(D17))</f>
        <v>0</v>
      </c>
      <c r="P17" s="158"/>
    </row>
    <row r="18" spans="1:16" x14ac:dyDescent="0.2">
      <c r="A18" s="28"/>
      <c r="B18" s="54" t="s">
        <v>66</v>
      </c>
      <c r="C18" s="53" t="str">
        <f t="shared" si="0"/>
        <v>HKD9MD_Quote</v>
      </c>
      <c r="D18" s="53" t="str">
        <f>_xll.qlSimpleQuote(C18,,RateTickValue,Permanent,Trigger,ObjectOverwrite)</f>
        <v>HKD9MD_Quote#0000</v>
      </c>
      <c r="E18" s="52" t="str">
        <f>_xll.ohRangeRetrieveError(D18)</f>
        <v/>
      </c>
      <c r="F18" s="51"/>
      <c r="H18" s="167"/>
      <c r="I18" s="170" t="str">
        <f t="shared" si="1"/>
        <v>HIHKD9MD=</v>
      </c>
      <c r="J18" s="164">
        <v>0.6405900000000001</v>
      </c>
      <c r="K18" s="162" t="s">
        <v>182</v>
      </c>
      <c r="L18" s="171">
        <v>0.6405900000000001</v>
      </c>
      <c r="M18" s="162" t="s">
        <v>182</v>
      </c>
      <c r="N18" s="230">
        <v>0.6405900000000001</v>
      </c>
      <c r="O18" s="168">
        <f>_xll.qlSimpleQuoteSetValue(C18,N18/100,ISERROR(D18))</f>
        <v>0</v>
      </c>
      <c r="P18" s="158"/>
    </row>
    <row r="19" spans="1:16" x14ac:dyDescent="0.2">
      <c r="A19" s="28"/>
      <c r="B19" s="54" t="s">
        <v>65</v>
      </c>
      <c r="C19" s="53" t="str">
        <f t="shared" si="0"/>
        <v>HKD10MD_Quote</v>
      </c>
      <c r="D19" s="53" t="str">
        <f>_xll.qlSimpleQuote(C19,,RateTickValue,Permanent,Trigger,ObjectOverwrite)</f>
        <v>HKD10MD_Quote#0000</v>
      </c>
      <c r="E19" s="52" t="str">
        <f>_xll.ohRangeRetrieveError(D19)</f>
        <v/>
      </c>
      <c r="F19" s="51"/>
      <c r="H19" s="167"/>
      <c r="I19" s="170" t="str">
        <f t="shared" si="1"/>
        <v>HIHKD10MD=</v>
      </c>
      <c r="J19" s="164">
        <v>0.71535000000000004</v>
      </c>
      <c r="K19" s="162" t="s">
        <v>182</v>
      </c>
      <c r="L19" s="171">
        <v>0.71535000000000004</v>
      </c>
      <c r="M19" s="162" t="s">
        <v>182</v>
      </c>
      <c r="N19" s="230">
        <v>0.71535000000000004</v>
      </c>
      <c r="O19" s="168">
        <f>_xll.qlSimpleQuoteSetValue(C19,N19/100,ISERROR(D19))</f>
        <v>0</v>
      </c>
      <c r="P19" s="158"/>
    </row>
    <row r="20" spans="1:16" x14ac:dyDescent="0.2">
      <c r="A20" s="28"/>
      <c r="B20" s="54" t="s">
        <v>64</v>
      </c>
      <c r="C20" s="53" t="str">
        <f t="shared" si="0"/>
        <v>HKD11MD_Quote</v>
      </c>
      <c r="D20" s="53" t="str">
        <f>_xll.qlSimpleQuote(C20,,RateTickValue,Permanent,Trigger,ObjectOverwrite)</f>
        <v>HKD11MD_Quote#0000</v>
      </c>
      <c r="E20" s="52" t="str">
        <f>_xll.ohRangeRetrieveError(D20)</f>
        <v/>
      </c>
      <c r="F20" s="51"/>
      <c r="H20" s="167"/>
      <c r="I20" s="170" t="str">
        <f t="shared" si="1"/>
        <v>HIHKD11MD=</v>
      </c>
      <c r="J20" s="164">
        <v>0.79121000000000008</v>
      </c>
      <c r="K20" s="162" t="s">
        <v>182</v>
      </c>
      <c r="L20" s="171">
        <v>0.79121000000000008</v>
      </c>
      <c r="M20" s="162" t="s">
        <v>182</v>
      </c>
      <c r="N20" s="230">
        <v>0.79121000000000008</v>
      </c>
      <c r="O20" s="168">
        <f>_xll.qlSimpleQuoteSetValue(C20,N20/100,ISERROR(D20))</f>
        <v>0</v>
      </c>
      <c r="P20" s="158"/>
    </row>
    <row r="21" spans="1:16" x14ac:dyDescent="0.2">
      <c r="A21" s="28"/>
      <c r="B21" s="54" t="s">
        <v>63</v>
      </c>
      <c r="C21" s="53" t="str">
        <f t="shared" si="0"/>
        <v>HKD1YD_Quote</v>
      </c>
      <c r="D21" s="53" t="str">
        <f>_xll.qlSimpleQuote(C21,,RateTickValue,Permanent,Trigger,ObjectOverwrite)</f>
        <v>HKD1YD_Quote#0000</v>
      </c>
      <c r="E21" s="52" t="str">
        <f>_xll.ohRangeRetrieveError(D21)</f>
        <v/>
      </c>
      <c r="F21" s="51"/>
      <c r="H21" s="167"/>
      <c r="I21" s="161" t="str">
        <f t="shared" si="1"/>
        <v>HIHKD1YD=</v>
      </c>
      <c r="J21" s="164">
        <v>0.86679000000000006</v>
      </c>
      <c r="K21" s="162" t="s">
        <v>182</v>
      </c>
      <c r="L21" s="163">
        <v>0.86679000000000006</v>
      </c>
      <c r="M21" s="162" t="s">
        <v>182</v>
      </c>
      <c r="N21" s="223">
        <v>0.86679000000000006</v>
      </c>
      <c r="O21" s="159">
        <f>_xll.qlSimpleQuoteSetValue(C21,N21/100,ISERROR(D21))</f>
        <v>0</v>
      </c>
      <c r="P21" s="158"/>
    </row>
    <row r="22" spans="1:16" ht="12" thickBot="1" x14ac:dyDescent="0.25">
      <c r="A22" s="21"/>
      <c r="B22" s="20"/>
      <c r="C22" s="20"/>
      <c r="D22" s="20"/>
      <c r="E22" s="20"/>
      <c r="F22" s="18"/>
      <c r="H22" s="157"/>
      <c r="I22" s="156"/>
      <c r="J22" s="156"/>
      <c r="K22" s="155"/>
      <c r="L22" s="155"/>
      <c r="M22" s="155"/>
      <c r="N22" s="155"/>
      <c r="O22" s="155"/>
      <c r="P22" s="15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>
      <selection activeCell="T7" sqref="T7:T38"/>
    </sheetView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15" t="s">
        <v>180</v>
      </c>
      <c r="B1" s="86"/>
      <c r="C1" s="86"/>
      <c r="D1" s="86"/>
      <c r="E1" s="86"/>
      <c r="F1" s="86"/>
      <c r="G1" s="65"/>
      <c r="I1" s="16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6"/>
      <c r="Y1" s="190"/>
      <c r="Z1" s="190"/>
      <c r="AA1" s="190"/>
    </row>
    <row r="2" spans="1:27" x14ac:dyDescent="0.2">
      <c r="A2" s="315"/>
      <c r="B2" s="86"/>
      <c r="C2" s="86"/>
      <c r="D2" s="86"/>
      <c r="E2" s="86"/>
      <c r="F2" s="86"/>
      <c r="G2" s="65"/>
      <c r="I2" s="167"/>
      <c r="J2" s="220"/>
      <c r="K2" s="220"/>
      <c r="L2" s="220"/>
      <c r="M2" s="184" t="s">
        <v>154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183"/>
      <c r="Y2" s="190"/>
      <c r="Z2" s="190"/>
      <c r="AA2" s="190"/>
    </row>
    <row r="3" spans="1:27" x14ac:dyDescent="0.2">
      <c r="A3" s="315"/>
      <c r="B3" s="86"/>
      <c r="C3" s="86"/>
      <c r="D3" s="86"/>
      <c r="E3" s="86"/>
      <c r="F3" s="86"/>
      <c r="G3" s="65"/>
      <c r="I3" s="167"/>
      <c r="J3" s="220"/>
      <c r="K3" s="162"/>
      <c r="L3" s="220"/>
      <c r="M3" s="220"/>
      <c r="N3" s="220"/>
      <c r="O3" s="220"/>
      <c r="P3" s="220"/>
      <c r="Q3" s="220"/>
      <c r="R3" s="220"/>
      <c r="S3" s="162"/>
      <c r="T3" s="162"/>
      <c r="U3" s="162"/>
      <c r="V3" s="220"/>
      <c r="W3" s="181">
        <f>_xll.ohTrigger(W7:W28)</f>
        <v>2</v>
      </c>
      <c r="X3" s="183"/>
      <c r="Y3" s="190"/>
      <c r="Z3" s="190"/>
      <c r="AA3" s="190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28" t="s">
        <v>182</v>
      </c>
      <c r="I4" s="185"/>
      <c r="J4" s="219"/>
      <c r="K4" s="218"/>
      <c r="L4" s="217"/>
      <c r="M4" s="180" t="str">
        <f>_xll.RData(M7:M38,N4:Q4,,ReutersRtMode,,N7)</f>
        <v>Updated at 17:55:23</v>
      </c>
      <c r="N4" s="216" t="s">
        <v>160</v>
      </c>
      <c r="O4" s="216" t="s">
        <v>145</v>
      </c>
      <c r="P4" s="216" t="s">
        <v>144</v>
      </c>
      <c r="Q4" s="216" t="s">
        <v>159</v>
      </c>
      <c r="R4" s="176" t="s">
        <v>158</v>
      </c>
      <c r="S4" s="162"/>
      <c r="T4" s="178" t="s">
        <v>139</v>
      </c>
      <c r="U4" s="162"/>
      <c r="V4" s="319" t="s">
        <v>137</v>
      </c>
      <c r="W4" s="261" t="s">
        <v>136</v>
      </c>
      <c r="X4" s="183"/>
      <c r="Y4" s="190"/>
      <c r="Z4" s="190"/>
      <c r="AA4" s="190"/>
    </row>
    <row r="5" spans="1:27" x14ac:dyDescent="0.2">
      <c r="A5" s="71"/>
      <c r="B5" s="75" t="s">
        <v>99</v>
      </c>
      <c r="C5" s="76" t="s">
        <v>82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HKDT1F1_Quote#0000</v>
      </c>
      <c r="F5" s="73" t="str">
        <f>_xll.ohRangeRetrieveError(E5)</f>
        <v/>
      </c>
      <c r="G5" s="65"/>
      <c r="I5" s="167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158"/>
      <c r="Y5" s="190"/>
      <c r="Z5" s="190"/>
      <c r="AA5" s="190"/>
    </row>
    <row r="6" spans="1:27" x14ac:dyDescent="0.2">
      <c r="A6" s="71"/>
      <c r="B6" s="68" t="s">
        <v>98</v>
      </c>
      <c r="C6" s="72" t="s">
        <v>82</v>
      </c>
      <c r="D6" s="68" t="str">
        <f t="shared" si="0"/>
        <v>HKDTOM1F1_Quote</v>
      </c>
      <c r="E6" s="67" t="str">
        <f>_xll.qlSimpleQuote(D6,,RateTickValue,Permanent,Trigger,ObjectOverwrite)</f>
        <v>HKDTOM1F1_Quote#0000</v>
      </c>
      <c r="F6" s="66" t="str">
        <f>_xll.ohRangeRetrieveError(E6)</f>
        <v/>
      </c>
      <c r="G6" s="65"/>
      <c r="I6" s="167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158"/>
      <c r="Y6" s="190"/>
      <c r="Z6" s="322" t="s">
        <v>157</v>
      </c>
      <c r="AA6" s="190"/>
    </row>
    <row r="7" spans="1:27" x14ac:dyDescent="0.2">
      <c r="A7" s="71"/>
      <c r="B7" s="75" t="s">
        <v>97</v>
      </c>
      <c r="C7" s="76" t="s">
        <v>82</v>
      </c>
      <c r="D7" s="75" t="str">
        <f t="shared" si="0"/>
        <v>HKDT3F1_Quote</v>
      </c>
      <c r="E7" s="74" t="str">
        <f>_xll.qlSimpleQuote(D7,,RateTickValue,Permanent,Trigger,ObjectOverwrite)</f>
        <v>HKDT3F1_Quote#0000</v>
      </c>
      <c r="F7" s="73" t="str">
        <f>_xll.ohRangeRetrieveError(E7)</f>
        <v/>
      </c>
      <c r="G7" s="65"/>
      <c r="I7" s="167"/>
      <c r="J7" s="214" t="s">
        <v>97</v>
      </c>
      <c r="K7" s="213" t="s">
        <v>82</v>
      </c>
      <c r="L7" s="211" t="str">
        <f t="shared" ref="L7:L38" si="1">Currency&amp;$J7&amp;$K7</f>
        <v>HKDT3F1</v>
      </c>
      <c r="M7" s="211" t="str">
        <f t="array" ref="M7:M38">UPPER(Instruments)&amp;"="&amp;VLOOKUP(Contributor,ContributorTable,2,FALSE)</f>
        <v>HKDT3F1=PREA</v>
      </c>
      <c r="N7" s="212" t="s">
        <v>187</v>
      </c>
      <c r="O7" s="212" t="s">
        <v>187</v>
      </c>
      <c r="P7" s="211" t="s">
        <v>187</v>
      </c>
      <c r="Q7" s="211" t="s">
        <v>187</v>
      </c>
      <c r="R7" s="175" t="e">
        <f>_xll.qlMidSafe($N7,$O7)</f>
        <v>#NUM!</v>
      </c>
      <c r="S7" s="162"/>
      <c r="T7" s="210" t="e">
        <v>#NUM!</v>
      </c>
      <c r="U7" s="162"/>
      <c r="V7" s="241" t="e">
        <f t="array" ref="V7:V38">QuoteLive</f>
        <v>#NUM!</v>
      </c>
      <c r="W7" s="172" t="e">
        <f>_xll.qlSimpleQuoteSetValue(D7,V7/100,ISERROR(E7))</f>
        <v>#NUM!</v>
      </c>
      <c r="X7" s="158"/>
      <c r="Y7" s="190"/>
      <c r="Z7" s="191" t="e">
        <f t="shared" ref="Z7:Z17" si="2">(O7-R7)/50</f>
        <v>#VALUE!</v>
      </c>
      <c r="AA7" s="190"/>
    </row>
    <row r="8" spans="1:27" x14ac:dyDescent="0.2">
      <c r="A8" s="71"/>
      <c r="B8" s="68" t="s">
        <v>96</v>
      </c>
      <c r="C8" s="72" t="s">
        <v>82</v>
      </c>
      <c r="D8" s="68" t="str">
        <f t="shared" si="0"/>
        <v>HKDTOM3F1_Quote</v>
      </c>
      <c r="E8" s="67" t="str">
        <f>_xll.qlSimpleQuote(D8,,RateTickValue,Permanent,Trigger,ObjectOverwrite)</f>
        <v>HKDTOM3F1_Quote#0000</v>
      </c>
      <c r="F8" s="66" t="str">
        <f>_xll.ohRangeRetrieveError(E8)</f>
        <v/>
      </c>
      <c r="G8" s="65"/>
      <c r="I8" s="167"/>
      <c r="J8" s="209" t="s">
        <v>96</v>
      </c>
      <c r="K8" s="208" t="s">
        <v>82</v>
      </c>
      <c r="L8" s="206" t="str">
        <f t="shared" si="1"/>
        <v>HKDTOM3F1</v>
      </c>
      <c r="M8" s="206" t="str">
        <v>HKDTOM3F1=PREA</v>
      </c>
      <c r="N8" s="207" t="s">
        <v>187</v>
      </c>
      <c r="O8" s="207" t="s">
        <v>187</v>
      </c>
      <c r="P8" s="206" t="s">
        <v>187</v>
      </c>
      <c r="Q8" s="206" t="s">
        <v>187</v>
      </c>
      <c r="R8" s="205" t="e">
        <f>_xll.qlMidSafe($N8,$O8)</f>
        <v>#NUM!</v>
      </c>
      <c r="S8" s="162"/>
      <c r="T8" s="204" t="e">
        <v>#NUM!</v>
      </c>
      <c r="U8" s="162"/>
      <c r="V8" s="223" t="e">
        <v>#NUM!</v>
      </c>
      <c r="W8" s="159" t="e">
        <f>_xll.qlSimpleQuoteSetValue(D8,V8/100,ISERROR(E8))</f>
        <v>#NUM!</v>
      </c>
      <c r="X8" s="158"/>
      <c r="Y8" s="190"/>
      <c r="Z8" s="191" t="e">
        <f t="shared" si="2"/>
        <v>#VALUE!</v>
      </c>
      <c r="AA8" s="190"/>
    </row>
    <row r="9" spans="1:27" x14ac:dyDescent="0.2">
      <c r="A9" s="71"/>
      <c r="B9" s="75">
        <v>1</v>
      </c>
      <c r="C9" s="76" t="s">
        <v>95</v>
      </c>
      <c r="D9" s="75" t="str">
        <f t="shared" si="0"/>
        <v>HKD1x4F_Quote</v>
      </c>
      <c r="E9" s="74" t="str">
        <f>_xll.qlSimpleQuote(D9,,RateTickValue,Permanent,Trigger,ObjectOverwrite)</f>
        <v>HKD1x4F_Quote#0000</v>
      </c>
      <c r="F9" s="73" t="str">
        <f>_xll.ohRangeRetrieveError(E9)</f>
        <v/>
      </c>
      <c r="G9" s="65"/>
      <c r="I9" s="167"/>
      <c r="J9" s="214">
        <v>1</v>
      </c>
      <c r="K9" s="213" t="s">
        <v>95</v>
      </c>
      <c r="L9" s="211" t="str">
        <f t="shared" si="1"/>
        <v>HKD1x4F</v>
      </c>
      <c r="M9" s="211" t="str">
        <v>HKD1X4F=PREA</v>
      </c>
      <c r="N9" s="212">
        <v>0.36</v>
      </c>
      <c r="O9" s="212">
        <v>0.46</v>
      </c>
      <c r="P9" s="211">
        <v>0</v>
      </c>
      <c r="Q9" s="211">
        <v>0</v>
      </c>
      <c r="R9" s="175">
        <f>_xll.qlMidSafe($N9,$O9)</f>
        <v>0.41000000000000003</v>
      </c>
      <c r="S9" s="162"/>
      <c r="T9" s="199">
        <v>0.41000000000000003</v>
      </c>
      <c r="U9" s="162"/>
      <c r="V9" s="230">
        <v>0.41000000000000003</v>
      </c>
      <c r="W9" s="168">
        <f>_xll.qlSimpleQuoteSetValue(D9,V9/100,ISERROR(E9))</f>
        <v>0</v>
      </c>
      <c r="X9" s="158"/>
      <c r="Y9" s="190"/>
      <c r="Z9" s="191">
        <f t="shared" si="2"/>
        <v>9.999999999999998E-4</v>
      </c>
      <c r="AA9" s="190"/>
    </row>
    <row r="10" spans="1:27" x14ac:dyDescent="0.2">
      <c r="A10" s="71"/>
      <c r="B10" s="79">
        <v>2</v>
      </c>
      <c r="C10" s="80" t="s">
        <v>94</v>
      </c>
      <c r="D10" s="79" t="str">
        <f t="shared" si="0"/>
        <v>HKD2x5F_Quote</v>
      </c>
      <c r="E10" s="78" t="str">
        <f>_xll.qlSimpleQuote(D10,,RateTickValue,Permanent,Trigger,ObjectOverwrite)</f>
        <v>HKD2x5F_Quote#0000</v>
      </c>
      <c r="F10" s="77" t="str">
        <f>_xll.ohRangeRetrieveError(E10)</f>
        <v/>
      </c>
      <c r="G10" s="65"/>
      <c r="I10" s="167"/>
      <c r="J10" s="203">
        <v>2</v>
      </c>
      <c r="K10" s="202" t="s">
        <v>94</v>
      </c>
      <c r="L10" s="200" t="str">
        <f t="shared" si="1"/>
        <v>HKD2x5F</v>
      </c>
      <c r="M10" s="200" t="str">
        <v>HKD2X5F=PREA</v>
      </c>
      <c r="N10" s="201">
        <v>0.36</v>
      </c>
      <c r="O10" s="201">
        <v>0.46</v>
      </c>
      <c r="P10" s="200">
        <v>0</v>
      </c>
      <c r="Q10" s="200">
        <v>0</v>
      </c>
      <c r="R10" s="164">
        <f>_xll.qlMidSafe($N10,$O10)</f>
        <v>0.41000000000000003</v>
      </c>
      <c r="S10" s="162"/>
      <c r="T10" s="199">
        <v>0.41000000000000003</v>
      </c>
      <c r="U10" s="162"/>
      <c r="V10" s="230">
        <v>0.41000000000000003</v>
      </c>
      <c r="W10" s="168">
        <f>_xll.qlSimpleQuoteSetValue(D10,V10/100,ISERROR(E10))</f>
        <v>0</v>
      </c>
      <c r="X10" s="158"/>
      <c r="Y10" s="190"/>
      <c r="Z10" s="191">
        <f t="shared" si="2"/>
        <v>9.999999999999998E-4</v>
      </c>
      <c r="AA10" s="190"/>
    </row>
    <row r="11" spans="1:27" x14ac:dyDescent="0.2">
      <c r="A11" s="71"/>
      <c r="B11" s="79">
        <v>3</v>
      </c>
      <c r="C11" s="80" t="s">
        <v>93</v>
      </c>
      <c r="D11" s="79" t="str">
        <f t="shared" si="0"/>
        <v>HKD3x6F_Quote</v>
      </c>
      <c r="E11" s="78" t="str">
        <f>_xll.qlSimpleQuote(D11,,RateTickValue,Permanent,Trigger,ObjectOverwrite)</f>
        <v>HKD3x6F_Quote#0000</v>
      </c>
      <c r="F11" s="77" t="str">
        <f>_xll.ohRangeRetrieveError(E11)</f>
        <v/>
      </c>
      <c r="G11" s="65"/>
      <c r="I11" s="167"/>
      <c r="J11" s="203">
        <v>3</v>
      </c>
      <c r="K11" s="202" t="s">
        <v>93</v>
      </c>
      <c r="L11" s="200" t="str">
        <f t="shared" si="1"/>
        <v>HKD3x6F</v>
      </c>
      <c r="M11" s="200" t="str">
        <v>HKD3X6F=PREA</v>
      </c>
      <c r="N11" s="201">
        <v>0.36</v>
      </c>
      <c r="O11" s="201">
        <v>0.46</v>
      </c>
      <c r="P11" s="200">
        <v>0</v>
      </c>
      <c r="Q11" s="200">
        <v>0</v>
      </c>
      <c r="R11" s="164">
        <f>_xll.qlMidSafe($N11,$O11)</f>
        <v>0.41000000000000003</v>
      </c>
      <c r="S11" s="162"/>
      <c r="T11" s="199">
        <v>0.41000000000000003</v>
      </c>
      <c r="U11" s="162"/>
      <c r="V11" s="230">
        <v>0.41000000000000003</v>
      </c>
      <c r="W11" s="168">
        <f>_xll.qlSimpleQuoteSetValue(D11,V11/100,ISERROR(E11))</f>
        <v>0</v>
      </c>
      <c r="X11" s="158"/>
      <c r="Y11" s="190"/>
      <c r="Z11" s="191">
        <f t="shared" si="2"/>
        <v>9.999999999999998E-4</v>
      </c>
      <c r="AA11" s="190"/>
    </row>
    <row r="12" spans="1:27" x14ac:dyDescent="0.2">
      <c r="A12" s="71"/>
      <c r="B12" s="79">
        <v>4</v>
      </c>
      <c r="C12" s="80" t="s">
        <v>92</v>
      </c>
      <c r="D12" s="79" t="str">
        <f t="shared" si="0"/>
        <v>HKD4x7F_Quote</v>
      </c>
      <c r="E12" s="78" t="str">
        <f>_xll.qlSimpleQuote(D12,,RateTickValue,Permanent,Trigger,ObjectOverwrite)</f>
        <v>HKD4x7F_Quote#0000</v>
      </c>
      <c r="F12" s="77" t="str">
        <f>_xll.ohRangeRetrieveError(E12)</f>
        <v/>
      </c>
      <c r="G12" s="65"/>
      <c r="I12" s="167"/>
      <c r="J12" s="203">
        <v>4</v>
      </c>
      <c r="K12" s="202" t="s">
        <v>92</v>
      </c>
      <c r="L12" s="200" t="str">
        <f t="shared" si="1"/>
        <v>HKD4x7F</v>
      </c>
      <c r="M12" s="200" t="str">
        <v>HKD4X7F=PREA</v>
      </c>
      <c r="N12" s="201">
        <v>0.37</v>
      </c>
      <c r="O12" s="201">
        <v>0.47000000000000003</v>
      </c>
      <c r="P12" s="200">
        <v>0</v>
      </c>
      <c r="Q12" s="200">
        <v>0</v>
      </c>
      <c r="R12" s="164">
        <f>_xll.qlMidSafe($N12,$O12)</f>
        <v>0.42000000000000004</v>
      </c>
      <c r="S12" s="162"/>
      <c r="T12" s="199">
        <v>0.42000000000000004</v>
      </c>
      <c r="U12" s="162"/>
      <c r="V12" s="230">
        <v>0.42000000000000004</v>
      </c>
      <c r="W12" s="168">
        <f>_xll.qlSimpleQuoteSetValue(D12,V12/100,ISERROR(E12))</f>
        <v>0</v>
      </c>
      <c r="X12" s="158"/>
      <c r="Y12" s="190"/>
      <c r="Z12" s="191">
        <f t="shared" si="2"/>
        <v>9.999999999999998E-4</v>
      </c>
      <c r="AA12" s="190"/>
    </row>
    <row r="13" spans="1:27" x14ac:dyDescent="0.2">
      <c r="A13" s="71"/>
      <c r="B13" s="79">
        <v>5</v>
      </c>
      <c r="C13" s="80" t="s">
        <v>91</v>
      </c>
      <c r="D13" s="79" t="str">
        <f t="shared" si="0"/>
        <v>HKD5x8F_Quote</v>
      </c>
      <c r="E13" s="78" t="str">
        <f>_xll.qlSimpleQuote(D13,,RateTickValue,Permanent,Trigger,ObjectOverwrite)</f>
        <v>HKD5x8F_Quote#0000</v>
      </c>
      <c r="F13" s="77" t="str">
        <f>_xll.ohRangeRetrieveError(E13)</f>
        <v/>
      </c>
      <c r="G13" s="65"/>
      <c r="I13" s="167"/>
      <c r="J13" s="203">
        <v>5</v>
      </c>
      <c r="K13" s="202" t="s">
        <v>91</v>
      </c>
      <c r="L13" s="200" t="str">
        <f t="shared" si="1"/>
        <v>HKD5x8F</v>
      </c>
      <c r="M13" s="200" t="str">
        <v>HKD5X8F=PREA</v>
      </c>
      <c r="N13" s="201">
        <v>0.39</v>
      </c>
      <c r="O13" s="201">
        <v>0.49</v>
      </c>
      <c r="P13" s="200">
        <v>0</v>
      </c>
      <c r="Q13" s="200">
        <v>0</v>
      </c>
      <c r="R13" s="164">
        <f>_xll.qlMidSafe($N13,$O13)</f>
        <v>0.44</v>
      </c>
      <c r="S13" s="162"/>
      <c r="T13" s="199">
        <v>0.44</v>
      </c>
      <c r="U13" s="162"/>
      <c r="V13" s="230">
        <v>0.44</v>
      </c>
      <c r="W13" s="168">
        <f>_xll.qlSimpleQuoteSetValue(D13,V13/100,ISERROR(E13))</f>
        <v>0</v>
      </c>
      <c r="X13" s="158"/>
      <c r="Y13" s="190"/>
      <c r="Z13" s="191">
        <f t="shared" si="2"/>
        <v>9.999999999999998E-4</v>
      </c>
      <c r="AA13" s="190"/>
    </row>
    <row r="14" spans="1:27" x14ac:dyDescent="0.2">
      <c r="A14" s="71"/>
      <c r="B14" s="79">
        <v>6</v>
      </c>
      <c r="C14" s="80" t="s">
        <v>90</v>
      </c>
      <c r="D14" s="79" t="str">
        <f t="shared" si="0"/>
        <v>HKD6x9F_Quote</v>
      </c>
      <c r="E14" s="78" t="str">
        <f>_xll.qlSimpleQuote(D14,,RateTickValue,Permanent,Trigger,ObjectOverwrite)</f>
        <v>HKD6x9F_Quote#0000</v>
      </c>
      <c r="F14" s="77" t="str">
        <f>_xll.ohRangeRetrieveError(E14)</f>
        <v/>
      </c>
      <c r="G14" s="65"/>
      <c r="I14" s="167"/>
      <c r="J14" s="203">
        <v>6</v>
      </c>
      <c r="K14" s="202" t="s">
        <v>90</v>
      </c>
      <c r="L14" s="200" t="str">
        <f t="shared" si="1"/>
        <v>HKD6x9F</v>
      </c>
      <c r="M14" s="200" t="str">
        <v>HKD6X9F=PREA</v>
      </c>
      <c r="N14" s="201">
        <v>0.4</v>
      </c>
      <c r="O14" s="201">
        <v>0.5</v>
      </c>
      <c r="P14" s="200">
        <v>0</v>
      </c>
      <c r="Q14" s="200">
        <v>0</v>
      </c>
      <c r="R14" s="164">
        <f>_xll.qlMidSafe($N14,$O14)</f>
        <v>0.45</v>
      </c>
      <c r="S14" s="162"/>
      <c r="T14" s="199">
        <v>0.45</v>
      </c>
      <c r="U14" s="162"/>
      <c r="V14" s="230">
        <v>0.45</v>
      </c>
      <c r="W14" s="168">
        <f>_xll.qlSimpleQuoteSetValue(D14,V14/100,ISERROR(E14))</f>
        <v>0</v>
      </c>
      <c r="X14" s="158"/>
      <c r="Y14" s="190"/>
      <c r="Z14" s="191">
        <f t="shared" si="2"/>
        <v>9.999999999999998E-4</v>
      </c>
      <c r="AA14" s="190"/>
    </row>
    <row r="15" spans="1:27" x14ac:dyDescent="0.2">
      <c r="A15" s="71"/>
      <c r="B15" s="79">
        <v>7</v>
      </c>
      <c r="C15" s="80" t="s">
        <v>89</v>
      </c>
      <c r="D15" s="79" t="str">
        <f t="shared" si="0"/>
        <v>HKD7x10F_Quote</v>
      </c>
      <c r="E15" s="78" t="str">
        <f>_xll.qlSimpleQuote(D15,,RateTickValue,Permanent,Trigger,ObjectOverwrite)</f>
        <v>HKD7x10F_Quote#0000</v>
      </c>
      <c r="F15" s="77" t="str">
        <f>_xll.ohRangeRetrieveError(E15)</f>
        <v/>
      </c>
      <c r="G15" s="65"/>
      <c r="I15" s="167"/>
      <c r="J15" s="203">
        <v>7</v>
      </c>
      <c r="K15" s="202" t="s">
        <v>89</v>
      </c>
      <c r="L15" s="200" t="str">
        <f t="shared" si="1"/>
        <v>HKD7x10F</v>
      </c>
      <c r="M15" s="200" t="str">
        <v>HKD7X10F=PREA</v>
      </c>
      <c r="N15" s="201">
        <v>0.41000000000000003</v>
      </c>
      <c r="O15" s="201">
        <v>0.51</v>
      </c>
      <c r="P15" s="200">
        <v>0</v>
      </c>
      <c r="Q15" s="200">
        <v>0</v>
      </c>
      <c r="R15" s="164">
        <f>_xll.qlMidSafe($N15,$O15)</f>
        <v>0.46</v>
      </c>
      <c r="S15" s="162"/>
      <c r="T15" s="199">
        <v>0.46</v>
      </c>
      <c r="U15" s="162"/>
      <c r="V15" s="230">
        <v>0.46</v>
      </c>
      <c r="W15" s="168">
        <f>_xll.qlSimpleQuoteSetValue(D15,V15/100,ISERROR(E15))</f>
        <v>0</v>
      </c>
      <c r="X15" s="158"/>
      <c r="Y15" s="190"/>
      <c r="Z15" s="191">
        <f t="shared" si="2"/>
        <v>9.999999999999998E-4</v>
      </c>
      <c r="AA15" s="190"/>
    </row>
    <row r="16" spans="1:27" x14ac:dyDescent="0.2">
      <c r="A16" s="71"/>
      <c r="B16" s="79">
        <v>8</v>
      </c>
      <c r="C16" s="80" t="s">
        <v>88</v>
      </c>
      <c r="D16" s="79" t="str">
        <f t="shared" si="0"/>
        <v>HKD8x11F_Quote</v>
      </c>
      <c r="E16" s="78" t="str">
        <f>_xll.qlSimpleQuote(D16,,RateTickValue,Permanent,Trigger,ObjectOverwrite)</f>
        <v>HKD8x11F_Quote#0000</v>
      </c>
      <c r="F16" s="77" t="str">
        <f>_xll.ohRangeRetrieveError(E16)</f>
        <v/>
      </c>
      <c r="G16" s="65"/>
      <c r="I16" s="167"/>
      <c r="J16" s="203">
        <v>8</v>
      </c>
      <c r="K16" s="202" t="s">
        <v>88</v>
      </c>
      <c r="L16" s="200" t="str">
        <f t="shared" si="1"/>
        <v>HKD8x11F</v>
      </c>
      <c r="M16" s="200" t="str">
        <v>HKD8X11F=PREA</v>
      </c>
      <c r="N16" s="201">
        <v>0.42</v>
      </c>
      <c r="O16" s="201">
        <v>0.52</v>
      </c>
      <c r="P16" s="200">
        <v>0</v>
      </c>
      <c r="Q16" s="200">
        <v>0</v>
      </c>
      <c r="R16" s="164">
        <f>_xll.qlMidSafe($N16,$O16)</f>
        <v>0.47</v>
      </c>
      <c r="S16" s="162"/>
      <c r="T16" s="199">
        <v>0.47</v>
      </c>
      <c r="U16" s="162"/>
      <c r="V16" s="230">
        <v>0.47</v>
      </c>
      <c r="W16" s="168">
        <f>_xll.qlSimpleQuoteSetValue(D16,V16/100,ISERROR(E16))</f>
        <v>0</v>
      </c>
      <c r="X16" s="158"/>
      <c r="Y16" s="190"/>
      <c r="Z16" s="191">
        <f t="shared" si="2"/>
        <v>1.0000000000000009E-3</v>
      </c>
      <c r="AA16" s="190"/>
    </row>
    <row r="17" spans="1:27" x14ac:dyDescent="0.2">
      <c r="A17" s="71"/>
      <c r="B17" s="68">
        <v>9</v>
      </c>
      <c r="C17" s="72" t="s">
        <v>87</v>
      </c>
      <c r="D17" s="68" t="str">
        <f t="shared" si="0"/>
        <v>HKD9x12F_Quote</v>
      </c>
      <c r="E17" s="67" t="str">
        <f>_xll.qlSimpleQuote(D17,,RateTickValue,Permanent,Trigger,ObjectOverwrite)</f>
        <v>HKD9x12F_Quote#0000</v>
      </c>
      <c r="F17" s="66" t="str">
        <f>_xll.ohRangeRetrieveError(E17)</f>
        <v/>
      </c>
      <c r="G17" s="65"/>
      <c r="I17" s="167"/>
      <c r="J17" s="209">
        <v>9</v>
      </c>
      <c r="K17" s="208" t="s">
        <v>87</v>
      </c>
      <c r="L17" s="206" t="str">
        <f t="shared" si="1"/>
        <v>HKD9x12F</v>
      </c>
      <c r="M17" s="206" t="str">
        <v>HKD9X12F=PREA</v>
      </c>
      <c r="N17" s="207">
        <v>0.43</v>
      </c>
      <c r="O17" s="207">
        <v>0.53</v>
      </c>
      <c r="P17" s="206">
        <v>0</v>
      </c>
      <c r="Q17" s="206">
        <v>0</v>
      </c>
      <c r="R17" s="205">
        <f>_xll.qlMidSafe($N17,$O17)</f>
        <v>0.48</v>
      </c>
      <c r="S17" s="162"/>
      <c r="T17" s="204">
        <v>0.48</v>
      </c>
      <c r="U17" s="162"/>
      <c r="V17" s="230">
        <v>0.48</v>
      </c>
      <c r="W17" s="168">
        <f>_xll.qlSimpleQuoteSetValue(D17,V17/100,ISERROR(E17))</f>
        <v>0</v>
      </c>
      <c r="X17" s="158"/>
      <c r="Y17" s="190"/>
      <c r="Z17" s="191">
        <f t="shared" si="2"/>
        <v>1.0000000000000009E-3</v>
      </c>
      <c r="AA17" s="190"/>
    </row>
    <row r="18" spans="1:27" x14ac:dyDescent="0.2">
      <c r="A18" s="71"/>
      <c r="B18" s="75" t="s">
        <v>86</v>
      </c>
      <c r="C18" s="76" t="s">
        <v>82</v>
      </c>
      <c r="D18" s="75" t="str">
        <f t="shared" si="0"/>
        <v>HKDT6F1_Quote</v>
      </c>
      <c r="E18" s="74" t="str">
        <f>_xll.qlSimpleQuote(D18,,RateTickValue,Permanent,Trigger,ObjectOverwrite)</f>
        <v>HKDT6F1_Quote#0000</v>
      </c>
      <c r="F18" s="73" t="str">
        <f>_xll.ohRangeRetrieveError(E18)</f>
        <v/>
      </c>
      <c r="G18" s="65"/>
      <c r="I18" s="167"/>
      <c r="J18" s="214" t="s">
        <v>86</v>
      </c>
      <c r="K18" s="213" t="s">
        <v>82</v>
      </c>
      <c r="L18" s="211" t="str">
        <f t="shared" si="1"/>
        <v>HKDT6F1</v>
      </c>
      <c r="M18" s="211" t="str">
        <v>HKDT6F1=PREA</v>
      </c>
      <c r="N18" s="212" t="s">
        <v>187</v>
      </c>
      <c r="O18" s="212" t="s">
        <v>187</v>
      </c>
      <c r="P18" s="211" t="s">
        <v>187</v>
      </c>
      <c r="Q18" s="211" t="s">
        <v>187</v>
      </c>
      <c r="R18" s="175" t="e">
        <f>_xll.qlMidSafe($N18,$O18)</f>
        <v>#NUM!</v>
      </c>
      <c r="S18" s="162"/>
      <c r="T18" s="210" t="e">
        <v>#NUM!</v>
      </c>
      <c r="U18" s="162"/>
      <c r="V18" s="241" t="e">
        <v>#NUM!</v>
      </c>
      <c r="W18" s="172" t="e">
        <f>_xll.qlSimpleQuoteSetValue(D18,V18/100,ISERROR(E18))</f>
        <v>#NUM!</v>
      </c>
      <c r="X18" s="158"/>
      <c r="Y18" s="190"/>
      <c r="Z18" s="191" t="e">
        <f t="shared" ref="Z18:Z38" si="3">(O18-R18)/50</f>
        <v>#VALUE!</v>
      </c>
      <c r="AA18" s="190"/>
    </row>
    <row r="19" spans="1:27" x14ac:dyDescent="0.2">
      <c r="A19" s="71"/>
      <c r="B19" s="68" t="s">
        <v>85</v>
      </c>
      <c r="C19" s="72" t="s">
        <v>82</v>
      </c>
      <c r="D19" s="68" t="str">
        <f t="shared" si="0"/>
        <v>HKDTOM6F1_Quote</v>
      </c>
      <c r="E19" s="67" t="str">
        <f>_xll.qlSimpleQuote(D19,,RateTickValue,Permanent,Trigger,ObjectOverwrite)</f>
        <v>HKDTOM6F1_Quote#0000</v>
      </c>
      <c r="F19" s="66" t="str">
        <f>_xll.ohRangeRetrieveError(E19)</f>
        <v/>
      </c>
      <c r="G19" s="65"/>
      <c r="I19" s="167"/>
      <c r="J19" s="209" t="s">
        <v>85</v>
      </c>
      <c r="K19" s="208" t="s">
        <v>82</v>
      </c>
      <c r="L19" s="206" t="str">
        <f t="shared" si="1"/>
        <v>HKDTOM6F1</v>
      </c>
      <c r="M19" s="206" t="str">
        <v>HKDTOM6F1=PREA</v>
      </c>
      <c r="N19" s="207" t="s">
        <v>187</v>
      </c>
      <c r="O19" s="207" t="s">
        <v>187</v>
      </c>
      <c r="P19" s="206" t="s">
        <v>187</v>
      </c>
      <c r="Q19" s="206" t="s">
        <v>187</v>
      </c>
      <c r="R19" s="205" t="e">
        <f>_xll.qlMidSafe($N19,$O19)</f>
        <v>#NUM!</v>
      </c>
      <c r="S19" s="162"/>
      <c r="T19" s="204" t="e">
        <v>#NUM!</v>
      </c>
      <c r="U19" s="162"/>
      <c r="V19" s="223" t="e">
        <v>#NUM!</v>
      </c>
      <c r="W19" s="159" t="e">
        <f>_xll.qlSimpleQuoteSetValue(D19,V19/100,ISERROR(E19))</f>
        <v>#NUM!</v>
      </c>
      <c r="X19" s="158"/>
      <c r="Y19" s="190"/>
      <c r="Z19" s="191" t="e">
        <f t="shared" si="3"/>
        <v>#VALUE!</v>
      </c>
      <c r="AA19" s="190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HKD1x7F_Quote#0000</v>
      </c>
      <c r="F20" s="73" t="str">
        <f>_xll.ohRangeRetrieveError(E20)</f>
        <v/>
      </c>
      <c r="G20" s="65"/>
      <c r="I20" s="167"/>
      <c r="J20" s="203">
        <v>1</v>
      </c>
      <c r="K20" s="202" t="str">
        <f t="shared" ref="K20:K37" si="5">"x"&amp;J20+6&amp;"F"</f>
        <v>x7F</v>
      </c>
      <c r="L20" s="200" t="str">
        <f t="shared" si="1"/>
        <v>HKD1x7F</v>
      </c>
      <c r="M20" s="200" t="str">
        <v>HKD1X7F=PREA</v>
      </c>
      <c r="N20" s="201">
        <v>0.44</v>
      </c>
      <c r="O20" s="201">
        <v>0.54</v>
      </c>
      <c r="P20" s="200">
        <v>0</v>
      </c>
      <c r="Q20" s="200">
        <v>0</v>
      </c>
      <c r="R20" s="164">
        <f>_xll.qlMidSafe($N20,$O20)</f>
        <v>0.49</v>
      </c>
      <c r="S20" s="162"/>
      <c r="T20" s="199">
        <v>0.49</v>
      </c>
      <c r="U20" s="162"/>
      <c r="V20" s="230">
        <v>0.49</v>
      </c>
      <c r="W20" s="168">
        <f>_xll.qlSimpleQuoteSetValue(D20,V20/100,ISERROR(E20))</f>
        <v>0</v>
      </c>
      <c r="X20" s="158"/>
      <c r="Y20" s="190"/>
      <c r="Z20" s="191">
        <f t="shared" si="3"/>
        <v>1.0000000000000009E-3</v>
      </c>
      <c r="AA20" s="190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HKD2x8F_Quote#0000</v>
      </c>
      <c r="F21" s="77" t="str">
        <f>_xll.ohRangeRetrieveError(E21)</f>
        <v/>
      </c>
      <c r="G21" s="65"/>
      <c r="I21" s="167"/>
      <c r="J21" s="203">
        <v>2</v>
      </c>
      <c r="K21" s="202" t="str">
        <f t="shared" si="5"/>
        <v>x8F</v>
      </c>
      <c r="L21" s="200" t="str">
        <f t="shared" si="1"/>
        <v>HKD2x8F</v>
      </c>
      <c r="M21" s="200" t="str">
        <v>HKD2X8F=PREA</v>
      </c>
      <c r="N21" s="201">
        <v>0.44</v>
      </c>
      <c r="O21" s="201">
        <v>0.54</v>
      </c>
      <c r="P21" s="200">
        <v>0</v>
      </c>
      <c r="Q21" s="200">
        <v>0</v>
      </c>
      <c r="R21" s="164">
        <f>_xll.qlMidSafe($N21,$O21)</f>
        <v>0.49</v>
      </c>
      <c r="S21" s="162"/>
      <c r="T21" s="199">
        <v>0.49</v>
      </c>
      <c r="U21" s="162"/>
      <c r="V21" s="230">
        <v>0.49</v>
      </c>
      <c r="W21" s="168">
        <f>_xll.qlSimpleQuoteSetValue(D21,V21/100,ISERROR(E21))</f>
        <v>0</v>
      </c>
      <c r="X21" s="158"/>
      <c r="Y21" s="190"/>
      <c r="Z21" s="191">
        <f t="shared" si="3"/>
        <v>1.0000000000000009E-3</v>
      </c>
      <c r="AA21" s="190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HKD3x9F_Quote#0000</v>
      </c>
      <c r="F22" s="77" t="str">
        <f>_xll.ohRangeRetrieveError(E22)</f>
        <v/>
      </c>
      <c r="G22" s="65"/>
      <c r="I22" s="167"/>
      <c r="J22" s="203">
        <v>3</v>
      </c>
      <c r="K22" s="202" t="str">
        <f t="shared" si="5"/>
        <v>x9F</v>
      </c>
      <c r="L22" s="200" t="str">
        <f t="shared" si="1"/>
        <v>HKD3x9F</v>
      </c>
      <c r="M22" s="200" t="str">
        <v>HKD3X9F=PREA</v>
      </c>
      <c r="N22" s="201">
        <v>0.45</v>
      </c>
      <c r="O22" s="201">
        <v>0.55000000000000004</v>
      </c>
      <c r="P22" s="200">
        <v>0</v>
      </c>
      <c r="Q22" s="200">
        <v>0</v>
      </c>
      <c r="R22" s="164">
        <f>_xll.qlMidSafe($N22,$O22)</f>
        <v>0.5</v>
      </c>
      <c r="S22" s="162"/>
      <c r="T22" s="199">
        <v>0.5</v>
      </c>
      <c r="U22" s="162"/>
      <c r="V22" s="230">
        <v>0.5</v>
      </c>
      <c r="W22" s="168">
        <f>_xll.qlSimpleQuoteSetValue(D22,V22/100,ISERROR(E22))</f>
        <v>0</v>
      </c>
      <c r="X22" s="158"/>
      <c r="Y22" s="190"/>
      <c r="Z22" s="191">
        <f t="shared" si="3"/>
        <v>1.0000000000000009E-3</v>
      </c>
      <c r="AA22" s="190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HKD4x10F_Quote#0000</v>
      </c>
      <c r="F23" s="77" t="str">
        <f>_xll.ohRangeRetrieveError(E23)</f>
        <v/>
      </c>
      <c r="G23" s="65"/>
      <c r="I23" s="167"/>
      <c r="J23" s="203">
        <v>4</v>
      </c>
      <c r="K23" s="202" t="str">
        <f t="shared" si="5"/>
        <v>x10F</v>
      </c>
      <c r="L23" s="200" t="str">
        <f t="shared" si="1"/>
        <v>HKD4x10F</v>
      </c>
      <c r="M23" s="200" t="str">
        <v>HKD4X10F=PREA</v>
      </c>
      <c r="N23" s="201">
        <v>0.46</v>
      </c>
      <c r="O23" s="201">
        <v>0.56000000000000005</v>
      </c>
      <c r="P23" s="200">
        <v>0</v>
      </c>
      <c r="Q23" s="200">
        <v>0</v>
      </c>
      <c r="R23" s="164">
        <f>_xll.qlMidSafe($N23,$O23)</f>
        <v>0.51</v>
      </c>
      <c r="S23" s="162"/>
      <c r="T23" s="199">
        <v>0.51</v>
      </c>
      <c r="U23" s="162"/>
      <c r="V23" s="230">
        <v>0.51</v>
      </c>
      <c r="W23" s="168">
        <f>_xll.qlSimpleQuoteSetValue(D23,V23/100,ISERROR(E23))</f>
        <v>0</v>
      </c>
      <c r="X23" s="158"/>
      <c r="Y23" s="190"/>
      <c r="Z23" s="191">
        <f t="shared" si="3"/>
        <v>1.0000000000000009E-3</v>
      </c>
      <c r="AA23" s="190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HKD5x11F_Quote#0000</v>
      </c>
      <c r="F24" s="77" t="str">
        <f>_xll.ohRangeRetrieveError(E24)</f>
        <v/>
      </c>
      <c r="G24" s="65"/>
      <c r="I24" s="167"/>
      <c r="J24" s="203">
        <v>5</v>
      </c>
      <c r="K24" s="202" t="str">
        <f t="shared" si="5"/>
        <v>x11F</v>
      </c>
      <c r="L24" s="200" t="str">
        <f t="shared" si="1"/>
        <v>HKD5x11F</v>
      </c>
      <c r="M24" s="200" t="str">
        <v>HKD5X11F=PREA</v>
      </c>
      <c r="N24" s="201">
        <v>0.47000000000000003</v>
      </c>
      <c r="O24" s="201">
        <v>0.57000000000000006</v>
      </c>
      <c r="P24" s="200">
        <v>0</v>
      </c>
      <c r="Q24" s="200">
        <v>0</v>
      </c>
      <c r="R24" s="164">
        <f>_xll.qlMidSafe($N24,$O24)</f>
        <v>0.52</v>
      </c>
      <c r="S24" s="162"/>
      <c r="T24" s="199">
        <v>0.52</v>
      </c>
      <c r="U24" s="162"/>
      <c r="V24" s="230">
        <v>0.52</v>
      </c>
      <c r="W24" s="168">
        <f>_xll.qlSimpleQuoteSetValue(D24,V24/100,ISERROR(E24))</f>
        <v>0</v>
      </c>
      <c r="X24" s="158"/>
      <c r="Y24" s="190"/>
      <c r="Z24" s="191">
        <f t="shared" si="3"/>
        <v>1.0000000000000009E-3</v>
      </c>
      <c r="AA24" s="190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HKD6x12F_Quote#0000</v>
      </c>
      <c r="F25" s="77" t="str">
        <f>_xll.ohRangeRetrieveError(E25)</f>
        <v/>
      </c>
      <c r="G25" s="65"/>
      <c r="I25" s="167"/>
      <c r="J25" s="203">
        <v>6</v>
      </c>
      <c r="K25" s="202" t="str">
        <f t="shared" si="5"/>
        <v>x12F</v>
      </c>
      <c r="L25" s="200" t="str">
        <f t="shared" si="1"/>
        <v>HKD6x12F</v>
      </c>
      <c r="M25" s="200" t="str">
        <v>HKD6X12F=PREA</v>
      </c>
      <c r="N25" s="201">
        <v>0.49</v>
      </c>
      <c r="O25" s="201">
        <v>0.59</v>
      </c>
      <c r="P25" s="200">
        <v>0</v>
      </c>
      <c r="Q25" s="200">
        <v>0</v>
      </c>
      <c r="R25" s="164">
        <f>_xll.qlMidSafe($N25,$O25)</f>
        <v>0.54</v>
      </c>
      <c r="S25" s="162"/>
      <c r="T25" s="199">
        <v>0.54</v>
      </c>
      <c r="U25" s="162"/>
      <c r="V25" s="230">
        <v>0.54</v>
      </c>
      <c r="W25" s="168">
        <f>_xll.qlSimpleQuoteSetValue(D25,V25/100,ISERROR(E25))</f>
        <v>0</v>
      </c>
      <c r="X25" s="158"/>
      <c r="Y25" s="190"/>
      <c r="Z25" s="191">
        <f t="shared" si="3"/>
        <v>9.9999999999999872E-4</v>
      </c>
      <c r="AA25" s="190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HKD7x13F_Quote#0000</v>
      </c>
      <c r="F26" s="77" t="str">
        <f>_xll.ohRangeRetrieveError(E26)</f>
        <v/>
      </c>
      <c r="G26" s="65"/>
      <c r="I26" s="167"/>
      <c r="J26" s="203">
        <v>7</v>
      </c>
      <c r="K26" s="202" t="str">
        <f t="shared" si="5"/>
        <v>x13F</v>
      </c>
      <c r="L26" s="200" t="str">
        <f t="shared" si="1"/>
        <v>HKD7x13F</v>
      </c>
      <c r="M26" s="200" t="str">
        <v>HKD7X13F=PREA</v>
      </c>
      <c r="N26" s="201" t="s">
        <v>187</v>
      </c>
      <c r="O26" s="201" t="s">
        <v>187</v>
      </c>
      <c r="P26" s="200" t="s">
        <v>187</v>
      </c>
      <c r="Q26" s="200" t="s">
        <v>187</v>
      </c>
      <c r="R26" s="164" t="e">
        <f>_xll.qlMidSafe($N26,$O26)</f>
        <v>#NUM!</v>
      </c>
      <c r="S26" s="162"/>
      <c r="T26" s="199" t="e">
        <v>#NUM!</v>
      </c>
      <c r="U26" s="162"/>
      <c r="V26" s="230" t="e">
        <v>#NUM!</v>
      </c>
      <c r="W26" s="168" t="e">
        <f>_xll.qlSimpleQuoteSetValue(D26,V26/100,ISERROR(E26))</f>
        <v>#NUM!</v>
      </c>
      <c r="X26" s="158"/>
      <c r="Y26" s="190"/>
      <c r="Z26" s="191" t="e">
        <f t="shared" si="3"/>
        <v>#VALUE!</v>
      </c>
      <c r="AA26" s="190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HKD8x14F_Quote#0000</v>
      </c>
      <c r="F27" s="77" t="str">
        <f>_xll.ohRangeRetrieveError(E27)</f>
        <v/>
      </c>
      <c r="G27" s="65"/>
      <c r="I27" s="167"/>
      <c r="J27" s="203">
        <v>8</v>
      </c>
      <c r="K27" s="202" t="str">
        <f t="shared" si="5"/>
        <v>x14F</v>
      </c>
      <c r="L27" s="200" t="str">
        <f t="shared" si="1"/>
        <v>HKD8x14F</v>
      </c>
      <c r="M27" s="200" t="str">
        <v>HKD8X14F=PREA</v>
      </c>
      <c r="N27" s="201" t="s">
        <v>187</v>
      </c>
      <c r="O27" s="201" t="s">
        <v>187</v>
      </c>
      <c r="P27" s="200" t="s">
        <v>187</v>
      </c>
      <c r="Q27" s="200" t="s">
        <v>187</v>
      </c>
      <c r="R27" s="164" t="e">
        <f>_xll.qlMidSafe($N27,$O27)</f>
        <v>#NUM!</v>
      </c>
      <c r="S27" s="162"/>
      <c r="T27" s="199" t="e">
        <v>#NUM!</v>
      </c>
      <c r="U27" s="162"/>
      <c r="V27" s="230" t="e">
        <v>#NUM!</v>
      </c>
      <c r="W27" s="168" t="e">
        <f>_xll.qlSimpleQuoteSetValue(D27,V27/100,ISERROR(E27))</f>
        <v>#NUM!</v>
      </c>
      <c r="X27" s="158"/>
      <c r="Y27" s="190"/>
      <c r="Z27" s="191" t="e">
        <f t="shared" si="3"/>
        <v>#VALUE!</v>
      </c>
      <c r="AA27" s="190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HKD9x15F_Quote#0000</v>
      </c>
      <c r="F28" s="77" t="str">
        <f>_xll.ohRangeRetrieveError(E28)</f>
        <v/>
      </c>
      <c r="G28" s="65"/>
      <c r="I28" s="167"/>
      <c r="J28" s="203">
        <v>9</v>
      </c>
      <c r="K28" s="202" t="str">
        <f t="shared" si="5"/>
        <v>x15F</v>
      </c>
      <c r="L28" s="200" t="str">
        <f t="shared" si="1"/>
        <v>HKD9x15F</v>
      </c>
      <c r="M28" s="200" t="str">
        <v>HKD9X15F=PREA</v>
      </c>
      <c r="N28" s="201" t="s">
        <v>187</v>
      </c>
      <c r="O28" s="201" t="s">
        <v>187</v>
      </c>
      <c r="P28" s="200" t="s">
        <v>187</v>
      </c>
      <c r="Q28" s="200" t="s">
        <v>187</v>
      </c>
      <c r="R28" s="164" t="e">
        <f>_xll.qlMidSafe($N28,$O28)</f>
        <v>#NUM!</v>
      </c>
      <c r="S28" s="162"/>
      <c r="T28" s="199" t="e">
        <v>#NUM!</v>
      </c>
      <c r="U28" s="162"/>
      <c r="V28" s="230" t="e">
        <v>#NUM!</v>
      </c>
      <c r="W28" s="168" t="e">
        <f>_xll.qlSimpleQuoteSetValue(D28,V28/100,ISERROR(E28))</f>
        <v>#NUM!</v>
      </c>
      <c r="X28" s="158"/>
      <c r="Y28" s="190"/>
      <c r="Z28" s="191" t="e">
        <f t="shared" si="3"/>
        <v>#VALUE!</v>
      </c>
      <c r="AA28" s="190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HKD10x16F_Quote#0000</v>
      </c>
      <c r="F29" s="77" t="str">
        <f>_xll.ohRangeRetrieveError(E29)</f>
        <v/>
      </c>
      <c r="G29" s="65"/>
      <c r="I29" s="167"/>
      <c r="J29" s="203">
        <v>10</v>
      </c>
      <c r="K29" s="202" t="str">
        <f t="shared" si="5"/>
        <v>x16F</v>
      </c>
      <c r="L29" s="200" t="str">
        <f t="shared" si="1"/>
        <v>HKD10x16F</v>
      </c>
      <c r="M29" s="200" t="str">
        <v>HKD10X16F=PREA</v>
      </c>
      <c r="N29" s="201" t="s">
        <v>187</v>
      </c>
      <c r="O29" s="201" t="s">
        <v>187</v>
      </c>
      <c r="P29" s="200" t="s">
        <v>187</v>
      </c>
      <c r="Q29" s="200" t="s">
        <v>187</v>
      </c>
      <c r="R29" s="164" t="e">
        <f>_xll.qlMidSafe($N29,$O29)</f>
        <v>#NUM!</v>
      </c>
      <c r="S29" s="162"/>
      <c r="T29" s="199" t="e">
        <v>#NUM!</v>
      </c>
      <c r="U29" s="162"/>
      <c r="V29" s="230" t="e">
        <v>#NUM!</v>
      </c>
      <c r="W29" s="168" t="e">
        <f>_xll.qlSimpleQuoteSetValue(D29,V29/100,ISERROR(E29))</f>
        <v>#NUM!</v>
      </c>
      <c r="X29" s="158"/>
      <c r="Y29" s="190"/>
      <c r="Z29" s="191" t="e">
        <f t="shared" si="3"/>
        <v>#VALUE!</v>
      </c>
      <c r="AA29" s="190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HKD11x17F_Quote#0000</v>
      </c>
      <c r="F30" s="77" t="str">
        <f>_xll.ohRangeRetrieveError(E30)</f>
        <v/>
      </c>
      <c r="G30" s="65"/>
      <c r="I30" s="167"/>
      <c r="J30" s="203">
        <v>11</v>
      </c>
      <c r="K30" s="202" t="str">
        <f t="shared" si="5"/>
        <v>x17F</v>
      </c>
      <c r="L30" s="200" t="str">
        <f t="shared" si="1"/>
        <v>HKD11x17F</v>
      </c>
      <c r="M30" s="200" t="str">
        <v>HKD11X17F=PREA</v>
      </c>
      <c r="N30" s="201" t="s">
        <v>187</v>
      </c>
      <c r="O30" s="201" t="s">
        <v>187</v>
      </c>
      <c r="P30" s="200" t="s">
        <v>187</v>
      </c>
      <c r="Q30" s="200" t="s">
        <v>187</v>
      </c>
      <c r="R30" s="164" t="e">
        <f>_xll.qlMidSafe($N30,$O30)</f>
        <v>#NUM!</v>
      </c>
      <c r="S30" s="162"/>
      <c r="T30" s="199" t="e">
        <v>#NUM!</v>
      </c>
      <c r="U30" s="162"/>
      <c r="V30" s="230" t="e">
        <v>#NUM!</v>
      </c>
      <c r="W30" s="168" t="e">
        <f>_xll.qlSimpleQuoteSetValue(D30,V30/100,ISERROR(E30))</f>
        <v>#NUM!</v>
      </c>
      <c r="X30" s="158"/>
      <c r="Y30" s="190"/>
      <c r="Z30" s="191" t="e">
        <f t="shared" si="3"/>
        <v>#VALUE!</v>
      </c>
      <c r="AA30" s="190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HKD12x18F_Quote#0000</v>
      </c>
      <c r="F31" s="77" t="str">
        <f>_xll.ohRangeRetrieveError(E31)</f>
        <v/>
      </c>
      <c r="G31" s="65"/>
      <c r="I31" s="167"/>
      <c r="J31" s="203">
        <v>12</v>
      </c>
      <c r="K31" s="202" t="str">
        <f t="shared" si="5"/>
        <v>x18F</v>
      </c>
      <c r="L31" s="200" t="str">
        <f t="shared" si="1"/>
        <v>HKD12x18F</v>
      </c>
      <c r="M31" s="200" t="str">
        <v>HKD12X18F=PREA</v>
      </c>
      <c r="N31" s="201">
        <v>0.56000000000000005</v>
      </c>
      <c r="O31" s="201">
        <v>0.66</v>
      </c>
      <c r="P31" s="200">
        <v>0</v>
      </c>
      <c r="Q31" s="200">
        <v>0</v>
      </c>
      <c r="R31" s="164">
        <f>_xll.qlMidSafe($N31,$O31)</f>
        <v>0.6100000000000001</v>
      </c>
      <c r="S31" s="162"/>
      <c r="T31" s="199">
        <v>0.6100000000000001</v>
      </c>
      <c r="U31" s="162"/>
      <c r="V31" s="230">
        <v>0.6100000000000001</v>
      </c>
      <c r="W31" s="168">
        <f>_xll.qlSimpleQuoteSetValue(D31,V31/100,ISERROR(E31))</f>
        <v>0</v>
      </c>
      <c r="X31" s="158"/>
      <c r="Y31" s="190"/>
      <c r="Z31" s="191">
        <f t="shared" si="3"/>
        <v>9.9999999999999872E-4</v>
      </c>
      <c r="AA31" s="190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HKD13x19F_Quote#0000</v>
      </c>
      <c r="F32" s="77" t="str">
        <f>_xll.ohRangeRetrieveError(E32)</f>
        <v/>
      </c>
      <c r="G32" s="65"/>
      <c r="I32" s="167"/>
      <c r="J32" s="203">
        <v>13</v>
      </c>
      <c r="K32" s="202" t="str">
        <f t="shared" si="5"/>
        <v>x19F</v>
      </c>
      <c r="L32" s="200" t="str">
        <f t="shared" si="1"/>
        <v>HKD13x19F</v>
      </c>
      <c r="M32" s="200" t="str">
        <v>HKD13X19F=PREA</v>
      </c>
      <c r="N32" s="201" t="s">
        <v>187</v>
      </c>
      <c r="O32" s="201" t="s">
        <v>187</v>
      </c>
      <c r="P32" s="200" t="s">
        <v>187</v>
      </c>
      <c r="Q32" s="200" t="s">
        <v>187</v>
      </c>
      <c r="R32" s="164" t="e">
        <f>_xll.qlMidSafe($N32,$O32)</f>
        <v>#NUM!</v>
      </c>
      <c r="S32" s="162"/>
      <c r="T32" s="199" t="e">
        <v>#NUM!</v>
      </c>
      <c r="U32" s="162"/>
      <c r="V32" s="230" t="e">
        <v>#NUM!</v>
      </c>
      <c r="W32" s="168" t="e">
        <f>_xll.qlSimpleQuoteSetValue(D32,V32/100,ISERROR(E32))</f>
        <v>#NUM!</v>
      </c>
      <c r="X32" s="158"/>
      <c r="Y32" s="190"/>
      <c r="Z32" s="191" t="e">
        <f t="shared" si="3"/>
        <v>#VALUE!</v>
      </c>
      <c r="AA32" s="190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HKD14x20F_Quote#0000</v>
      </c>
      <c r="F33" s="77" t="str">
        <f>_xll.ohRangeRetrieveError(E33)</f>
        <v/>
      </c>
      <c r="G33" s="65"/>
      <c r="I33" s="167"/>
      <c r="J33" s="203">
        <v>14</v>
      </c>
      <c r="K33" s="202" t="str">
        <f t="shared" si="5"/>
        <v>x20F</v>
      </c>
      <c r="L33" s="200" t="str">
        <f t="shared" si="1"/>
        <v>HKD14x20F</v>
      </c>
      <c r="M33" s="200" t="str">
        <v>HKD14X20F=PREA</v>
      </c>
      <c r="N33" s="201" t="s">
        <v>187</v>
      </c>
      <c r="O33" s="201" t="s">
        <v>187</v>
      </c>
      <c r="P33" s="200" t="s">
        <v>187</v>
      </c>
      <c r="Q33" s="200" t="s">
        <v>187</v>
      </c>
      <c r="R33" s="164" t="e">
        <f>_xll.qlMidSafe($N33,$O33)</f>
        <v>#NUM!</v>
      </c>
      <c r="S33" s="162"/>
      <c r="T33" s="199" t="e">
        <v>#NUM!</v>
      </c>
      <c r="U33" s="162"/>
      <c r="V33" s="230" t="e">
        <v>#NUM!</v>
      </c>
      <c r="W33" s="168" t="e">
        <f>_xll.qlSimpleQuoteSetValue(D33,V33/100,ISERROR(E33))</f>
        <v>#NUM!</v>
      </c>
      <c r="X33" s="158"/>
      <c r="Y33" s="190"/>
      <c r="Z33" s="191" t="e">
        <f t="shared" si="3"/>
        <v>#VALUE!</v>
      </c>
      <c r="AA33" s="190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HKD15x21F_Quote#0000</v>
      </c>
      <c r="F34" s="77" t="str">
        <f>_xll.ohRangeRetrieveError(E34)</f>
        <v/>
      </c>
      <c r="G34" s="65"/>
      <c r="I34" s="167"/>
      <c r="J34" s="203">
        <v>15</v>
      </c>
      <c r="K34" s="202" t="str">
        <f t="shared" si="5"/>
        <v>x21F</v>
      </c>
      <c r="L34" s="200" t="str">
        <f t="shared" si="1"/>
        <v>HKD15x21F</v>
      </c>
      <c r="M34" s="200" t="str">
        <v>HKD15X21F=PREA</v>
      </c>
      <c r="N34" s="201" t="s">
        <v>187</v>
      </c>
      <c r="O34" s="201" t="s">
        <v>187</v>
      </c>
      <c r="P34" s="200" t="s">
        <v>187</v>
      </c>
      <c r="Q34" s="200" t="s">
        <v>187</v>
      </c>
      <c r="R34" s="164" t="e">
        <f>_xll.qlMidSafe($N34,$O34)</f>
        <v>#NUM!</v>
      </c>
      <c r="S34" s="162"/>
      <c r="T34" s="199" t="e">
        <v>#NUM!</v>
      </c>
      <c r="U34" s="162"/>
      <c r="V34" s="230" t="e">
        <v>#NUM!</v>
      </c>
      <c r="W34" s="168" t="e">
        <f>_xll.qlSimpleQuoteSetValue(D34,V34/100,ISERROR(E34))</f>
        <v>#NUM!</v>
      </c>
      <c r="X34" s="158"/>
      <c r="Y34" s="190"/>
      <c r="Z34" s="191" t="e">
        <f t="shared" si="3"/>
        <v>#VALUE!</v>
      </c>
      <c r="AA34" s="190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HKD16x22F_Quote#0000</v>
      </c>
      <c r="F35" s="77" t="str">
        <f>_xll.ohRangeRetrieveError(E35)</f>
        <v/>
      </c>
      <c r="G35" s="65"/>
      <c r="I35" s="167"/>
      <c r="J35" s="203">
        <v>16</v>
      </c>
      <c r="K35" s="202" t="str">
        <f t="shared" si="5"/>
        <v>x22F</v>
      </c>
      <c r="L35" s="200" t="str">
        <f t="shared" si="1"/>
        <v>HKD16x22F</v>
      </c>
      <c r="M35" s="200" t="str">
        <v>HKD16X22F=PREA</v>
      </c>
      <c r="N35" s="201" t="s">
        <v>187</v>
      </c>
      <c r="O35" s="201" t="s">
        <v>187</v>
      </c>
      <c r="P35" s="200" t="s">
        <v>187</v>
      </c>
      <c r="Q35" s="200" t="s">
        <v>187</v>
      </c>
      <c r="R35" s="164" t="e">
        <f>_xll.qlMidSafe($N35,$O35)</f>
        <v>#NUM!</v>
      </c>
      <c r="S35" s="162"/>
      <c r="T35" s="199" t="e">
        <v>#NUM!</v>
      </c>
      <c r="U35" s="162"/>
      <c r="V35" s="230" t="e">
        <v>#NUM!</v>
      </c>
      <c r="W35" s="168" t="e">
        <f>_xll.qlSimpleQuoteSetValue(D35,V35/100,ISERROR(E35))</f>
        <v>#NUM!</v>
      </c>
      <c r="X35" s="158"/>
      <c r="Y35" s="190"/>
      <c r="Z35" s="191" t="e">
        <f t="shared" si="3"/>
        <v>#VALUE!</v>
      </c>
      <c r="AA35" s="190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HKD17x23F_Quote#0000</v>
      </c>
      <c r="F36" s="77" t="str">
        <f>_xll.ohRangeRetrieveError(E36)</f>
        <v/>
      </c>
      <c r="G36" s="65"/>
      <c r="I36" s="167"/>
      <c r="J36" s="203">
        <v>17</v>
      </c>
      <c r="K36" s="202" t="str">
        <f t="shared" si="5"/>
        <v>x23F</v>
      </c>
      <c r="L36" s="200" t="str">
        <f t="shared" si="1"/>
        <v>HKD17x23F</v>
      </c>
      <c r="M36" s="200" t="str">
        <v>HKD17X23F=PREA</v>
      </c>
      <c r="N36" s="201" t="s">
        <v>187</v>
      </c>
      <c r="O36" s="201" t="s">
        <v>187</v>
      </c>
      <c r="P36" s="200" t="s">
        <v>187</v>
      </c>
      <c r="Q36" s="200" t="s">
        <v>187</v>
      </c>
      <c r="R36" s="164" t="e">
        <f>_xll.qlMidSafe($N36,$O36)</f>
        <v>#NUM!</v>
      </c>
      <c r="S36" s="162"/>
      <c r="T36" s="199" t="e">
        <v>#NUM!</v>
      </c>
      <c r="U36" s="162"/>
      <c r="V36" s="230" t="e">
        <v>#NUM!</v>
      </c>
      <c r="W36" s="168" t="e">
        <f>_xll.qlSimpleQuoteSetValue(D36,V36/100,ISERROR(E36))</f>
        <v>#NUM!</v>
      </c>
      <c r="X36" s="158"/>
      <c r="Y36" s="190"/>
      <c r="Z36" s="191" t="e">
        <f t="shared" si="3"/>
        <v>#VALUE!</v>
      </c>
      <c r="AA36" s="190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HKD18x24F_Quote#0000</v>
      </c>
      <c r="F37" s="66" t="str">
        <f>_xll.ohRangeRetrieveError(E37)</f>
        <v/>
      </c>
      <c r="G37" s="65"/>
      <c r="I37" s="167"/>
      <c r="J37" s="203">
        <v>18</v>
      </c>
      <c r="K37" s="202" t="str">
        <f t="shared" si="5"/>
        <v>x24F</v>
      </c>
      <c r="L37" s="200" t="str">
        <f t="shared" si="1"/>
        <v>HKD18x24F</v>
      </c>
      <c r="M37" s="200" t="str">
        <v>HKD18X24F=PREA</v>
      </c>
      <c r="N37" s="201">
        <v>0.73</v>
      </c>
      <c r="O37" s="201">
        <v>0.83000000000000007</v>
      </c>
      <c r="P37" s="200">
        <v>0</v>
      </c>
      <c r="Q37" s="200">
        <v>0</v>
      </c>
      <c r="R37" s="164">
        <f>_xll.qlMidSafe($N37,$O37)</f>
        <v>0.78</v>
      </c>
      <c r="S37" s="162"/>
      <c r="T37" s="199">
        <v>0.78</v>
      </c>
      <c r="U37" s="162"/>
      <c r="V37" s="230">
        <v>0.78</v>
      </c>
      <c r="W37" s="168">
        <f>_xll.qlSimpleQuoteSetValue(D37,V37/100,ISERROR(E37))</f>
        <v>0</v>
      </c>
      <c r="X37" s="158"/>
      <c r="Y37" s="190"/>
      <c r="Z37" s="191">
        <f t="shared" si="3"/>
        <v>1.0000000000000009E-3</v>
      </c>
      <c r="AA37" s="190"/>
    </row>
    <row r="38" spans="1:27" x14ac:dyDescent="0.2">
      <c r="A38" s="71"/>
      <c r="B38" s="75" t="s">
        <v>84</v>
      </c>
      <c r="C38" s="76" t="s">
        <v>82</v>
      </c>
      <c r="D38" s="75" t="str">
        <f t="shared" si="0"/>
        <v>HKDT12F1_Quote</v>
      </c>
      <c r="E38" s="74" t="str">
        <f>_xll.qlSimpleQuote(D38,,RateTickValue,Permanent,Trigger,ObjectOverwrite)</f>
        <v>HKDT12F1_Quote#0000</v>
      </c>
      <c r="F38" s="73" t="str">
        <f>_xll.ohRangeRetrieveError(E38)</f>
        <v/>
      </c>
      <c r="G38" s="65"/>
      <c r="I38" s="167"/>
      <c r="J38" s="198">
        <v>12</v>
      </c>
      <c r="K38" s="197" t="str">
        <f>"x"&amp;J38+12&amp;"F"</f>
        <v>x24F</v>
      </c>
      <c r="L38" s="195" t="str">
        <f t="shared" si="1"/>
        <v>HKD12x24F</v>
      </c>
      <c r="M38" s="195" t="str">
        <v>HKD12X24F=PREA</v>
      </c>
      <c r="N38" s="196" t="s">
        <v>187</v>
      </c>
      <c r="O38" s="196" t="s">
        <v>187</v>
      </c>
      <c r="P38" s="195" t="s">
        <v>187</v>
      </c>
      <c r="Q38" s="195" t="s">
        <v>187</v>
      </c>
      <c r="R38" s="194" t="e">
        <f>_xll.qlMidSafe($N38,$O38)</f>
        <v>#NUM!</v>
      </c>
      <c r="S38" s="162"/>
      <c r="T38" s="193" t="e">
        <v>#NUM!</v>
      </c>
      <c r="U38" s="162"/>
      <c r="V38" s="321" t="e">
        <v>#NUM!</v>
      </c>
      <c r="W38" s="192" t="e">
        <f>_xll.qlSimpleQuoteSetValue(D38,V38/100,ISERROR(E38))</f>
        <v>#NUM!</v>
      </c>
      <c r="X38" s="158"/>
      <c r="Y38" s="190"/>
      <c r="Z38" s="191" t="e">
        <f t="shared" si="3"/>
        <v>#VALUE!</v>
      </c>
      <c r="AA38" s="190"/>
    </row>
    <row r="39" spans="1:27" ht="13.5" thickBot="1" x14ac:dyDescent="0.25">
      <c r="A39" s="71"/>
      <c r="B39" s="68" t="s">
        <v>83</v>
      </c>
      <c r="C39" s="72" t="s">
        <v>82</v>
      </c>
      <c r="D39" s="68" t="str">
        <f t="shared" si="0"/>
        <v>HKDTOM12F1_Quote</v>
      </c>
      <c r="E39" s="67" t="str">
        <f>_xll.qlSimpleQuote(D39,,RateTickValue,Permanent,Trigger,ObjectOverwrite)</f>
        <v>HKDTOM12F1_Quote#0000</v>
      </c>
      <c r="F39" s="66" t="str">
        <f>_xll.ohRangeRetrieveError(E39)</f>
        <v/>
      </c>
      <c r="G39" s="65"/>
      <c r="I39" s="157"/>
      <c r="J39" s="156"/>
      <c r="K39" s="156"/>
      <c r="L39" s="156"/>
      <c r="M39" s="156"/>
      <c r="N39" s="156"/>
      <c r="O39" s="156"/>
      <c r="P39" s="156"/>
      <c r="Q39" s="156"/>
      <c r="R39" s="156"/>
      <c r="S39" s="155"/>
      <c r="T39" s="156"/>
      <c r="U39" s="155"/>
      <c r="V39" s="156"/>
      <c r="W39" s="156"/>
      <c r="X39" s="154"/>
      <c r="Y39" s="190"/>
      <c r="Z39" s="190"/>
      <c r="AA39" s="190"/>
    </row>
    <row r="40" spans="1:27" x14ac:dyDescent="0.2">
      <c r="A40" s="71"/>
      <c r="B40" s="70">
        <v>12</v>
      </c>
      <c r="C40" s="69" t="s">
        <v>81</v>
      </c>
      <c r="D40" s="68" t="str">
        <f t="shared" si="0"/>
        <v>HKD12x24F_Quote</v>
      </c>
      <c r="E40" s="67" t="str">
        <f>_xll.qlSimpleQuote(D40,,RateTickValue,Permanent,Trigger,ObjectOverwrite)</f>
        <v>HKD12x24F_Quote#0000</v>
      </c>
      <c r="F40" s="66" t="str">
        <f>_xll.ohRangeRetrieveError(E40)</f>
        <v/>
      </c>
      <c r="G40" s="65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</row>
    <row r="42" spans="1:27" ht="15" x14ac:dyDescent="0.25"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/>
      <c r="X42" s="190"/>
      <c r="Y42" s="190"/>
      <c r="Z42" s="190"/>
      <c r="AA42" s="190"/>
    </row>
    <row r="43" spans="1:27" ht="15" x14ac:dyDescent="0.25"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/>
      <c r="X43" s="190"/>
      <c r="Y43" s="190"/>
      <c r="Z43" s="190"/>
      <c r="AA43" s="190"/>
    </row>
    <row r="44" spans="1:27" x14ac:dyDescent="0.2"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</row>
    <row r="45" spans="1:27" x14ac:dyDescent="0.2"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</row>
    <row r="46" spans="1:27" x14ac:dyDescent="0.2"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</row>
    <row r="47" spans="1:27" x14ac:dyDescent="0.2"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0"/>
      <c r="AA47" s="190"/>
    </row>
    <row r="48" spans="1:27" x14ac:dyDescent="0.2"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</row>
    <row r="49" spans="9:27" x14ac:dyDescent="0.2"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0"/>
      <c r="AA49" s="190"/>
    </row>
    <row r="50" spans="9:27" x14ac:dyDescent="0.2"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</row>
    <row r="51" spans="9:27" x14ac:dyDescent="0.2"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</row>
    <row r="52" spans="9:27" x14ac:dyDescent="0.2"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</row>
    <row r="53" spans="9:27" x14ac:dyDescent="0.2"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</row>
    <row r="54" spans="9:27" x14ac:dyDescent="0.2"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0"/>
      <c r="AA54" s="190"/>
    </row>
    <row r="55" spans="9:27" x14ac:dyDescent="0.2"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>
      <selection activeCell="W4" sqref="W4:W39"/>
    </sheetView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1" customFormat="1" ht="12" thickBot="1" x14ac:dyDescent="0.25">
      <c r="A1" s="141" t="s">
        <v>180</v>
      </c>
      <c r="J1" s="188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249"/>
      <c r="W1" s="249"/>
      <c r="X1" s="187"/>
      <c r="Y1" s="187"/>
      <c r="Z1" s="187"/>
      <c r="AA1" s="248"/>
      <c r="AB1" s="190"/>
      <c r="AC1" s="190"/>
      <c r="AD1" s="190"/>
    </row>
    <row r="2" spans="1:30" x14ac:dyDescent="0.2">
      <c r="A2" s="103"/>
      <c r="B2" s="102"/>
      <c r="C2" s="102"/>
      <c r="D2" s="36" t="s">
        <v>104</v>
      </c>
      <c r="E2" s="36" t="s">
        <v>105</v>
      </c>
      <c r="F2" s="101"/>
      <c r="G2" s="101"/>
      <c r="H2" s="100"/>
      <c r="J2" s="185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162"/>
      <c r="W2" s="162"/>
      <c r="X2" s="220"/>
      <c r="Y2" s="220"/>
      <c r="Z2" s="181">
        <f>_xll.ohTrigger(Z4:Z39)</f>
        <v>2</v>
      </c>
      <c r="AA2" s="247"/>
      <c r="AB2" s="190"/>
      <c r="AC2" s="190"/>
      <c r="AD2" s="190"/>
    </row>
    <row r="3" spans="1:30" ht="22.5" x14ac:dyDescent="0.2">
      <c r="A3" s="99"/>
      <c r="B3" s="42" t="s">
        <v>102</v>
      </c>
      <c r="C3" s="43" t="s">
        <v>101</v>
      </c>
      <c r="D3" s="43" t="s">
        <v>100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28" t="s">
        <v>182</v>
      </c>
      <c r="J3" s="185"/>
      <c r="K3" s="255" t="s">
        <v>102</v>
      </c>
      <c r="L3" s="251" t="s">
        <v>101</v>
      </c>
      <c r="M3" s="251" t="s">
        <v>100</v>
      </c>
      <c r="N3" s="251" t="s">
        <v>162</v>
      </c>
      <c r="O3" s="254" t="str">
        <f>_xll.RData(O4:O39,P3:T3,,ReutersRtMode,,P4)</f>
        <v>Updated at 17:55:23</v>
      </c>
      <c r="P3" s="251" t="s">
        <v>161</v>
      </c>
      <c r="Q3" s="251" t="s">
        <v>160</v>
      </c>
      <c r="R3" s="251" t="s">
        <v>145</v>
      </c>
      <c r="S3" s="251" t="s">
        <v>144</v>
      </c>
      <c r="T3" s="251" t="s">
        <v>159</v>
      </c>
      <c r="U3" s="253" t="s">
        <v>158</v>
      </c>
      <c r="V3" s="162"/>
      <c r="W3" s="252" t="s">
        <v>139</v>
      </c>
      <c r="X3" s="162"/>
      <c r="Y3" s="255" t="s">
        <v>137</v>
      </c>
      <c r="Z3" s="250" t="s">
        <v>136</v>
      </c>
      <c r="AA3" s="183"/>
      <c r="AB3" s="190"/>
      <c r="AC3" s="215" t="s">
        <v>157</v>
      </c>
      <c r="AD3" s="190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Z3</v>
      </c>
      <c r="E4" s="89" t="str">
        <f t="shared" ref="E4:E35" si="0">Currency&amp;$D$2&amp;$E$2&amp;$D4&amp;QuoteSuffix</f>
        <v>HKDFUT3MZ3_Quote</v>
      </c>
      <c r="F4" s="95" t="str">
        <f>_xll.qlSimpleQuote(E4,,PriceTickValue,Permanent,Trigger,ObjectOverwrite)</f>
        <v>HKDFUT3MZ3_Quote#0000</v>
      </c>
      <c r="G4" s="94" t="str">
        <f>_xll.ohRangeRetrieveError(F4)</f>
        <v/>
      </c>
      <c r="H4" s="65"/>
      <c r="J4" s="229"/>
      <c r="K4" s="246">
        <v>1</v>
      </c>
      <c r="L4" s="245" t="b">
        <v>0</v>
      </c>
      <c r="M4" s="173" t="str">
        <f t="array" ref="M4:M39">_xll.qlIMMcode(FuturesDates)</f>
        <v>Z3</v>
      </c>
      <c r="N4" s="244">
        <f t="array" ref="N4:N39">_xll.qlIMMNextDates(_xll.qlSettingsEvaluationDate(Trigger)-1,$L4:$L39)</f>
        <v>41626</v>
      </c>
      <c r="O4" s="173" t="str">
        <f>"HIR"&amp;M4</f>
        <v>HIRZ3</v>
      </c>
      <c r="P4" s="243">
        <v>41624</v>
      </c>
      <c r="Q4" s="173">
        <v>99.54</v>
      </c>
      <c r="R4" s="173">
        <v>99.64</v>
      </c>
      <c r="S4" s="173">
        <v>0</v>
      </c>
      <c r="T4" s="173">
        <v>99.58</v>
      </c>
      <c r="U4" s="175">
        <f>_xll.qlMidSafe($Q4,$R4)</f>
        <v>99.59</v>
      </c>
      <c r="V4" s="162"/>
      <c r="W4" s="242">
        <v>99.59</v>
      </c>
      <c r="X4" s="162"/>
      <c r="Y4" s="241">
        <f t="array" ref="Y4:Y39">QuoteLive</f>
        <v>99.59</v>
      </c>
      <c r="Z4" s="175">
        <f>_xll.qlSimpleQuoteSetValue(E4,$Y4,ISERROR(F4))</f>
        <v>0</v>
      </c>
      <c r="AA4" s="183"/>
      <c r="AB4" s="190"/>
      <c r="AC4" s="191">
        <f t="shared" ref="AC4:AC39" si="1">(R4-U4)/50</f>
        <v>9.9999999999994321E-4</v>
      </c>
      <c r="AD4" s="190"/>
    </row>
    <row r="5" spans="1:30" x14ac:dyDescent="0.2">
      <c r="A5" s="93"/>
      <c r="B5" s="92">
        <v>2</v>
      </c>
      <c r="C5" s="91" t="b">
        <v>0</v>
      </c>
      <c r="D5" s="90" t="str">
        <v>F4</v>
      </c>
      <c r="E5" s="89" t="str">
        <f t="shared" si="0"/>
        <v>HKDFUT3MF4_Quote</v>
      </c>
      <c r="F5" s="95" t="str">
        <f>_xll.qlSimpleQuote(E5,,PriceTickValue,Permanent,Trigger,ObjectOverwrite)</f>
        <v>HKDFUT3MF4_Quote#0000</v>
      </c>
      <c r="G5" s="52" t="str">
        <f>_xll.ohRangeRetrieveError(F5)</f>
        <v/>
      </c>
      <c r="H5" s="65"/>
      <c r="J5" s="229"/>
      <c r="K5" s="235">
        <v>2</v>
      </c>
      <c r="L5" s="234" t="b">
        <v>0</v>
      </c>
      <c r="M5" s="169" t="str">
        <v>F4</v>
      </c>
      <c r="N5" s="233">
        <v>41654</v>
      </c>
      <c r="O5" s="169" t="str">
        <f t="shared" ref="O5:O39" si="2">"HIR"&amp;M5</f>
        <v>HIRF4</v>
      </c>
      <c r="P5" s="232">
        <v>41652</v>
      </c>
      <c r="Q5" s="169">
        <v>99.54</v>
      </c>
      <c r="R5" s="169">
        <v>99.64</v>
      </c>
      <c r="S5" s="169">
        <v>0</v>
      </c>
      <c r="T5" s="169">
        <v>99.58</v>
      </c>
      <c r="U5" s="164">
        <f>_xll.qlMidSafe($Q5,$R5)</f>
        <v>99.59</v>
      </c>
      <c r="V5" s="162"/>
      <c r="W5" s="240">
        <v>99.59</v>
      </c>
      <c r="X5" s="162"/>
      <c r="Y5" s="230">
        <v>99.59</v>
      </c>
      <c r="Z5" s="164">
        <f>_xll.qlSimpleQuoteSetValue(E5,$Y5,ISERROR(F5))</f>
        <v>0</v>
      </c>
      <c r="AA5" s="183"/>
      <c r="AB5" s="190"/>
      <c r="AC5" s="191">
        <f t="shared" si="1"/>
        <v>9.9999999999994321E-4</v>
      </c>
      <c r="AD5" s="190"/>
    </row>
    <row r="6" spans="1:30" x14ac:dyDescent="0.2">
      <c r="A6" s="93"/>
      <c r="B6" s="92">
        <v>3</v>
      </c>
      <c r="C6" s="91" t="b">
        <v>0</v>
      </c>
      <c r="D6" s="90" t="str">
        <v>G4</v>
      </c>
      <c r="E6" s="89" t="str">
        <f t="shared" si="0"/>
        <v>HKDFUT3MG4_Quote</v>
      </c>
      <c r="F6" s="95" t="str">
        <f>_xll.qlSimpleQuote(E6,,PriceTickValue,Permanent,Trigger,ObjectOverwrite)</f>
        <v>HKDFUT3MG4_Quote#0000</v>
      </c>
      <c r="G6" s="52" t="str">
        <f>_xll.ohRangeRetrieveError(F6)</f>
        <v/>
      </c>
      <c r="H6" s="65"/>
      <c r="J6" s="229"/>
      <c r="K6" s="235">
        <v>3</v>
      </c>
      <c r="L6" s="234" t="b">
        <v>0</v>
      </c>
      <c r="M6" s="169" t="str">
        <v>G4</v>
      </c>
      <c r="N6" s="233">
        <v>41689</v>
      </c>
      <c r="O6" s="169" t="str">
        <f t="shared" si="2"/>
        <v>HIRG4</v>
      </c>
      <c r="P6" s="232">
        <v>41687</v>
      </c>
      <c r="Q6" s="169">
        <v>99.54</v>
      </c>
      <c r="R6" s="169">
        <v>99.64</v>
      </c>
      <c r="S6" s="169">
        <v>0</v>
      </c>
      <c r="T6" s="169">
        <v>99.58</v>
      </c>
      <c r="U6" s="164">
        <f>_xll.qlMidSafe($Q6,$R6)</f>
        <v>99.59</v>
      </c>
      <c r="V6" s="162"/>
      <c r="W6" s="240">
        <v>99.59</v>
      </c>
      <c r="X6" s="162"/>
      <c r="Y6" s="230">
        <v>99.59</v>
      </c>
      <c r="Z6" s="164">
        <f>_xll.qlSimpleQuoteSetValue(E6,$Y6,ISERROR(F6))</f>
        <v>0</v>
      </c>
      <c r="AA6" s="183"/>
      <c r="AB6" s="190"/>
      <c r="AC6" s="191">
        <f t="shared" si="1"/>
        <v>9.9999999999994321E-4</v>
      </c>
      <c r="AD6" s="190"/>
    </row>
    <row r="7" spans="1:30" x14ac:dyDescent="0.2">
      <c r="A7" s="93"/>
      <c r="B7" s="92">
        <v>4</v>
      </c>
      <c r="C7" s="91" t="b">
        <v>0</v>
      </c>
      <c r="D7" s="90" t="str">
        <v>H4</v>
      </c>
      <c r="E7" s="89" t="str">
        <f t="shared" si="0"/>
        <v>HKDFUT3MH4_Quote</v>
      </c>
      <c r="F7" s="95" t="str">
        <f>_xll.qlSimpleQuote(E7,,PriceTickValue,Permanent,Trigger,ObjectOverwrite)</f>
        <v>HKDFUT3MH4_Quote#0000</v>
      </c>
      <c r="G7" s="52" t="str">
        <f>_xll.ohRangeRetrieveError(F7)</f>
        <v/>
      </c>
      <c r="H7" s="65"/>
      <c r="J7" s="229"/>
      <c r="K7" s="235">
        <v>4</v>
      </c>
      <c r="L7" s="234" t="b">
        <v>0</v>
      </c>
      <c r="M7" s="169" t="str">
        <v>H4</v>
      </c>
      <c r="N7" s="233">
        <v>41717</v>
      </c>
      <c r="O7" s="169" t="str">
        <f t="shared" si="2"/>
        <v>HIRH4</v>
      </c>
      <c r="P7" s="232">
        <v>41715</v>
      </c>
      <c r="Q7" s="169">
        <v>99.53</v>
      </c>
      <c r="R7" s="169">
        <v>99.63</v>
      </c>
      <c r="S7" s="169">
        <v>0</v>
      </c>
      <c r="T7" s="169">
        <v>99.570000000000007</v>
      </c>
      <c r="U7" s="164">
        <f>_xll.qlMidSafe($Q7,$R7)</f>
        <v>99.58</v>
      </c>
      <c r="V7" s="162"/>
      <c r="W7" s="240">
        <v>99.58</v>
      </c>
      <c r="X7" s="162"/>
      <c r="Y7" s="230">
        <v>99.58</v>
      </c>
      <c r="Z7" s="164">
        <f>_xll.qlSimpleQuoteSetValue(E7,$Y7,ISERROR(F7))</f>
        <v>0</v>
      </c>
      <c r="AA7" s="183"/>
      <c r="AB7" s="190"/>
      <c r="AC7" s="191">
        <f t="shared" si="1"/>
        <v>9.9999999999994321E-4</v>
      </c>
      <c r="AD7" s="190"/>
    </row>
    <row r="8" spans="1:30" x14ac:dyDescent="0.2">
      <c r="A8" s="93"/>
      <c r="B8" s="92">
        <v>5</v>
      </c>
      <c r="C8" s="91" t="b">
        <v>0</v>
      </c>
      <c r="D8" s="90" t="str">
        <v>J4</v>
      </c>
      <c r="E8" s="89" t="str">
        <f t="shared" si="0"/>
        <v>HKDFUT3MJ4_Quote</v>
      </c>
      <c r="F8" s="95" t="str">
        <f>_xll.qlSimpleQuote(E8,,PriceTickValue,Permanent,Trigger,ObjectOverwrite)</f>
        <v>HKDFUT3MJ4_Quote#0000</v>
      </c>
      <c r="G8" s="52" t="str">
        <f>_xll.ohRangeRetrieveError(F8)</f>
        <v/>
      </c>
      <c r="H8" s="65"/>
      <c r="J8" s="229"/>
      <c r="K8" s="235">
        <v>5</v>
      </c>
      <c r="L8" s="234" t="b">
        <v>0</v>
      </c>
      <c r="M8" s="169" t="str">
        <v>J4</v>
      </c>
      <c r="N8" s="233">
        <v>41745</v>
      </c>
      <c r="O8" s="169" t="str">
        <f t="shared" si="2"/>
        <v>HIRJ4</v>
      </c>
      <c r="P8" s="232" t="s">
        <v>187</v>
      </c>
      <c r="Q8" s="169" t="s">
        <v>187</v>
      </c>
      <c r="R8" s="169" t="s">
        <v>187</v>
      </c>
      <c r="S8" s="169" t="s">
        <v>187</v>
      </c>
      <c r="T8" s="169" t="s">
        <v>187</v>
      </c>
      <c r="U8" s="164" t="e">
        <f>_xll.qlMidSafe($Q8,$R8)</f>
        <v>#NUM!</v>
      </c>
      <c r="V8" s="162"/>
      <c r="W8" s="231" t="e">
        <v>#NUM!</v>
      </c>
      <c r="X8" s="162"/>
      <c r="Y8" s="230" t="e">
        <v>#NUM!</v>
      </c>
      <c r="Z8" s="164" t="e">
        <f>_xll.qlSimpleQuoteSetValue(E8,$Y8,ISERROR(F8))</f>
        <v>#NUM!</v>
      </c>
      <c r="AA8" s="183"/>
      <c r="AB8" s="190"/>
      <c r="AC8" s="191" t="e">
        <f t="shared" si="1"/>
        <v>#VALUE!</v>
      </c>
      <c r="AD8" s="190"/>
    </row>
    <row r="9" spans="1:30" x14ac:dyDescent="0.2">
      <c r="A9" s="93"/>
      <c r="B9" s="92">
        <v>6</v>
      </c>
      <c r="C9" s="91" t="b">
        <v>0</v>
      </c>
      <c r="D9" s="90" t="str">
        <v>K4</v>
      </c>
      <c r="E9" s="89" t="str">
        <f t="shared" si="0"/>
        <v>HKDFUT3MK4_Quote</v>
      </c>
      <c r="F9" s="95" t="str">
        <f>_xll.qlSimpleQuote(E9,,PriceTickValue,Permanent,Trigger,ObjectOverwrite)</f>
        <v>HKDFUT3MK4_Quote#0000</v>
      </c>
      <c r="G9" s="52" t="str">
        <f>_xll.ohRangeRetrieveError(F9)</f>
        <v/>
      </c>
      <c r="H9" s="65"/>
      <c r="J9" s="229"/>
      <c r="K9" s="235">
        <v>6</v>
      </c>
      <c r="L9" s="234" t="b">
        <v>0</v>
      </c>
      <c r="M9" s="169" t="str">
        <v>K4</v>
      </c>
      <c r="N9" s="233">
        <v>41780</v>
      </c>
      <c r="O9" s="169" t="str">
        <f t="shared" si="2"/>
        <v>HIRK4</v>
      </c>
      <c r="P9" s="232" t="s">
        <v>187</v>
      </c>
      <c r="Q9" s="169" t="s">
        <v>187</v>
      </c>
      <c r="R9" s="169" t="s">
        <v>187</v>
      </c>
      <c r="S9" s="169" t="s">
        <v>187</v>
      </c>
      <c r="T9" s="169" t="s">
        <v>187</v>
      </c>
      <c r="U9" s="164" t="e">
        <f>_xll.qlMidSafe($Q9,$R9)</f>
        <v>#NUM!</v>
      </c>
      <c r="V9" s="162"/>
      <c r="W9" s="231" t="e">
        <v>#NUM!</v>
      </c>
      <c r="X9" s="162"/>
      <c r="Y9" s="230" t="e">
        <v>#NUM!</v>
      </c>
      <c r="Z9" s="164" t="e">
        <f>_xll.qlSimpleQuoteSetValue(E9,$Y9,ISERROR(F9))</f>
        <v>#NUM!</v>
      </c>
      <c r="AA9" s="183"/>
      <c r="AB9" s="190"/>
      <c r="AC9" s="191" t="e">
        <f t="shared" si="1"/>
        <v>#VALUE!</v>
      </c>
      <c r="AD9" s="190"/>
    </row>
    <row r="10" spans="1:30" x14ac:dyDescent="0.2">
      <c r="A10" s="93"/>
      <c r="B10" s="92">
        <v>7</v>
      </c>
      <c r="C10" s="91" t="b">
        <v>0</v>
      </c>
      <c r="D10" s="90" t="str">
        <v>M4</v>
      </c>
      <c r="E10" s="89" t="str">
        <f t="shared" si="0"/>
        <v>HKDFUT3MM4_Quote</v>
      </c>
      <c r="F10" s="95" t="str">
        <f>_xll.qlSimpleQuote(E10,,PriceTickValue,Permanent,Trigger,ObjectOverwrite)</f>
        <v>HKDFUT3MM4_Quote#0000</v>
      </c>
      <c r="G10" s="52" t="str">
        <f>_xll.ohRangeRetrieveError(F10)</f>
        <v/>
      </c>
      <c r="H10" s="65"/>
      <c r="J10" s="229"/>
      <c r="K10" s="235">
        <v>7</v>
      </c>
      <c r="L10" s="234" t="b">
        <v>0</v>
      </c>
      <c r="M10" s="169" t="str">
        <v>M4</v>
      </c>
      <c r="N10" s="233">
        <v>41808</v>
      </c>
      <c r="O10" s="169" t="str">
        <f t="shared" si="2"/>
        <v>HIRM4</v>
      </c>
      <c r="P10" s="232">
        <v>41806</v>
      </c>
      <c r="Q10" s="169">
        <v>99.5</v>
      </c>
      <c r="R10" s="169">
        <v>99.58</v>
      </c>
      <c r="S10" s="169">
        <v>0</v>
      </c>
      <c r="T10" s="169">
        <v>99.54</v>
      </c>
      <c r="U10" s="164">
        <f>_xll.qlMidSafe($Q10,$R10)</f>
        <v>99.539999999999992</v>
      </c>
      <c r="V10" s="162"/>
      <c r="W10" s="231">
        <v>99.539999999999992</v>
      </c>
      <c r="X10" s="162"/>
      <c r="Y10" s="230">
        <v>99.539999999999992</v>
      </c>
      <c r="Z10" s="164">
        <f>_xll.qlSimpleQuoteSetValue(E10,$Y10,ISERROR(F10))</f>
        <v>0</v>
      </c>
      <c r="AA10" s="183"/>
      <c r="AB10" s="190"/>
      <c r="AC10" s="191">
        <f t="shared" si="1"/>
        <v>8.0000000000012505E-4</v>
      </c>
      <c r="AD10" s="190"/>
    </row>
    <row r="11" spans="1:30" x14ac:dyDescent="0.2">
      <c r="A11" s="93"/>
      <c r="B11" s="92">
        <v>8</v>
      </c>
      <c r="C11" s="91" t="b">
        <v>0</v>
      </c>
      <c r="D11" s="90" t="str">
        <v>N4</v>
      </c>
      <c r="E11" s="89" t="str">
        <f t="shared" si="0"/>
        <v>HKDFUT3MN4_Quote</v>
      </c>
      <c r="F11" s="95" t="str">
        <f>_xll.qlSimpleQuote(E11,,PriceTickValue,Permanent,Trigger,ObjectOverwrite)</f>
        <v>HKDFUT3MN4_Quote#0000</v>
      </c>
      <c r="G11" s="52" t="str">
        <f>_xll.ohRangeRetrieveError(F11)</f>
        <v/>
      </c>
      <c r="H11" s="65"/>
      <c r="J11" s="229"/>
      <c r="K11" s="235">
        <v>8</v>
      </c>
      <c r="L11" s="234" t="b">
        <v>0</v>
      </c>
      <c r="M11" s="169" t="str">
        <v>N4</v>
      </c>
      <c r="N11" s="233">
        <v>41836</v>
      </c>
      <c r="O11" s="169" t="str">
        <f t="shared" si="2"/>
        <v>HIRN4</v>
      </c>
      <c r="P11" s="232" t="s">
        <v>187</v>
      </c>
      <c r="Q11" s="169" t="s">
        <v>187</v>
      </c>
      <c r="R11" s="169" t="s">
        <v>187</v>
      </c>
      <c r="S11" s="169" t="s">
        <v>187</v>
      </c>
      <c r="T11" s="169" t="s">
        <v>187</v>
      </c>
      <c r="U11" s="164" t="e">
        <f>_xll.qlMidSafe($Q11,$R11)</f>
        <v>#NUM!</v>
      </c>
      <c r="V11" s="162"/>
      <c r="W11" s="231" t="e">
        <v>#NUM!</v>
      </c>
      <c r="X11" s="162"/>
      <c r="Y11" s="230" t="e">
        <v>#NUM!</v>
      </c>
      <c r="Z11" s="164" t="e">
        <f>_xll.qlSimpleQuoteSetValue(E11,$Y11,ISERROR(F11))</f>
        <v>#NUM!</v>
      </c>
      <c r="AA11" s="183"/>
      <c r="AB11" s="190"/>
      <c r="AC11" s="191" t="e">
        <f t="shared" si="1"/>
        <v>#VALUE!</v>
      </c>
      <c r="AD11" s="190"/>
    </row>
    <row r="12" spans="1:30" x14ac:dyDescent="0.2">
      <c r="A12" s="93"/>
      <c r="B12" s="92">
        <v>9</v>
      </c>
      <c r="C12" s="91" t="b">
        <v>0</v>
      </c>
      <c r="D12" s="90" t="str">
        <v>Q4</v>
      </c>
      <c r="E12" s="89" t="str">
        <f t="shared" si="0"/>
        <v>HKDFUT3MQ4_Quote</v>
      </c>
      <c r="F12" s="95" t="str">
        <f>_xll.qlSimpleQuote(E12,,PriceTickValue,Permanent,Trigger,ObjectOverwrite)</f>
        <v>HKDFUT3MQ4_Quote#0000</v>
      </c>
      <c r="G12" s="52" t="str">
        <f>_xll.ohRangeRetrieveError(F12)</f>
        <v/>
      </c>
      <c r="H12" s="65"/>
      <c r="J12" s="229"/>
      <c r="K12" s="235">
        <v>9</v>
      </c>
      <c r="L12" s="234" t="b">
        <v>0</v>
      </c>
      <c r="M12" s="169" t="str">
        <v>Q4</v>
      </c>
      <c r="N12" s="233">
        <v>41871</v>
      </c>
      <c r="O12" s="169" t="str">
        <f t="shared" si="2"/>
        <v>HIRQ4</v>
      </c>
      <c r="P12" s="232" t="s">
        <v>187</v>
      </c>
      <c r="Q12" s="169" t="s">
        <v>187</v>
      </c>
      <c r="R12" s="169" t="s">
        <v>187</v>
      </c>
      <c r="S12" s="169" t="s">
        <v>187</v>
      </c>
      <c r="T12" s="169" t="s">
        <v>187</v>
      </c>
      <c r="U12" s="164" t="e">
        <f>_xll.qlMidSafe($Q12,$R12)</f>
        <v>#NUM!</v>
      </c>
      <c r="V12" s="162"/>
      <c r="W12" s="231" t="e">
        <v>#NUM!</v>
      </c>
      <c r="X12" s="162"/>
      <c r="Y12" s="230" t="e">
        <v>#NUM!</v>
      </c>
      <c r="Z12" s="164" t="e">
        <f>_xll.qlSimpleQuoteSetValue(E12,$Y12,ISERROR(F12))</f>
        <v>#NUM!</v>
      </c>
      <c r="AA12" s="183"/>
      <c r="AB12" s="190"/>
      <c r="AC12" s="191" t="e">
        <f t="shared" si="1"/>
        <v>#VALUE!</v>
      </c>
      <c r="AD12" s="190"/>
    </row>
    <row r="13" spans="1:30" x14ac:dyDescent="0.2">
      <c r="A13" s="93"/>
      <c r="B13" s="92">
        <v>10</v>
      </c>
      <c r="C13" s="91" t="b">
        <v>0</v>
      </c>
      <c r="D13" s="90" t="str">
        <v>U4</v>
      </c>
      <c r="E13" s="89" t="str">
        <f t="shared" si="0"/>
        <v>HKDFUT3MU4_Quote</v>
      </c>
      <c r="F13" s="95" t="str">
        <f>_xll.qlSimpleQuote(E13,,PriceTickValue,Permanent,Trigger,ObjectOverwrite)</f>
        <v>HKDFUT3MU4_Quote#0000</v>
      </c>
      <c r="G13" s="52" t="str">
        <f>_xll.ohRangeRetrieveError(F13)</f>
        <v/>
      </c>
      <c r="H13" s="65"/>
      <c r="J13" s="229"/>
      <c r="K13" s="235">
        <v>10</v>
      </c>
      <c r="L13" s="234" t="b">
        <v>0</v>
      </c>
      <c r="M13" s="169" t="str">
        <v>U4</v>
      </c>
      <c r="N13" s="233">
        <v>41899</v>
      </c>
      <c r="O13" s="169" t="str">
        <f t="shared" si="2"/>
        <v>HIRU4</v>
      </c>
      <c r="P13" s="232">
        <v>41897</v>
      </c>
      <c r="Q13" s="169">
        <v>99.47</v>
      </c>
      <c r="R13" s="169">
        <v>99.53</v>
      </c>
      <c r="S13" s="169">
        <v>0</v>
      </c>
      <c r="T13" s="169">
        <v>99.5</v>
      </c>
      <c r="U13" s="164">
        <f>_xll.qlMidSafe($Q13,$R13)</f>
        <v>99.5</v>
      </c>
      <c r="V13" s="162"/>
      <c r="W13" s="231">
        <v>99.5</v>
      </c>
      <c r="X13" s="162"/>
      <c r="Y13" s="230">
        <v>99.5</v>
      </c>
      <c r="Z13" s="164">
        <f>_xll.qlSimpleQuoteSetValue(E13,$Y13,ISERROR(F13))</f>
        <v>0</v>
      </c>
      <c r="AA13" s="183"/>
      <c r="AB13" s="190"/>
      <c r="AC13" s="191">
        <f t="shared" si="1"/>
        <v>6.0000000000002272E-4</v>
      </c>
      <c r="AD13" s="190"/>
    </row>
    <row r="14" spans="1:30" x14ac:dyDescent="0.2">
      <c r="A14" s="93"/>
      <c r="B14" s="92">
        <v>11</v>
      </c>
      <c r="C14" s="91" t="b">
        <v>0</v>
      </c>
      <c r="D14" s="90" t="str">
        <v>V4</v>
      </c>
      <c r="E14" s="89" t="str">
        <f t="shared" si="0"/>
        <v>HKDFUT3MV4_Quote</v>
      </c>
      <c r="F14" s="95" t="str">
        <f>_xll.qlSimpleQuote(E14,,PriceTickValue,Permanent,Trigger,ObjectOverwrite)</f>
        <v>HKDFUT3MV4_Quote#0000</v>
      </c>
      <c r="G14" s="52" t="str">
        <f>_xll.ohRangeRetrieveError(F14)</f>
        <v/>
      </c>
      <c r="H14" s="65"/>
      <c r="J14" s="229"/>
      <c r="K14" s="235">
        <v>11</v>
      </c>
      <c r="L14" s="234" t="b">
        <v>0</v>
      </c>
      <c r="M14" s="169" t="str">
        <v>V4</v>
      </c>
      <c r="N14" s="233">
        <v>41927</v>
      </c>
      <c r="O14" s="169" t="str">
        <f t="shared" si="2"/>
        <v>HIRV4</v>
      </c>
      <c r="P14" s="232" t="s">
        <v>187</v>
      </c>
      <c r="Q14" s="169" t="s">
        <v>187</v>
      </c>
      <c r="R14" s="169" t="s">
        <v>187</v>
      </c>
      <c r="S14" s="169" t="s">
        <v>187</v>
      </c>
      <c r="T14" s="169" t="s">
        <v>187</v>
      </c>
      <c r="U14" s="164" t="e">
        <f>_xll.qlMidSafe($Q14,$R14)</f>
        <v>#NUM!</v>
      </c>
      <c r="V14" s="162"/>
      <c r="W14" s="231" t="e">
        <v>#NUM!</v>
      </c>
      <c r="X14" s="162"/>
      <c r="Y14" s="230" t="e">
        <v>#NUM!</v>
      </c>
      <c r="Z14" s="164" t="e">
        <f>_xll.qlSimpleQuoteSetValue(E14,$Y14,ISERROR(F14))</f>
        <v>#NUM!</v>
      </c>
      <c r="AA14" s="183"/>
      <c r="AB14" s="190"/>
      <c r="AC14" s="191" t="e">
        <f t="shared" si="1"/>
        <v>#VALUE!</v>
      </c>
      <c r="AD14" s="190"/>
    </row>
    <row r="15" spans="1:30" x14ac:dyDescent="0.2">
      <c r="A15" s="93"/>
      <c r="B15" s="92">
        <v>12</v>
      </c>
      <c r="C15" s="91" t="b">
        <v>0</v>
      </c>
      <c r="D15" s="90" t="str">
        <v>X4</v>
      </c>
      <c r="E15" s="89" t="str">
        <f t="shared" si="0"/>
        <v>HKDFUT3MX4_Quote</v>
      </c>
      <c r="F15" s="88" t="str">
        <f>_xll.qlSimpleQuote(E15,,PriceTickValue,Permanent,Trigger,ObjectOverwrite)</f>
        <v>HKDFUT3MX4_Quote#0000</v>
      </c>
      <c r="G15" s="52" t="str">
        <f>_xll.ohRangeRetrieveError(F15)</f>
        <v/>
      </c>
      <c r="H15" s="65"/>
      <c r="J15" s="229"/>
      <c r="K15" s="235">
        <v>12</v>
      </c>
      <c r="L15" s="234" t="b">
        <v>0</v>
      </c>
      <c r="M15" s="169" t="str">
        <v>X4</v>
      </c>
      <c r="N15" s="233">
        <v>41962</v>
      </c>
      <c r="O15" s="169" t="str">
        <f t="shared" si="2"/>
        <v>HIRX4</v>
      </c>
      <c r="P15" s="232" t="s">
        <v>187</v>
      </c>
      <c r="Q15" s="169" t="s">
        <v>187</v>
      </c>
      <c r="R15" s="169" t="s">
        <v>187</v>
      </c>
      <c r="S15" s="169" t="s">
        <v>187</v>
      </c>
      <c r="T15" s="169" t="s">
        <v>187</v>
      </c>
      <c r="U15" s="164" t="e">
        <f>_xll.qlMidSafe($Q15,$R15)</f>
        <v>#NUM!</v>
      </c>
      <c r="V15" s="162"/>
      <c r="W15" s="231" t="e">
        <v>#NUM!</v>
      </c>
      <c r="X15" s="162"/>
      <c r="Y15" s="230" t="e">
        <v>#NUM!</v>
      </c>
      <c r="Z15" s="164" t="e">
        <f>_xll.qlSimpleQuoteSetValue(E15,$Y15,ISERROR(F15))</f>
        <v>#NUM!</v>
      </c>
      <c r="AA15" s="183"/>
      <c r="AB15" s="190"/>
      <c r="AC15" s="191" t="e">
        <f t="shared" si="1"/>
        <v>#VALUE!</v>
      </c>
      <c r="AD15" s="190"/>
    </row>
    <row r="16" spans="1:30" x14ac:dyDescent="0.2">
      <c r="A16" s="93"/>
      <c r="B16" s="92">
        <v>13</v>
      </c>
      <c r="C16" s="91" t="b">
        <v>0</v>
      </c>
      <c r="D16" s="90" t="str">
        <v>Z4</v>
      </c>
      <c r="E16" s="89" t="str">
        <f t="shared" si="0"/>
        <v>HKDFUT3MZ4_Quote</v>
      </c>
      <c r="F16" s="88" t="str">
        <f>_xll.qlSimpleQuote(E16,,PriceTickValue,Permanent,Trigger,ObjectOverwrite)</f>
        <v>HKDFUT3MZ4_Quote#0000</v>
      </c>
      <c r="G16" s="52" t="str">
        <f>_xll.ohRangeRetrieveError(F16)</f>
        <v/>
      </c>
      <c r="H16" s="65"/>
      <c r="J16" s="229"/>
      <c r="K16" s="235">
        <v>13</v>
      </c>
      <c r="L16" s="234" t="b">
        <v>0</v>
      </c>
      <c r="M16" s="169" t="str">
        <v>Z4</v>
      </c>
      <c r="N16" s="233">
        <v>41990</v>
      </c>
      <c r="O16" s="169" t="str">
        <f t="shared" si="2"/>
        <v>HIRZ4</v>
      </c>
      <c r="P16" s="232">
        <v>41988</v>
      </c>
      <c r="Q16" s="169">
        <v>0</v>
      </c>
      <c r="R16" s="169">
        <v>0</v>
      </c>
      <c r="S16" s="169">
        <v>0</v>
      </c>
      <c r="T16" s="169">
        <v>99.5</v>
      </c>
      <c r="U16" s="164" t="e">
        <f>_xll.qlMidSafe($Q16,$R16)</f>
        <v>#NUM!</v>
      </c>
      <c r="V16" s="162"/>
      <c r="W16" s="231" t="e">
        <v>#NUM!</v>
      </c>
      <c r="X16" s="162"/>
      <c r="Y16" s="230" t="e">
        <v>#NUM!</v>
      </c>
      <c r="Z16" s="164" t="e">
        <f>_xll.qlSimpleQuoteSetValue(E16,$Y16,ISERROR(F16))</f>
        <v>#NUM!</v>
      </c>
      <c r="AA16" s="183"/>
      <c r="AB16" s="190"/>
      <c r="AC16" s="191" t="e">
        <f t="shared" si="1"/>
        <v>#NUM!</v>
      </c>
      <c r="AD16" s="190"/>
    </row>
    <row r="17" spans="1:30" x14ac:dyDescent="0.2">
      <c r="A17" s="93"/>
      <c r="B17" s="92">
        <v>14</v>
      </c>
      <c r="C17" s="91" t="b">
        <v>0</v>
      </c>
      <c r="D17" s="90" t="str">
        <v>F5</v>
      </c>
      <c r="E17" s="89" t="str">
        <f t="shared" si="0"/>
        <v>HKDFUT3MF5_Quote</v>
      </c>
      <c r="F17" s="88" t="str">
        <f>_xll.qlSimpleQuote(E17,,PriceTickValue,Permanent,Trigger,ObjectOverwrite)</f>
        <v>HKDFUT3MF5_Quote#0000</v>
      </c>
      <c r="G17" s="52" t="str">
        <f>_xll.ohRangeRetrieveError(F17)</f>
        <v/>
      </c>
      <c r="H17" s="65"/>
      <c r="J17" s="229"/>
      <c r="K17" s="235">
        <v>14</v>
      </c>
      <c r="L17" s="234" t="b">
        <v>0</v>
      </c>
      <c r="M17" s="169" t="str">
        <v>F5</v>
      </c>
      <c r="N17" s="233">
        <v>42025</v>
      </c>
      <c r="O17" s="169" t="str">
        <f t="shared" si="2"/>
        <v>HIRF5</v>
      </c>
      <c r="P17" s="232" t="s">
        <v>187</v>
      </c>
      <c r="Q17" s="169" t="s">
        <v>187</v>
      </c>
      <c r="R17" s="169" t="s">
        <v>187</v>
      </c>
      <c r="S17" s="169" t="s">
        <v>187</v>
      </c>
      <c r="T17" s="169" t="s">
        <v>187</v>
      </c>
      <c r="U17" s="164" t="e">
        <f>_xll.qlMidSafe($Q17,$R17)</f>
        <v>#NUM!</v>
      </c>
      <c r="V17" s="162"/>
      <c r="W17" s="231" t="e">
        <v>#NUM!</v>
      </c>
      <c r="X17" s="162"/>
      <c r="Y17" s="230" t="e">
        <v>#NUM!</v>
      </c>
      <c r="Z17" s="164" t="e">
        <f>_xll.qlSimpleQuoteSetValue(E17,$Y17,ISERROR(F17))</f>
        <v>#NUM!</v>
      </c>
      <c r="AA17" s="183"/>
      <c r="AB17" s="190"/>
      <c r="AC17" s="191" t="e">
        <f t="shared" si="1"/>
        <v>#VALUE!</v>
      </c>
      <c r="AD17" s="190"/>
    </row>
    <row r="18" spans="1:30" x14ac:dyDescent="0.2">
      <c r="A18" s="93"/>
      <c r="B18" s="92">
        <v>15</v>
      </c>
      <c r="C18" s="91" t="b">
        <v>0</v>
      </c>
      <c r="D18" s="90" t="str">
        <v>G5</v>
      </c>
      <c r="E18" s="89" t="str">
        <f t="shared" si="0"/>
        <v>HKDFUT3MG5_Quote</v>
      </c>
      <c r="F18" s="88" t="str">
        <f>_xll.qlSimpleQuote(E18,,PriceTickValue,Permanent,Trigger,ObjectOverwrite)</f>
        <v>HKDFUT3MG5_Quote#0000</v>
      </c>
      <c r="G18" s="52" t="str">
        <f>_xll.ohRangeRetrieveError(F18)</f>
        <v/>
      </c>
      <c r="H18" s="65"/>
      <c r="J18" s="229"/>
      <c r="K18" s="235">
        <v>15</v>
      </c>
      <c r="L18" s="234" t="b">
        <v>0</v>
      </c>
      <c r="M18" s="169" t="str">
        <v>G5</v>
      </c>
      <c r="N18" s="233">
        <v>42053</v>
      </c>
      <c r="O18" s="169" t="str">
        <f t="shared" si="2"/>
        <v>HIRG5</v>
      </c>
      <c r="P18" s="232" t="s">
        <v>187</v>
      </c>
      <c r="Q18" s="169" t="s">
        <v>187</v>
      </c>
      <c r="R18" s="169" t="s">
        <v>187</v>
      </c>
      <c r="S18" s="169" t="s">
        <v>187</v>
      </c>
      <c r="T18" s="169" t="s">
        <v>187</v>
      </c>
      <c r="U18" s="164" t="e">
        <f>_xll.qlMidSafe($Q18,$R18)</f>
        <v>#NUM!</v>
      </c>
      <c r="V18" s="162"/>
      <c r="W18" s="231" t="e">
        <v>#NUM!</v>
      </c>
      <c r="X18" s="162"/>
      <c r="Y18" s="230" t="e">
        <v>#NUM!</v>
      </c>
      <c r="Z18" s="164" t="e">
        <f>_xll.qlSimpleQuoteSetValue(E18,$Y18,ISERROR(F18))</f>
        <v>#NUM!</v>
      </c>
      <c r="AA18" s="183"/>
      <c r="AB18" s="190"/>
      <c r="AC18" s="191" t="e">
        <f t="shared" si="1"/>
        <v>#VALUE!</v>
      </c>
      <c r="AD18" s="190"/>
    </row>
    <row r="19" spans="1:30" x14ac:dyDescent="0.2">
      <c r="A19" s="93"/>
      <c r="B19" s="92">
        <v>16</v>
      </c>
      <c r="C19" s="91" t="b">
        <v>0</v>
      </c>
      <c r="D19" s="90" t="str">
        <v>H5</v>
      </c>
      <c r="E19" s="89" t="str">
        <f t="shared" si="0"/>
        <v>HKDFUT3MH5_Quote</v>
      </c>
      <c r="F19" s="88" t="str">
        <f>_xll.qlSimpleQuote(E19,,PriceTickValue,Permanent,Trigger,ObjectOverwrite)</f>
        <v>HKDFUT3MH5_Quote#0000</v>
      </c>
      <c r="G19" s="52" t="str">
        <f>_xll.ohRangeRetrieveError(F19)</f>
        <v/>
      </c>
      <c r="H19" s="65"/>
      <c r="J19" s="229"/>
      <c r="K19" s="235">
        <v>16</v>
      </c>
      <c r="L19" s="234" t="b">
        <v>0</v>
      </c>
      <c r="M19" s="169" t="str">
        <v>H5</v>
      </c>
      <c r="N19" s="233">
        <v>42081</v>
      </c>
      <c r="O19" s="169" t="str">
        <f t="shared" si="2"/>
        <v>HIRH5</v>
      </c>
      <c r="P19" s="232">
        <v>42079</v>
      </c>
      <c r="Q19" s="169">
        <v>0</v>
      </c>
      <c r="R19" s="169">
        <v>0</v>
      </c>
      <c r="S19" s="169">
        <v>0</v>
      </c>
      <c r="T19" s="169">
        <v>99.5</v>
      </c>
      <c r="U19" s="164" t="e">
        <f>_xll.qlMidSafe($Q19,$R19)</f>
        <v>#NUM!</v>
      </c>
      <c r="V19" s="162"/>
      <c r="W19" s="231" t="e">
        <v>#NUM!</v>
      </c>
      <c r="X19" s="162"/>
      <c r="Y19" s="230" t="e">
        <v>#NUM!</v>
      </c>
      <c r="Z19" s="164" t="e">
        <f>_xll.qlSimpleQuoteSetValue(E19,$Y19,ISERROR(F19))</f>
        <v>#NUM!</v>
      </c>
      <c r="AA19" s="183"/>
      <c r="AB19" s="190"/>
      <c r="AC19" s="191" t="e">
        <f t="shared" si="1"/>
        <v>#NUM!</v>
      </c>
      <c r="AD19" s="190"/>
    </row>
    <row r="20" spans="1:30" x14ac:dyDescent="0.2">
      <c r="A20" s="93"/>
      <c r="B20" s="92">
        <v>17</v>
      </c>
      <c r="C20" s="91" t="b">
        <v>0</v>
      </c>
      <c r="D20" s="90" t="str">
        <v>J5</v>
      </c>
      <c r="E20" s="89" t="str">
        <f t="shared" si="0"/>
        <v>HKDFUT3MJ5_Quote</v>
      </c>
      <c r="F20" s="88" t="str">
        <f>_xll.qlSimpleQuote(E20,,PriceTickValue,Permanent,Trigger,ObjectOverwrite)</f>
        <v>HKDFUT3MJ5_Quote#0000</v>
      </c>
      <c r="G20" s="52" t="str">
        <f>_xll.ohRangeRetrieveError(F20)</f>
        <v/>
      </c>
      <c r="H20" s="65"/>
      <c r="J20" s="229"/>
      <c r="K20" s="235">
        <v>17</v>
      </c>
      <c r="L20" s="234" t="b">
        <v>0</v>
      </c>
      <c r="M20" s="169" t="str">
        <v>J5</v>
      </c>
      <c r="N20" s="233">
        <v>42109</v>
      </c>
      <c r="O20" s="169" t="str">
        <f t="shared" si="2"/>
        <v>HIRJ5</v>
      </c>
      <c r="P20" s="232" t="s">
        <v>187</v>
      </c>
      <c r="Q20" s="169" t="s">
        <v>187</v>
      </c>
      <c r="R20" s="169" t="s">
        <v>187</v>
      </c>
      <c r="S20" s="169" t="s">
        <v>187</v>
      </c>
      <c r="T20" s="169" t="s">
        <v>187</v>
      </c>
      <c r="U20" s="164" t="e">
        <f>_xll.qlMidSafe($Q20,$R20)</f>
        <v>#NUM!</v>
      </c>
      <c r="V20" s="162"/>
      <c r="W20" s="231" t="e">
        <v>#NUM!</v>
      </c>
      <c r="X20" s="162"/>
      <c r="Y20" s="230" t="e">
        <v>#NUM!</v>
      </c>
      <c r="Z20" s="164" t="e">
        <f>_xll.qlSimpleQuoteSetValue(E20,$Y20,ISERROR(F20))</f>
        <v>#NUM!</v>
      </c>
      <c r="AA20" s="183"/>
      <c r="AB20" s="190"/>
      <c r="AC20" s="191" t="e">
        <f t="shared" si="1"/>
        <v>#VALUE!</v>
      </c>
      <c r="AD20" s="190"/>
    </row>
    <row r="21" spans="1:30" x14ac:dyDescent="0.2">
      <c r="A21" s="93"/>
      <c r="B21" s="92">
        <v>18</v>
      </c>
      <c r="C21" s="91" t="b">
        <v>0</v>
      </c>
      <c r="D21" s="90" t="str">
        <v>K5</v>
      </c>
      <c r="E21" s="89" t="str">
        <f t="shared" si="0"/>
        <v>HKDFUT3MK5_Quote</v>
      </c>
      <c r="F21" s="88" t="str">
        <f>_xll.qlSimpleQuote(E21,,PriceTickValue,Permanent,Trigger,ObjectOverwrite)</f>
        <v>HKDFUT3MK5_Quote#0000</v>
      </c>
      <c r="G21" s="52" t="str">
        <f>_xll.ohRangeRetrieveError(F21)</f>
        <v/>
      </c>
      <c r="H21" s="65"/>
      <c r="J21" s="229"/>
      <c r="K21" s="235">
        <v>18</v>
      </c>
      <c r="L21" s="234" t="b">
        <v>0</v>
      </c>
      <c r="M21" s="169" t="str">
        <v>K5</v>
      </c>
      <c r="N21" s="233">
        <v>42144</v>
      </c>
      <c r="O21" s="169" t="str">
        <f t="shared" si="2"/>
        <v>HIRK5</v>
      </c>
      <c r="P21" s="232" t="s">
        <v>187</v>
      </c>
      <c r="Q21" s="169" t="s">
        <v>187</v>
      </c>
      <c r="R21" s="169" t="s">
        <v>187</v>
      </c>
      <c r="S21" s="169" t="s">
        <v>187</v>
      </c>
      <c r="T21" s="169" t="s">
        <v>187</v>
      </c>
      <c r="U21" s="164" t="e">
        <f>_xll.qlMidSafe($Q21,$R21)</f>
        <v>#NUM!</v>
      </c>
      <c r="V21" s="162"/>
      <c r="W21" s="231" t="e">
        <v>#NUM!</v>
      </c>
      <c r="X21" s="162"/>
      <c r="Y21" s="230" t="e">
        <v>#NUM!</v>
      </c>
      <c r="Z21" s="164" t="e">
        <f>_xll.qlSimpleQuoteSetValue(E21,$Y21,ISERROR(F21))</f>
        <v>#NUM!</v>
      </c>
      <c r="AA21" s="183"/>
      <c r="AB21" s="190"/>
      <c r="AC21" s="191" t="e">
        <f t="shared" si="1"/>
        <v>#VALUE!</v>
      </c>
      <c r="AD21" s="190"/>
    </row>
    <row r="22" spans="1:30" x14ac:dyDescent="0.2">
      <c r="A22" s="93"/>
      <c r="B22" s="92">
        <v>19</v>
      </c>
      <c r="C22" s="91" t="b">
        <v>0</v>
      </c>
      <c r="D22" s="90" t="str">
        <v>M5</v>
      </c>
      <c r="E22" s="89" t="str">
        <f t="shared" si="0"/>
        <v>HKDFUT3MM5_Quote</v>
      </c>
      <c r="F22" s="88" t="str">
        <f>_xll.qlSimpleQuote(E22,,PriceTickValue,Permanent,Trigger,ObjectOverwrite)</f>
        <v>HKDFUT3MM5_Quote#0000</v>
      </c>
      <c r="G22" s="52" t="str">
        <f>_xll.ohRangeRetrieveError(F22)</f>
        <v/>
      </c>
      <c r="H22" s="65"/>
      <c r="J22" s="229"/>
      <c r="K22" s="235">
        <v>19</v>
      </c>
      <c r="L22" s="234" t="b">
        <v>0</v>
      </c>
      <c r="M22" s="169" t="str">
        <v>M5</v>
      </c>
      <c r="N22" s="233">
        <v>42172</v>
      </c>
      <c r="O22" s="169" t="str">
        <f t="shared" si="2"/>
        <v>HIRM5</v>
      </c>
      <c r="P22" s="232">
        <v>42170</v>
      </c>
      <c r="Q22" s="169">
        <v>0</v>
      </c>
      <c r="R22" s="169">
        <v>0</v>
      </c>
      <c r="S22" s="169">
        <v>0</v>
      </c>
      <c r="T22" s="169">
        <v>99.5</v>
      </c>
      <c r="U22" s="164" t="e">
        <f>_xll.qlMidSafe($Q22,$R22)</f>
        <v>#NUM!</v>
      </c>
      <c r="V22" s="162"/>
      <c r="W22" s="231" t="e">
        <v>#NUM!</v>
      </c>
      <c r="X22" s="162"/>
      <c r="Y22" s="230" t="e">
        <v>#NUM!</v>
      </c>
      <c r="Z22" s="164" t="e">
        <f>_xll.qlSimpleQuoteSetValue(E22,$Y22,ISERROR(F22))</f>
        <v>#NUM!</v>
      </c>
      <c r="AA22" s="183"/>
      <c r="AB22" s="190"/>
      <c r="AC22" s="191" t="e">
        <f t="shared" si="1"/>
        <v>#NUM!</v>
      </c>
      <c r="AD22" s="190"/>
    </row>
    <row r="23" spans="1:30" x14ac:dyDescent="0.2">
      <c r="A23" s="93"/>
      <c r="B23" s="92">
        <v>20</v>
      </c>
      <c r="C23" s="91" t="b">
        <v>0</v>
      </c>
      <c r="D23" s="90" t="str">
        <v>N5</v>
      </c>
      <c r="E23" s="89" t="str">
        <f t="shared" si="0"/>
        <v>HKDFUT3MN5_Quote</v>
      </c>
      <c r="F23" s="88" t="str">
        <f>_xll.qlSimpleQuote(E23,,PriceTickValue,Permanent,Trigger,ObjectOverwrite)</f>
        <v>HKDFUT3MN5_Quote#0000</v>
      </c>
      <c r="G23" s="52" t="str">
        <f>_xll.ohRangeRetrieveError(F23)</f>
        <v/>
      </c>
      <c r="H23" s="65"/>
      <c r="J23" s="229"/>
      <c r="K23" s="235">
        <v>20</v>
      </c>
      <c r="L23" s="234" t="b">
        <v>0</v>
      </c>
      <c r="M23" s="169" t="str">
        <v>N5</v>
      </c>
      <c r="N23" s="233">
        <v>42200</v>
      </c>
      <c r="O23" s="169" t="str">
        <f t="shared" si="2"/>
        <v>HIRN5</v>
      </c>
      <c r="P23" s="232" t="s">
        <v>187</v>
      </c>
      <c r="Q23" s="169" t="s">
        <v>187</v>
      </c>
      <c r="R23" s="169" t="s">
        <v>187</v>
      </c>
      <c r="S23" s="169" t="s">
        <v>187</v>
      </c>
      <c r="T23" s="169" t="s">
        <v>187</v>
      </c>
      <c r="U23" s="164" t="e">
        <f>_xll.qlMidSafe($Q23,$R23)</f>
        <v>#NUM!</v>
      </c>
      <c r="V23" s="162"/>
      <c r="W23" s="231" t="e">
        <v>#NUM!</v>
      </c>
      <c r="X23" s="162"/>
      <c r="Y23" s="230" t="e">
        <v>#NUM!</v>
      </c>
      <c r="Z23" s="164" t="e">
        <f>_xll.qlSimpleQuoteSetValue(E23,$Y23,ISERROR(F23))</f>
        <v>#NUM!</v>
      </c>
      <c r="AA23" s="183"/>
      <c r="AB23" s="190"/>
      <c r="AC23" s="191" t="e">
        <f t="shared" si="1"/>
        <v>#VALUE!</v>
      </c>
      <c r="AD23" s="190"/>
    </row>
    <row r="24" spans="1:30" x14ac:dyDescent="0.2">
      <c r="A24" s="93"/>
      <c r="B24" s="92">
        <v>21</v>
      </c>
      <c r="C24" s="91" t="b">
        <v>0</v>
      </c>
      <c r="D24" s="90" t="str">
        <v>Q5</v>
      </c>
      <c r="E24" s="89" t="str">
        <f t="shared" si="0"/>
        <v>HKDFUT3MQ5_Quote</v>
      </c>
      <c r="F24" s="88" t="str">
        <f>_xll.qlSimpleQuote(E24,,PriceTickValue,Permanent,Trigger,ObjectOverwrite)</f>
        <v>HKDFUT3MQ5_Quote#0000</v>
      </c>
      <c r="G24" s="52" t="str">
        <f>_xll.ohRangeRetrieveError(F24)</f>
        <v/>
      </c>
      <c r="H24" s="65"/>
      <c r="J24" s="229"/>
      <c r="K24" s="235">
        <v>21</v>
      </c>
      <c r="L24" s="234" t="b">
        <v>0</v>
      </c>
      <c r="M24" s="169" t="str">
        <v>Q5</v>
      </c>
      <c r="N24" s="233">
        <v>42235</v>
      </c>
      <c r="O24" s="169" t="str">
        <f t="shared" si="2"/>
        <v>HIRQ5</v>
      </c>
      <c r="P24" s="232" t="s">
        <v>187</v>
      </c>
      <c r="Q24" s="169" t="s">
        <v>187</v>
      </c>
      <c r="R24" s="169" t="s">
        <v>187</v>
      </c>
      <c r="S24" s="169" t="s">
        <v>187</v>
      </c>
      <c r="T24" s="169" t="s">
        <v>187</v>
      </c>
      <c r="U24" s="164" t="e">
        <f>_xll.qlMidSafe($Q24,$R24)</f>
        <v>#NUM!</v>
      </c>
      <c r="V24" s="162"/>
      <c r="W24" s="231" t="e">
        <v>#NUM!</v>
      </c>
      <c r="X24" s="162"/>
      <c r="Y24" s="230" t="e">
        <v>#NUM!</v>
      </c>
      <c r="Z24" s="164" t="e">
        <f>_xll.qlSimpleQuoteSetValue(E24,$Y24,ISERROR(F24))</f>
        <v>#NUM!</v>
      </c>
      <c r="AA24" s="183"/>
      <c r="AB24" s="190"/>
      <c r="AC24" s="191" t="e">
        <f t="shared" si="1"/>
        <v>#VALUE!</v>
      </c>
      <c r="AD24" s="190"/>
    </row>
    <row r="25" spans="1:30" x14ac:dyDescent="0.2">
      <c r="A25" s="93"/>
      <c r="B25" s="92">
        <v>22</v>
      </c>
      <c r="C25" s="91" t="b">
        <v>0</v>
      </c>
      <c r="D25" s="90" t="str">
        <v>U5</v>
      </c>
      <c r="E25" s="89" t="str">
        <f t="shared" si="0"/>
        <v>HKDFUT3MU5_Quote</v>
      </c>
      <c r="F25" s="88" t="str">
        <f>_xll.qlSimpleQuote(E25,,PriceTickValue,Permanent,Trigger,ObjectOverwrite)</f>
        <v>HKDFUT3MU5_Quote#0000</v>
      </c>
      <c r="G25" s="52" t="str">
        <f>_xll.ohRangeRetrieveError(F25)</f>
        <v/>
      </c>
      <c r="H25" s="65"/>
      <c r="J25" s="229"/>
      <c r="K25" s="235">
        <v>22</v>
      </c>
      <c r="L25" s="234" t="b">
        <v>0</v>
      </c>
      <c r="M25" s="169" t="str">
        <v>U5</v>
      </c>
      <c r="N25" s="233">
        <v>42263</v>
      </c>
      <c r="O25" s="169" t="str">
        <f t="shared" si="2"/>
        <v>HIRU5</v>
      </c>
      <c r="P25" s="232">
        <v>42261</v>
      </c>
      <c r="Q25" s="169">
        <v>0</v>
      </c>
      <c r="R25" s="169">
        <v>0</v>
      </c>
      <c r="S25" s="169">
        <v>0</v>
      </c>
      <c r="T25" s="169">
        <v>99.5</v>
      </c>
      <c r="U25" s="164" t="e">
        <f>_xll.qlMidSafe($Q25,$R25)</f>
        <v>#NUM!</v>
      </c>
      <c r="V25" s="162"/>
      <c r="W25" s="231" t="e">
        <v>#NUM!</v>
      </c>
      <c r="X25" s="162"/>
      <c r="Y25" s="230" t="e">
        <v>#NUM!</v>
      </c>
      <c r="Z25" s="164" t="e">
        <f>_xll.qlSimpleQuoteSetValue(E25,$Y25,ISERROR(F25))</f>
        <v>#NUM!</v>
      </c>
      <c r="AA25" s="183"/>
      <c r="AB25" s="190"/>
      <c r="AC25" s="191" t="e">
        <f t="shared" si="1"/>
        <v>#NUM!</v>
      </c>
      <c r="AD25" s="190"/>
    </row>
    <row r="26" spans="1:30" x14ac:dyDescent="0.2">
      <c r="A26" s="93"/>
      <c r="B26" s="92">
        <v>23</v>
      </c>
      <c r="C26" s="91" t="b">
        <v>0</v>
      </c>
      <c r="D26" s="90" t="str">
        <v>V5</v>
      </c>
      <c r="E26" s="89" t="str">
        <f t="shared" si="0"/>
        <v>HKDFUT3MV5_Quote</v>
      </c>
      <c r="F26" s="88" t="str">
        <f>_xll.qlSimpleQuote(E26,,PriceTickValue,Permanent,Trigger,ObjectOverwrite)</f>
        <v>HKDFUT3MV5_Quote#0000</v>
      </c>
      <c r="G26" s="52" t="str">
        <f>_xll.ohRangeRetrieveError(F26)</f>
        <v/>
      </c>
      <c r="H26" s="65"/>
      <c r="J26" s="229"/>
      <c r="K26" s="235">
        <v>23</v>
      </c>
      <c r="L26" s="234" t="b">
        <v>0</v>
      </c>
      <c r="M26" s="169" t="str">
        <v>V5</v>
      </c>
      <c r="N26" s="233">
        <v>42298</v>
      </c>
      <c r="O26" s="169" t="str">
        <f t="shared" si="2"/>
        <v>HIRV5</v>
      </c>
      <c r="P26" s="232" t="s">
        <v>187</v>
      </c>
      <c r="Q26" s="169" t="s">
        <v>187</v>
      </c>
      <c r="R26" s="169" t="s">
        <v>187</v>
      </c>
      <c r="S26" s="169" t="s">
        <v>187</v>
      </c>
      <c r="T26" s="169" t="s">
        <v>187</v>
      </c>
      <c r="U26" s="164" t="e">
        <f>_xll.qlMidSafe($Q26,$R26)</f>
        <v>#NUM!</v>
      </c>
      <c r="V26" s="162"/>
      <c r="W26" s="231" t="e">
        <v>#NUM!</v>
      </c>
      <c r="X26" s="162"/>
      <c r="Y26" s="230" t="e">
        <v>#NUM!</v>
      </c>
      <c r="Z26" s="164" t="e">
        <f>_xll.qlSimpleQuoteSetValue(E26,$Y26,ISERROR(F26))</f>
        <v>#NUM!</v>
      </c>
      <c r="AA26" s="183"/>
      <c r="AB26" s="190"/>
      <c r="AC26" s="191" t="e">
        <f t="shared" si="1"/>
        <v>#VALUE!</v>
      </c>
      <c r="AD26" s="190"/>
    </row>
    <row r="27" spans="1:30" x14ac:dyDescent="0.2">
      <c r="A27" s="93"/>
      <c r="B27" s="92">
        <v>24</v>
      </c>
      <c r="C27" s="91" t="b">
        <v>0</v>
      </c>
      <c r="D27" s="90" t="str">
        <v>X5</v>
      </c>
      <c r="E27" s="89" t="str">
        <f t="shared" si="0"/>
        <v>HKDFUT3MX5_Quote</v>
      </c>
      <c r="F27" s="88" t="str">
        <f>_xll.qlSimpleQuote(E27,,PriceTickValue,Permanent,Trigger,ObjectOverwrite)</f>
        <v>HKDFUT3MX5_Quote#0000</v>
      </c>
      <c r="G27" s="52" t="str">
        <f>_xll.ohRangeRetrieveError(F27)</f>
        <v/>
      </c>
      <c r="H27" s="65"/>
      <c r="J27" s="229"/>
      <c r="K27" s="235">
        <v>24</v>
      </c>
      <c r="L27" s="234" t="b">
        <v>0</v>
      </c>
      <c r="M27" s="169" t="str">
        <v>X5</v>
      </c>
      <c r="N27" s="233">
        <v>42326</v>
      </c>
      <c r="O27" s="169" t="str">
        <f t="shared" si="2"/>
        <v>HIRX5</v>
      </c>
      <c r="P27" s="232" t="s">
        <v>187</v>
      </c>
      <c r="Q27" s="169" t="s">
        <v>187</v>
      </c>
      <c r="R27" s="169" t="s">
        <v>187</v>
      </c>
      <c r="S27" s="169" t="s">
        <v>187</v>
      </c>
      <c r="T27" s="169" t="s">
        <v>187</v>
      </c>
      <c r="U27" s="164" t="e">
        <f>_xll.qlMidSafe($Q27,$R27)</f>
        <v>#NUM!</v>
      </c>
      <c r="V27" s="162"/>
      <c r="W27" s="231" t="e">
        <v>#NUM!</v>
      </c>
      <c r="X27" s="162"/>
      <c r="Y27" s="230" t="e">
        <v>#NUM!</v>
      </c>
      <c r="Z27" s="164" t="e">
        <f>_xll.qlSimpleQuoteSetValue(E27,$Y27,ISERROR(F27))</f>
        <v>#NUM!</v>
      </c>
      <c r="AA27" s="183"/>
      <c r="AB27" s="190"/>
      <c r="AC27" s="191" t="e">
        <f t="shared" si="1"/>
        <v>#VALUE!</v>
      </c>
      <c r="AD27" s="190"/>
    </row>
    <row r="28" spans="1:30" x14ac:dyDescent="0.2">
      <c r="A28" s="93"/>
      <c r="B28" s="92">
        <v>25</v>
      </c>
      <c r="C28" s="91" t="b">
        <v>0</v>
      </c>
      <c r="D28" s="90" t="str">
        <v>Z5</v>
      </c>
      <c r="E28" s="89" t="str">
        <f t="shared" si="0"/>
        <v>HKDFUT3MZ5_Quote</v>
      </c>
      <c r="F28" s="88" t="str">
        <f>_xll.qlSimpleQuote(E28,,PriceTickValue,Permanent,Trigger,ObjectOverwrite)</f>
        <v>HKDFUT3MZ5_Quote#0000</v>
      </c>
      <c r="G28" s="52" t="str">
        <f>_xll.ohRangeRetrieveError(F28)</f>
        <v/>
      </c>
      <c r="H28" s="65"/>
      <c r="J28" s="229"/>
      <c r="K28" s="235">
        <v>25</v>
      </c>
      <c r="L28" s="234" t="b">
        <v>0</v>
      </c>
      <c r="M28" s="169" t="str">
        <v>Z5</v>
      </c>
      <c r="N28" s="233">
        <v>42354</v>
      </c>
      <c r="O28" s="169" t="str">
        <f t="shared" si="2"/>
        <v>HIRZ5</v>
      </c>
      <c r="P28" s="232" t="s">
        <v>187</v>
      </c>
      <c r="Q28" s="169" t="s">
        <v>187</v>
      </c>
      <c r="R28" s="169" t="s">
        <v>187</v>
      </c>
      <c r="S28" s="169" t="s">
        <v>187</v>
      </c>
      <c r="T28" s="169" t="s">
        <v>187</v>
      </c>
      <c r="U28" s="164" t="e">
        <f>_xll.qlMidSafe($Q28,$R28)</f>
        <v>#NUM!</v>
      </c>
      <c r="V28" s="162"/>
      <c r="W28" s="231" t="e">
        <v>#NUM!</v>
      </c>
      <c r="X28" s="162"/>
      <c r="Y28" s="230" t="e">
        <v>#NUM!</v>
      </c>
      <c r="Z28" s="164" t="e">
        <f>_xll.qlSimpleQuoteSetValue(E28,$Y28,ISERROR(F28))</f>
        <v>#NUM!</v>
      </c>
      <c r="AA28" s="183"/>
      <c r="AB28" s="190"/>
      <c r="AC28" s="191" t="e">
        <f t="shared" si="1"/>
        <v>#VALUE!</v>
      </c>
      <c r="AD28" s="190"/>
    </row>
    <row r="29" spans="1:30" x14ac:dyDescent="0.2">
      <c r="A29" s="93"/>
      <c r="B29" s="92">
        <v>26</v>
      </c>
      <c r="C29" s="91" t="b">
        <v>0</v>
      </c>
      <c r="D29" s="90" t="str">
        <v>F6</v>
      </c>
      <c r="E29" s="89" t="str">
        <f t="shared" si="0"/>
        <v>HKDFUT3MF6_Quote</v>
      </c>
      <c r="F29" s="88" t="str">
        <f>_xll.qlSimpleQuote(E29,,PriceTickValue,Permanent,Trigger,ObjectOverwrite)</f>
        <v>HKDFUT3MF6_Quote#0000</v>
      </c>
      <c r="G29" s="52" t="str">
        <f>_xll.ohRangeRetrieveError(F29)</f>
        <v/>
      </c>
      <c r="H29" s="65"/>
      <c r="J29" s="229"/>
      <c r="K29" s="235">
        <v>26</v>
      </c>
      <c r="L29" s="234" t="b">
        <v>0</v>
      </c>
      <c r="M29" s="169" t="str">
        <v>F6</v>
      </c>
      <c r="N29" s="233">
        <v>42389</v>
      </c>
      <c r="O29" s="169" t="str">
        <f t="shared" si="2"/>
        <v>HIRF6</v>
      </c>
      <c r="P29" s="232" t="s">
        <v>187</v>
      </c>
      <c r="Q29" s="169" t="s">
        <v>187</v>
      </c>
      <c r="R29" s="169" t="s">
        <v>187</v>
      </c>
      <c r="S29" s="169" t="s">
        <v>187</v>
      </c>
      <c r="T29" s="169" t="s">
        <v>187</v>
      </c>
      <c r="U29" s="164" t="e">
        <f>_xll.qlMidSafe($Q29,$R29)</f>
        <v>#NUM!</v>
      </c>
      <c r="V29" s="162"/>
      <c r="W29" s="231" t="e">
        <v>#NUM!</v>
      </c>
      <c r="X29" s="162"/>
      <c r="Y29" s="230" t="e">
        <v>#NUM!</v>
      </c>
      <c r="Z29" s="164" t="e">
        <f>_xll.qlSimpleQuoteSetValue(E29,$Y29,ISERROR(F29))</f>
        <v>#NUM!</v>
      </c>
      <c r="AA29" s="183"/>
      <c r="AB29" s="190"/>
      <c r="AC29" s="191" t="e">
        <f t="shared" si="1"/>
        <v>#VALUE!</v>
      </c>
      <c r="AD29" s="190"/>
    </row>
    <row r="30" spans="1:30" x14ac:dyDescent="0.2">
      <c r="A30" s="93"/>
      <c r="B30" s="92">
        <v>27</v>
      </c>
      <c r="C30" s="91" t="b">
        <v>0</v>
      </c>
      <c r="D30" s="90" t="str">
        <v>G6</v>
      </c>
      <c r="E30" s="89" t="str">
        <f t="shared" si="0"/>
        <v>HKDFUT3MG6_Quote</v>
      </c>
      <c r="F30" s="88" t="str">
        <f>_xll.qlSimpleQuote(E30,,PriceTickValue,Permanent,Trigger,ObjectOverwrite)</f>
        <v>HKDFUT3MG6_Quote#0000</v>
      </c>
      <c r="G30" s="52" t="str">
        <f>_xll.ohRangeRetrieveError(F30)</f>
        <v/>
      </c>
      <c r="H30" s="65"/>
      <c r="J30" s="229"/>
      <c r="K30" s="235">
        <v>27</v>
      </c>
      <c r="L30" s="234" t="b">
        <v>0</v>
      </c>
      <c r="M30" s="169" t="str">
        <v>G6</v>
      </c>
      <c r="N30" s="233">
        <v>42417</v>
      </c>
      <c r="O30" s="169" t="str">
        <f t="shared" si="2"/>
        <v>HIRG6</v>
      </c>
      <c r="P30" s="232" t="s">
        <v>187</v>
      </c>
      <c r="Q30" s="169" t="s">
        <v>187</v>
      </c>
      <c r="R30" s="169" t="s">
        <v>187</v>
      </c>
      <c r="S30" s="169" t="s">
        <v>187</v>
      </c>
      <c r="T30" s="169" t="s">
        <v>187</v>
      </c>
      <c r="U30" s="164" t="e">
        <f>_xll.qlMidSafe($Q30,$R30)</f>
        <v>#NUM!</v>
      </c>
      <c r="V30" s="162"/>
      <c r="W30" s="231" t="e">
        <v>#NUM!</v>
      </c>
      <c r="X30" s="162"/>
      <c r="Y30" s="230" t="e">
        <v>#NUM!</v>
      </c>
      <c r="Z30" s="164" t="e">
        <f>_xll.qlSimpleQuoteSetValue(E30,$Y30,ISERROR(F30))</f>
        <v>#NUM!</v>
      </c>
      <c r="AA30" s="183"/>
      <c r="AB30" s="190"/>
      <c r="AC30" s="191" t="e">
        <f t="shared" si="1"/>
        <v>#VALUE!</v>
      </c>
      <c r="AD30" s="190"/>
    </row>
    <row r="31" spans="1:30" x14ac:dyDescent="0.2">
      <c r="A31" s="93"/>
      <c r="B31" s="92">
        <v>28</v>
      </c>
      <c r="C31" s="91" t="b">
        <v>0</v>
      </c>
      <c r="D31" s="90" t="str">
        <v>H6</v>
      </c>
      <c r="E31" s="89" t="str">
        <f t="shared" si="0"/>
        <v>HKDFUT3MH6_Quote</v>
      </c>
      <c r="F31" s="88" t="str">
        <f>_xll.qlSimpleQuote(E31,,PriceTickValue,Permanent,Trigger,ObjectOverwrite)</f>
        <v>HKDFUT3MH6_Quote#0000</v>
      </c>
      <c r="G31" s="52" t="str">
        <f>_xll.ohRangeRetrieveError(F31)</f>
        <v/>
      </c>
      <c r="H31" s="65"/>
      <c r="J31" s="229"/>
      <c r="K31" s="235">
        <v>28</v>
      </c>
      <c r="L31" s="234" t="b">
        <v>0</v>
      </c>
      <c r="M31" s="169" t="str">
        <v>H6</v>
      </c>
      <c r="N31" s="233">
        <v>42445</v>
      </c>
      <c r="O31" s="169" t="str">
        <f t="shared" si="2"/>
        <v>HIRH6</v>
      </c>
      <c r="P31" s="232" t="s">
        <v>187</v>
      </c>
      <c r="Q31" s="169" t="s">
        <v>187</v>
      </c>
      <c r="R31" s="169" t="s">
        <v>187</v>
      </c>
      <c r="S31" s="169" t="s">
        <v>187</v>
      </c>
      <c r="T31" s="169" t="s">
        <v>187</v>
      </c>
      <c r="U31" s="164" t="e">
        <f>_xll.qlMidSafe($Q31,$R31)</f>
        <v>#NUM!</v>
      </c>
      <c r="V31" s="162"/>
      <c r="W31" s="231" t="e">
        <v>#NUM!</v>
      </c>
      <c r="X31" s="162"/>
      <c r="Y31" s="230" t="e">
        <v>#NUM!</v>
      </c>
      <c r="Z31" s="164" t="e">
        <f>_xll.qlSimpleQuoteSetValue(E31,$Y31,ISERROR(F31))</f>
        <v>#NUM!</v>
      </c>
      <c r="AA31" s="183"/>
      <c r="AB31" s="190"/>
      <c r="AC31" s="191" t="e">
        <f t="shared" si="1"/>
        <v>#VALUE!</v>
      </c>
      <c r="AD31" s="190"/>
    </row>
    <row r="32" spans="1:30" x14ac:dyDescent="0.2">
      <c r="A32" s="93"/>
      <c r="B32" s="92">
        <v>29</v>
      </c>
      <c r="C32" s="91" t="b">
        <v>0</v>
      </c>
      <c r="D32" s="90" t="str">
        <v>J6</v>
      </c>
      <c r="E32" s="89" t="str">
        <f t="shared" si="0"/>
        <v>HKDFUT3MJ6_Quote</v>
      </c>
      <c r="F32" s="88" t="str">
        <f>_xll.qlSimpleQuote(E32,,PriceTickValue,Permanent,Trigger,ObjectOverwrite)</f>
        <v>HKDFUT3MJ6_Quote#0000</v>
      </c>
      <c r="G32" s="52" t="str">
        <f>_xll.ohRangeRetrieveError(F32)</f>
        <v/>
      </c>
      <c r="H32" s="65"/>
      <c r="J32" s="229"/>
      <c r="K32" s="235">
        <v>29</v>
      </c>
      <c r="L32" s="234" t="b">
        <v>0</v>
      </c>
      <c r="M32" s="169" t="str">
        <v>J6</v>
      </c>
      <c r="N32" s="233">
        <v>42480</v>
      </c>
      <c r="O32" s="169" t="str">
        <f t="shared" si="2"/>
        <v>HIRJ6</v>
      </c>
      <c r="P32" s="232" t="s">
        <v>187</v>
      </c>
      <c r="Q32" s="169" t="s">
        <v>187</v>
      </c>
      <c r="R32" s="169" t="s">
        <v>187</v>
      </c>
      <c r="S32" s="169" t="s">
        <v>187</v>
      </c>
      <c r="T32" s="169" t="s">
        <v>187</v>
      </c>
      <c r="U32" s="164" t="e">
        <f>_xll.qlMidSafe($Q32,$R32)</f>
        <v>#NUM!</v>
      </c>
      <c r="V32" s="162"/>
      <c r="W32" s="231" t="e">
        <v>#NUM!</v>
      </c>
      <c r="X32" s="162"/>
      <c r="Y32" s="230" t="e">
        <v>#NUM!</v>
      </c>
      <c r="Z32" s="164" t="e">
        <f>_xll.qlSimpleQuoteSetValue(E32,$Y32,ISERROR(F32))</f>
        <v>#NUM!</v>
      </c>
      <c r="AA32" s="183"/>
      <c r="AB32" s="190"/>
      <c r="AC32" s="191" t="e">
        <f t="shared" si="1"/>
        <v>#VALUE!</v>
      </c>
      <c r="AD32" s="190"/>
    </row>
    <row r="33" spans="1:30" x14ac:dyDescent="0.2">
      <c r="A33" s="93"/>
      <c r="B33" s="92">
        <v>30</v>
      </c>
      <c r="C33" s="91" t="b">
        <v>0</v>
      </c>
      <c r="D33" s="90" t="str">
        <v>K6</v>
      </c>
      <c r="E33" s="89" t="str">
        <f t="shared" si="0"/>
        <v>HKDFUT3MK6_Quote</v>
      </c>
      <c r="F33" s="88" t="str">
        <f>_xll.qlSimpleQuote(E33,,PriceTickValue,Permanent,Trigger,ObjectOverwrite)</f>
        <v>HKDFUT3MK6_Quote#0000</v>
      </c>
      <c r="G33" s="52" t="str">
        <f>_xll.ohRangeRetrieveError(F33)</f>
        <v/>
      </c>
      <c r="H33" s="65"/>
      <c r="J33" s="229"/>
      <c r="K33" s="235">
        <v>30</v>
      </c>
      <c r="L33" s="234" t="b">
        <v>0</v>
      </c>
      <c r="M33" s="169" t="str">
        <v>K6</v>
      </c>
      <c r="N33" s="233">
        <v>42508</v>
      </c>
      <c r="O33" s="169" t="str">
        <f t="shared" si="2"/>
        <v>HIRK6</v>
      </c>
      <c r="P33" s="232" t="s">
        <v>187</v>
      </c>
      <c r="Q33" s="169" t="s">
        <v>187</v>
      </c>
      <c r="R33" s="169" t="s">
        <v>187</v>
      </c>
      <c r="S33" s="169" t="s">
        <v>187</v>
      </c>
      <c r="T33" s="169" t="s">
        <v>187</v>
      </c>
      <c r="U33" s="164" t="e">
        <f>_xll.qlMidSafe($Q33,$R33)</f>
        <v>#NUM!</v>
      </c>
      <c r="V33" s="162"/>
      <c r="W33" s="231" t="e">
        <v>#NUM!</v>
      </c>
      <c r="X33" s="162"/>
      <c r="Y33" s="230" t="e">
        <v>#NUM!</v>
      </c>
      <c r="Z33" s="164" t="e">
        <f>_xll.qlSimpleQuoteSetValue(E33,$Y33,ISERROR(F33))</f>
        <v>#NUM!</v>
      </c>
      <c r="AA33" s="183"/>
      <c r="AB33" s="190"/>
      <c r="AC33" s="191" t="e">
        <f t="shared" si="1"/>
        <v>#VALUE!</v>
      </c>
      <c r="AD33" s="190"/>
    </row>
    <row r="34" spans="1:30" x14ac:dyDescent="0.2">
      <c r="A34" s="93"/>
      <c r="B34" s="92">
        <v>31</v>
      </c>
      <c r="C34" s="91" t="b">
        <v>0</v>
      </c>
      <c r="D34" s="90" t="str">
        <v>M6</v>
      </c>
      <c r="E34" s="89" t="str">
        <f t="shared" si="0"/>
        <v>HKDFUT3MM6_Quote</v>
      </c>
      <c r="F34" s="88" t="str">
        <f>_xll.qlSimpleQuote(E34,,PriceTickValue,Permanent,Trigger,ObjectOverwrite)</f>
        <v>HKDFUT3MM6_Quote#0000</v>
      </c>
      <c r="G34" s="52" t="str">
        <f>_xll.ohRangeRetrieveError(F34)</f>
        <v/>
      </c>
      <c r="H34" s="65"/>
      <c r="J34" s="229"/>
      <c r="K34" s="235">
        <v>31</v>
      </c>
      <c r="L34" s="234" t="b">
        <v>0</v>
      </c>
      <c r="M34" s="169" t="str">
        <v>M6</v>
      </c>
      <c r="N34" s="233">
        <v>42536</v>
      </c>
      <c r="O34" s="169" t="str">
        <f t="shared" si="2"/>
        <v>HIRM6</v>
      </c>
      <c r="P34" s="232" t="s">
        <v>187</v>
      </c>
      <c r="Q34" s="169" t="s">
        <v>187</v>
      </c>
      <c r="R34" s="169" t="s">
        <v>187</v>
      </c>
      <c r="S34" s="169" t="s">
        <v>187</v>
      </c>
      <c r="T34" s="169" t="s">
        <v>187</v>
      </c>
      <c r="U34" s="164" t="e">
        <f>_xll.qlMidSafe($Q34,$R34)</f>
        <v>#NUM!</v>
      </c>
      <c r="V34" s="162"/>
      <c r="W34" s="231" t="e">
        <v>#NUM!</v>
      </c>
      <c r="X34" s="162"/>
      <c r="Y34" s="230" t="e">
        <v>#NUM!</v>
      </c>
      <c r="Z34" s="164" t="e">
        <f>_xll.qlSimpleQuoteSetValue(E34,$Y34,ISERROR(F34))</f>
        <v>#NUM!</v>
      </c>
      <c r="AA34" s="183"/>
      <c r="AB34" s="190"/>
      <c r="AC34" s="191" t="e">
        <f t="shared" si="1"/>
        <v>#VALUE!</v>
      </c>
      <c r="AD34" s="190"/>
    </row>
    <row r="35" spans="1:30" x14ac:dyDescent="0.2">
      <c r="A35" s="93"/>
      <c r="B35" s="92">
        <v>32</v>
      </c>
      <c r="C35" s="91" t="b">
        <v>0</v>
      </c>
      <c r="D35" s="90" t="str">
        <v>N6</v>
      </c>
      <c r="E35" s="89" t="str">
        <f t="shared" si="0"/>
        <v>HKDFUT3MN6_Quote</v>
      </c>
      <c r="F35" s="88" t="str">
        <f>_xll.qlSimpleQuote(E35,,PriceTickValue,Permanent,Trigger,ObjectOverwrite)</f>
        <v>HKDFUT3MN6_Quote#0000</v>
      </c>
      <c r="G35" s="52" t="str">
        <f>_xll.ohRangeRetrieveError(F35)</f>
        <v/>
      </c>
      <c r="H35" s="65"/>
      <c r="J35" s="229"/>
      <c r="K35" s="235">
        <v>32</v>
      </c>
      <c r="L35" s="234" t="b">
        <v>0</v>
      </c>
      <c r="M35" s="169" t="str">
        <v>N6</v>
      </c>
      <c r="N35" s="233">
        <v>42571</v>
      </c>
      <c r="O35" s="169" t="str">
        <f t="shared" si="2"/>
        <v>HIRN6</v>
      </c>
      <c r="P35" s="232" t="s">
        <v>187</v>
      </c>
      <c r="Q35" s="169" t="s">
        <v>187</v>
      </c>
      <c r="R35" s="169" t="s">
        <v>187</v>
      </c>
      <c r="S35" s="169" t="s">
        <v>187</v>
      </c>
      <c r="T35" s="169" t="s">
        <v>187</v>
      </c>
      <c r="U35" s="164" t="e">
        <f>_xll.qlMidSafe($Q35,$R35)</f>
        <v>#NUM!</v>
      </c>
      <c r="V35" s="162"/>
      <c r="W35" s="231" t="e">
        <v>#NUM!</v>
      </c>
      <c r="X35" s="162"/>
      <c r="Y35" s="230" t="e">
        <v>#NUM!</v>
      </c>
      <c r="Z35" s="164" t="e">
        <f>_xll.qlSimpleQuoteSetValue(E35,$Y35,ISERROR(F35))</f>
        <v>#NUM!</v>
      </c>
      <c r="AA35" s="183"/>
      <c r="AB35" s="190"/>
      <c r="AC35" s="191" t="e">
        <f t="shared" si="1"/>
        <v>#VALUE!</v>
      </c>
      <c r="AD35" s="190"/>
    </row>
    <row r="36" spans="1:30" x14ac:dyDescent="0.2">
      <c r="A36" s="93"/>
      <c r="B36" s="92">
        <v>33</v>
      </c>
      <c r="C36" s="91" t="b">
        <v>0</v>
      </c>
      <c r="D36" s="90" t="str">
        <v>Q6</v>
      </c>
      <c r="E36" s="89" t="str">
        <f t="shared" ref="E36:E39" si="3">Currency&amp;$D$2&amp;$E$2&amp;$D36&amp;QuoteSuffix</f>
        <v>HKDFUT3MQ6_Quote</v>
      </c>
      <c r="F36" s="88" t="str">
        <f>_xll.qlSimpleQuote(E36,,PriceTickValue,Permanent,Trigger,ObjectOverwrite)</f>
        <v>HKDFUT3MQ6_Quote#0000</v>
      </c>
      <c r="G36" s="52" t="str">
        <f>_xll.ohRangeRetrieveError(F36)</f>
        <v/>
      </c>
      <c r="H36" s="65"/>
      <c r="J36" s="229"/>
      <c r="K36" s="235">
        <v>33</v>
      </c>
      <c r="L36" s="234" t="b">
        <v>0</v>
      </c>
      <c r="M36" s="169" t="str">
        <v>Q6</v>
      </c>
      <c r="N36" s="233">
        <v>42599</v>
      </c>
      <c r="O36" s="169" t="str">
        <f t="shared" si="2"/>
        <v>HIRQ6</v>
      </c>
      <c r="P36" s="232" t="s">
        <v>187</v>
      </c>
      <c r="Q36" s="169" t="s">
        <v>187</v>
      </c>
      <c r="R36" s="169" t="s">
        <v>187</v>
      </c>
      <c r="S36" s="169" t="s">
        <v>187</v>
      </c>
      <c r="T36" s="169" t="s">
        <v>187</v>
      </c>
      <c r="U36" s="164" t="e">
        <f>_xll.qlMidSafe($Q36,$R36)</f>
        <v>#NUM!</v>
      </c>
      <c r="V36" s="162"/>
      <c r="W36" s="231" t="e">
        <v>#NUM!</v>
      </c>
      <c r="X36" s="162"/>
      <c r="Y36" s="230" t="e">
        <v>#NUM!</v>
      </c>
      <c r="Z36" s="164" t="e">
        <f>_xll.qlSimpleQuoteSetValue(E36,$Y36,ISERROR(F36))</f>
        <v>#NUM!</v>
      </c>
      <c r="AA36" s="183"/>
      <c r="AB36" s="190"/>
      <c r="AC36" s="191" t="e">
        <f t="shared" si="1"/>
        <v>#VALUE!</v>
      </c>
      <c r="AD36" s="190"/>
    </row>
    <row r="37" spans="1:30" ht="11.25" customHeight="1" x14ac:dyDescent="0.2">
      <c r="A37" s="93"/>
      <c r="B37" s="92">
        <v>34</v>
      </c>
      <c r="C37" s="91" t="b">
        <v>0</v>
      </c>
      <c r="D37" s="90" t="str">
        <v>U6</v>
      </c>
      <c r="E37" s="89" t="str">
        <f t="shared" si="3"/>
        <v>HKDFUT3MU6_Quote</v>
      </c>
      <c r="F37" s="88" t="str">
        <f>_xll.qlSimpleQuote(E37,,PriceTickValue,Permanent,Trigger,ObjectOverwrite)</f>
        <v>HKDFUT3MU6_Quote#0000</v>
      </c>
      <c r="G37" s="52" t="str">
        <f>_xll.ohRangeRetrieveError(F37)</f>
        <v/>
      </c>
      <c r="H37" s="65"/>
      <c r="J37" s="229"/>
      <c r="K37" s="235">
        <v>34</v>
      </c>
      <c r="L37" s="234" t="b">
        <v>0</v>
      </c>
      <c r="M37" s="169" t="str">
        <v>U6</v>
      </c>
      <c r="N37" s="233">
        <v>42634</v>
      </c>
      <c r="O37" s="169" t="str">
        <f t="shared" si="2"/>
        <v>HIRU6</v>
      </c>
      <c r="P37" s="232" t="s">
        <v>187</v>
      </c>
      <c r="Q37" s="169" t="s">
        <v>187</v>
      </c>
      <c r="R37" s="169" t="s">
        <v>187</v>
      </c>
      <c r="S37" s="169" t="s">
        <v>187</v>
      </c>
      <c r="T37" s="169" t="s">
        <v>187</v>
      </c>
      <c r="U37" s="164" t="e">
        <f>_xll.qlMidSafe($Q37,$R37)</f>
        <v>#NUM!</v>
      </c>
      <c r="V37" s="162"/>
      <c r="W37" s="231" t="e">
        <v>#NUM!</v>
      </c>
      <c r="X37" s="162"/>
      <c r="Y37" s="230" t="e">
        <v>#NUM!</v>
      </c>
      <c r="Z37" s="164" t="e">
        <f>_xll.qlSimpleQuoteSetValue(E37,$Y37,ISERROR(F37))</f>
        <v>#NUM!</v>
      </c>
      <c r="AA37" s="183"/>
      <c r="AB37" s="190"/>
      <c r="AC37" s="191" t="e">
        <f t="shared" si="1"/>
        <v>#VALUE!</v>
      </c>
      <c r="AD37" s="190"/>
    </row>
    <row r="38" spans="1:30" x14ac:dyDescent="0.2">
      <c r="A38" s="93"/>
      <c r="B38" s="92">
        <v>35</v>
      </c>
      <c r="C38" s="91" t="b">
        <v>0</v>
      </c>
      <c r="D38" s="90" t="str">
        <v>V6</v>
      </c>
      <c r="E38" s="89" t="str">
        <f t="shared" si="3"/>
        <v>HKDFUT3MV6_Quote</v>
      </c>
      <c r="F38" s="88" t="str">
        <f>_xll.qlSimpleQuote(E38,,PriceTickValue,Permanent,Trigger,ObjectOverwrite)</f>
        <v>HKDFUT3MV6_Quote#0000</v>
      </c>
      <c r="G38" s="52" t="str">
        <f>_xll.ohRangeRetrieveError(F38)</f>
        <v/>
      </c>
      <c r="H38" s="65"/>
      <c r="J38" s="229"/>
      <c r="K38" s="235">
        <v>35</v>
      </c>
      <c r="L38" s="234" t="b">
        <v>0</v>
      </c>
      <c r="M38" s="169" t="str">
        <v>V6</v>
      </c>
      <c r="N38" s="233">
        <v>42662</v>
      </c>
      <c r="O38" s="169" t="str">
        <f t="shared" si="2"/>
        <v>HIRV6</v>
      </c>
      <c r="P38" s="232" t="s">
        <v>187</v>
      </c>
      <c r="Q38" s="169" t="s">
        <v>187</v>
      </c>
      <c r="R38" s="169" t="s">
        <v>187</v>
      </c>
      <c r="S38" s="169" t="s">
        <v>187</v>
      </c>
      <c r="T38" s="169" t="s">
        <v>187</v>
      </c>
      <c r="U38" s="164" t="e">
        <f>_xll.qlMidSafe($Q38,$R38)</f>
        <v>#NUM!</v>
      </c>
      <c r="V38" s="162"/>
      <c r="W38" s="231" t="e">
        <v>#NUM!</v>
      </c>
      <c r="X38" s="162"/>
      <c r="Y38" s="230" t="e">
        <v>#NUM!</v>
      </c>
      <c r="Z38" s="164" t="e">
        <f>_xll.qlSimpleQuoteSetValue(E38,$Y38,ISERROR(F38))</f>
        <v>#NUM!</v>
      </c>
      <c r="AA38" s="183"/>
      <c r="AB38" s="190"/>
      <c r="AC38" s="191" t="e">
        <f t="shared" si="1"/>
        <v>#VALUE!</v>
      </c>
      <c r="AD38" s="190"/>
    </row>
    <row r="39" spans="1:30" x14ac:dyDescent="0.2">
      <c r="A39" s="93"/>
      <c r="B39" s="92">
        <v>36</v>
      </c>
      <c r="C39" s="91" t="b">
        <v>0</v>
      </c>
      <c r="D39" s="90" t="str">
        <v>X6</v>
      </c>
      <c r="E39" s="89" t="str">
        <f t="shared" si="3"/>
        <v>HKDFUT3MX6_Quote</v>
      </c>
      <c r="F39" s="88" t="str">
        <f>_xll.qlSimpleQuote(E39,,PriceTickValue,Permanent,Trigger,ObjectOverwrite)</f>
        <v>HKDFUT3MX6_Quote#0000</v>
      </c>
      <c r="G39" s="52" t="str">
        <f>_xll.ohRangeRetrieveError(F39)</f>
        <v/>
      </c>
      <c r="H39" s="65"/>
      <c r="J39" s="229"/>
      <c r="K39" s="228">
        <v>36</v>
      </c>
      <c r="L39" s="227" t="b">
        <v>0</v>
      </c>
      <c r="M39" s="160" t="str">
        <v>X6</v>
      </c>
      <c r="N39" s="226">
        <v>42690</v>
      </c>
      <c r="O39" s="160" t="str">
        <f t="shared" si="2"/>
        <v>HIRX6</v>
      </c>
      <c r="P39" s="225" t="s">
        <v>187</v>
      </c>
      <c r="Q39" s="160" t="s">
        <v>187</v>
      </c>
      <c r="R39" s="160" t="s">
        <v>187</v>
      </c>
      <c r="S39" s="160" t="s">
        <v>187</v>
      </c>
      <c r="T39" s="160" t="s">
        <v>187</v>
      </c>
      <c r="U39" s="205" t="e">
        <f>_xll.qlMidSafe($Q39,$R39)</f>
        <v>#NUM!</v>
      </c>
      <c r="V39" s="162"/>
      <c r="W39" s="224" t="e">
        <v>#NUM!</v>
      </c>
      <c r="X39" s="162"/>
      <c r="Y39" s="223" t="e">
        <v>#NUM!</v>
      </c>
      <c r="Z39" s="205" t="e">
        <f>_xll.qlSimpleQuoteSetValue(E39,$Y39,ISERROR(F39))</f>
        <v>#NUM!</v>
      </c>
      <c r="AA39" s="183"/>
      <c r="AB39" s="190"/>
      <c r="AC39" s="191" t="e">
        <f t="shared" si="1"/>
        <v>#VALUE!</v>
      </c>
      <c r="AD39" s="190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2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4"/>
      <c r="AB40" s="190"/>
      <c r="AC40" s="190"/>
      <c r="AD40" s="190"/>
    </row>
    <row r="41" spans="1:30" x14ac:dyDescent="0.2"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>
      <selection activeCell="S5" sqref="S5:S15"/>
    </sheetView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  <c r="Y1"/>
      <c r="Z1"/>
    </row>
    <row r="2" spans="1:26" ht="15.75" thickBot="1" x14ac:dyDescent="0.3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162"/>
      <c r="V2" s="220"/>
      <c r="W2" s="183"/>
      <c r="X2"/>
      <c r="Y2"/>
      <c r="Z2"/>
    </row>
    <row r="3" spans="1:26" ht="15" x14ac:dyDescent="0.25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_xll.ohTrigger(V5:V15)</f>
        <v>2</v>
      </c>
      <c r="W3" s="158"/>
      <c r="X3"/>
      <c r="Y3"/>
      <c r="Z3"/>
    </row>
    <row r="4" spans="1:26" ht="22.5" x14ac:dyDescent="0.25">
      <c r="A4" s="71"/>
      <c r="B4" s="134"/>
      <c r="C4" s="133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28" t="s">
        <v>182</v>
      </c>
      <c r="J4" s="167"/>
      <c r="K4" s="219"/>
      <c r="L4" s="180" t="str">
        <f>_xll.RData(L5:L15,M4:P4,,ReutersRtMode,,M5)</f>
        <v>Updated at 17:55:23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  <c r="Y4" s="322" t="s">
        <v>157</v>
      </c>
      <c r="Z4"/>
    </row>
    <row r="5" spans="1:26" ht="15" x14ac:dyDescent="0.25">
      <c r="A5" s="71"/>
      <c r="B5" s="132" t="s">
        <v>120</v>
      </c>
      <c r="C5" s="26" t="s">
        <v>118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HKDAM1H2M_Quote#0000</v>
      </c>
      <c r="G5" s="131" t="str">
        <f>_xll.ohRangeRetrieveError(F5)</f>
        <v/>
      </c>
      <c r="H5" s="65"/>
      <c r="J5" s="167"/>
      <c r="K5" s="170" t="str">
        <f t="shared" ref="K5:K15" si="1">Currency&amp;C5&amp;D5&amp;B5</f>
        <v>HKDAM1H2M</v>
      </c>
      <c r="L5" s="165" t="str">
        <f t="array" ref="L5:L15">Instruments&amp;"="&amp;VLOOKUP(Contributor,ContributorTable,2,FALSE)</f>
        <v>HKDAM1H2M=PREA</v>
      </c>
      <c r="M5" s="201" t="s">
        <v>187</v>
      </c>
      <c r="N5" s="201" t="s">
        <v>187</v>
      </c>
      <c r="O5" s="201" t="s">
        <v>187</v>
      </c>
      <c r="P5" s="201" t="s">
        <v>187</v>
      </c>
      <c r="Q5" s="260" t="e">
        <f>_xll.qlMidSafe($M5,$N5)</f>
        <v>#NUM!</v>
      </c>
      <c r="R5" s="162"/>
      <c r="S5" s="171" t="e">
        <v>#NUM!</v>
      </c>
      <c r="T5" s="162"/>
      <c r="U5" s="230" t="e">
        <f t="array" ref="U5:U15">QuoteLive</f>
        <v>#NUM!</v>
      </c>
      <c r="V5" s="168" t="e">
        <f>_xll.qlSimpleQuoteSetValue(E5,U5/100,ISERROR(F5))</f>
        <v>#NUM!</v>
      </c>
      <c r="W5" s="158"/>
      <c r="X5"/>
      <c r="Y5" s="191" t="e">
        <f t="shared" ref="Y5:Y15" si="2">(N5-Q5)/50</f>
        <v>#VALUE!</v>
      </c>
      <c r="Z5"/>
    </row>
    <row r="6" spans="1:26" ht="15" x14ac:dyDescent="0.25">
      <c r="A6" s="71"/>
      <c r="B6" s="130" t="s">
        <v>120</v>
      </c>
      <c r="C6" s="129" t="s">
        <v>118</v>
      </c>
      <c r="D6" s="128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HKDAM1H3M_Quote#0000</v>
      </c>
      <c r="G6" s="127" t="str">
        <f>_xll.ohRangeRetrieveError(F6)</f>
        <v/>
      </c>
      <c r="H6" s="65"/>
      <c r="J6" s="167"/>
      <c r="K6" s="170" t="str">
        <f t="shared" si="1"/>
        <v>HKDAM1H3M</v>
      </c>
      <c r="L6" s="165" t="str">
        <v>HKDAM1H3M=PREA</v>
      </c>
      <c r="M6" s="201">
        <v>0.16</v>
      </c>
      <c r="N6" s="201">
        <v>0.26</v>
      </c>
      <c r="O6" s="201">
        <v>0</v>
      </c>
      <c r="P6" s="201">
        <v>0</v>
      </c>
      <c r="Q6" s="260">
        <f>_xll.qlMidSafe($M6,$N6)</f>
        <v>0.21000000000000002</v>
      </c>
      <c r="R6" s="162"/>
      <c r="S6" s="171">
        <v>0.21000000000000002</v>
      </c>
      <c r="T6" s="162"/>
      <c r="U6" s="230">
        <v>0.21000000000000002</v>
      </c>
      <c r="V6" s="168">
        <f>_xll.qlSimpleQuoteSetValue(E6,U6/100,ISERROR(F6))</f>
        <v>0</v>
      </c>
      <c r="W6" s="158"/>
      <c r="X6"/>
      <c r="Y6" s="191">
        <f t="shared" si="2"/>
        <v>9.999999999999998E-4</v>
      </c>
      <c r="Z6"/>
    </row>
    <row r="7" spans="1:26" ht="15" x14ac:dyDescent="0.25">
      <c r="A7" s="71"/>
      <c r="B7" s="130" t="s">
        <v>120</v>
      </c>
      <c r="C7" s="129" t="s">
        <v>118</v>
      </c>
      <c r="D7" s="128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HKDAM1H4M_Quote#0000</v>
      </c>
      <c r="G7" s="127" t="str">
        <f>_xll.ohRangeRetrieveError(F7)</f>
        <v/>
      </c>
      <c r="H7" s="65"/>
      <c r="J7" s="167"/>
      <c r="K7" s="170" t="str">
        <f t="shared" si="1"/>
        <v>HKDAM1H4M</v>
      </c>
      <c r="L7" s="165" t="str">
        <v>HKDAM1H4M=PREA</v>
      </c>
      <c r="M7" s="201" t="s">
        <v>187</v>
      </c>
      <c r="N7" s="201" t="s">
        <v>187</v>
      </c>
      <c r="O7" s="201" t="s">
        <v>187</v>
      </c>
      <c r="P7" s="201" t="s">
        <v>187</v>
      </c>
      <c r="Q7" s="260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/>
      <c r="Y7" s="191" t="e">
        <f t="shared" si="2"/>
        <v>#VALUE!</v>
      </c>
      <c r="Z7"/>
    </row>
    <row r="8" spans="1:26" ht="15" x14ac:dyDescent="0.25">
      <c r="A8" s="71"/>
      <c r="B8" s="130" t="s">
        <v>120</v>
      </c>
      <c r="C8" s="129" t="s">
        <v>118</v>
      </c>
      <c r="D8" s="128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HKDAM1H5M_Quote#0000</v>
      </c>
      <c r="G8" s="127" t="str">
        <f>_xll.ohRangeRetrieveError(F8)</f>
        <v/>
      </c>
      <c r="H8" s="65"/>
      <c r="J8" s="167"/>
      <c r="K8" s="170" t="str">
        <f t="shared" si="1"/>
        <v>HKDAM1H5M</v>
      </c>
      <c r="L8" s="165" t="str">
        <v>HKDAM1H5M=PREA</v>
      </c>
      <c r="M8" s="201" t="s">
        <v>187</v>
      </c>
      <c r="N8" s="201" t="s">
        <v>187</v>
      </c>
      <c r="O8" s="201" t="s">
        <v>187</v>
      </c>
      <c r="P8" s="201" t="s">
        <v>187</v>
      </c>
      <c r="Q8" s="260" t="e">
        <f>_xll.qlMidSafe($M8,$N8)</f>
        <v>#NUM!</v>
      </c>
      <c r="R8" s="162"/>
      <c r="S8" s="171" t="e">
        <v>#NUM!</v>
      </c>
      <c r="T8" s="162"/>
      <c r="U8" s="230" t="e">
        <v>#NUM!</v>
      </c>
      <c r="V8" s="168" t="e">
        <f>_xll.qlSimpleQuoteSetValue(E8,U8/100,ISERROR(F8))</f>
        <v>#NUM!</v>
      </c>
      <c r="W8" s="158"/>
      <c r="X8"/>
      <c r="Y8" s="191" t="e">
        <f t="shared" si="2"/>
        <v>#VALUE!</v>
      </c>
      <c r="Z8"/>
    </row>
    <row r="9" spans="1:26" ht="15" x14ac:dyDescent="0.25">
      <c r="A9" s="71"/>
      <c r="B9" s="130" t="s">
        <v>120</v>
      </c>
      <c r="C9" s="129" t="s">
        <v>118</v>
      </c>
      <c r="D9" s="128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HKDAM1H6M_Quote#0000</v>
      </c>
      <c r="G9" s="127" t="str">
        <f>_xll.ohRangeRetrieveError(F9)</f>
        <v/>
      </c>
      <c r="H9" s="65"/>
      <c r="J9" s="167"/>
      <c r="K9" s="170" t="str">
        <f t="shared" si="1"/>
        <v>HKDAM1H6M</v>
      </c>
      <c r="L9" s="165" t="str">
        <v>HKDAM1H6M=PREA</v>
      </c>
      <c r="M9" s="201">
        <v>0.18</v>
      </c>
      <c r="N9" s="201">
        <v>0.28000000000000003</v>
      </c>
      <c r="O9" s="201">
        <v>0</v>
      </c>
      <c r="P9" s="201">
        <v>0</v>
      </c>
      <c r="Q9" s="260">
        <f>_xll.qlMidSafe($M9,$N9)</f>
        <v>0.23</v>
      </c>
      <c r="R9" s="162"/>
      <c r="S9" s="171">
        <v>0.23</v>
      </c>
      <c r="T9" s="162"/>
      <c r="U9" s="230">
        <v>0.23</v>
      </c>
      <c r="V9" s="168">
        <f>_xll.qlSimpleQuoteSetValue(E9,U9/100,ISERROR(F9))</f>
        <v>0</v>
      </c>
      <c r="W9" s="158"/>
      <c r="X9"/>
      <c r="Y9" s="191">
        <f t="shared" si="2"/>
        <v>1.0000000000000002E-3</v>
      </c>
      <c r="Z9"/>
    </row>
    <row r="10" spans="1:26" ht="15" x14ac:dyDescent="0.25">
      <c r="A10" s="71"/>
      <c r="B10" s="130" t="s">
        <v>120</v>
      </c>
      <c r="C10" s="129" t="s">
        <v>118</v>
      </c>
      <c r="D10" s="128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HKDAM1H7M_Quote#0000</v>
      </c>
      <c r="G10" s="127" t="str">
        <f>_xll.ohRangeRetrieveError(F10)</f>
        <v/>
      </c>
      <c r="H10" s="65"/>
      <c r="J10" s="167"/>
      <c r="K10" s="170" t="str">
        <f t="shared" si="1"/>
        <v>HKDAM1H7M</v>
      </c>
      <c r="L10" s="165" t="str">
        <v>HKDAM1H7M=PREA</v>
      </c>
      <c r="M10" s="201" t="s">
        <v>187</v>
      </c>
      <c r="N10" s="201" t="s">
        <v>187</v>
      </c>
      <c r="O10" s="201" t="s">
        <v>187</v>
      </c>
      <c r="P10" s="201" t="s">
        <v>187</v>
      </c>
      <c r="Q10" s="260" t="e">
        <f>_xll.qlMidSafe($M10,$N10)</f>
        <v>#NUM!</v>
      </c>
      <c r="R10" s="162"/>
      <c r="S10" s="171" t="e">
        <v>#NUM!</v>
      </c>
      <c r="T10" s="162"/>
      <c r="U10" s="230" t="e">
        <v>#NUM!</v>
      </c>
      <c r="V10" s="168" t="e">
        <f>_xll.qlSimpleQuoteSetValue(E10,U10/100,ISERROR(F10))</f>
        <v>#NUM!</v>
      </c>
      <c r="W10" s="158"/>
      <c r="X10"/>
      <c r="Y10" s="191" t="e">
        <f t="shared" si="2"/>
        <v>#VALUE!</v>
      </c>
      <c r="Z10"/>
    </row>
    <row r="11" spans="1:26" ht="15" x14ac:dyDescent="0.25">
      <c r="A11" s="71"/>
      <c r="B11" s="130" t="s">
        <v>120</v>
      </c>
      <c r="C11" s="129" t="s">
        <v>118</v>
      </c>
      <c r="D11" s="128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HKDAM1H8M_Quote#0000</v>
      </c>
      <c r="G11" s="127" t="str">
        <f>_xll.ohRangeRetrieveError(F11)</f>
        <v/>
      </c>
      <c r="H11" s="65"/>
      <c r="J11" s="167"/>
      <c r="K11" s="170" t="str">
        <f t="shared" si="1"/>
        <v>HKDAM1H8M</v>
      </c>
      <c r="L11" s="165" t="str">
        <v>HKDAM1H8M=PREA</v>
      </c>
      <c r="M11" s="201" t="s">
        <v>187</v>
      </c>
      <c r="N11" s="201" t="s">
        <v>187</v>
      </c>
      <c r="O11" s="201" t="s">
        <v>187</v>
      </c>
      <c r="P11" s="201" t="s">
        <v>187</v>
      </c>
      <c r="Q11" s="260" t="e">
        <f>_xll.qlMidSafe($M11,$N11)</f>
        <v>#NUM!</v>
      </c>
      <c r="R11" s="162"/>
      <c r="S11" s="171" t="e">
        <v>#NUM!</v>
      </c>
      <c r="T11" s="162"/>
      <c r="U11" s="230" t="e">
        <v>#NUM!</v>
      </c>
      <c r="V11" s="168" t="e">
        <f>_xll.qlSimpleQuoteSetValue(E11,U11/100,ISERROR(F11))</f>
        <v>#NUM!</v>
      </c>
      <c r="W11" s="158"/>
      <c r="X11"/>
      <c r="Y11" s="191" t="e">
        <f t="shared" si="2"/>
        <v>#VALUE!</v>
      </c>
      <c r="Z11"/>
    </row>
    <row r="12" spans="1:26" ht="15" x14ac:dyDescent="0.25">
      <c r="A12" s="71"/>
      <c r="B12" s="130" t="s">
        <v>120</v>
      </c>
      <c r="C12" s="129" t="s">
        <v>118</v>
      </c>
      <c r="D12" s="128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HKDAM1H9M_Quote#0000</v>
      </c>
      <c r="G12" s="127" t="str">
        <f>_xll.ohRangeRetrieveError(F12)</f>
        <v/>
      </c>
      <c r="H12" s="65"/>
      <c r="J12" s="167"/>
      <c r="K12" s="170" t="str">
        <f t="shared" si="1"/>
        <v>HKDAM1H9M</v>
      </c>
      <c r="L12" s="165" t="str">
        <v>HKDAM1H9M=PREA</v>
      </c>
      <c r="M12" s="201">
        <v>0.23</v>
      </c>
      <c r="N12" s="201">
        <v>0.33</v>
      </c>
      <c r="O12" s="201">
        <v>0</v>
      </c>
      <c r="P12" s="201">
        <v>0</v>
      </c>
      <c r="Q12" s="260">
        <f>_xll.qlMidSafe($M12,$N12)</f>
        <v>0.28000000000000003</v>
      </c>
      <c r="R12" s="162"/>
      <c r="S12" s="171">
        <v>0.28000000000000003</v>
      </c>
      <c r="T12" s="162"/>
      <c r="U12" s="230">
        <v>0.28000000000000003</v>
      </c>
      <c r="V12" s="168">
        <f>_xll.qlSimpleQuoteSetValue(E12,U12/100,ISERROR(F12))</f>
        <v>0</v>
      </c>
      <c r="W12" s="158"/>
      <c r="X12"/>
      <c r="Y12" s="191">
        <f t="shared" si="2"/>
        <v>9.999999999999998E-4</v>
      </c>
      <c r="Z12"/>
    </row>
    <row r="13" spans="1:26" ht="15" x14ac:dyDescent="0.25">
      <c r="A13" s="71"/>
      <c r="B13" s="130" t="s">
        <v>120</v>
      </c>
      <c r="C13" s="129" t="s">
        <v>118</v>
      </c>
      <c r="D13" s="128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HKDAM1H10M_Quote#0000</v>
      </c>
      <c r="G13" s="127" t="str">
        <f>_xll.ohRangeRetrieveError(F13)</f>
        <v/>
      </c>
      <c r="H13" s="65"/>
      <c r="J13" s="167"/>
      <c r="K13" s="170" t="str">
        <f t="shared" si="1"/>
        <v>HKDAM1H10M</v>
      </c>
      <c r="L13" s="165" t="str">
        <v>HKDAM1H10M=PREA</v>
      </c>
      <c r="M13" s="201" t="s">
        <v>187</v>
      </c>
      <c r="N13" s="201" t="s">
        <v>187</v>
      </c>
      <c r="O13" s="201" t="s">
        <v>187</v>
      </c>
      <c r="P13" s="201" t="s">
        <v>187</v>
      </c>
      <c r="Q13" s="260" t="e">
        <f>_xll.qlMidSafe($M13,$N13)</f>
        <v>#NUM!</v>
      </c>
      <c r="R13" s="162"/>
      <c r="S13" s="171" t="e">
        <v>#NUM!</v>
      </c>
      <c r="T13" s="162"/>
      <c r="U13" s="230" t="e">
        <v>#NUM!</v>
      </c>
      <c r="V13" s="168" t="e">
        <f>_xll.qlSimpleQuoteSetValue(E13,U13/100,ISERROR(F13))</f>
        <v>#NUM!</v>
      </c>
      <c r="W13" s="158"/>
      <c r="X13"/>
      <c r="Y13" s="191" t="e">
        <f t="shared" si="2"/>
        <v>#VALUE!</v>
      </c>
      <c r="Z13"/>
    </row>
    <row r="14" spans="1:26" ht="15" x14ac:dyDescent="0.25">
      <c r="A14" s="71"/>
      <c r="B14" s="130" t="s">
        <v>120</v>
      </c>
      <c r="C14" s="129" t="s">
        <v>118</v>
      </c>
      <c r="D14" s="128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HKDAM1H11M_Quote#0000</v>
      </c>
      <c r="G14" s="127" t="str">
        <f>_xll.ohRangeRetrieveError(F14)</f>
        <v/>
      </c>
      <c r="H14" s="65"/>
      <c r="J14" s="167"/>
      <c r="K14" s="170" t="str">
        <f t="shared" si="1"/>
        <v>HKDAM1H11M</v>
      </c>
      <c r="L14" s="165" t="str">
        <v>HKDAM1H11M=PREA</v>
      </c>
      <c r="M14" s="201" t="s">
        <v>187</v>
      </c>
      <c r="N14" s="201" t="s">
        <v>187</v>
      </c>
      <c r="O14" s="201" t="s">
        <v>187</v>
      </c>
      <c r="P14" s="201" t="s">
        <v>187</v>
      </c>
      <c r="Q14" s="260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/>
      <c r="Y14" s="191" t="e">
        <f t="shared" si="2"/>
        <v>#VALUE!</v>
      </c>
      <c r="Z14"/>
    </row>
    <row r="15" spans="1:26" ht="15" x14ac:dyDescent="0.25">
      <c r="A15" s="71"/>
      <c r="B15" s="130" t="s">
        <v>119</v>
      </c>
      <c r="C15" s="129" t="s">
        <v>118</v>
      </c>
      <c r="D15" s="128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HKDAM1H1Y_Quote#0000</v>
      </c>
      <c r="G15" s="127" t="str">
        <f>_xll.ohRangeRetrieveError(F15)</f>
        <v/>
      </c>
      <c r="H15" s="65"/>
      <c r="J15" s="167"/>
      <c r="K15" s="161" t="str">
        <f t="shared" si="1"/>
        <v>HKDAM1H1Y</v>
      </c>
      <c r="L15" s="259" t="str">
        <v>HKDAM1H1Y=PREA</v>
      </c>
      <c r="M15" s="207">
        <v>0.24</v>
      </c>
      <c r="N15" s="207">
        <v>0.34</v>
      </c>
      <c r="O15" s="207">
        <v>0</v>
      </c>
      <c r="P15" s="207">
        <v>0</v>
      </c>
      <c r="Q15" s="258">
        <f>_xll.qlMidSafe($M15,$N15)</f>
        <v>0.29000000000000004</v>
      </c>
      <c r="R15" s="162"/>
      <c r="S15" s="163">
        <v>0.29000000000000004</v>
      </c>
      <c r="T15" s="162"/>
      <c r="U15" s="223">
        <v>0.29000000000000004</v>
      </c>
      <c r="V15" s="159">
        <f>_xll.qlSimpleQuoteSetValue(E15,U15/100,ISERROR(F15))</f>
        <v>0</v>
      </c>
      <c r="W15" s="158"/>
      <c r="X15"/>
      <c r="Y15" s="191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57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257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zoomScaleNormal="100" workbookViewId="0">
      <selection activeCell="O2" sqref="O2"/>
    </sheetView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 s="190"/>
      <c r="Y1" s="190"/>
      <c r="Z1" s="190"/>
    </row>
    <row r="2" spans="1:26" ht="13.5" thickBot="1" x14ac:dyDescent="0.25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220"/>
      <c r="V2" s="220"/>
      <c r="W2" s="183"/>
      <c r="X2" s="190"/>
      <c r="Y2" s="190"/>
      <c r="Z2" s="190"/>
    </row>
    <row r="3" spans="1:26" x14ac:dyDescent="0.2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_xll.ohTrigger(V5:V32)</f>
        <v>2</v>
      </c>
      <c r="W3" s="158"/>
      <c r="X3" s="190"/>
      <c r="Y3" s="190"/>
      <c r="Z3" s="190"/>
    </row>
    <row r="4" spans="1:26" x14ac:dyDescent="0.2">
      <c r="A4" s="71"/>
      <c r="B4" s="42" t="s">
        <v>61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24</v>
      </c>
      <c r="G4" s="23" t="str">
        <f ca="1">_xll.ohRangeRetrieveError(F4)</f>
        <v/>
      </c>
      <c r="H4" s="328" t="s">
        <v>182</v>
      </c>
      <c r="J4" s="167"/>
      <c r="K4" s="219"/>
      <c r="L4" s="180" t="str">
        <f>_xll.RData(L5:L32,M4:P4,,ReutersRtMode,,M5)</f>
        <v>Updated at 17:55:23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 s="190"/>
      <c r="Y4" s="322" t="s">
        <v>157</v>
      </c>
      <c r="Z4" s="190"/>
    </row>
    <row r="5" spans="1:26" x14ac:dyDescent="0.2">
      <c r="A5" s="71"/>
      <c r="B5" s="132" t="s">
        <v>60</v>
      </c>
      <c r="C5" s="26" t="s">
        <v>122</v>
      </c>
      <c r="D5" s="26" t="s">
        <v>121</v>
      </c>
      <c r="E5" s="24" t="str">
        <f t="shared" ref="E5:E28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HKDQM3H6M_Quote#0000</v>
      </c>
      <c r="G5" s="131" t="str">
        <f>_xll.ohRangeRetrieveError(F5)</f>
        <v/>
      </c>
      <c r="H5" s="65"/>
      <c r="J5" s="167"/>
      <c r="K5" s="166" t="str">
        <f t="shared" ref="K5:K28" si="1">Currency&amp;C5&amp;D5&amp;B5</f>
        <v>HKDQM3H6M</v>
      </c>
      <c r="L5" s="200" t="str">
        <f t="array" ref="L5:L32">Instruments&amp;"="&amp;VLOOKUP(Contributor,ContributorTable,2,FALSE)</f>
        <v>HKDQM3H6M=PREA</v>
      </c>
      <c r="M5" s="201">
        <v>0.34</v>
      </c>
      <c r="N5" s="201">
        <v>0.44</v>
      </c>
      <c r="O5" s="201">
        <v>0</v>
      </c>
      <c r="P5" s="201">
        <v>0</v>
      </c>
      <c r="Q5" s="164">
        <f>_xll.qlMidSafe($M5,$N5)</f>
        <v>0.39</v>
      </c>
      <c r="R5" s="162"/>
      <c r="S5" s="171">
        <v>0.39</v>
      </c>
      <c r="T5" s="162"/>
      <c r="U5" s="230">
        <f t="array" ref="U5:U32">QuoteLive</f>
        <v>0.39</v>
      </c>
      <c r="V5" s="168">
        <f>_xll.qlSimpleQuoteSetValue(E5,U5/100,ISERROR(F5))</f>
        <v>0</v>
      </c>
      <c r="W5" s="158"/>
      <c r="X5" s="190"/>
      <c r="Y5" s="191">
        <f t="shared" ref="Y5:Y32" si="2">(N5-Q5)/50</f>
        <v>9.999999999999998E-4</v>
      </c>
      <c r="Z5" s="190"/>
    </row>
    <row r="6" spans="1:26" x14ac:dyDescent="0.2">
      <c r="A6" s="71"/>
      <c r="B6" s="132" t="s">
        <v>59</v>
      </c>
      <c r="C6" s="26" t="s">
        <v>122</v>
      </c>
      <c r="D6" s="26" t="s">
        <v>121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HKDQM3H1Y_Quote#0000</v>
      </c>
      <c r="G6" s="131" t="str">
        <f>_xll.ohRangeRetrieveError(F6)</f>
        <v/>
      </c>
      <c r="H6" s="65"/>
      <c r="J6" s="167"/>
      <c r="K6" s="166" t="str">
        <f t="shared" si="1"/>
        <v>HKDQM3H1Y</v>
      </c>
      <c r="L6" s="200" t="str">
        <v>HKDQM3H1Y=PREA</v>
      </c>
      <c r="M6" s="201">
        <v>0.38</v>
      </c>
      <c r="N6" s="201">
        <v>0.48</v>
      </c>
      <c r="O6" s="201">
        <v>0</v>
      </c>
      <c r="P6" s="201">
        <v>0</v>
      </c>
      <c r="Q6" s="164">
        <f>_xll.qlMidSafe($M6,$N6)</f>
        <v>0.43</v>
      </c>
      <c r="R6" s="162"/>
      <c r="S6" s="171">
        <v>0.43</v>
      </c>
      <c r="T6" s="162"/>
      <c r="U6" s="230">
        <v>0.43</v>
      </c>
      <c r="V6" s="168">
        <f>_xll.qlSimpleQuoteSetValue(E6,U6/100,ISERROR(F6))</f>
        <v>0</v>
      </c>
      <c r="W6" s="158"/>
      <c r="X6" s="190"/>
      <c r="Y6" s="191">
        <f t="shared" si="2"/>
        <v>9.999999999999998E-4</v>
      </c>
      <c r="Z6" s="190"/>
    </row>
    <row r="7" spans="1:26" x14ac:dyDescent="0.2">
      <c r="A7" s="71"/>
      <c r="B7" s="130" t="s">
        <v>58</v>
      </c>
      <c r="C7" s="26" t="s">
        <v>122</v>
      </c>
      <c r="D7" s="26" t="s">
        <v>121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HKDQM3H15M_Quote#0000</v>
      </c>
      <c r="G7" s="131" t="str">
        <f>_xll.ohRangeRetrieveError(F7)</f>
        <v/>
      </c>
      <c r="H7" s="65"/>
      <c r="J7" s="167"/>
      <c r="K7" s="166" t="str">
        <f t="shared" si="1"/>
        <v>HKDQM3H15M</v>
      </c>
      <c r="L7" s="200" t="str">
        <v>HKDQM3H15M=PREA</v>
      </c>
      <c r="M7" s="201" t="s">
        <v>187</v>
      </c>
      <c r="N7" s="201" t="s">
        <v>187</v>
      </c>
      <c r="O7" s="201" t="s">
        <v>187</v>
      </c>
      <c r="P7" s="201" t="s">
        <v>187</v>
      </c>
      <c r="Q7" s="164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 s="190"/>
      <c r="Y7" s="191" t="e">
        <f t="shared" si="2"/>
        <v>#VALUE!</v>
      </c>
      <c r="Z7" s="190"/>
    </row>
    <row r="8" spans="1:26" x14ac:dyDescent="0.2">
      <c r="A8" s="71"/>
      <c r="B8" s="130" t="s">
        <v>57</v>
      </c>
      <c r="C8" s="26" t="s">
        <v>122</v>
      </c>
      <c r="D8" s="26" t="s">
        <v>121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HKDQM3H18M_Quote#0000</v>
      </c>
      <c r="G8" s="127" t="str">
        <f>_xll.ohRangeRetrieveError(F8)</f>
        <v/>
      </c>
      <c r="H8" s="65"/>
      <c r="J8" s="167"/>
      <c r="K8" s="166" t="str">
        <f t="shared" si="1"/>
        <v>HKDQM3H18M</v>
      </c>
      <c r="L8" s="200" t="str">
        <v>HKDQM3H18M=PREA</v>
      </c>
      <c r="M8" s="201">
        <v>0.41000000000000003</v>
      </c>
      <c r="N8" s="201">
        <v>0.51</v>
      </c>
      <c r="O8" s="201">
        <v>0</v>
      </c>
      <c r="P8" s="201">
        <v>0</v>
      </c>
      <c r="Q8" s="164">
        <f>_xll.qlMidSafe($M8,$N8)</f>
        <v>0.46</v>
      </c>
      <c r="R8" s="162"/>
      <c r="S8" s="171">
        <v>0.46</v>
      </c>
      <c r="T8" s="162"/>
      <c r="U8" s="230">
        <v>0.46</v>
      </c>
      <c r="V8" s="168">
        <f>_xll.qlSimpleQuoteSetValue(E8,U8/100,ISERROR(F8))</f>
        <v>0</v>
      </c>
      <c r="W8" s="158"/>
      <c r="X8" s="190"/>
      <c r="Y8" s="191">
        <f t="shared" si="2"/>
        <v>9.999999999999998E-4</v>
      </c>
      <c r="Z8" s="190"/>
    </row>
    <row r="9" spans="1:26" x14ac:dyDescent="0.2">
      <c r="A9" s="71"/>
      <c r="B9" s="130" t="s">
        <v>56</v>
      </c>
      <c r="C9" s="26" t="s">
        <v>122</v>
      </c>
      <c r="D9" s="26" t="s">
        <v>121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HKDQM3H21M_Quote#0000</v>
      </c>
      <c r="G9" s="127" t="str">
        <f>_xll.ohRangeRetrieveError(F9)</f>
        <v/>
      </c>
      <c r="H9" s="65"/>
      <c r="J9" s="167"/>
      <c r="K9" s="166" t="str">
        <f t="shared" si="1"/>
        <v>HKDQM3H21M</v>
      </c>
      <c r="L9" s="200" t="str">
        <v>HKDQM3H21M=PREA</v>
      </c>
      <c r="M9" s="201" t="s">
        <v>187</v>
      </c>
      <c r="N9" s="201" t="s">
        <v>187</v>
      </c>
      <c r="O9" s="201" t="s">
        <v>187</v>
      </c>
      <c r="P9" s="201" t="s">
        <v>187</v>
      </c>
      <c r="Q9" s="164" t="e">
        <f>_xll.qlMidSafe($M9,$N9)</f>
        <v>#NUM!</v>
      </c>
      <c r="R9" s="162"/>
      <c r="S9" s="171" t="e">
        <v>#NUM!</v>
      </c>
      <c r="T9" s="162"/>
      <c r="U9" s="230" t="e">
        <v>#NUM!</v>
      </c>
      <c r="V9" s="168" t="e">
        <f>_xll.qlSimpleQuoteSetValue(E9,U9/100,ISERROR(F9))</f>
        <v>#NUM!</v>
      </c>
      <c r="W9" s="158"/>
      <c r="X9" s="190"/>
      <c r="Y9" s="191" t="e">
        <f t="shared" si="2"/>
        <v>#VALUE!</v>
      </c>
      <c r="Z9" s="190"/>
    </row>
    <row r="10" spans="1:26" x14ac:dyDescent="0.2">
      <c r="A10" s="71"/>
      <c r="B10" s="130" t="s">
        <v>55</v>
      </c>
      <c r="C10" s="26" t="s">
        <v>122</v>
      </c>
      <c r="D10" s="26" t="s">
        <v>121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HKDQM3H2Y_Quote#0000</v>
      </c>
      <c r="G10" s="127" t="str">
        <f>_xll.ohRangeRetrieveError(F10)</f>
        <v/>
      </c>
      <c r="H10" s="65"/>
      <c r="J10" s="167"/>
      <c r="K10" s="166" t="str">
        <f t="shared" si="1"/>
        <v>HKDQM3H2Y</v>
      </c>
      <c r="L10" s="200" t="str">
        <v>HKDQM3H2Y=PREA</v>
      </c>
      <c r="M10" s="201">
        <v>0.47000000000000003</v>
      </c>
      <c r="N10" s="201">
        <v>0.57000000000000006</v>
      </c>
      <c r="O10" s="201">
        <v>0</v>
      </c>
      <c r="P10" s="201">
        <v>0</v>
      </c>
      <c r="Q10" s="164">
        <f>_xll.qlMidSafe($M10,$N10)</f>
        <v>0.52</v>
      </c>
      <c r="R10" s="162"/>
      <c r="S10" s="171">
        <v>0.52</v>
      </c>
      <c r="T10" s="162"/>
      <c r="U10" s="230">
        <v>0.52</v>
      </c>
      <c r="V10" s="168">
        <f>_xll.qlSimpleQuoteSetValue(E10,U10/100,ISERROR(F10))</f>
        <v>0</v>
      </c>
      <c r="W10" s="158"/>
      <c r="X10" s="190"/>
      <c r="Y10" s="191">
        <f t="shared" si="2"/>
        <v>1.0000000000000009E-3</v>
      </c>
      <c r="Z10" s="190"/>
    </row>
    <row r="11" spans="1:26" x14ac:dyDescent="0.2">
      <c r="A11" s="71"/>
      <c r="B11" s="130" t="s">
        <v>53</v>
      </c>
      <c r="C11" s="26" t="s">
        <v>122</v>
      </c>
      <c r="D11" s="26" t="s">
        <v>121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HKDQM3H3Y_Quote#0000</v>
      </c>
      <c r="G11" s="127" t="str">
        <f>_xll.ohRangeRetrieveError(F11)</f>
        <v/>
      </c>
      <c r="H11" s="65"/>
      <c r="J11" s="167"/>
      <c r="K11" s="166" t="str">
        <f t="shared" si="1"/>
        <v>HKDQM3H3Y</v>
      </c>
      <c r="L11" s="200" t="str">
        <v>HKDQM3H3Y=PREA</v>
      </c>
      <c r="M11" s="201">
        <v>0.70000000000000007</v>
      </c>
      <c r="N11" s="201">
        <v>0.8</v>
      </c>
      <c r="O11" s="201">
        <v>0</v>
      </c>
      <c r="P11" s="201">
        <v>0</v>
      </c>
      <c r="Q11" s="164">
        <f>_xll.qlMidSafe($M11,$N11)</f>
        <v>0.75</v>
      </c>
      <c r="R11" s="162"/>
      <c r="S11" s="171">
        <v>0.75</v>
      </c>
      <c r="T11" s="162"/>
      <c r="U11" s="230">
        <v>0.75</v>
      </c>
      <c r="V11" s="168">
        <f>_xll.qlSimpleQuoteSetValue(E11,U11/100,ISERROR(F11))</f>
        <v>0</v>
      </c>
      <c r="W11" s="158"/>
      <c r="X11" s="190"/>
      <c r="Y11" s="191">
        <f t="shared" si="2"/>
        <v>1.0000000000000009E-3</v>
      </c>
      <c r="Z11" s="190"/>
    </row>
    <row r="12" spans="1:26" x14ac:dyDescent="0.2">
      <c r="A12" s="71"/>
      <c r="B12" s="130" t="s">
        <v>49</v>
      </c>
      <c r="C12" s="26" t="s">
        <v>122</v>
      </c>
      <c r="D12" s="26" t="s">
        <v>121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HKDQM3H4Y_Quote#0000</v>
      </c>
      <c r="G12" s="127" t="str">
        <f>_xll.ohRangeRetrieveError(F12)</f>
        <v/>
      </c>
      <c r="H12" s="65"/>
      <c r="J12" s="167"/>
      <c r="K12" s="166" t="str">
        <f t="shared" si="1"/>
        <v>HKDQM3H4Y</v>
      </c>
      <c r="L12" s="200" t="str">
        <v>HKDQM3H4Y=PREA</v>
      </c>
      <c r="M12" s="201">
        <v>1.06</v>
      </c>
      <c r="N12" s="201">
        <v>1.1599999999999999</v>
      </c>
      <c r="O12" s="201">
        <v>0</v>
      </c>
      <c r="P12" s="201">
        <v>0</v>
      </c>
      <c r="Q12" s="164">
        <f>_xll.qlMidSafe($M12,$N12)</f>
        <v>1.1099999999999999</v>
      </c>
      <c r="R12" s="162"/>
      <c r="S12" s="171">
        <v>1.1099999999999999</v>
      </c>
      <c r="T12" s="162"/>
      <c r="U12" s="230">
        <v>1.1099999999999999</v>
      </c>
      <c r="V12" s="168">
        <f>_xll.qlSimpleQuoteSetValue(E12,U12/100,ISERROR(F12))</f>
        <v>0</v>
      </c>
      <c r="W12" s="158"/>
      <c r="X12" s="190"/>
      <c r="Y12" s="191">
        <f t="shared" si="2"/>
        <v>1.0000000000000009E-3</v>
      </c>
      <c r="Z12" s="190"/>
    </row>
    <row r="13" spans="1:26" x14ac:dyDescent="0.2">
      <c r="A13" s="71"/>
      <c r="B13" s="130" t="s">
        <v>47</v>
      </c>
      <c r="C13" s="26" t="s">
        <v>122</v>
      </c>
      <c r="D13" s="26" t="s">
        <v>121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HKDQM3H5Y_Quote#0000</v>
      </c>
      <c r="G13" s="127" t="str">
        <f>_xll.ohRangeRetrieveError(F13)</f>
        <v/>
      </c>
      <c r="H13" s="65"/>
      <c r="J13" s="167"/>
      <c r="K13" s="166" t="str">
        <f t="shared" si="1"/>
        <v>HKDQM3H5Y</v>
      </c>
      <c r="L13" s="200" t="str">
        <v>HKDQM3H5Y=PREA</v>
      </c>
      <c r="M13" s="201">
        <v>1.45</v>
      </c>
      <c r="N13" s="201">
        <v>1.55</v>
      </c>
      <c r="O13" s="201">
        <v>0</v>
      </c>
      <c r="P13" s="201">
        <v>0</v>
      </c>
      <c r="Q13" s="164">
        <f>_xll.qlMidSafe($M13,$N13)</f>
        <v>1.5</v>
      </c>
      <c r="R13" s="162"/>
      <c r="S13" s="171">
        <v>1.5</v>
      </c>
      <c r="T13" s="162"/>
      <c r="U13" s="230">
        <v>1.5</v>
      </c>
      <c r="V13" s="168">
        <f>_xll.qlSimpleQuoteSetValue(E13,U13/100,ISERROR(F13))</f>
        <v>0</v>
      </c>
      <c r="W13" s="158"/>
      <c r="X13" s="190"/>
      <c r="Y13" s="191">
        <f t="shared" si="2"/>
        <v>1.0000000000000009E-3</v>
      </c>
      <c r="Z13" s="190"/>
    </row>
    <row r="14" spans="1:26" x14ac:dyDescent="0.2">
      <c r="A14" s="71"/>
      <c r="B14" s="130" t="s">
        <v>44</v>
      </c>
      <c r="C14" s="26" t="s">
        <v>122</v>
      </c>
      <c r="D14" s="26" t="s">
        <v>121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HKDQM3H6Y_Quote#0000</v>
      </c>
      <c r="G14" s="127" t="str">
        <f>_xll.ohRangeRetrieveError(F14)</f>
        <v/>
      </c>
      <c r="H14" s="65"/>
      <c r="J14" s="167"/>
      <c r="K14" s="166" t="str">
        <f t="shared" si="1"/>
        <v>HKDQM3H6Y</v>
      </c>
      <c r="L14" s="200" t="str">
        <v>HKDQM3H6Y=PREA</v>
      </c>
      <c r="M14" s="201" t="s">
        <v>187</v>
      </c>
      <c r="N14" s="201" t="s">
        <v>187</v>
      </c>
      <c r="O14" s="201" t="s">
        <v>187</v>
      </c>
      <c r="P14" s="201" t="s">
        <v>187</v>
      </c>
      <c r="Q14" s="164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 s="190"/>
      <c r="Y14" s="191" t="e">
        <f t="shared" si="2"/>
        <v>#VALUE!</v>
      </c>
      <c r="Z14" s="190"/>
    </row>
    <row r="15" spans="1:26" x14ac:dyDescent="0.2">
      <c r="A15" s="71"/>
      <c r="B15" s="130" t="s">
        <v>40</v>
      </c>
      <c r="C15" s="26" t="s">
        <v>122</v>
      </c>
      <c r="D15" s="26" t="s">
        <v>121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HKDQM3H7Y_Quote#0000</v>
      </c>
      <c r="G15" s="127" t="str">
        <f>_xll.ohRangeRetrieveError(F15)</f>
        <v/>
      </c>
      <c r="H15" s="65"/>
      <c r="J15" s="167"/>
      <c r="K15" s="166" t="str">
        <f t="shared" si="1"/>
        <v>HKDQM3H7Y</v>
      </c>
      <c r="L15" s="200" t="str">
        <v>HKDQM3H7Y=PREA</v>
      </c>
      <c r="M15" s="201">
        <v>2.0300000000000002</v>
      </c>
      <c r="N15" s="201">
        <v>2.13</v>
      </c>
      <c r="O15" s="201">
        <v>0</v>
      </c>
      <c r="P15" s="201">
        <v>0</v>
      </c>
      <c r="Q15" s="164">
        <f>_xll.qlMidSafe($M15,$N15)</f>
        <v>2.08</v>
      </c>
      <c r="R15" s="162"/>
      <c r="S15" s="171">
        <v>2.08</v>
      </c>
      <c r="T15" s="162"/>
      <c r="U15" s="230">
        <v>2.08</v>
      </c>
      <c r="V15" s="168">
        <f>_xll.qlSimpleQuoteSetValue(E15,U15/100,ISERROR(F15))</f>
        <v>0</v>
      </c>
      <c r="W15" s="158"/>
      <c r="X15" s="190"/>
      <c r="Y15" s="191">
        <f t="shared" si="2"/>
        <v>9.9999999999999655E-4</v>
      </c>
      <c r="Z15" s="190"/>
    </row>
    <row r="16" spans="1:26" x14ac:dyDescent="0.2">
      <c r="A16" s="71"/>
      <c r="B16" s="130" t="s">
        <v>39</v>
      </c>
      <c r="C16" s="26" t="s">
        <v>122</v>
      </c>
      <c r="D16" s="26" t="s">
        <v>121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HKDQM3H8Y_Quote#0000</v>
      </c>
      <c r="G16" s="127" t="str">
        <f>_xll.ohRangeRetrieveError(F16)</f>
        <v/>
      </c>
      <c r="H16" s="65"/>
      <c r="J16" s="167"/>
      <c r="K16" s="166" t="str">
        <f t="shared" si="1"/>
        <v>HKDQM3H8Y</v>
      </c>
      <c r="L16" s="200" t="str">
        <v>HKDQM3H8Y=PREA</v>
      </c>
      <c r="M16" s="201" t="s">
        <v>187</v>
      </c>
      <c r="N16" s="201" t="s">
        <v>187</v>
      </c>
      <c r="O16" s="201" t="s">
        <v>187</v>
      </c>
      <c r="P16" s="201" t="s">
        <v>187</v>
      </c>
      <c r="Q16" s="164" t="e">
        <f>_xll.qlMidSafe($M16,$N16)</f>
        <v>#NUM!</v>
      </c>
      <c r="R16" s="162"/>
      <c r="S16" s="171" t="e">
        <v>#NUM!</v>
      </c>
      <c r="T16" s="162"/>
      <c r="U16" s="230" t="e">
        <v>#NUM!</v>
      </c>
      <c r="V16" s="168" t="e">
        <f>_xll.qlSimpleQuoteSetValue(E16,U16/100,ISERROR(F16))</f>
        <v>#NUM!</v>
      </c>
      <c r="W16" s="158"/>
      <c r="X16" s="190"/>
      <c r="Y16" s="191" t="e">
        <f t="shared" si="2"/>
        <v>#VALUE!</v>
      </c>
      <c r="Z16" s="190"/>
    </row>
    <row r="17" spans="1:26" x14ac:dyDescent="0.2">
      <c r="A17" s="71"/>
      <c r="B17" s="130" t="s">
        <v>38</v>
      </c>
      <c r="C17" s="26" t="s">
        <v>122</v>
      </c>
      <c r="D17" s="26" t="s">
        <v>121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HKDQM3H9Y_Quote#0000</v>
      </c>
      <c r="G17" s="127" t="str">
        <f>_xll.ohRangeRetrieveError(F17)</f>
        <v/>
      </c>
      <c r="H17" s="65"/>
      <c r="J17" s="167"/>
      <c r="K17" s="166" t="str">
        <f t="shared" si="1"/>
        <v>HKDQM3H9Y</v>
      </c>
      <c r="L17" s="200" t="str">
        <v>HKDQM3H9Y=PREA</v>
      </c>
      <c r="M17" s="201" t="s">
        <v>187</v>
      </c>
      <c r="N17" s="201" t="s">
        <v>187</v>
      </c>
      <c r="O17" s="201" t="s">
        <v>187</v>
      </c>
      <c r="P17" s="201" t="s">
        <v>187</v>
      </c>
      <c r="Q17" s="164" t="e">
        <f>_xll.qlMidSafe($M17,$N17)</f>
        <v>#NUM!</v>
      </c>
      <c r="R17" s="162"/>
      <c r="S17" s="171" t="e">
        <v>#NUM!</v>
      </c>
      <c r="T17" s="162"/>
      <c r="U17" s="230" t="e">
        <v>#NUM!</v>
      </c>
      <c r="V17" s="168" t="e">
        <f>_xll.qlSimpleQuoteSetValue(E17,U17/100,ISERROR(F17))</f>
        <v>#NUM!</v>
      </c>
      <c r="W17" s="158"/>
      <c r="X17" s="190"/>
      <c r="Y17" s="191" t="e">
        <f t="shared" si="2"/>
        <v>#VALUE!</v>
      </c>
      <c r="Z17" s="190"/>
    </row>
    <row r="18" spans="1:26" x14ac:dyDescent="0.2">
      <c r="A18" s="71"/>
      <c r="B18" s="130" t="s">
        <v>37</v>
      </c>
      <c r="C18" s="26" t="s">
        <v>122</v>
      </c>
      <c r="D18" s="26" t="s">
        <v>121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HKDQM3H10Y_Quote#0000</v>
      </c>
      <c r="G18" s="127" t="str">
        <f>_xll.ohRangeRetrieveError(F18)</f>
        <v/>
      </c>
      <c r="H18" s="65"/>
      <c r="J18" s="167"/>
      <c r="K18" s="166" t="str">
        <f t="shared" si="1"/>
        <v>HKDQM3H10Y</v>
      </c>
      <c r="L18" s="200" t="str">
        <v>HKDQM3H10Y=PREA</v>
      </c>
      <c r="M18" s="201">
        <v>2.57</v>
      </c>
      <c r="N18" s="201">
        <v>2.67</v>
      </c>
      <c r="O18" s="201">
        <v>0</v>
      </c>
      <c r="P18" s="201">
        <v>0</v>
      </c>
      <c r="Q18" s="164">
        <f>_xll.qlMidSafe($M18,$N18)</f>
        <v>2.62</v>
      </c>
      <c r="R18" s="162"/>
      <c r="S18" s="171">
        <v>2.62</v>
      </c>
      <c r="T18" s="162"/>
      <c r="U18" s="230">
        <v>2.62</v>
      </c>
      <c r="V18" s="168">
        <f>_xll.qlSimpleQuoteSetValue(E18,U18/100,ISERROR(F18))</f>
        <v>0</v>
      </c>
      <c r="W18" s="158"/>
      <c r="X18" s="190"/>
      <c r="Y18" s="191">
        <f t="shared" si="2"/>
        <v>9.9999999999999655E-4</v>
      </c>
      <c r="Z18" s="190"/>
    </row>
    <row r="19" spans="1:26" x14ac:dyDescent="0.2">
      <c r="A19" s="71"/>
      <c r="B19" s="130" t="s">
        <v>36</v>
      </c>
      <c r="C19" s="26" t="s">
        <v>122</v>
      </c>
      <c r="D19" s="26" t="s">
        <v>121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HKDQM3H11Y_Quote#0000</v>
      </c>
      <c r="G19" s="127" t="str">
        <f>_xll.ohRangeRetrieveError(F19)</f>
        <v/>
      </c>
      <c r="H19" s="65"/>
      <c r="J19" s="167"/>
      <c r="K19" s="166" t="str">
        <f t="shared" si="1"/>
        <v>HKDQM3H11Y</v>
      </c>
      <c r="L19" s="200" t="str">
        <v>HKDQM3H11Y=PREA</v>
      </c>
      <c r="M19" s="201" t="s">
        <v>187</v>
      </c>
      <c r="N19" s="201" t="s">
        <v>187</v>
      </c>
      <c r="O19" s="201" t="s">
        <v>187</v>
      </c>
      <c r="P19" s="201" t="s">
        <v>187</v>
      </c>
      <c r="Q19" s="164" t="e">
        <f>_xll.qlMidSafe($M19,$N19)</f>
        <v>#NUM!</v>
      </c>
      <c r="R19" s="162"/>
      <c r="S19" s="171" t="e">
        <v>#NUM!</v>
      </c>
      <c r="T19" s="162"/>
      <c r="U19" s="230" t="e">
        <v>#NUM!</v>
      </c>
      <c r="V19" s="168" t="e">
        <f>_xll.qlSimpleQuoteSetValue(E19,U19/100,ISERROR(F19))</f>
        <v>#NUM!</v>
      </c>
      <c r="W19" s="158"/>
      <c r="X19" s="190"/>
      <c r="Y19" s="191" t="e">
        <f t="shared" si="2"/>
        <v>#VALUE!</v>
      </c>
      <c r="Z19" s="190"/>
    </row>
    <row r="20" spans="1:26" x14ac:dyDescent="0.2">
      <c r="A20" s="71"/>
      <c r="B20" s="130" t="s">
        <v>35</v>
      </c>
      <c r="C20" s="26" t="s">
        <v>122</v>
      </c>
      <c r="D20" s="26" t="s">
        <v>121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HKDQM3H12Y_Quote#0000</v>
      </c>
      <c r="G20" s="127" t="str">
        <f>_xll.ohRangeRetrieveError(F20)</f>
        <v/>
      </c>
      <c r="H20" s="65"/>
      <c r="J20" s="167"/>
      <c r="K20" s="166" t="str">
        <f t="shared" si="1"/>
        <v>HKDQM3H12Y</v>
      </c>
      <c r="L20" s="200" t="str">
        <v>HKDQM3H12Y=PREA</v>
      </c>
      <c r="M20" s="201">
        <v>2.7600000000000002</v>
      </c>
      <c r="N20" s="201">
        <v>2.86</v>
      </c>
      <c r="O20" s="201">
        <v>0</v>
      </c>
      <c r="P20" s="201">
        <v>0</v>
      </c>
      <c r="Q20" s="164">
        <f>_xll.qlMidSafe($M20,$N20)</f>
        <v>2.81</v>
      </c>
      <c r="R20" s="162"/>
      <c r="S20" s="171">
        <v>2.81</v>
      </c>
      <c r="T20" s="162"/>
      <c r="U20" s="230">
        <v>2.81</v>
      </c>
      <c r="V20" s="168">
        <f>_xll.qlSimpleQuoteSetValue(E20,U20/100,ISERROR(F20))</f>
        <v>0</v>
      </c>
      <c r="W20" s="158"/>
      <c r="X20" s="190"/>
      <c r="Y20" s="191">
        <f t="shared" si="2"/>
        <v>9.9999999999999655E-4</v>
      </c>
      <c r="Z20" s="190"/>
    </row>
    <row r="21" spans="1:26" x14ac:dyDescent="0.2">
      <c r="A21" s="71"/>
      <c r="B21" s="130" t="s">
        <v>34</v>
      </c>
      <c r="C21" s="26" t="s">
        <v>122</v>
      </c>
      <c r="D21" s="26" t="s">
        <v>121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HKDQM3H13Y_Quote#0000</v>
      </c>
      <c r="G21" s="127" t="str">
        <f>_xll.ohRangeRetrieveError(F21)</f>
        <v/>
      </c>
      <c r="H21" s="65"/>
      <c r="J21" s="167"/>
      <c r="K21" s="166" t="str">
        <f t="shared" si="1"/>
        <v>HKDQM3H13Y</v>
      </c>
      <c r="L21" s="200" t="str">
        <v>HKDQM3H13Y=PREA</v>
      </c>
      <c r="M21" s="201" t="s">
        <v>187</v>
      </c>
      <c r="N21" s="201" t="s">
        <v>187</v>
      </c>
      <c r="O21" s="201" t="s">
        <v>187</v>
      </c>
      <c r="P21" s="201" t="s">
        <v>187</v>
      </c>
      <c r="Q21" s="164" t="e">
        <f>_xll.qlMidSafe($M21,$N21)</f>
        <v>#NUM!</v>
      </c>
      <c r="R21" s="162"/>
      <c r="S21" s="171" t="e">
        <v>#NUM!</v>
      </c>
      <c r="T21" s="162"/>
      <c r="U21" s="230" t="e">
        <v>#NUM!</v>
      </c>
      <c r="V21" s="168" t="e">
        <f>_xll.qlSimpleQuoteSetValue(E21,U21/100,ISERROR(F21))</f>
        <v>#NUM!</v>
      </c>
      <c r="W21" s="158"/>
      <c r="X21" s="190"/>
      <c r="Y21" s="191" t="e">
        <f t="shared" si="2"/>
        <v>#VALUE!</v>
      </c>
      <c r="Z21" s="190"/>
    </row>
    <row r="22" spans="1:26" x14ac:dyDescent="0.2">
      <c r="A22" s="71"/>
      <c r="B22" s="130" t="s">
        <v>33</v>
      </c>
      <c r="C22" s="26" t="s">
        <v>122</v>
      </c>
      <c r="D22" s="26" t="s">
        <v>121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HKDQM3H14Y_Quote#0000</v>
      </c>
      <c r="G22" s="127" t="str">
        <f>_xll.ohRangeRetrieveError(F22)</f>
        <v/>
      </c>
      <c r="H22" s="65"/>
      <c r="J22" s="167"/>
      <c r="K22" s="166" t="str">
        <f t="shared" si="1"/>
        <v>HKDQM3H14Y</v>
      </c>
      <c r="L22" s="200" t="str">
        <v>HKDQM3H14Y=PREA</v>
      </c>
      <c r="M22" s="201" t="s">
        <v>187</v>
      </c>
      <c r="N22" s="201" t="s">
        <v>187</v>
      </c>
      <c r="O22" s="201" t="s">
        <v>187</v>
      </c>
      <c r="P22" s="201" t="s">
        <v>187</v>
      </c>
      <c r="Q22" s="164" t="e">
        <f>_xll.qlMidSafe($M22,$N22)</f>
        <v>#NUM!</v>
      </c>
      <c r="R22" s="162"/>
      <c r="S22" s="171" t="e">
        <v>#NUM!</v>
      </c>
      <c r="T22" s="162"/>
      <c r="U22" s="230" t="e">
        <v>#NUM!</v>
      </c>
      <c r="V22" s="168" t="e">
        <f>_xll.qlSimpleQuoteSetValue(E22,U22/100,ISERROR(F22))</f>
        <v>#NUM!</v>
      </c>
      <c r="W22" s="158"/>
      <c r="X22" s="190"/>
      <c r="Y22" s="191" t="e">
        <f t="shared" si="2"/>
        <v>#VALUE!</v>
      </c>
      <c r="Z22" s="190"/>
    </row>
    <row r="23" spans="1:26" x14ac:dyDescent="0.2">
      <c r="A23" s="71"/>
      <c r="B23" s="130" t="s">
        <v>32</v>
      </c>
      <c r="C23" s="26" t="s">
        <v>122</v>
      </c>
      <c r="D23" s="26" t="s">
        <v>121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HKDQM3H15Y_Quote#0000</v>
      </c>
      <c r="G23" s="127" t="str">
        <f>_xll.ohRangeRetrieveError(F23)</f>
        <v/>
      </c>
      <c r="H23" s="65"/>
      <c r="J23" s="167"/>
      <c r="K23" s="166" t="str">
        <f t="shared" si="1"/>
        <v>HKDQM3H15Y</v>
      </c>
      <c r="L23" s="200" t="str">
        <v>HKDQM3H15Y=PREA</v>
      </c>
      <c r="M23" s="201">
        <v>2.89</v>
      </c>
      <c r="N23" s="201">
        <v>2.99</v>
      </c>
      <c r="O23" s="201">
        <v>0</v>
      </c>
      <c r="P23" s="201">
        <v>0</v>
      </c>
      <c r="Q23" s="164">
        <f>_xll.qlMidSafe($M23,$N23)</f>
        <v>2.9400000000000004</v>
      </c>
      <c r="R23" s="162"/>
      <c r="S23" s="171">
        <v>2.9400000000000004</v>
      </c>
      <c r="T23" s="162"/>
      <c r="U23" s="230">
        <v>2.9400000000000004</v>
      </c>
      <c r="V23" s="168">
        <f>_xll.qlSimpleQuoteSetValue(E23,U23/100,ISERROR(F23))</f>
        <v>0</v>
      </c>
      <c r="W23" s="158"/>
      <c r="X23" s="190"/>
      <c r="Y23" s="191">
        <f t="shared" si="2"/>
        <v>9.9999999999999655E-4</v>
      </c>
      <c r="Z23" s="190"/>
    </row>
    <row r="24" spans="1:26" x14ac:dyDescent="0.2">
      <c r="A24" s="71"/>
      <c r="B24" s="130" t="s">
        <v>31</v>
      </c>
      <c r="C24" s="26" t="s">
        <v>122</v>
      </c>
      <c r="D24" s="26" t="s">
        <v>121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HKDQM3H16Y_Quote#0000</v>
      </c>
      <c r="G24" s="127" t="str">
        <f>_xll.ohRangeRetrieveError(F24)</f>
        <v/>
      </c>
      <c r="H24" s="65"/>
      <c r="J24" s="167"/>
      <c r="K24" s="166" t="str">
        <f t="shared" si="1"/>
        <v>HKDQM3H16Y</v>
      </c>
      <c r="L24" s="200" t="str">
        <v>HKDQM3H16Y=PREA</v>
      </c>
      <c r="M24" s="201" t="s">
        <v>187</v>
      </c>
      <c r="N24" s="201" t="s">
        <v>187</v>
      </c>
      <c r="O24" s="201" t="s">
        <v>187</v>
      </c>
      <c r="P24" s="201" t="s">
        <v>187</v>
      </c>
      <c r="Q24" s="164" t="e">
        <f>_xll.qlMidSafe($M24,$N24)</f>
        <v>#NUM!</v>
      </c>
      <c r="R24" s="162"/>
      <c r="S24" s="171" t="e">
        <v>#NUM!</v>
      </c>
      <c r="T24" s="162"/>
      <c r="U24" s="230" t="e">
        <v>#NUM!</v>
      </c>
      <c r="V24" s="168" t="e">
        <f>_xll.qlSimpleQuoteSetValue(E24,U24/100,ISERROR(F24))</f>
        <v>#NUM!</v>
      </c>
      <c r="W24" s="158"/>
      <c r="X24" s="190"/>
      <c r="Y24" s="191" t="e">
        <f t="shared" si="2"/>
        <v>#VALUE!</v>
      </c>
      <c r="Z24" s="190"/>
    </row>
    <row r="25" spans="1:26" x14ac:dyDescent="0.2">
      <c r="A25" s="71"/>
      <c r="B25" s="130" t="s">
        <v>30</v>
      </c>
      <c r="C25" s="26" t="s">
        <v>122</v>
      </c>
      <c r="D25" s="26" t="s">
        <v>121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HKDQM3H17Y_Quote#0000</v>
      </c>
      <c r="G25" s="127" t="str">
        <f>_xll.ohRangeRetrieveError(F25)</f>
        <v/>
      </c>
      <c r="H25" s="65"/>
      <c r="J25" s="167"/>
      <c r="K25" s="166" t="str">
        <f t="shared" si="1"/>
        <v>HKDQM3H17Y</v>
      </c>
      <c r="L25" s="200" t="str">
        <v>HKDQM3H17Y=PREA</v>
      </c>
      <c r="M25" s="201" t="s">
        <v>187</v>
      </c>
      <c r="N25" s="201" t="s">
        <v>187</v>
      </c>
      <c r="O25" s="201" t="s">
        <v>187</v>
      </c>
      <c r="P25" s="201" t="s">
        <v>187</v>
      </c>
      <c r="Q25" s="164" t="e">
        <f>_xll.qlMidSafe($M25,$N25)</f>
        <v>#NUM!</v>
      </c>
      <c r="R25" s="162"/>
      <c r="S25" s="171" t="e">
        <v>#NUM!</v>
      </c>
      <c r="T25" s="162"/>
      <c r="U25" s="230" t="e">
        <v>#NUM!</v>
      </c>
      <c r="V25" s="168" t="e">
        <f>_xll.qlSimpleQuoteSetValue(E25,U25/100,ISERROR(F25))</f>
        <v>#NUM!</v>
      </c>
      <c r="W25" s="158"/>
      <c r="X25" s="190"/>
      <c r="Y25" s="191" t="e">
        <f t="shared" si="2"/>
        <v>#VALUE!</v>
      </c>
      <c r="Z25" s="190"/>
    </row>
    <row r="26" spans="1:26" x14ac:dyDescent="0.2">
      <c r="A26" s="71"/>
      <c r="B26" s="130" t="s">
        <v>29</v>
      </c>
      <c r="C26" s="26" t="s">
        <v>122</v>
      </c>
      <c r="D26" s="26" t="s">
        <v>121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HKDQM3H18Y_Quote#0000</v>
      </c>
      <c r="G26" s="127" t="str">
        <f>_xll.ohRangeRetrieveError(F26)</f>
        <v/>
      </c>
      <c r="H26" s="65"/>
      <c r="J26" s="167"/>
      <c r="K26" s="166" t="str">
        <f t="shared" si="1"/>
        <v>HKDQM3H18Y</v>
      </c>
      <c r="L26" s="200" t="str">
        <v>HKDQM3H18Y=PREA</v>
      </c>
      <c r="M26" s="201" t="s">
        <v>187</v>
      </c>
      <c r="N26" s="201" t="s">
        <v>187</v>
      </c>
      <c r="O26" s="201" t="s">
        <v>187</v>
      </c>
      <c r="P26" s="201" t="s">
        <v>187</v>
      </c>
      <c r="Q26" s="164" t="e">
        <f>_xll.qlMidSafe($M26,$N26)</f>
        <v>#NUM!</v>
      </c>
      <c r="R26" s="162"/>
      <c r="S26" s="171" t="e">
        <v>#NUM!</v>
      </c>
      <c r="T26" s="162"/>
      <c r="U26" s="230" t="e">
        <v>#NUM!</v>
      </c>
      <c r="V26" s="168" t="e">
        <f>_xll.qlSimpleQuoteSetValue(E26,U26/100,ISERROR(F26))</f>
        <v>#NUM!</v>
      </c>
      <c r="W26" s="158"/>
      <c r="X26" s="190"/>
      <c r="Y26" s="191" t="e">
        <f t="shared" si="2"/>
        <v>#VALUE!</v>
      </c>
      <c r="Z26" s="190"/>
    </row>
    <row r="27" spans="1:26" x14ac:dyDescent="0.2">
      <c r="A27" s="71"/>
      <c r="B27" s="130" t="s">
        <v>28</v>
      </c>
      <c r="C27" s="26" t="s">
        <v>122</v>
      </c>
      <c r="D27" s="26" t="s">
        <v>121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HKDQM3H19Y_Quote#0000</v>
      </c>
      <c r="G27" s="127" t="str">
        <f>_xll.ohRangeRetrieveError(F27)</f>
        <v/>
      </c>
      <c r="H27" s="65"/>
      <c r="J27" s="167"/>
      <c r="K27" s="166" t="str">
        <f t="shared" si="1"/>
        <v>HKDQM3H19Y</v>
      </c>
      <c r="L27" s="200" t="str">
        <v>HKDQM3H19Y=PREA</v>
      </c>
      <c r="M27" s="201" t="s">
        <v>187</v>
      </c>
      <c r="N27" s="201" t="s">
        <v>187</v>
      </c>
      <c r="O27" s="201" t="s">
        <v>187</v>
      </c>
      <c r="P27" s="201" t="s">
        <v>187</v>
      </c>
      <c r="Q27" s="164" t="e">
        <f>_xll.qlMidSafe($M27,$N27)</f>
        <v>#NUM!</v>
      </c>
      <c r="R27" s="162"/>
      <c r="S27" s="171" t="e">
        <v>#NUM!</v>
      </c>
      <c r="T27" s="162"/>
      <c r="U27" s="230" t="e">
        <v>#NUM!</v>
      </c>
      <c r="V27" s="168" t="e">
        <f>_xll.qlSimpleQuoteSetValue(E27,U27/100,ISERROR(F27))</f>
        <v>#NUM!</v>
      </c>
      <c r="W27" s="158"/>
      <c r="X27" s="190"/>
      <c r="Y27" s="191" t="e">
        <f t="shared" si="2"/>
        <v>#VALUE!</v>
      </c>
      <c r="Z27" s="190"/>
    </row>
    <row r="28" spans="1:26" x14ac:dyDescent="0.2">
      <c r="A28" s="71"/>
      <c r="B28" s="130" t="s">
        <v>27</v>
      </c>
      <c r="C28" s="26" t="s">
        <v>122</v>
      </c>
      <c r="D28" s="26" t="s">
        <v>121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HKDQM3H20Y_Quote#0000</v>
      </c>
      <c r="G28" s="127" t="str">
        <f>_xll.ohRangeRetrieveError(F28)</f>
        <v/>
      </c>
      <c r="H28" s="65"/>
      <c r="J28" s="167"/>
      <c r="K28" s="166" t="str">
        <f t="shared" si="1"/>
        <v>HKDQM3H20Y</v>
      </c>
      <c r="L28" s="200" t="str">
        <v>HKDQM3H20Y=PREA</v>
      </c>
      <c r="M28" s="201" t="s">
        <v>187</v>
      </c>
      <c r="N28" s="201" t="s">
        <v>187</v>
      </c>
      <c r="O28" s="201" t="s">
        <v>187</v>
      </c>
      <c r="P28" s="201" t="s">
        <v>187</v>
      </c>
      <c r="Q28" s="164" t="e">
        <f>_xll.qlMidSafe($M28,$N28)</f>
        <v>#NUM!</v>
      </c>
      <c r="R28" s="162"/>
      <c r="S28" s="171" t="e">
        <v>#NUM!</v>
      </c>
      <c r="T28" s="162"/>
      <c r="U28" s="230" t="e">
        <v>#NUM!</v>
      </c>
      <c r="V28" s="168" t="e">
        <f>_xll.qlSimpleQuoteSetValue(E28,U28/100,ISERROR(F28))</f>
        <v>#NUM!</v>
      </c>
      <c r="W28" s="158"/>
      <c r="X28" s="190"/>
      <c r="Y28" s="191" t="e">
        <f t="shared" si="2"/>
        <v>#VALUE!</v>
      </c>
      <c r="Z28" s="190"/>
    </row>
    <row r="29" spans="1:26" x14ac:dyDescent="0.2">
      <c r="A29" s="71"/>
      <c r="B29" s="130"/>
      <c r="C29" s="26"/>
      <c r="D29" s="26"/>
      <c r="E29" s="24"/>
      <c r="F29" s="24"/>
      <c r="G29" s="127"/>
      <c r="H29" s="65"/>
      <c r="J29" s="167"/>
      <c r="K29" s="166"/>
      <c r="L29" s="200" t="str">
        <v>=PREA</v>
      </c>
      <c r="M29" s="201" t="s">
        <v>187</v>
      </c>
      <c r="N29" s="201" t="s">
        <v>187</v>
      </c>
      <c r="O29" s="201" t="s">
        <v>187</v>
      </c>
      <c r="P29" s="201" t="s">
        <v>187</v>
      </c>
      <c r="Q29" s="164"/>
      <c r="R29" s="162"/>
      <c r="S29" s="171">
        <v>0</v>
      </c>
      <c r="T29" s="162"/>
      <c r="U29" s="230">
        <v>0</v>
      </c>
      <c r="V29" s="168"/>
      <c r="W29" s="158"/>
      <c r="X29" s="190"/>
      <c r="Y29" s="191" t="e">
        <f t="shared" si="2"/>
        <v>#VALUE!</v>
      </c>
      <c r="Z29" s="190"/>
    </row>
    <row r="30" spans="1:26" x14ac:dyDescent="0.2">
      <c r="A30" s="71"/>
      <c r="B30" s="130"/>
      <c r="C30" s="26"/>
      <c r="D30" s="26"/>
      <c r="E30" s="24"/>
      <c r="F30" s="24"/>
      <c r="G30" s="127"/>
      <c r="H30" s="65"/>
      <c r="J30" s="167"/>
      <c r="K30" s="166"/>
      <c r="L30" s="200" t="str">
        <v>=PREA</v>
      </c>
      <c r="M30" s="201" t="s">
        <v>187</v>
      </c>
      <c r="N30" s="201" t="s">
        <v>187</v>
      </c>
      <c r="O30" s="201" t="s">
        <v>187</v>
      </c>
      <c r="P30" s="201" t="s">
        <v>187</v>
      </c>
      <c r="Q30" s="164"/>
      <c r="R30" s="162"/>
      <c r="S30" s="171">
        <v>0</v>
      </c>
      <c r="T30" s="162"/>
      <c r="U30" s="230">
        <v>0</v>
      </c>
      <c r="V30" s="168"/>
      <c r="W30" s="158"/>
      <c r="X30" s="190"/>
      <c r="Y30" s="191" t="e">
        <f t="shared" si="2"/>
        <v>#VALUE!</v>
      </c>
      <c r="Z30" s="190"/>
    </row>
    <row r="31" spans="1:26" x14ac:dyDescent="0.2">
      <c r="A31" s="71"/>
      <c r="B31" s="130"/>
      <c r="C31" s="26"/>
      <c r="D31" s="26"/>
      <c r="E31" s="24"/>
      <c r="F31" s="24"/>
      <c r="G31" s="127"/>
      <c r="H31" s="65"/>
      <c r="J31" s="167"/>
      <c r="K31" s="166"/>
      <c r="L31" s="200" t="str">
        <v>=PREA</v>
      </c>
      <c r="M31" s="201" t="s">
        <v>187</v>
      </c>
      <c r="N31" s="201" t="s">
        <v>187</v>
      </c>
      <c r="O31" s="201" t="s">
        <v>187</v>
      </c>
      <c r="P31" s="201" t="s">
        <v>187</v>
      </c>
      <c r="Q31" s="164"/>
      <c r="R31" s="162"/>
      <c r="S31" s="171">
        <v>0</v>
      </c>
      <c r="T31" s="162"/>
      <c r="U31" s="230">
        <v>0</v>
      </c>
      <c r="V31" s="168"/>
      <c r="W31" s="158"/>
      <c r="X31" s="190"/>
      <c r="Y31" s="191" t="e">
        <f t="shared" si="2"/>
        <v>#VALUE!</v>
      </c>
      <c r="Z31" s="190"/>
    </row>
    <row r="32" spans="1:26" x14ac:dyDescent="0.2">
      <c r="A32" s="71"/>
      <c r="B32" s="130"/>
      <c r="C32" s="26"/>
      <c r="D32" s="26"/>
      <c r="E32" s="24"/>
      <c r="F32" s="24"/>
      <c r="G32" s="127"/>
      <c r="H32" s="65"/>
      <c r="J32" s="167"/>
      <c r="K32" s="266"/>
      <c r="L32" s="206" t="str">
        <v>=PREA</v>
      </c>
      <c r="M32" s="207" t="s">
        <v>187</v>
      </c>
      <c r="N32" s="207" t="s">
        <v>187</v>
      </c>
      <c r="O32" s="207" t="s">
        <v>187</v>
      </c>
      <c r="P32" s="207" t="s">
        <v>187</v>
      </c>
      <c r="Q32" s="205"/>
      <c r="R32" s="162"/>
      <c r="S32" s="163">
        <v>0</v>
      </c>
      <c r="T32" s="162"/>
      <c r="U32" s="223">
        <v>0</v>
      </c>
      <c r="V32" s="159"/>
      <c r="W32" s="158"/>
      <c r="X32" s="190"/>
      <c r="Y32" s="191" t="e">
        <f t="shared" si="2"/>
        <v>#VALUE!</v>
      </c>
      <c r="Z32" s="190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5"/>
      <c r="K33" s="155"/>
      <c r="L33" s="155"/>
      <c r="M33" s="155"/>
      <c r="N33" s="155"/>
      <c r="O33" s="155"/>
      <c r="P33" s="155"/>
      <c r="Q33" s="155"/>
      <c r="R33" s="264"/>
      <c r="S33" s="264"/>
      <c r="T33" s="264"/>
      <c r="U33" s="264"/>
      <c r="V33" s="264"/>
      <c r="W33" s="257"/>
      <c r="X33" s="190"/>
      <c r="Y33" s="190"/>
      <c r="Z33" s="190"/>
    </row>
    <row r="34" spans="1:26" ht="15" x14ac:dyDescent="0.25"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/>
      <c r="W34" s="190"/>
      <c r="X34" s="190"/>
      <c r="Y34" s="190"/>
      <c r="Z34" s="190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topLeftCell="A3" zoomScale="80" zoomScaleNormal="80" workbookViewId="0">
      <selection activeCell="S3" sqref="S3"/>
    </sheetView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1" customFormat="1" x14ac:dyDescent="0.2">
      <c r="A1" s="141" t="s">
        <v>179</v>
      </c>
      <c r="F1" s="17"/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</row>
    <row r="2" spans="1:36" s="141" customFormat="1" x14ac:dyDescent="0.2">
      <c r="F2" s="17"/>
      <c r="N2" s="185"/>
      <c r="O2" s="162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2</v>
      </c>
      <c r="AE3" s="158"/>
      <c r="AF3" s="190"/>
      <c r="AG3" s="190"/>
      <c r="AH3" s="190"/>
      <c r="AI3" s="190"/>
      <c r="AJ3" s="190"/>
    </row>
    <row r="4" spans="1:36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29" t="s">
        <v>182</v>
      </c>
      <c r="N4" s="167"/>
      <c r="O4" s="263"/>
      <c r="P4" s="217"/>
      <c r="Q4" s="217"/>
      <c r="R4" s="217"/>
      <c r="S4" s="180" t="str">
        <f>_xll.RData(S5:S42,T4:U4,,ReutersRtMode,,T5)</f>
        <v>Updated at 17:55:23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</row>
    <row r="5" spans="1:36" x14ac:dyDescent="0.2">
      <c r="A5" s="28"/>
      <c r="B5" s="39" t="s">
        <v>60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HKD1L6L6M_Quote#0000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1L</v>
      </c>
      <c r="Q5" s="202" t="str">
        <f t="array" ref="Q5:Q42">VLOOKUP(Currency,Conventions,3)</f>
        <v>6L</v>
      </c>
      <c r="R5" s="200" t="str">
        <f t="shared" ref="R5:R42" si="1">Currency&amp;$P5&amp;$Q5&amp;$O5</f>
        <v>HKD1L6L6M</v>
      </c>
      <c r="S5" s="165" t="str">
        <f t="array" ref="S5:S42">Instruments&amp;"="&amp;VLOOKUP(Contributor,ContributorTable,2,FALSE)</f>
        <v>HKD1L6L6M=ICAP</v>
      </c>
      <c r="T5" s="273" t="s">
        <v>187</v>
      </c>
      <c r="U5" s="273" t="s">
        <v>187</v>
      </c>
      <c r="V5" s="273" t="e">
        <f>_xll.qlMidEquivalent(T5,U5)</f>
        <v>#NUM!</v>
      </c>
      <c r="W5" s="169" t="b">
        <f t="shared" ref="W5:W42" si="2">IF(ISNUMBER(V5),TRUE,FALSE)</f>
        <v>0</v>
      </c>
      <c r="X5" s="272" t="e">
        <f t="array" ref="X5:X42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HKD1L6L6M_Quote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41</v>
      </c>
      <c r="AI5" s="268" t="s">
        <v>45</v>
      </c>
      <c r="AJ5" s="190"/>
    </row>
    <row r="6" spans="1:36" x14ac:dyDescent="0.2">
      <c r="A6" s="28"/>
      <c r="B6" s="39" t="s">
        <v>59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HKD1L6L1Y_Quote#0000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1L</v>
      </c>
      <c r="Q6" s="202" t="str">
        <v>6L</v>
      </c>
      <c r="R6" s="200" t="str">
        <f t="shared" si="1"/>
        <v>HKD1L6L1Y</v>
      </c>
      <c r="S6" s="165" t="str">
        <v>HKD1L6L1Y=ICAP</v>
      </c>
      <c r="T6" s="273" t="s">
        <v>187</v>
      </c>
      <c r="U6" s="273" t="s">
        <v>187</v>
      </c>
      <c r="V6" s="273" t="e">
        <f>_xll.qlMidEquivalent(T6,U6)</f>
        <v>#NUM!</v>
      </c>
      <c r="W6" s="169" t="b">
        <f t="shared" si="2"/>
        <v>0</v>
      </c>
      <c r="X6" s="272" t="e">
        <v>#VALUE!</v>
      </c>
      <c r="Y6" s="162"/>
      <c r="Z6" s="271" t="e">
        <v>#VALUE!</v>
      </c>
      <c r="AA6" s="162"/>
      <c r="AB6" s="170" t="str">
        <f t="shared" si="3"/>
        <v>HKD1L6L1Y_Quote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51</v>
      </c>
      <c r="AI6" s="238" t="s">
        <v>50</v>
      </c>
      <c r="AJ6" s="190"/>
    </row>
    <row r="7" spans="1:36" s="38" customFormat="1" ht="12.75" x14ac:dyDescent="0.2">
      <c r="A7" s="28"/>
      <c r="B7" s="39" t="s">
        <v>58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HKD1L6L15M_Quote#0000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1L</v>
      </c>
      <c r="Q7" s="202" t="str">
        <v>6L</v>
      </c>
      <c r="R7" s="200" t="str">
        <f t="shared" si="1"/>
        <v>HKD1L6L15M</v>
      </c>
      <c r="S7" s="165" t="str">
        <v>HKD1L6L15M=ICAP</v>
      </c>
      <c r="T7" s="273" t="s">
        <v>187</v>
      </c>
      <c r="U7" s="273" t="s">
        <v>187</v>
      </c>
      <c r="V7" s="273" t="e">
        <f>_xll.qlMidEquivalent(T7,U7)</f>
        <v>#NUM!</v>
      </c>
      <c r="W7" s="169" t="b">
        <f t="shared" si="2"/>
        <v>0</v>
      </c>
      <c r="X7" s="272" t="e">
        <v>#VALUE!</v>
      </c>
      <c r="Y7" s="162"/>
      <c r="Z7" s="271" t="e">
        <v>#VALUE!</v>
      </c>
      <c r="AA7" s="162"/>
      <c r="AB7" s="170" t="str">
        <f t="shared" si="3"/>
        <v>HKD1L6L15M_Quote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41</v>
      </c>
      <c r="AI7" s="238" t="s">
        <v>45</v>
      </c>
      <c r="AJ7" s="190"/>
    </row>
    <row r="8" spans="1:36" s="38" customFormat="1" ht="12.75" x14ac:dyDescent="0.2">
      <c r="A8" s="28"/>
      <c r="B8" s="39" t="s">
        <v>57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HKD1L6L18M_Quote#0000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1L</v>
      </c>
      <c r="Q8" s="202" t="str">
        <v>6L</v>
      </c>
      <c r="R8" s="200" t="str">
        <f t="shared" si="1"/>
        <v>HKD1L6L18M</v>
      </c>
      <c r="S8" s="165" t="str">
        <v>HKD1L6L18M=ICAP</v>
      </c>
      <c r="T8" s="273" t="s">
        <v>187</v>
      </c>
      <c r="U8" s="273" t="s">
        <v>187</v>
      </c>
      <c r="V8" s="273" t="e">
        <f>_xll.qlMidEquivalent(T8,U8)</f>
        <v>#NUM!</v>
      </c>
      <c r="W8" s="169" t="b">
        <f t="shared" si="2"/>
        <v>0</v>
      </c>
      <c r="X8" s="272" t="e">
        <v>#VALUE!</v>
      </c>
      <c r="Y8" s="162"/>
      <c r="Z8" s="271" t="e">
        <v>#VALUE!</v>
      </c>
      <c r="AA8" s="162"/>
      <c r="AB8" s="170" t="str">
        <f t="shared" si="3"/>
        <v>HKD1L6L18M_Quote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41</v>
      </c>
      <c r="AI8" s="238" t="s">
        <v>45</v>
      </c>
      <c r="AJ8" s="190"/>
    </row>
    <row r="9" spans="1:36" s="38" customFormat="1" ht="13.5" thickBot="1" x14ac:dyDescent="0.25">
      <c r="A9" s="28"/>
      <c r="B9" s="39" t="s">
        <v>56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HKD1L6L21M_Quote#0000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1L</v>
      </c>
      <c r="Q9" s="202" t="str">
        <v>6L</v>
      </c>
      <c r="R9" s="200" t="str">
        <f t="shared" si="1"/>
        <v>HKD1L6L21M</v>
      </c>
      <c r="S9" s="165" t="str">
        <v>HKD1L6L21M=ICAP</v>
      </c>
      <c r="T9" s="273" t="s">
        <v>187</v>
      </c>
      <c r="U9" s="273" t="s">
        <v>187</v>
      </c>
      <c r="V9" s="273" t="e">
        <f>_xll.qlMidEquivalent(T9,U9)</f>
        <v>#NUM!</v>
      </c>
      <c r="W9" s="169" t="b">
        <f t="shared" si="2"/>
        <v>0</v>
      </c>
      <c r="X9" s="272" t="e">
        <v>#VALUE!</v>
      </c>
      <c r="Y9" s="162"/>
      <c r="Z9" s="271" t="e">
        <v>#VALUE!</v>
      </c>
      <c r="AA9" s="162"/>
      <c r="AB9" s="170" t="str">
        <f t="shared" si="3"/>
        <v>HKD1L6L21M_Quote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42</v>
      </c>
      <c r="AI9" s="236" t="s">
        <v>41</v>
      </c>
      <c r="AJ9" s="190"/>
    </row>
    <row r="10" spans="1:36" x14ac:dyDescent="0.2">
      <c r="A10" s="28"/>
      <c r="B10" s="27" t="s">
        <v>55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HKD1L6L2Y_Quote#0000</v>
      </c>
      <c r="G10" s="23" t="str">
        <f>_xll.ohRangeRetrieveError(F10)</f>
        <v/>
      </c>
      <c r="H10" s="22"/>
      <c r="J10" s="37" t="s">
        <v>54</v>
      </c>
      <c r="K10" s="36" t="s">
        <v>41</v>
      </c>
      <c r="L10" s="35" t="s">
        <v>45</v>
      </c>
      <c r="N10" s="167">
        <v>2</v>
      </c>
      <c r="O10" s="203" t="s">
        <v>55</v>
      </c>
      <c r="P10" s="202" t="str">
        <v>1L</v>
      </c>
      <c r="Q10" s="202" t="str">
        <v>6L</v>
      </c>
      <c r="R10" s="200" t="str">
        <f t="shared" si="1"/>
        <v>HKD1L6L2Y</v>
      </c>
      <c r="S10" s="165" t="str">
        <v>HKD1L6L2Y=ICAP</v>
      </c>
      <c r="T10" s="273" t="s">
        <v>187</v>
      </c>
      <c r="U10" s="273" t="s">
        <v>187</v>
      </c>
      <c r="V10" s="273" t="e">
        <f>_xll.qlMidEquivalent(T10,U10)</f>
        <v>#NUM!</v>
      </c>
      <c r="W10" s="169" t="b">
        <f t="shared" si="2"/>
        <v>0</v>
      </c>
      <c r="X10" s="272" t="e">
        <v>#VALUE!</v>
      </c>
      <c r="Y10" s="162"/>
      <c r="Z10" s="271" t="e">
        <v>#VALUE!</v>
      </c>
      <c r="AA10" s="162"/>
      <c r="AB10" s="170" t="str">
        <f t="shared" si="3"/>
        <v>HKD1L6L2Y_Quote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/>
    </row>
    <row r="11" spans="1:36" x14ac:dyDescent="0.2">
      <c r="A11" s="28"/>
      <c r="B11" s="27" t="s">
        <v>53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HKD1L6L3Y_Quote#0000</v>
      </c>
      <c r="G11" s="23" t="str">
        <f>_xll.ohRangeRetrieveError(F11)</f>
        <v/>
      </c>
      <c r="H11" s="22"/>
      <c r="J11" s="34" t="s">
        <v>52</v>
      </c>
      <c r="K11" s="33" t="s">
        <v>51</v>
      </c>
      <c r="L11" s="32" t="s">
        <v>50</v>
      </c>
      <c r="N11" s="167">
        <v>3</v>
      </c>
      <c r="O11" s="203" t="s">
        <v>53</v>
      </c>
      <c r="P11" s="202" t="str">
        <v>1L</v>
      </c>
      <c r="Q11" s="202" t="str">
        <v>6L</v>
      </c>
      <c r="R11" s="200" t="str">
        <f t="shared" si="1"/>
        <v>HKD1L6L3Y</v>
      </c>
      <c r="S11" s="165" t="str">
        <v>HKD1L6L3Y=ICAP</v>
      </c>
      <c r="T11" s="273" t="s">
        <v>187</v>
      </c>
      <c r="U11" s="273" t="s">
        <v>187</v>
      </c>
      <c r="V11" s="273" t="e">
        <f>_xll.qlMidEquivalent(T11,U11)</f>
        <v>#NUM!</v>
      </c>
      <c r="W11" s="169" t="b">
        <f t="shared" si="2"/>
        <v>0</v>
      </c>
      <c r="X11" s="272" t="e">
        <v>#VALUE!</v>
      </c>
      <c r="Y11" s="162"/>
      <c r="Z11" s="271" t="e">
        <v>#VALUE!</v>
      </c>
      <c r="AA11" s="162"/>
      <c r="AB11" s="170" t="str">
        <f t="shared" si="3"/>
        <v>HKD1L6L3Y_Quote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/>
    </row>
    <row r="12" spans="1:36" x14ac:dyDescent="0.2">
      <c r="A12" s="28"/>
      <c r="B12" s="27" t="s">
        <v>49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HKD1L6L4Y_Quote#0000</v>
      </c>
      <c r="G12" s="23" t="str">
        <f>_xll.ohRangeRetrieveError(F12)</f>
        <v/>
      </c>
      <c r="H12" s="22"/>
      <c r="J12" s="34" t="s">
        <v>48</v>
      </c>
      <c r="K12" s="33" t="s">
        <v>41</v>
      </c>
      <c r="L12" s="32" t="s">
        <v>45</v>
      </c>
      <c r="N12" s="167">
        <v>4</v>
      </c>
      <c r="O12" s="203" t="s">
        <v>49</v>
      </c>
      <c r="P12" s="202" t="str">
        <v>1L</v>
      </c>
      <c r="Q12" s="202" t="str">
        <v>6L</v>
      </c>
      <c r="R12" s="200" t="str">
        <f t="shared" si="1"/>
        <v>HKD1L6L4Y</v>
      </c>
      <c r="S12" s="165" t="str">
        <v>HKD1L6L4Y=ICAP</v>
      </c>
      <c r="T12" s="273" t="s">
        <v>187</v>
      </c>
      <c r="U12" s="273" t="s">
        <v>187</v>
      </c>
      <c r="V12" s="273" t="e">
        <f>_xll.qlMidEquivalent(T12,U12)</f>
        <v>#NUM!</v>
      </c>
      <c r="W12" s="169" t="b">
        <f t="shared" si="2"/>
        <v>0</v>
      </c>
      <c r="X12" s="272" t="e">
        <v>#VALUE!</v>
      </c>
      <c r="Y12" s="162"/>
      <c r="Z12" s="271" t="e">
        <v>#VALUE!</v>
      </c>
      <c r="AA12" s="162"/>
      <c r="AB12" s="170" t="str">
        <f t="shared" si="3"/>
        <v>HKD1L6L4Y_Quote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/>
    </row>
    <row r="13" spans="1:36" x14ac:dyDescent="0.2">
      <c r="A13" s="28"/>
      <c r="B13" s="27" t="s">
        <v>47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HKD1L6L5Y_Quote#0000</v>
      </c>
      <c r="G13" s="23" t="str">
        <f>_xll.ohRangeRetrieveError(F13)</f>
        <v/>
      </c>
      <c r="H13" s="22"/>
      <c r="J13" s="34" t="s">
        <v>46</v>
      </c>
      <c r="K13" s="33" t="s">
        <v>41</v>
      </c>
      <c r="L13" s="32" t="s">
        <v>45</v>
      </c>
      <c r="N13" s="167">
        <v>5</v>
      </c>
      <c r="O13" s="203" t="s">
        <v>47</v>
      </c>
      <c r="P13" s="202" t="str">
        <v>1L</v>
      </c>
      <c r="Q13" s="202" t="str">
        <v>6L</v>
      </c>
      <c r="R13" s="200" t="str">
        <f t="shared" si="1"/>
        <v>HKD1L6L5Y</v>
      </c>
      <c r="S13" s="165" t="str">
        <v>HKD1L6L5Y=ICAP</v>
      </c>
      <c r="T13" s="273" t="s">
        <v>187</v>
      </c>
      <c r="U13" s="273" t="s">
        <v>187</v>
      </c>
      <c r="V13" s="273" t="e">
        <f>_xll.qlMidEquivalent(T13,U13)</f>
        <v>#NUM!</v>
      </c>
      <c r="W13" s="169" t="b">
        <f t="shared" si="2"/>
        <v>0</v>
      </c>
      <c r="X13" s="272" t="e">
        <v>#VALUE!</v>
      </c>
      <c r="Y13" s="162"/>
      <c r="Z13" s="271" t="e">
        <v>#VALUE!</v>
      </c>
      <c r="AA13" s="162"/>
      <c r="AB13" s="170" t="str">
        <f t="shared" si="3"/>
        <v>HKD1L6L5Y_Quote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/>
    </row>
    <row r="14" spans="1:36" ht="12" thickBot="1" x14ac:dyDescent="0.25">
      <c r="A14" s="28"/>
      <c r="B14" s="27" t="s">
        <v>44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HKD1L6L6Y_Quote#0000</v>
      </c>
      <c r="G14" s="23" t="str">
        <f>_xll.ohRangeRetrieveError(F14)</f>
        <v/>
      </c>
      <c r="H14" s="22"/>
      <c r="J14" s="31" t="s">
        <v>43</v>
      </c>
      <c r="K14" s="30" t="s">
        <v>42</v>
      </c>
      <c r="L14" s="29" t="s">
        <v>41</v>
      </c>
      <c r="N14" s="167">
        <v>6</v>
      </c>
      <c r="O14" s="203" t="s">
        <v>44</v>
      </c>
      <c r="P14" s="202" t="str">
        <v>1L</v>
      </c>
      <c r="Q14" s="202" t="str">
        <v>6L</v>
      </c>
      <c r="R14" s="200" t="str">
        <f t="shared" si="1"/>
        <v>HKD1L6L6Y</v>
      </c>
      <c r="S14" s="165" t="str">
        <v>HKD1L6L6Y=ICAP</v>
      </c>
      <c r="T14" s="273" t="s">
        <v>187</v>
      </c>
      <c r="U14" s="273" t="s">
        <v>187</v>
      </c>
      <c r="V14" s="273" t="e">
        <f>_xll.qlMidEquivalent(T14,U14)</f>
        <v>#NUM!</v>
      </c>
      <c r="W14" s="169" t="b">
        <f t="shared" si="2"/>
        <v>0</v>
      </c>
      <c r="X14" s="272" t="e">
        <v>#VALUE!</v>
      </c>
      <c r="Y14" s="162"/>
      <c r="Z14" s="271" t="e">
        <v>#VALUE!</v>
      </c>
      <c r="AA14" s="162"/>
      <c r="AB14" s="170" t="str">
        <f t="shared" si="3"/>
        <v>HKD1L6L6Y_Quote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/>
    </row>
    <row r="15" spans="1:36" x14ac:dyDescent="0.2">
      <c r="A15" s="28"/>
      <c r="B15" s="27" t="s">
        <v>40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HKD1L6L7Y_Quote#0000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1L</v>
      </c>
      <c r="Q15" s="202" t="str">
        <v>6L</v>
      </c>
      <c r="R15" s="200" t="str">
        <f t="shared" si="1"/>
        <v>HKD1L6L7Y</v>
      </c>
      <c r="S15" s="165" t="str">
        <v>HKD1L6L7Y=ICAP</v>
      </c>
      <c r="T15" s="273" t="s">
        <v>187</v>
      </c>
      <c r="U15" s="273" t="s">
        <v>187</v>
      </c>
      <c r="V15" s="273" t="e">
        <f>_xll.qlMidEquivalent(T15,U15)</f>
        <v>#NUM!</v>
      </c>
      <c r="W15" s="169" t="b">
        <f t="shared" si="2"/>
        <v>0</v>
      </c>
      <c r="X15" s="272" t="e">
        <v>#VALUE!</v>
      </c>
      <c r="Y15" s="162"/>
      <c r="Z15" s="271" t="e">
        <v>#VALUE!</v>
      </c>
      <c r="AA15" s="162"/>
      <c r="AB15" s="170" t="str">
        <f t="shared" si="3"/>
        <v>HKD1L6L7Y_Quote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/>
    </row>
    <row r="16" spans="1:36" x14ac:dyDescent="0.2">
      <c r="A16" s="28"/>
      <c r="B16" s="27" t="s">
        <v>39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HKD1L6L8Y_Quote#0000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1L</v>
      </c>
      <c r="Q16" s="202" t="str">
        <v>6L</v>
      </c>
      <c r="R16" s="200" t="str">
        <f t="shared" si="1"/>
        <v>HKD1L6L8Y</v>
      </c>
      <c r="S16" s="165" t="str">
        <v>HKD1L6L8Y=ICAP</v>
      </c>
      <c r="T16" s="273" t="s">
        <v>187</v>
      </c>
      <c r="U16" s="273" t="s">
        <v>187</v>
      </c>
      <c r="V16" s="273" t="e">
        <f>_xll.qlMidEquivalent(T16,U16)</f>
        <v>#NUM!</v>
      </c>
      <c r="W16" s="169" t="b">
        <f t="shared" si="2"/>
        <v>0</v>
      </c>
      <c r="X16" s="272" t="e">
        <v>#VALUE!</v>
      </c>
      <c r="Y16" s="162"/>
      <c r="Z16" s="271" t="e">
        <v>#VALUE!</v>
      </c>
      <c r="AA16" s="162"/>
      <c r="AB16" s="170" t="str">
        <f t="shared" si="3"/>
        <v>HKD1L6L8Y_Quote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/>
    </row>
    <row r="17" spans="1:36" x14ac:dyDescent="0.2">
      <c r="A17" s="28"/>
      <c r="B17" s="27" t="s">
        <v>38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HKD1L6L9Y_Quote#0000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1L</v>
      </c>
      <c r="Q17" s="202" t="str">
        <v>6L</v>
      </c>
      <c r="R17" s="200" t="str">
        <f t="shared" si="1"/>
        <v>HKD1L6L9Y</v>
      </c>
      <c r="S17" s="165" t="str">
        <v>HKD1L6L9Y=ICAP</v>
      </c>
      <c r="T17" s="273" t="s">
        <v>187</v>
      </c>
      <c r="U17" s="273" t="s">
        <v>187</v>
      </c>
      <c r="V17" s="273" t="e">
        <f>_xll.qlMidEquivalent(T17,U17)</f>
        <v>#NUM!</v>
      </c>
      <c r="W17" s="169" t="b">
        <f t="shared" si="2"/>
        <v>0</v>
      </c>
      <c r="X17" s="272" t="e">
        <v>#VALUE!</v>
      </c>
      <c r="Y17" s="162"/>
      <c r="Z17" s="271" t="e">
        <v>#VALUE!</v>
      </c>
      <c r="AA17" s="162"/>
      <c r="AB17" s="170" t="str">
        <f t="shared" si="3"/>
        <v>HKD1L6L9Y_Quote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/>
    </row>
    <row r="18" spans="1:36" x14ac:dyDescent="0.2">
      <c r="A18" s="28"/>
      <c r="B18" s="27" t="s">
        <v>37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HKD1L6L10Y_Quote#0000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1L</v>
      </c>
      <c r="Q18" s="202" t="str">
        <v>6L</v>
      </c>
      <c r="R18" s="200" t="str">
        <f t="shared" si="1"/>
        <v>HKD1L6L10Y</v>
      </c>
      <c r="S18" s="165" t="str">
        <v>HKD1L6L10Y=ICAP</v>
      </c>
      <c r="T18" s="273" t="s">
        <v>187</v>
      </c>
      <c r="U18" s="273" t="s">
        <v>187</v>
      </c>
      <c r="V18" s="273" t="e">
        <f>_xll.qlMidEquivalent(T18,U18)</f>
        <v>#NUM!</v>
      </c>
      <c r="W18" s="169" t="b">
        <f t="shared" si="2"/>
        <v>0</v>
      </c>
      <c r="X18" s="272" t="e">
        <v>#VALUE!</v>
      </c>
      <c r="Y18" s="162"/>
      <c r="Z18" s="271" t="e">
        <v>#VALUE!</v>
      </c>
      <c r="AA18" s="162"/>
      <c r="AB18" s="170" t="str">
        <f t="shared" si="3"/>
        <v>HKD1L6L10Y_Quote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/>
    </row>
    <row r="19" spans="1:36" x14ac:dyDescent="0.2">
      <c r="A19" s="28"/>
      <c r="B19" s="27" t="s">
        <v>36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HKD1L6L11Y_Quote#0000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1L</v>
      </c>
      <c r="Q19" s="202" t="str">
        <v>6L</v>
      </c>
      <c r="R19" s="200" t="str">
        <f t="shared" si="1"/>
        <v>HKD1L6L11Y</v>
      </c>
      <c r="S19" s="165" t="str">
        <v>HKD1L6L11Y=ICAP</v>
      </c>
      <c r="T19" s="273" t="s">
        <v>187</v>
      </c>
      <c r="U19" s="273" t="s">
        <v>187</v>
      </c>
      <c r="V19" s="273" t="e">
        <f>_xll.qlMidEquivalent(T19,U19)</f>
        <v>#NUM!</v>
      </c>
      <c r="W19" s="169" t="b">
        <f t="shared" si="2"/>
        <v>0</v>
      </c>
      <c r="X19" s="272" t="e">
        <v>#VALUE!</v>
      </c>
      <c r="Y19" s="162"/>
      <c r="Z19" s="271" t="e">
        <v>#VALUE!</v>
      </c>
      <c r="AA19" s="162"/>
      <c r="AB19" s="170" t="str">
        <f t="shared" si="3"/>
        <v>HKD1L6L11Y_Quote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/>
    </row>
    <row r="20" spans="1:36" x14ac:dyDescent="0.2">
      <c r="A20" s="28"/>
      <c r="B20" s="27" t="s">
        <v>35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HKD1L6L12Y_Quote#0000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1L</v>
      </c>
      <c r="Q20" s="202" t="str">
        <v>6L</v>
      </c>
      <c r="R20" s="200" t="str">
        <f t="shared" si="1"/>
        <v>HKD1L6L12Y</v>
      </c>
      <c r="S20" s="165" t="str">
        <v>HKD1L6L12Y=ICAP</v>
      </c>
      <c r="T20" s="273" t="s">
        <v>187</v>
      </c>
      <c r="U20" s="273" t="s">
        <v>187</v>
      </c>
      <c r="V20" s="273" t="e">
        <f>_xll.qlMidEquivalent(T20,U20)</f>
        <v>#NUM!</v>
      </c>
      <c r="W20" s="169" t="b">
        <f t="shared" si="2"/>
        <v>0</v>
      </c>
      <c r="X20" s="272" t="e">
        <v>#VALUE!</v>
      </c>
      <c r="Y20" s="162"/>
      <c r="Z20" s="271" t="e">
        <v>#VALUE!</v>
      </c>
      <c r="AA20" s="162"/>
      <c r="AB20" s="170" t="str">
        <f t="shared" si="3"/>
        <v>HKD1L6L12Y_Quote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/>
    </row>
    <row r="21" spans="1:36" x14ac:dyDescent="0.2">
      <c r="A21" s="28"/>
      <c r="B21" s="27" t="s">
        <v>34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HKD1L6L13Y_Quote#0000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1L</v>
      </c>
      <c r="Q21" s="202" t="str">
        <v>6L</v>
      </c>
      <c r="R21" s="200" t="str">
        <f t="shared" si="1"/>
        <v>HKD1L6L13Y</v>
      </c>
      <c r="S21" s="165" t="str">
        <v>HKD1L6L13Y=ICAP</v>
      </c>
      <c r="T21" s="273" t="s">
        <v>187</v>
      </c>
      <c r="U21" s="273" t="s">
        <v>187</v>
      </c>
      <c r="V21" s="273" t="e">
        <f>_xll.qlMidEquivalent(T21,U21)</f>
        <v>#NUM!</v>
      </c>
      <c r="W21" s="169" t="b">
        <f t="shared" si="2"/>
        <v>0</v>
      </c>
      <c r="X21" s="272" t="e">
        <v>#VALUE!</v>
      </c>
      <c r="Y21" s="162"/>
      <c r="Z21" s="271" t="e">
        <v>#VALUE!</v>
      </c>
      <c r="AA21" s="162"/>
      <c r="AB21" s="170" t="str">
        <f t="shared" si="3"/>
        <v>HKD1L6L13Y_Quote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/>
    </row>
    <row r="22" spans="1:36" x14ac:dyDescent="0.2">
      <c r="A22" s="28"/>
      <c r="B22" s="27" t="s">
        <v>33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HKD1L6L14Y_Quote#0000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1L</v>
      </c>
      <c r="Q22" s="202" t="str">
        <v>6L</v>
      </c>
      <c r="R22" s="200" t="str">
        <f t="shared" si="1"/>
        <v>HKD1L6L14Y</v>
      </c>
      <c r="S22" s="165" t="str">
        <v>HKD1L6L14Y=ICAP</v>
      </c>
      <c r="T22" s="273" t="s">
        <v>187</v>
      </c>
      <c r="U22" s="273" t="s">
        <v>187</v>
      </c>
      <c r="V22" s="273" t="e">
        <f>_xll.qlMidEquivalent(T22,U22)</f>
        <v>#NUM!</v>
      </c>
      <c r="W22" s="169" t="b">
        <f t="shared" si="2"/>
        <v>0</v>
      </c>
      <c r="X22" s="272" t="e">
        <v>#VALUE!</v>
      </c>
      <c r="Y22" s="162"/>
      <c r="Z22" s="271" t="e">
        <v>#VALUE!</v>
      </c>
      <c r="AA22" s="162"/>
      <c r="AB22" s="170" t="str">
        <f t="shared" si="3"/>
        <v>HKD1L6L14Y_Quote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/>
    </row>
    <row r="23" spans="1:36" x14ac:dyDescent="0.2">
      <c r="A23" s="28"/>
      <c r="B23" s="27" t="s">
        <v>32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HKD1L6L15Y_Quote#0000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1L</v>
      </c>
      <c r="Q23" s="202" t="str">
        <v>6L</v>
      </c>
      <c r="R23" s="200" t="str">
        <f t="shared" si="1"/>
        <v>HKD1L6L15Y</v>
      </c>
      <c r="S23" s="165" t="str">
        <v>HKD1L6L15Y=ICAP</v>
      </c>
      <c r="T23" s="273" t="s">
        <v>187</v>
      </c>
      <c r="U23" s="273" t="s">
        <v>187</v>
      </c>
      <c r="V23" s="273" t="e">
        <f>_xll.qlMidEquivalent(T23,U23)</f>
        <v>#NUM!</v>
      </c>
      <c r="W23" s="169" t="b">
        <f t="shared" si="2"/>
        <v>0</v>
      </c>
      <c r="X23" s="272" t="e">
        <v>#VALUE!</v>
      </c>
      <c r="Y23" s="162"/>
      <c r="Z23" s="271" t="e">
        <v>#VALUE!</v>
      </c>
      <c r="AA23" s="162"/>
      <c r="AB23" s="170" t="str">
        <f t="shared" si="3"/>
        <v>HKD1L6L15Y_Quote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/>
    </row>
    <row r="24" spans="1:36" x14ac:dyDescent="0.2">
      <c r="A24" s="28"/>
      <c r="B24" s="27" t="s">
        <v>31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HKD1L6L16Y_Quote#0000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1L</v>
      </c>
      <c r="Q24" s="202" t="str">
        <v>6L</v>
      </c>
      <c r="R24" s="200" t="str">
        <f t="shared" si="1"/>
        <v>HKD1L6L16Y</v>
      </c>
      <c r="S24" s="165" t="str">
        <v>HKD1L6L16Y=ICAP</v>
      </c>
      <c r="T24" s="273" t="s">
        <v>187</v>
      </c>
      <c r="U24" s="273" t="s">
        <v>187</v>
      </c>
      <c r="V24" s="273" t="e">
        <f>_xll.qlMidEquivalent(T24,U24)</f>
        <v>#NUM!</v>
      </c>
      <c r="W24" s="169" t="b">
        <f t="shared" si="2"/>
        <v>0</v>
      </c>
      <c r="X24" s="272" t="e">
        <v>#VALUE!</v>
      </c>
      <c r="Y24" s="162"/>
      <c r="Z24" s="271" t="e">
        <v>#VALUE!</v>
      </c>
      <c r="AA24" s="162"/>
      <c r="AB24" s="170" t="str">
        <f t="shared" si="3"/>
        <v>HKD1L6L16Y_Quote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/>
    </row>
    <row r="25" spans="1:36" x14ac:dyDescent="0.2">
      <c r="A25" s="28"/>
      <c r="B25" s="27" t="s">
        <v>30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HKD1L6L17Y_Quote#0000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1L</v>
      </c>
      <c r="Q25" s="202" t="str">
        <v>6L</v>
      </c>
      <c r="R25" s="200" t="str">
        <f t="shared" si="1"/>
        <v>HKD1L6L17Y</v>
      </c>
      <c r="S25" s="165" t="str">
        <v>HKD1L6L17Y=ICAP</v>
      </c>
      <c r="T25" s="273" t="s">
        <v>187</v>
      </c>
      <c r="U25" s="273" t="s">
        <v>187</v>
      </c>
      <c r="V25" s="273" t="e">
        <f>_xll.qlMidEquivalent(T25,U25)</f>
        <v>#NUM!</v>
      </c>
      <c r="W25" s="169" t="b">
        <f t="shared" si="2"/>
        <v>0</v>
      </c>
      <c r="X25" s="272" t="e">
        <v>#VALUE!</v>
      </c>
      <c r="Y25" s="162"/>
      <c r="Z25" s="271" t="e">
        <v>#VALUE!</v>
      </c>
      <c r="AA25" s="162"/>
      <c r="AB25" s="170" t="str">
        <f t="shared" si="3"/>
        <v>HKD1L6L17Y_Quote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/>
    </row>
    <row r="26" spans="1:36" x14ac:dyDescent="0.2">
      <c r="A26" s="28"/>
      <c r="B26" s="27" t="s">
        <v>29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HKD1L6L18Y_Quote#0000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1L</v>
      </c>
      <c r="Q26" s="202" t="str">
        <v>6L</v>
      </c>
      <c r="R26" s="200" t="str">
        <f t="shared" si="1"/>
        <v>HKD1L6L18Y</v>
      </c>
      <c r="S26" s="165" t="str">
        <v>HKD1L6L18Y=ICAP</v>
      </c>
      <c r="T26" s="273" t="s">
        <v>187</v>
      </c>
      <c r="U26" s="273" t="s">
        <v>187</v>
      </c>
      <c r="V26" s="273" t="e">
        <f>_xll.qlMidEquivalent(T26,U26)</f>
        <v>#NUM!</v>
      </c>
      <c r="W26" s="169" t="b">
        <f t="shared" si="2"/>
        <v>0</v>
      </c>
      <c r="X26" s="272" t="e">
        <v>#VALUE!</v>
      </c>
      <c r="Y26" s="162"/>
      <c r="Z26" s="271" t="e">
        <v>#VALUE!</v>
      </c>
      <c r="AA26" s="162"/>
      <c r="AB26" s="170" t="str">
        <f t="shared" si="3"/>
        <v>HKD1L6L18Y_Quote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/>
    </row>
    <row r="27" spans="1:36" x14ac:dyDescent="0.2">
      <c r="A27" s="28"/>
      <c r="B27" s="27" t="s">
        <v>28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HKD1L6L19Y_Quote#0000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1L</v>
      </c>
      <c r="Q27" s="202" t="str">
        <v>6L</v>
      </c>
      <c r="R27" s="200" t="str">
        <f t="shared" si="1"/>
        <v>HKD1L6L19Y</v>
      </c>
      <c r="S27" s="165" t="str">
        <v>HKD1L6L19Y=ICAP</v>
      </c>
      <c r="T27" s="273" t="s">
        <v>187</v>
      </c>
      <c r="U27" s="273" t="s">
        <v>187</v>
      </c>
      <c r="V27" s="273" t="e">
        <f>_xll.qlMidEquivalent(T27,U27)</f>
        <v>#NUM!</v>
      </c>
      <c r="W27" s="169" t="b">
        <f t="shared" si="2"/>
        <v>0</v>
      </c>
      <c r="X27" s="272" t="e">
        <v>#VALUE!</v>
      </c>
      <c r="Y27" s="162"/>
      <c r="Z27" s="271" t="e">
        <v>#VALUE!</v>
      </c>
      <c r="AA27" s="162"/>
      <c r="AB27" s="170" t="str">
        <f t="shared" si="3"/>
        <v>HKD1L6L19Y_Quote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/>
    </row>
    <row r="28" spans="1:36" x14ac:dyDescent="0.2">
      <c r="A28" s="28"/>
      <c r="B28" s="27" t="s">
        <v>27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HKD1L6L20Y_Quote#0000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1L</v>
      </c>
      <c r="Q28" s="202" t="str">
        <v>6L</v>
      </c>
      <c r="R28" s="200" t="str">
        <f t="shared" si="1"/>
        <v>HKD1L6L20Y</v>
      </c>
      <c r="S28" s="165" t="str">
        <v>HKD1L6L20Y=ICAP</v>
      </c>
      <c r="T28" s="273" t="s">
        <v>187</v>
      </c>
      <c r="U28" s="273" t="s">
        <v>187</v>
      </c>
      <c r="V28" s="273" t="e">
        <f>_xll.qlMidEquivalent(T28,U28)</f>
        <v>#NUM!</v>
      </c>
      <c r="W28" s="169" t="b">
        <f t="shared" si="2"/>
        <v>0</v>
      </c>
      <c r="X28" s="272" t="e">
        <v>#VALUE!</v>
      </c>
      <c r="Y28" s="162"/>
      <c r="Z28" s="271" t="e">
        <v>#VALUE!</v>
      </c>
      <c r="AA28" s="162"/>
      <c r="AB28" s="170" t="str">
        <f t="shared" si="3"/>
        <v>HKD1L6L20Y_Quote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/>
    </row>
    <row r="29" spans="1:36" x14ac:dyDescent="0.2">
      <c r="A29" s="28"/>
      <c r="B29" s="27" t="s">
        <v>26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HKD1L6L21Y_Quote#0000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1L</v>
      </c>
      <c r="Q29" s="202" t="str">
        <v>6L</v>
      </c>
      <c r="R29" s="200" t="str">
        <f t="shared" si="1"/>
        <v>HKD1L6L21Y</v>
      </c>
      <c r="S29" s="165" t="str">
        <v>HKD1L6L21Y=ICAP</v>
      </c>
      <c r="T29" s="273" t="s">
        <v>187</v>
      </c>
      <c r="U29" s="273" t="s">
        <v>187</v>
      </c>
      <c r="V29" s="273" t="e">
        <f>_xll.qlMidEquivalent(T29,U29)</f>
        <v>#NUM!</v>
      </c>
      <c r="W29" s="169" t="b">
        <f t="shared" si="2"/>
        <v>0</v>
      </c>
      <c r="X29" s="272" t="e">
        <v>#VALUE!</v>
      </c>
      <c r="Y29" s="162"/>
      <c r="Z29" s="271" t="e">
        <v>#VALUE!</v>
      </c>
      <c r="AA29" s="162"/>
      <c r="AB29" s="170" t="str">
        <f t="shared" si="3"/>
        <v>HKD1L6L21Y_Quote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/>
    </row>
    <row r="30" spans="1:36" x14ac:dyDescent="0.2">
      <c r="A30" s="28"/>
      <c r="B30" s="27" t="s">
        <v>25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HKD1L6L22Y_Quote#0000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1L</v>
      </c>
      <c r="Q30" s="202" t="str">
        <v>6L</v>
      </c>
      <c r="R30" s="200" t="str">
        <f t="shared" si="1"/>
        <v>HKD1L6L22Y</v>
      </c>
      <c r="S30" s="165" t="str">
        <v>HKD1L6L22Y=ICAP</v>
      </c>
      <c r="T30" s="273" t="s">
        <v>187</v>
      </c>
      <c r="U30" s="273" t="s">
        <v>187</v>
      </c>
      <c r="V30" s="273" t="e">
        <f>_xll.qlMidEquivalent(T30,U30)</f>
        <v>#NUM!</v>
      </c>
      <c r="W30" s="169" t="b">
        <f t="shared" si="2"/>
        <v>0</v>
      </c>
      <c r="X30" s="272" t="e">
        <v>#VALUE!</v>
      </c>
      <c r="Y30" s="162"/>
      <c r="Z30" s="271" t="e">
        <v>#VALUE!</v>
      </c>
      <c r="AA30" s="162"/>
      <c r="AB30" s="170" t="str">
        <f t="shared" si="3"/>
        <v>HKD1L6L22Y_Quote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/>
    </row>
    <row r="31" spans="1:36" x14ac:dyDescent="0.2">
      <c r="A31" s="28"/>
      <c r="B31" s="27" t="s">
        <v>24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HKD1L6L23Y_Quote#0000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1L</v>
      </c>
      <c r="Q31" s="202" t="str">
        <v>6L</v>
      </c>
      <c r="R31" s="200" t="str">
        <f t="shared" si="1"/>
        <v>HKD1L6L23Y</v>
      </c>
      <c r="S31" s="165" t="str">
        <v>HKD1L6L23Y=ICAP</v>
      </c>
      <c r="T31" s="273" t="s">
        <v>187</v>
      </c>
      <c r="U31" s="273" t="s">
        <v>187</v>
      </c>
      <c r="V31" s="273" t="e">
        <f>_xll.qlMidEquivalent(T31,U31)</f>
        <v>#NUM!</v>
      </c>
      <c r="W31" s="169" t="b">
        <f t="shared" si="2"/>
        <v>0</v>
      </c>
      <c r="X31" s="272" t="e">
        <v>#VALUE!</v>
      </c>
      <c r="Y31" s="162"/>
      <c r="Z31" s="271" t="e">
        <v>#VALUE!</v>
      </c>
      <c r="AA31" s="162"/>
      <c r="AB31" s="170" t="str">
        <f t="shared" si="3"/>
        <v>HKD1L6L23Y_Quote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/>
    </row>
    <row r="32" spans="1:36" x14ac:dyDescent="0.2">
      <c r="A32" s="28"/>
      <c r="B32" s="27" t="s">
        <v>23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HKD1L6L24Y_Quote#0000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1L</v>
      </c>
      <c r="Q32" s="202" t="str">
        <v>6L</v>
      </c>
      <c r="R32" s="200" t="str">
        <f t="shared" si="1"/>
        <v>HKD1L6L24Y</v>
      </c>
      <c r="S32" s="165" t="str">
        <v>HKD1L6L24Y=ICAP</v>
      </c>
      <c r="T32" s="273" t="s">
        <v>187</v>
      </c>
      <c r="U32" s="273" t="s">
        <v>187</v>
      </c>
      <c r="V32" s="273" t="e">
        <f>_xll.qlMidEquivalent(T32,U32)</f>
        <v>#NUM!</v>
      </c>
      <c r="W32" s="169" t="b">
        <f t="shared" si="2"/>
        <v>0</v>
      </c>
      <c r="X32" s="272" t="e">
        <v>#VALUE!</v>
      </c>
      <c r="Y32" s="162"/>
      <c r="Z32" s="271" t="e">
        <v>#VALUE!</v>
      </c>
      <c r="AA32" s="162"/>
      <c r="AB32" s="170" t="str">
        <f t="shared" si="3"/>
        <v>HKD1L6L24Y_Quote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/>
    </row>
    <row r="33" spans="1:36" x14ac:dyDescent="0.2">
      <c r="A33" s="28"/>
      <c r="B33" s="27" t="s">
        <v>22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HKD1L6L25Y_Quote#0000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1L</v>
      </c>
      <c r="Q33" s="202" t="str">
        <v>6L</v>
      </c>
      <c r="R33" s="200" t="str">
        <f t="shared" si="1"/>
        <v>HKD1L6L25Y</v>
      </c>
      <c r="S33" s="165" t="str">
        <v>HKD1L6L25Y=ICAP</v>
      </c>
      <c r="T33" s="273" t="s">
        <v>187</v>
      </c>
      <c r="U33" s="273" t="s">
        <v>187</v>
      </c>
      <c r="V33" s="273" t="e">
        <f>_xll.qlMidEquivalent(T33,U33)</f>
        <v>#NUM!</v>
      </c>
      <c r="W33" s="169" t="b">
        <f t="shared" si="2"/>
        <v>0</v>
      </c>
      <c r="X33" s="272" t="e">
        <v>#VALUE!</v>
      </c>
      <c r="Y33" s="162"/>
      <c r="Z33" s="271" t="e">
        <v>#VALUE!</v>
      </c>
      <c r="AA33" s="162"/>
      <c r="AB33" s="170" t="str">
        <f t="shared" si="3"/>
        <v>HKD1L6L25Y_Quote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/>
    </row>
    <row r="34" spans="1:36" x14ac:dyDescent="0.2">
      <c r="A34" s="28"/>
      <c r="B34" s="27" t="s">
        <v>21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HKD1L6L26Y_Quote#0000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1L</v>
      </c>
      <c r="Q34" s="202" t="str">
        <v>6L</v>
      </c>
      <c r="R34" s="200" t="str">
        <f t="shared" si="1"/>
        <v>HKD1L6L26Y</v>
      </c>
      <c r="S34" s="165" t="str">
        <v>HKD1L6L26Y=ICAP</v>
      </c>
      <c r="T34" s="273" t="s">
        <v>187</v>
      </c>
      <c r="U34" s="273" t="s">
        <v>187</v>
      </c>
      <c r="V34" s="273" t="e">
        <f>_xll.qlMidEquivalent(T34,U34)</f>
        <v>#NUM!</v>
      </c>
      <c r="W34" s="169" t="b">
        <f t="shared" si="2"/>
        <v>0</v>
      </c>
      <c r="X34" s="272" t="e">
        <v>#VALUE!</v>
      </c>
      <c r="Y34" s="162"/>
      <c r="Z34" s="271" t="e">
        <v>#VALUE!</v>
      </c>
      <c r="AA34" s="162"/>
      <c r="AB34" s="170" t="str">
        <f t="shared" si="3"/>
        <v>HKD1L6L26Y_Quote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/>
    </row>
    <row r="35" spans="1:36" x14ac:dyDescent="0.2">
      <c r="A35" s="28"/>
      <c r="B35" s="27" t="s">
        <v>20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HKD1L6L27Y_Quote#0000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1L</v>
      </c>
      <c r="Q35" s="202" t="str">
        <v>6L</v>
      </c>
      <c r="R35" s="200" t="str">
        <f t="shared" si="1"/>
        <v>HKD1L6L27Y</v>
      </c>
      <c r="S35" s="165" t="str">
        <v>HKD1L6L27Y=ICAP</v>
      </c>
      <c r="T35" s="273" t="s">
        <v>187</v>
      </c>
      <c r="U35" s="273" t="s">
        <v>187</v>
      </c>
      <c r="V35" s="273" t="e">
        <f>_xll.qlMidEquivalent(T35,U35)</f>
        <v>#NUM!</v>
      </c>
      <c r="W35" s="169" t="b">
        <f t="shared" si="2"/>
        <v>0</v>
      </c>
      <c r="X35" s="272" t="e">
        <v>#VALUE!</v>
      </c>
      <c r="Y35" s="162"/>
      <c r="Z35" s="271" t="e">
        <v>#VALUE!</v>
      </c>
      <c r="AA35" s="162"/>
      <c r="AB35" s="170" t="str">
        <f t="shared" si="3"/>
        <v>HKD1L6L27Y_Quote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/>
    </row>
    <row r="36" spans="1:36" x14ac:dyDescent="0.2">
      <c r="A36" s="28"/>
      <c r="B36" s="27" t="s">
        <v>19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HKD1L6L28Y_Quote#0000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1L</v>
      </c>
      <c r="Q36" s="202" t="str">
        <v>6L</v>
      </c>
      <c r="R36" s="200" t="str">
        <f t="shared" si="1"/>
        <v>HKD1L6L28Y</v>
      </c>
      <c r="S36" s="165" t="str">
        <v>HKD1L6L28Y=ICAP</v>
      </c>
      <c r="T36" s="273" t="s">
        <v>187</v>
      </c>
      <c r="U36" s="273" t="s">
        <v>187</v>
      </c>
      <c r="V36" s="273" t="e">
        <f>_xll.qlMidEquivalent(T36,U36)</f>
        <v>#NUM!</v>
      </c>
      <c r="W36" s="169" t="b">
        <f t="shared" si="2"/>
        <v>0</v>
      </c>
      <c r="X36" s="272" t="e">
        <v>#VALUE!</v>
      </c>
      <c r="Y36" s="162"/>
      <c r="Z36" s="271" t="e">
        <v>#VALUE!</v>
      </c>
      <c r="AA36" s="162"/>
      <c r="AB36" s="170" t="str">
        <f t="shared" si="3"/>
        <v>HKD1L6L28Y_Quote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/>
    </row>
    <row r="37" spans="1:36" x14ac:dyDescent="0.2">
      <c r="A37" s="28"/>
      <c r="B37" s="27" t="s">
        <v>18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HKD1L6L29Y_Quote#0000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1L</v>
      </c>
      <c r="Q37" s="202" t="str">
        <v>6L</v>
      </c>
      <c r="R37" s="200" t="str">
        <f t="shared" si="1"/>
        <v>HKD1L6L29Y</v>
      </c>
      <c r="S37" s="165" t="str">
        <v>HKD1L6L29Y=ICAP</v>
      </c>
      <c r="T37" s="273" t="s">
        <v>187</v>
      </c>
      <c r="U37" s="273" t="s">
        <v>187</v>
      </c>
      <c r="V37" s="273" t="e">
        <f>_xll.qlMidEquivalent(T37,U37)</f>
        <v>#NUM!</v>
      </c>
      <c r="W37" s="169" t="b">
        <f t="shared" si="2"/>
        <v>0</v>
      </c>
      <c r="X37" s="272" t="e">
        <v>#VALUE!</v>
      </c>
      <c r="Y37" s="162"/>
      <c r="Z37" s="271" t="e">
        <v>#VALUE!</v>
      </c>
      <c r="AA37" s="162"/>
      <c r="AB37" s="170" t="str">
        <f t="shared" si="3"/>
        <v>HKD1L6L29Y_Quote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/>
    </row>
    <row r="38" spans="1:36" x14ac:dyDescent="0.2">
      <c r="A38" s="28"/>
      <c r="B38" s="27" t="s">
        <v>17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HKD1L6L30Y_Quote#0000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1L</v>
      </c>
      <c r="Q38" s="202" t="str">
        <v>6L</v>
      </c>
      <c r="R38" s="200" t="str">
        <f t="shared" si="1"/>
        <v>HKD1L6L30Y</v>
      </c>
      <c r="S38" s="165" t="str">
        <v>HKD1L6L30Y=ICAP</v>
      </c>
      <c r="T38" s="273" t="s">
        <v>187</v>
      </c>
      <c r="U38" s="273" t="s">
        <v>187</v>
      </c>
      <c r="V38" s="273" t="e">
        <f>_xll.qlMidEquivalent(T38,U38)</f>
        <v>#NUM!</v>
      </c>
      <c r="W38" s="169" t="b">
        <f t="shared" si="2"/>
        <v>0</v>
      </c>
      <c r="X38" s="272" t="e">
        <v>#VALUE!</v>
      </c>
      <c r="Y38" s="162"/>
      <c r="Z38" s="271" t="e">
        <v>#VALUE!</v>
      </c>
      <c r="AA38" s="162"/>
      <c r="AB38" s="170" t="str">
        <f t="shared" si="3"/>
        <v>HKD1L6L30Y_Quote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/>
    </row>
    <row r="39" spans="1:36" x14ac:dyDescent="0.2">
      <c r="A39" s="28"/>
      <c r="B39" s="27" t="s">
        <v>16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HKD1L6L35Y_Quote#0000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1L</v>
      </c>
      <c r="Q39" s="202" t="str">
        <v>6L</v>
      </c>
      <c r="R39" s="200" t="str">
        <f t="shared" si="1"/>
        <v>HKD1L6L35Y</v>
      </c>
      <c r="S39" s="165" t="str">
        <v>HKD1L6L35Y=ICAP</v>
      </c>
      <c r="T39" s="273" t="s">
        <v>187</v>
      </c>
      <c r="U39" s="273" t="s">
        <v>187</v>
      </c>
      <c r="V39" s="273" t="e">
        <f>_xll.qlMidEquivalent(T39,U39)</f>
        <v>#NUM!</v>
      </c>
      <c r="W39" s="169" t="b">
        <f t="shared" si="2"/>
        <v>0</v>
      </c>
      <c r="X39" s="272" t="e">
        <v>#VALUE!</v>
      </c>
      <c r="Y39" s="162"/>
      <c r="Z39" s="271" t="e">
        <v>#VALUE!</v>
      </c>
      <c r="AA39" s="162"/>
      <c r="AB39" s="170" t="str">
        <f t="shared" si="3"/>
        <v>HKD1L6L35Y_Quote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/>
    </row>
    <row r="40" spans="1:36" x14ac:dyDescent="0.2">
      <c r="A40" s="28"/>
      <c r="B40" s="27" t="s">
        <v>15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HKD1L6L40Y_Quote#0000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1L</v>
      </c>
      <c r="Q40" s="202" t="str">
        <v>6L</v>
      </c>
      <c r="R40" s="200" t="str">
        <f t="shared" si="1"/>
        <v>HKD1L6L40Y</v>
      </c>
      <c r="S40" s="165" t="str">
        <v>HKD1L6L40Y=ICAP</v>
      </c>
      <c r="T40" s="273" t="s">
        <v>187</v>
      </c>
      <c r="U40" s="273" t="s">
        <v>187</v>
      </c>
      <c r="V40" s="273" t="e">
        <f>_xll.qlMidEquivalent(T40,U40)</f>
        <v>#NUM!</v>
      </c>
      <c r="W40" s="169" t="b">
        <f t="shared" si="2"/>
        <v>0</v>
      </c>
      <c r="X40" s="272" t="e">
        <v>#VALUE!</v>
      </c>
      <c r="Y40" s="162"/>
      <c r="Z40" s="271" t="e">
        <v>#VALUE!</v>
      </c>
      <c r="AA40" s="162"/>
      <c r="AB40" s="170" t="str">
        <f t="shared" si="3"/>
        <v>HKD1L6L40Y_Quote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/>
    </row>
    <row r="41" spans="1:36" x14ac:dyDescent="0.2">
      <c r="A41" s="28"/>
      <c r="B41" s="27" t="s">
        <v>14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HKD1L6L50Y_Quote#0000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1L</v>
      </c>
      <c r="Q41" s="202" t="str">
        <v>6L</v>
      </c>
      <c r="R41" s="200" t="str">
        <f t="shared" si="1"/>
        <v>HKD1L6L50Y</v>
      </c>
      <c r="S41" s="165" t="str">
        <v>HKD1L6L50Y=ICAP</v>
      </c>
      <c r="T41" s="273" t="s">
        <v>187</v>
      </c>
      <c r="U41" s="273" t="s">
        <v>187</v>
      </c>
      <c r="V41" s="273" t="e">
        <f>_xll.qlMidEquivalent(T41,U41)</f>
        <v>#NUM!</v>
      </c>
      <c r="W41" s="169" t="b">
        <f t="shared" si="2"/>
        <v>0</v>
      </c>
      <c r="X41" s="272" t="e">
        <v>#VALUE!</v>
      </c>
      <c r="Y41" s="162"/>
      <c r="Z41" s="271" t="e">
        <v>#VALUE!</v>
      </c>
      <c r="AA41" s="162"/>
      <c r="AB41" s="170" t="str">
        <f t="shared" si="3"/>
        <v>HKD1L6L50Y_Quote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/>
    </row>
    <row r="42" spans="1:36" x14ac:dyDescent="0.2">
      <c r="A42" s="28"/>
      <c r="B42" s="27" t="s">
        <v>13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HKD1L6L60Y_Quote#0000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1L</v>
      </c>
      <c r="Q42" s="202" t="str">
        <v>6L</v>
      </c>
      <c r="R42" s="200" t="str">
        <f t="shared" si="1"/>
        <v>HKD1L6L60Y</v>
      </c>
      <c r="S42" s="165" t="str">
        <v>HKD1L6L60Y=ICAP</v>
      </c>
      <c r="T42" s="273" t="s">
        <v>187</v>
      </c>
      <c r="U42" s="273" t="s">
        <v>187</v>
      </c>
      <c r="V42" s="273" t="e">
        <f>_xll.qlMidEquivalent(T42,U42)</f>
        <v>#NUM!</v>
      </c>
      <c r="W42" s="169" t="b">
        <f t="shared" si="2"/>
        <v>0</v>
      </c>
      <c r="X42" s="272" t="e">
        <v>#VALUE!</v>
      </c>
      <c r="Y42" s="162"/>
      <c r="Z42" s="271" t="e">
        <v>#VALUE!</v>
      </c>
      <c r="AA42" s="162"/>
      <c r="AB42" s="170" t="str">
        <f t="shared" si="3"/>
        <v>HKD1L6L60Y_Quote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</row>
    <row r="44" spans="1:36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>
      <selection activeCell="Z5" sqref="Z5:Z42"/>
    </sheetView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179</v>
      </c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  <c r="AK1" s="190"/>
      <c r="AL1" s="190"/>
    </row>
    <row r="2" spans="1:38" x14ac:dyDescent="0.2">
      <c r="N2" s="185"/>
      <c r="O2" s="220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  <c r="AK2" s="190"/>
      <c r="AL2" s="190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2</v>
      </c>
      <c r="AE3" s="158"/>
      <c r="AF3" s="190"/>
      <c r="AG3" s="190"/>
      <c r="AH3" s="190"/>
      <c r="AI3" s="190"/>
      <c r="AJ3" s="190"/>
      <c r="AK3" s="190"/>
      <c r="AL3" s="190"/>
    </row>
    <row r="4" spans="1:38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29" t="s">
        <v>182</v>
      </c>
      <c r="N4" s="167"/>
      <c r="O4" s="263"/>
      <c r="P4" s="217"/>
      <c r="Q4" s="217"/>
      <c r="R4" s="217"/>
      <c r="S4" s="180" t="str">
        <f>_xll.RData(S5:S42,T4:U4,,ReutersRtMode,,T5)</f>
        <v>Updated at 17:55:23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  <c r="AK4" s="215" t="s">
        <v>165</v>
      </c>
      <c r="AL4" s="190"/>
    </row>
    <row r="5" spans="1:38" x14ac:dyDescent="0.2">
      <c r="A5" s="28"/>
      <c r="B5" s="39" t="s">
        <v>60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HKD3L6L6M_Quote#0000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3L</v>
      </c>
      <c r="Q5" s="202" t="str">
        <f t="array" ref="Q5:Q42">VLOOKUP(Currency,Conventions,3)</f>
        <v>6L</v>
      </c>
      <c r="R5" s="200" t="str">
        <f t="shared" ref="R5:R42" si="1">Currency&amp;$P5&amp;$Q5&amp;$O5</f>
        <v>HKD3L6L6M</v>
      </c>
      <c r="S5" s="165" t="str">
        <f t="array" ref="S5:S42">Instruments&amp;"="&amp;VLOOKUP(Contributor,ContributorTable,2,FALSE)</f>
        <v>HKD3L6L6M=ICAP</v>
      </c>
      <c r="T5" s="273" t="s">
        <v>187</v>
      </c>
      <c r="U5" s="273" t="s">
        <v>187</v>
      </c>
      <c r="V5" s="273" t="e">
        <f>_xll.qlMidEquivalent(T5,U5)</f>
        <v>#NUM!</v>
      </c>
      <c r="W5" s="169" t="b">
        <f t="shared" ref="W5:W42" si="2">IF(ISNUMBER(V5),TRUE,FALSE)</f>
        <v>0</v>
      </c>
      <c r="X5" s="279" t="e">
        <f t="array" ref="X5:X41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HKD3L6L6M_Quote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42</v>
      </c>
      <c r="AI5" s="268" t="s">
        <v>45</v>
      </c>
      <c r="AJ5" s="190" t="str">
        <f t="shared" ref="AJ5:AJ42" si="4">O5</f>
        <v>6M</v>
      </c>
      <c r="AK5" s="276" t="e">
        <f>((#REF!-Swap3M!U5)*100-AC5)/10000</f>
        <v>#REF!</v>
      </c>
      <c r="AL5" s="190"/>
    </row>
    <row r="6" spans="1:38" x14ac:dyDescent="0.2">
      <c r="A6" s="28"/>
      <c r="B6" s="39" t="s">
        <v>59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HKD3L6L1Y_Quote#0000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3L</v>
      </c>
      <c r="Q6" s="202" t="str">
        <v>6L</v>
      </c>
      <c r="R6" s="200" t="str">
        <f t="shared" si="1"/>
        <v>HKD3L6L1Y</v>
      </c>
      <c r="S6" s="165" t="str">
        <v>HKD3L6L1Y=ICAP</v>
      </c>
      <c r="T6" s="273" t="s">
        <v>187</v>
      </c>
      <c r="U6" s="273" t="s">
        <v>187</v>
      </c>
      <c r="V6" s="273" t="e">
        <f>_xll.qlMidEquivalent(T6,U6)</f>
        <v>#NUM!</v>
      </c>
      <c r="W6" s="169" t="b">
        <f t="shared" si="2"/>
        <v>0</v>
      </c>
      <c r="X6" s="279" t="e">
        <v>#VALUE!</v>
      </c>
      <c r="Y6" s="162"/>
      <c r="Z6" s="271" t="e">
        <v>#VALUE!</v>
      </c>
      <c r="AA6" s="162"/>
      <c r="AB6" s="170" t="str">
        <f t="shared" si="3"/>
        <v>HKD3L6L1Y_Quote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62</v>
      </c>
      <c r="AI6" s="238" t="s">
        <v>50</v>
      </c>
      <c r="AJ6" s="190" t="str">
        <f t="shared" si="4"/>
        <v>1Y</v>
      </c>
      <c r="AK6" s="276" t="e">
        <f>((#REF!-Swap3M!U6)*100-AC6)/10000</f>
        <v>#REF!</v>
      </c>
      <c r="AL6" s="190"/>
    </row>
    <row r="7" spans="1:38" x14ac:dyDescent="0.2">
      <c r="A7" s="28"/>
      <c r="B7" s="39" t="s">
        <v>58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HKD3L6L15M_Quote#0000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3L</v>
      </c>
      <c r="Q7" s="202" t="str">
        <v>6L</v>
      </c>
      <c r="R7" s="200" t="str">
        <f t="shared" si="1"/>
        <v>HKD3L6L15M</v>
      </c>
      <c r="S7" s="165" t="str">
        <v>HKD3L6L15M=ICAP</v>
      </c>
      <c r="T7" s="273" t="s">
        <v>187</v>
      </c>
      <c r="U7" s="273" t="s">
        <v>187</v>
      </c>
      <c r="V7" s="273" t="e">
        <f>_xll.qlMidEquivalent(T7,U7)</f>
        <v>#NUM!</v>
      </c>
      <c r="W7" s="169" t="b">
        <f t="shared" si="2"/>
        <v>0</v>
      </c>
      <c r="X7" s="279" t="e">
        <v>#VALUE!</v>
      </c>
      <c r="Y7" s="162"/>
      <c r="Z7" s="271" t="e">
        <v>#VALUE!</v>
      </c>
      <c r="AA7" s="162"/>
      <c r="AB7" s="170" t="str">
        <f t="shared" si="3"/>
        <v>HKD3L6L15M_Quote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42</v>
      </c>
      <c r="AI7" s="238" t="s">
        <v>45</v>
      </c>
      <c r="AJ7" s="190" t="str">
        <f t="shared" si="4"/>
        <v>15M</v>
      </c>
      <c r="AK7" s="276" t="e">
        <f>((#REF!-Swap3M!U7)*100-AC7)/10000</f>
        <v>#REF!</v>
      </c>
      <c r="AL7" s="190"/>
    </row>
    <row r="8" spans="1:38" x14ac:dyDescent="0.2">
      <c r="A8" s="28"/>
      <c r="B8" s="39" t="s">
        <v>57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HKD3L6L18M_Quote#0000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3L</v>
      </c>
      <c r="Q8" s="202" t="str">
        <v>6L</v>
      </c>
      <c r="R8" s="200" t="str">
        <f t="shared" si="1"/>
        <v>HKD3L6L18M</v>
      </c>
      <c r="S8" s="165" t="str">
        <v>HKD3L6L18M=ICAP</v>
      </c>
      <c r="T8" s="273" t="s">
        <v>187</v>
      </c>
      <c r="U8" s="273" t="s">
        <v>187</v>
      </c>
      <c r="V8" s="273" t="e">
        <f>_xll.qlMidEquivalent(T8,U8)</f>
        <v>#NUM!</v>
      </c>
      <c r="W8" s="169" t="b">
        <f t="shared" si="2"/>
        <v>0</v>
      </c>
      <c r="X8" s="279" t="e">
        <v>#VALUE!</v>
      </c>
      <c r="Y8" s="162"/>
      <c r="Z8" s="271" t="e">
        <v>#VALUE!</v>
      </c>
      <c r="AA8" s="162"/>
      <c r="AB8" s="170" t="str">
        <f t="shared" si="3"/>
        <v>HKD3L6L18M_Quote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42</v>
      </c>
      <c r="AI8" s="238" t="s">
        <v>45</v>
      </c>
      <c r="AJ8" s="190" t="str">
        <f t="shared" si="4"/>
        <v>18M</v>
      </c>
      <c r="AK8" s="276" t="e">
        <f>((#REF!-Swap3M!U8)*100-AC8)/10000</f>
        <v>#REF!</v>
      </c>
      <c r="AL8" s="190"/>
    </row>
    <row r="9" spans="1:38" ht="13.5" thickBot="1" x14ac:dyDescent="0.25">
      <c r="A9" s="28"/>
      <c r="B9" s="39" t="s">
        <v>56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HKD3L6L21M_Quote#0000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3L</v>
      </c>
      <c r="Q9" s="202" t="str">
        <v>6L</v>
      </c>
      <c r="R9" s="200" t="str">
        <f t="shared" si="1"/>
        <v>HKD3L6L21M</v>
      </c>
      <c r="S9" s="165" t="str">
        <v>HKD3L6L21M=ICAP</v>
      </c>
      <c r="T9" s="273" t="s">
        <v>187</v>
      </c>
      <c r="U9" s="273" t="s">
        <v>187</v>
      </c>
      <c r="V9" s="273" t="e">
        <f>_xll.qlMidEquivalent(T9,U9)</f>
        <v>#NUM!</v>
      </c>
      <c r="W9" s="169" t="b">
        <f t="shared" si="2"/>
        <v>0</v>
      </c>
      <c r="X9" s="279" t="e">
        <v>#VALUE!</v>
      </c>
      <c r="Y9" s="162"/>
      <c r="Z9" s="271" t="e">
        <v>#VALUE!</v>
      </c>
      <c r="AA9" s="162"/>
      <c r="AB9" s="170" t="str">
        <f t="shared" si="3"/>
        <v>HKD3L6L21M_Quote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45</v>
      </c>
      <c r="AI9" s="236" t="s">
        <v>42</v>
      </c>
      <c r="AJ9" s="190" t="str">
        <f t="shared" si="4"/>
        <v>21M</v>
      </c>
      <c r="AK9" s="276" t="e">
        <f>((#REF!-Swap3M!U9)*100-AC9)/10000</f>
        <v>#REF!</v>
      </c>
      <c r="AL9" s="190"/>
    </row>
    <row r="10" spans="1:38" x14ac:dyDescent="0.2">
      <c r="A10" s="28"/>
      <c r="B10" s="27" t="s">
        <v>55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HKD3L6L2Y_Quote#0000</v>
      </c>
      <c r="G10" s="23" t="str">
        <f>_xll.ohRangeRetrieveError(F10)</f>
        <v/>
      </c>
      <c r="H10" s="22"/>
      <c r="J10" s="37" t="s">
        <v>54</v>
      </c>
      <c r="K10" s="36" t="s">
        <v>42</v>
      </c>
      <c r="L10" s="35" t="s">
        <v>45</v>
      </c>
      <c r="N10" s="167">
        <v>2</v>
      </c>
      <c r="O10" s="203" t="s">
        <v>55</v>
      </c>
      <c r="P10" s="202" t="str">
        <v>3L</v>
      </c>
      <c r="Q10" s="202" t="str">
        <v>6L</v>
      </c>
      <c r="R10" s="200" t="str">
        <f t="shared" si="1"/>
        <v>HKD3L6L2Y</v>
      </c>
      <c r="S10" s="165" t="str">
        <v>HKD3L6L2Y=ICAP</v>
      </c>
      <c r="T10" s="273" t="s">
        <v>187</v>
      </c>
      <c r="U10" s="273" t="s">
        <v>187</v>
      </c>
      <c r="V10" s="273" t="e">
        <f>_xll.qlMidEquivalent(T10,U10)</f>
        <v>#NUM!</v>
      </c>
      <c r="W10" s="169" t="b">
        <f t="shared" si="2"/>
        <v>0</v>
      </c>
      <c r="X10" s="279" t="e">
        <v>#VALUE!</v>
      </c>
      <c r="Y10" s="162"/>
      <c r="Z10" s="271" t="e">
        <v>#VALUE!</v>
      </c>
      <c r="AA10" s="162"/>
      <c r="AB10" s="170" t="str">
        <f t="shared" si="3"/>
        <v>HKD3L6L2Y_Quote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 t="str">
        <f t="shared" si="4"/>
        <v>2Y</v>
      </c>
      <c r="AK10" s="276" t="e">
        <f>((#REF!-Swap3M!U10)*100-AC10)/10000</f>
        <v>#REF!</v>
      </c>
      <c r="AL10" s="190"/>
    </row>
    <row r="11" spans="1:38" x14ac:dyDescent="0.2">
      <c r="A11" s="28"/>
      <c r="B11" s="27" t="s">
        <v>53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HKD3L6L3Y_Quote#0000</v>
      </c>
      <c r="G11" s="23" t="str">
        <f>_xll.ohRangeRetrieveError(F11)</f>
        <v/>
      </c>
      <c r="H11" s="22"/>
      <c r="J11" s="34" t="s">
        <v>52</v>
      </c>
      <c r="K11" s="33" t="s">
        <v>62</v>
      </c>
      <c r="L11" s="32" t="s">
        <v>50</v>
      </c>
      <c r="N11" s="167">
        <v>3</v>
      </c>
      <c r="O11" s="203" t="s">
        <v>53</v>
      </c>
      <c r="P11" s="202" t="str">
        <v>3L</v>
      </c>
      <c r="Q11" s="202" t="str">
        <v>6L</v>
      </c>
      <c r="R11" s="200" t="str">
        <f t="shared" si="1"/>
        <v>HKD3L6L3Y</v>
      </c>
      <c r="S11" s="165" t="str">
        <v>HKD3L6L3Y=ICAP</v>
      </c>
      <c r="T11" s="273" t="s">
        <v>187</v>
      </c>
      <c r="U11" s="273" t="s">
        <v>187</v>
      </c>
      <c r="V11" s="273" t="e">
        <f>_xll.qlMidEquivalent(T11,U11)</f>
        <v>#NUM!</v>
      </c>
      <c r="W11" s="169" t="b">
        <f t="shared" si="2"/>
        <v>0</v>
      </c>
      <c r="X11" s="279" t="e">
        <v>#VALUE!</v>
      </c>
      <c r="Y11" s="162"/>
      <c r="Z11" s="271" t="e">
        <v>#VALUE!</v>
      </c>
      <c r="AA11" s="162"/>
      <c r="AB11" s="170" t="str">
        <f t="shared" si="3"/>
        <v>HKD3L6L3Y_Quote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 t="str">
        <f t="shared" si="4"/>
        <v>3Y</v>
      </c>
      <c r="AK11" s="276" t="e">
        <f>((#REF!-Swap3M!U11)*100-AC11)/10000</f>
        <v>#REF!</v>
      </c>
      <c r="AL11" s="190"/>
    </row>
    <row r="12" spans="1:38" x14ac:dyDescent="0.2">
      <c r="A12" s="28"/>
      <c r="B12" s="27" t="s">
        <v>49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HKD3L6L4Y_Quote#0000</v>
      </c>
      <c r="G12" s="23" t="str">
        <f>_xll.ohRangeRetrieveError(F12)</f>
        <v/>
      </c>
      <c r="H12" s="22"/>
      <c r="J12" s="34" t="s">
        <v>48</v>
      </c>
      <c r="K12" s="33" t="s">
        <v>42</v>
      </c>
      <c r="L12" s="32" t="s">
        <v>45</v>
      </c>
      <c r="N12" s="167">
        <v>4</v>
      </c>
      <c r="O12" s="203" t="s">
        <v>49</v>
      </c>
      <c r="P12" s="202" t="str">
        <v>3L</v>
      </c>
      <c r="Q12" s="202" t="str">
        <v>6L</v>
      </c>
      <c r="R12" s="200" t="str">
        <f t="shared" si="1"/>
        <v>HKD3L6L4Y</v>
      </c>
      <c r="S12" s="165" t="str">
        <v>HKD3L6L4Y=ICAP</v>
      </c>
      <c r="T12" s="273" t="s">
        <v>187</v>
      </c>
      <c r="U12" s="273" t="s">
        <v>187</v>
      </c>
      <c r="V12" s="273" t="e">
        <f>_xll.qlMidEquivalent(T12,U12)</f>
        <v>#NUM!</v>
      </c>
      <c r="W12" s="169" t="b">
        <f t="shared" si="2"/>
        <v>0</v>
      </c>
      <c r="X12" s="279" t="e">
        <v>#VALUE!</v>
      </c>
      <c r="Y12" s="162"/>
      <c r="Z12" s="271" t="e">
        <v>#VALUE!</v>
      </c>
      <c r="AA12" s="162"/>
      <c r="AB12" s="170" t="str">
        <f t="shared" si="3"/>
        <v>HKD3L6L4Y_Quote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 t="str">
        <f t="shared" si="4"/>
        <v>4Y</v>
      </c>
      <c r="AK12" s="276" t="e">
        <f>((#REF!-Swap3M!U12)*100-AC12)/10000</f>
        <v>#REF!</v>
      </c>
      <c r="AL12" s="190"/>
    </row>
    <row r="13" spans="1:38" x14ac:dyDescent="0.2">
      <c r="A13" s="28"/>
      <c r="B13" s="27" t="s">
        <v>47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HKD3L6L5Y_Quote#0000</v>
      </c>
      <c r="G13" s="23" t="str">
        <f>_xll.ohRangeRetrieveError(F13)</f>
        <v/>
      </c>
      <c r="H13" s="22"/>
      <c r="J13" s="34" t="s">
        <v>46</v>
      </c>
      <c r="K13" s="33" t="s">
        <v>42</v>
      </c>
      <c r="L13" s="32" t="s">
        <v>45</v>
      </c>
      <c r="N13" s="167">
        <v>5</v>
      </c>
      <c r="O13" s="203" t="s">
        <v>47</v>
      </c>
      <c r="P13" s="202" t="str">
        <v>3L</v>
      </c>
      <c r="Q13" s="202" t="str">
        <v>6L</v>
      </c>
      <c r="R13" s="200" t="str">
        <f t="shared" si="1"/>
        <v>HKD3L6L5Y</v>
      </c>
      <c r="S13" s="165" t="str">
        <v>HKD3L6L5Y=ICAP</v>
      </c>
      <c r="T13" s="273" t="s">
        <v>187</v>
      </c>
      <c r="U13" s="273" t="s">
        <v>187</v>
      </c>
      <c r="V13" s="273" t="e">
        <f>_xll.qlMidEquivalent(T13,U13)</f>
        <v>#NUM!</v>
      </c>
      <c r="W13" s="169" t="b">
        <f t="shared" si="2"/>
        <v>0</v>
      </c>
      <c r="X13" s="279" t="e">
        <v>#VALUE!</v>
      </c>
      <c r="Y13" s="162"/>
      <c r="Z13" s="271" t="e">
        <v>#VALUE!</v>
      </c>
      <c r="AA13" s="162"/>
      <c r="AB13" s="170" t="str">
        <f t="shared" si="3"/>
        <v>HKD3L6L5Y_Quote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 t="str">
        <f t="shared" si="4"/>
        <v>5Y</v>
      </c>
      <c r="AK13" s="276" t="e">
        <f>((#REF!-Swap3M!U13)*100-AC13)/10000</f>
        <v>#REF!</v>
      </c>
      <c r="AL13" s="190"/>
    </row>
    <row r="14" spans="1:38" ht="13.5" thickBot="1" x14ac:dyDescent="0.25">
      <c r="A14" s="28"/>
      <c r="B14" s="27" t="s">
        <v>44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HKD3L6L6Y_Quote#0000</v>
      </c>
      <c r="G14" s="23" t="str">
        <f>_xll.ohRangeRetrieveError(F14)</f>
        <v/>
      </c>
      <c r="H14" s="22"/>
      <c r="J14" s="31" t="s">
        <v>43</v>
      </c>
      <c r="K14" s="30" t="s">
        <v>45</v>
      </c>
      <c r="L14" s="29" t="s">
        <v>42</v>
      </c>
      <c r="N14" s="167">
        <v>6</v>
      </c>
      <c r="O14" s="203" t="s">
        <v>44</v>
      </c>
      <c r="P14" s="202" t="str">
        <v>3L</v>
      </c>
      <c r="Q14" s="202" t="str">
        <v>6L</v>
      </c>
      <c r="R14" s="200" t="str">
        <f t="shared" si="1"/>
        <v>HKD3L6L6Y</v>
      </c>
      <c r="S14" s="165" t="str">
        <v>HKD3L6L6Y=ICAP</v>
      </c>
      <c r="T14" s="273" t="s">
        <v>187</v>
      </c>
      <c r="U14" s="273" t="s">
        <v>187</v>
      </c>
      <c r="V14" s="273" t="e">
        <f>_xll.qlMidEquivalent(T14,U14)</f>
        <v>#NUM!</v>
      </c>
      <c r="W14" s="169" t="b">
        <f t="shared" si="2"/>
        <v>0</v>
      </c>
      <c r="X14" s="279" t="e">
        <v>#VALUE!</v>
      </c>
      <c r="Y14" s="162"/>
      <c r="Z14" s="271" t="e">
        <v>#VALUE!</v>
      </c>
      <c r="AA14" s="162"/>
      <c r="AB14" s="170" t="str">
        <f t="shared" si="3"/>
        <v>HKD3L6L6Y_Quote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 t="str">
        <f t="shared" si="4"/>
        <v>6Y</v>
      </c>
      <c r="AK14" s="276" t="e">
        <f>((#REF!-Swap3M!U14)*100-AC14)/10000</f>
        <v>#REF!</v>
      </c>
      <c r="AL14" s="190"/>
    </row>
    <row r="15" spans="1:38" x14ac:dyDescent="0.2">
      <c r="A15" s="28"/>
      <c r="B15" s="27" t="s">
        <v>40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HKD3L6L7Y_Quote#0000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3L</v>
      </c>
      <c r="Q15" s="202" t="str">
        <v>6L</v>
      </c>
      <c r="R15" s="200" t="str">
        <f t="shared" si="1"/>
        <v>HKD3L6L7Y</v>
      </c>
      <c r="S15" s="165" t="str">
        <v>HKD3L6L7Y=ICAP</v>
      </c>
      <c r="T15" s="273" t="s">
        <v>187</v>
      </c>
      <c r="U15" s="273" t="s">
        <v>187</v>
      </c>
      <c r="V15" s="273" t="e">
        <f>_xll.qlMidEquivalent(T15,U15)</f>
        <v>#NUM!</v>
      </c>
      <c r="W15" s="169" t="b">
        <f t="shared" si="2"/>
        <v>0</v>
      </c>
      <c r="X15" s="279" t="e">
        <v>#VALUE!</v>
      </c>
      <c r="Y15" s="162"/>
      <c r="Z15" s="271" t="e">
        <v>#VALUE!</v>
      </c>
      <c r="AA15" s="162"/>
      <c r="AB15" s="170" t="str">
        <f t="shared" si="3"/>
        <v>HKD3L6L7Y_Quote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 t="str">
        <f t="shared" si="4"/>
        <v>7Y</v>
      </c>
      <c r="AK15" s="276" t="e">
        <f>((#REF!-Swap3M!U15)*100-AC15)/10000</f>
        <v>#REF!</v>
      </c>
      <c r="AL15" s="190"/>
    </row>
    <row r="16" spans="1:38" x14ac:dyDescent="0.2">
      <c r="A16" s="28"/>
      <c r="B16" s="27" t="s">
        <v>39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HKD3L6L8Y_Quote#0000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3L</v>
      </c>
      <c r="Q16" s="202" t="str">
        <v>6L</v>
      </c>
      <c r="R16" s="200" t="str">
        <f t="shared" si="1"/>
        <v>HKD3L6L8Y</v>
      </c>
      <c r="S16" s="165" t="str">
        <v>HKD3L6L8Y=ICAP</v>
      </c>
      <c r="T16" s="273" t="s">
        <v>187</v>
      </c>
      <c r="U16" s="273" t="s">
        <v>187</v>
      </c>
      <c r="V16" s="273" t="e">
        <f>_xll.qlMidEquivalent(T16,U16)</f>
        <v>#NUM!</v>
      </c>
      <c r="W16" s="169" t="b">
        <f t="shared" si="2"/>
        <v>0</v>
      </c>
      <c r="X16" s="279" t="e">
        <v>#VALUE!</v>
      </c>
      <c r="Y16" s="162"/>
      <c r="Z16" s="271" t="e">
        <v>#VALUE!</v>
      </c>
      <c r="AA16" s="162"/>
      <c r="AB16" s="170" t="str">
        <f t="shared" si="3"/>
        <v>HKD3L6L8Y_Quote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 t="str">
        <f t="shared" si="4"/>
        <v>8Y</v>
      </c>
      <c r="AK16" s="276" t="e">
        <f>((#REF!-Swap3M!U16)*100-AC16)/10000</f>
        <v>#REF!</v>
      </c>
      <c r="AL16" s="190"/>
    </row>
    <row r="17" spans="1:38" x14ac:dyDescent="0.2">
      <c r="A17" s="28"/>
      <c r="B17" s="27" t="s">
        <v>38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HKD3L6L9Y_Quote#0000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3L</v>
      </c>
      <c r="Q17" s="202" t="str">
        <v>6L</v>
      </c>
      <c r="R17" s="200" t="str">
        <f t="shared" si="1"/>
        <v>HKD3L6L9Y</v>
      </c>
      <c r="S17" s="165" t="str">
        <v>HKD3L6L9Y=ICAP</v>
      </c>
      <c r="T17" s="273" t="s">
        <v>187</v>
      </c>
      <c r="U17" s="273" t="s">
        <v>187</v>
      </c>
      <c r="V17" s="273" t="e">
        <f>_xll.qlMidEquivalent(T17,U17)</f>
        <v>#NUM!</v>
      </c>
      <c r="W17" s="169" t="b">
        <f t="shared" si="2"/>
        <v>0</v>
      </c>
      <c r="X17" s="279" t="e">
        <v>#VALUE!</v>
      </c>
      <c r="Y17" s="162"/>
      <c r="Z17" s="271" t="e">
        <v>#VALUE!</v>
      </c>
      <c r="AA17" s="162"/>
      <c r="AB17" s="170" t="str">
        <f t="shared" si="3"/>
        <v>HKD3L6L9Y_Quote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 t="str">
        <f t="shared" si="4"/>
        <v>9Y</v>
      </c>
      <c r="AK17" s="276" t="e">
        <f>((#REF!-Swap3M!U17)*100-AC17)/10000</f>
        <v>#REF!</v>
      </c>
      <c r="AL17" s="190"/>
    </row>
    <row r="18" spans="1:38" x14ac:dyDescent="0.2">
      <c r="A18" s="28"/>
      <c r="B18" s="27" t="s">
        <v>37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HKD3L6L10Y_Quote#0000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3L</v>
      </c>
      <c r="Q18" s="202" t="str">
        <v>6L</v>
      </c>
      <c r="R18" s="200" t="str">
        <f t="shared" si="1"/>
        <v>HKD3L6L10Y</v>
      </c>
      <c r="S18" s="165" t="str">
        <v>HKD3L6L10Y=ICAP</v>
      </c>
      <c r="T18" s="273" t="s">
        <v>187</v>
      </c>
      <c r="U18" s="273" t="s">
        <v>187</v>
      </c>
      <c r="V18" s="273" t="e">
        <f>_xll.qlMidEquivalent(T18,U18)</f>
        <v>#NUM!</v>
      </c>
      <c r="W18" s="169" t="b">
        <f t="shared" si="2"/>
        <v>0</v>
      </c>
      <c r="X18" s="279" t="e">
        <v>#VALUE!</v>
      </c>
      <c r="Y18" s="162"/>
      <c r="Z18" s="271" t="e">
        <v>#VALUE!</v>
      </c>
      <c r="AA18" s="162"/>
      <c r="AB18" s="170" t="str">
        <f t="shared" si="3"/>
        <v>HKD3L6L10Y_Quote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 t="str">
        <f t="shared" si="4"/>
        <v>10Y</v>
      </c>
      <c r="AK18" s="276" t="e">
        <f>((#REF!-Swap3M!U18)*100-AC18)/10000</f>
        <v>#REF!</v>
      </c>
      <c r="AL18" s="190"/>
    </row>
    <row r="19" spans="1:38" x14ac:dyDescent="0.2">
      <c r="A19" s="28"/>
      <c r="B19" s="27" t="s">
        <v>36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HKD3L6L11Y_Quote#0000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3L</v>
      </c>
      <c r="Q19" s="202" t="str">
        <v>6L</v>
      </c>
      <c r="R19" s="200" t="str">
        <f t="shared" si="1"/>
        <v>HKD3L6L11Y</v>
      </c>
      <c r="S19" s="165" t="str">
        <v>HKD3L6L11Y=ICAP</v>
      </c>
      <c r="T19" s="273" t="s">
        <v>187</v>
      </c>
      <c r="U19" s="273" t="s">
        <v>187</v>
      </c>
      <c r="V19" s="273" t="e">
        <f>_xll.qlMidEquivalent(T19,U19)</f>
        <v>#NUM!</v>
      </c>
      <c r="W19" s="169" t="b">
        <f t="shared" si="2"/>
        <v>0</v>
      </c>
      <c r="X19" s="279" t="e">
        <v>#VALUE!</v>
      </c>
      <c r="Y19" s="162"/>
      <c r="Z19" s="271" t="e">
        <v>#VALUE!</v>
      </c>
      <c r="AA19" s="162"/>
      <c r="AB19" s="170" t="str">
        <f t="shared" si="3"/>
        <v>HKD3L6L11Y_Quote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 t="str">
        <f t="shared" si="4"/>
        <v>11Y</v>
      </c>
      <c r="AK19" s="276" t="e">
        <f>((#REF!-Swap3M!U19)*100-AC19)/10000</f>
        <v>#REF!</v>
      </c>
      <c r="AL19" s="190"/>
    </row>
    <row r="20" spans="1:38" x14ac:dyDescent="0.2">
      <c r="A20" s="28"/>
      <c r="B20" s="27" t="s">
        <v>35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HKD3L6L12Y_Quote#0000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3L</v>
      </c>
      <c r="Q20" s="202" t="str">
        <v>6L</v>
      </c>
      <c r="R20" s="200" t="str">
        <f t="shared" si="1"/>
        <v>HKD3L6L12Y</v>
      </c>
      <c r="S20" s="165" t="str">
        <v>HKD3L6L12Y=ICAP</v>
      </c>
      <c r="T20" s="273" t="s">
        <v>187</v>
      </c>
      <c r="U20" s="273" t="s">
        <v>187</v>
      </c>
      <c r="V20" s="273" t="e">
        <f>_xll.qlMidEquivalent(T20,U20)</f>
        <v>#NUM!</v>
      </c>
      <c r="W20" s="169" t="b">
        <f t="shared" si="2"/>
        <v>0</v>
      </c>
      <c r="X20" s="279" t="e">
        <v>#VALUE!</v>
      </c>
      <c r="Y20" s="162"/>
      <c r="Z20" s="271" t="e">
        <v>#VALUE!</v>
      </c>
      <c r="AA20" s="162"/>
      <c r="AB20" s="170" t="str">
        <f t="shared" si="3"/>
        <v>HKD3L6L12Y_Quote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 t="str">
        <f t="shared" si="4"/>
        <v>12Y</v>
      </c>
      <c r="AK20" s="276" t="e">
        <f>((#REF!-Swap3M!U20)*100-AC20)/10000</f>
        <v>#REF!</v>
      </c>
      <c r="AL20" s="190"/>
    </row>
    <row r="21" spans="1:38" x14ac:dyDescent="0.2">
      <c r="A21" s="28"/>
      <c r="B21" s="27" t="s">
        <v>34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HKD3L6L13Y_Quote#0000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3L</v>
      </c>
      <c r="Q21" s="202" t="str">
        <v>6L</v>
      </c>
      <c r="R21" s="200" t="str">
        <f t="shared" si="1"/>
        <v>HKD3L6L13Y</v>
      </c>
      <c r="S21" s="165" t="str">
        <v>HKD3L6L13Y=ICAP</v>
      </c>
      <c r="T21" s="273" t="s">
        <v>187</v>
      </c>
      <c r="U21" s="273" t="s">
        <v>187</v>
      </c>
      <c r="V21" s="273" t="e">
        <f>_xll.qlMidEquivalent(T21,U21)</f>
        <v>#NUM!</v>
      </c>
      <c r="W21" s="169" t="b">
        <f t="shared" si="2"/>
        <v>0</v>
      </c>
      <c r="X21" s="279" t="e">
        <v>#VALUE!</v>
      </c>
      <c r="Y21" s="162"/>
      <c r="Z21" s="271" t="e">
        <v>#VALUE!</v>
      </c>
      <c r="AA21" s="162"/>
      <c r="AB21" s="170" t="str">
        <f t="shared" si="3"/>
        <v>HKD3L6L13Y_Quote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 t="str">
        <f t="shared" si="4"/>
        <v>13Y</v>
      </c>
      <c r="AK21" s="276" t="e">
        <f>((#REF!-Swap3M!U21)*100-AC21)/10000</f>
        <v>#REF!</v>
      </c>
      <c r="AL21" s="190"/>
    </row>
    <row r="22" spans="1:38" x14ac:dyDescent="0.2">
      <c r="A22" s="28"/>
      <c r="B22" s="27" t="s">
        <v>33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HKD3L6L14Y_Quote#0000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3L</v>
      </c>
      <c r="Q22" s="202" t="str">
        <v>6L</v>
      </c>
      <c r="R22" s="200" t="str">
        <f t="shared" si="1"/>
        <v>HKD3L6L14Y</v>
      </c>
      <c r="S22" s="165" t="str">
        <v>HKD3L6L14Y=ICAP</v>
      </c>
      <c r="T22" s="273" t="s">
        <v>187</v>
      </c>
      <c r="U22" s="273" t="s">
        <v>187</v>
      </c>
      <c r="V22" s="273" t="e">
        <f>_xll.qlMidEquivalent(T22,U22)</f>
        <v>#NUM!</v>
      </c>
      <c r="W22" s="169" t="b">
        <f t="shared" si="2"/>
        <v>0</v>
      </c>
      <c r="X22" s="279" t="e">
        <v>#VALUE!</v>
      </c>
      <c r="Y22" s="162"/>
      <c r="Z22" s="271" t="e">
        <v>#VALUE!</v>
      </c>
      <c r="AA22" s="162"/>
      <c r="AB22" s="170" t="str">
        <f t="shared" si="3"/>
        <v>HKD3L6L14Y_Quote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 t="str">
        <f t="shared" si="4"/>
        <v>14Y</v>
      </c>
      <c r="AK22" s="276" t="e">
        <f>((#REF!-Swap3M!U22)*100-AC22)/10000</f>
        <v>#REF!</v>
      </c>
      <c r="AL22" s="190"/>
    </row>
    <row r="23" spans="1:38" x14ac:dyDescent="0.2">
      <c r="A23" s="28"/>
      <c r="B23" s="27" t="s">
        <v>32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HKD3L6L15Y_Quote#0000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3L</v>
      </c>
      <c r="Q23" s="202" t="str">
        <v>6L</v>
      </c>
      <c r="R23" s="200" t="str">
        <f t="shared" si="1"/>
        <v>HKD3L6L15Y</v>
      </c>
      <c r="S23" s="165" t="str">
        <v>HKD3L6L15Y=ICAP</v>
      </c>
      <c r="T23" s="273" t="s">
        <v>187</v>
      </c>
      <c r="U23" s="273" t="s">
        <v>187</v>
      </c>
      <c r="V23" s="273" t="e">
        <f>_xll.qlMidEquivalent(T23,U23)</f>
        <v>#NUM!</v>
      </c>
      <c r="W23" s="169" t="b">
        <f t="shared" si="2"/>
        <v>0</v>
      </c>
      <c r="X23" s="279" t="e">
        <v>#VALUE!</v>
      </c>
      <c r="Y23" s="162"/>
      <c r="Z23" s="271" t="e">
        <v>#VALUE!</v>
      </c>
      <c r="AA23" s="162"/>
      <c r="AB23" s="170" t="str">
        <f t="shared" si="3"/>
        <v>HKD3L6L15Y_Quote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 t="str">
        <f t="shared" si="4"/>
        <v>15Y</v>
      </c>
      <c r="AK23" s="276" t="e">
        <f>((#REF!-Swap3M!U23)*100-AC23)/10000</f>
        <v>#REF!</v>
      </c>
      <c r="AL23" s="190"/>
    </row>
    <row r="24" spans="1:38" x14ac:dyDescent="0.2">
      <c r="A24" s="28"/>
      <c r="B24" s="27" t="s">
        <v>31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HKD3L6L16Y_Quote#0000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3L</v>
      </c>
      <c r="Q24" s="202" t="str">
        <v>6L</v>
      </c>
      <c r="R24" s="200" t="str">
        <f t="shared" si="1"/>
        <v>HKD3L6L16Y</v>
      </c>
      <c r="S24" s="165" t="str">
        <v>HKD3L6L16Y=ICAP</v>
      </c>
      <c r="T24" s="273" t="s">
        <v>187</v>
      </c>
      <c r="U24" s="273" t="s">
        <v>187</v>
      </c>
      <c r="V24" s="273" t="e">
        <f>_xll.qlMidEquivalent(T24,U24)</f>
        <v>#NUM!</v>
      </c>
      <c r="W24" s="169" t="b">
        <f t="shared" si="2"/>
        <v>0</v>
      </c>
      <c r="X24" s="279" t="e">
        <v>#VALUE!</v>
      </c>
      <c r="Y24" s="162"/>
      <c r="Z24" s="271" t="e">
        <v>#VALUE!</v>
      </c>
      <c r="AA24" s="162"/>
      <c r="AB24" s="170" t="str">
        <f t="shared" si="3"/>
        <v>HKD3L6L16Y_Quote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 t="str">
        <f t="shared" si="4"/>
        <v>16Y</v>
      </c>
      <c r="AK24" s="276" t="e">
        <f>((#REF!-Swap3M!U24)*100-AC24)/10000</f>
        <v>#REF!</v>
      </c>
      <c r="AL24" s="190"/>
    </row>
    <row r="25" spans="1:38" x14ac:dyDescent="0.2">
      <c r="A25" s="28"/>
      <c r="B25" s="27" t="s">
        <v>30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HKD3L6L17Y_Quote#0000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3L</v>
      </c>
      <c r="Q25" s="202" t="str">
        <v>6L</v>
      </c>
      <c r="R25" s="200" t="str">
        <f t="shared" si="1"/>
        <v>HKD3L6L17Y</v>
      </c>
      <c r="S25" s="165" t="str">
        <v>HKD3L6L17Y=ICAP</v>
      </c>
      <c r="T25" s="273" t="s">
        <v>187</v>
      </c>
      <c r="U25" s="273" t="s">
        <v>187</v>
      </c>
      <c r="V25" s="273" t="e">
        <f>_xll.qlMidEquivalent(T25,U25)</f>
        <v>#NUM!</v>
      </c>
      <c r="W25" s="169" t="b">
        <f t="shared" si="2"/>
        <v>0</v>
      </c>
      <c r="X25" s="279" t="e">
        <v>#VALUE!</v>
      </c>
      <c r="Y25" s="162"/>
      <c r="Z25" s="271" t="e">
        <v>#VALUE!</v>
      </c>
      <c r="AA25" s="162"/>
      <c r="AB25" s="170" t="str">
        <f t="shared" si="3"/>
        <v>HKD3L6L17Y_Quote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 t="str">
        <f t="shared" si="4"/>
        <v>17Y</v>
      </c>
      <c r="AK25" s="276" t="e">
        <f>((#REF!-Swap3M!U25)*100-AC25)/10000</f>
        <v>#REF!</v>
      </c>
      <c r="AL25" s="190"/>
    </row>
    <row r="26" spans="1:38" x14ac:dyDescent="0.2">
      <c r="A26" s="28"/>
      <c r="B26" s="27" t="s">
        <v>29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HKD3L6L18Y_Quote#0000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3L</v>
      </c>
      <c r="Q26" s="202" t="str">
        <v>6L</v>
      </c>
      <c r="R26" s="200" t="str">
        <f t="shared" si="1"/>
        <v>HKD3L6L18Y</v>
      </c>
      <c r="S26" s="165" t="str">
        <v>HKD3L6L18Y=ICAP</v>
      </c>
      <c r="T26" s="273" t="s">
        <v>187</v>
      </c>
      <c r="U26" s="273" t="s">
        <v>187</v>
      </c>
      <c r="V26" s="273" t="e">
        <f>_xll.qlMidEquivalent(T26,U26)</f>
        <v>#NUM!</v>
      </c>
      <c r="W26" s="169" t="b">
        <f t="shared" si="2"/>
        <v>0</v>
      </c>
      <c r="X26" s="279" t="e">
        <v>#VALUE!</v>
      </c>
      <c r="Y26" s="162"/>
      <c r="Z26" s="271" t="e">
        <v>#VALUE!</v>
      </c>
      <c r="AA26" s="162"/>
      <c r="AB26" s="170" t="str">
        <f t="shared" si="3"/>
        <v>HKD3L6L18Y_Quote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 t="str">
        <f t="shared" si="4"/>
        <v>18Y</v>
      </c>
      <c r="AK26" s="276" t="e">
        <f>((#REF!-Swap3M!U26)*100-AC26)/10000</f>
        <v>#REF!</v>
      </c>
      <c r="AL26" s="190"/>
    </row>
    <row r="27" spans="1:38" x14ac:dyDescent="0.2">
      <c r="A27" s="28"/>
      <c r="B27" s="27" t="s">
        <v>28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HKD3L6L19Y_Quote#0000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3L</v>
      </c>
      <c r="Q27" s="202" t="str">
        <v>6L</v>
      </c>
      <c r="R27" s="200" t="str">
        <f t="shared" si="1"/>
        <v>HKD3L6L19Y</v>
      </c>
      <c r="S27" s="165" t="str">
        <v>HKD3L6L19Y=ICAP</v>
      </c>
      <c r="T27" s="273" t="s">
        <v>187</v>
      </c>
      <c r="U27" s="273" t="s">
        <v>187</v>
      </c>
      <c r="V27" s="273" t="e">
        <f>_xll.qlMidEquivalent(T27,U27)</f>
        <v>#NUM!</v>
      </c>
      <c r="W27" s="169" t="b">
        <f t="shared" si="2"/>
        <v>0</v>
      </c>
      <c r="X27" s="279" t="e">
        <v>#VALUE!</v>
      </c>
      <c r="Y27" s="162"/>
      <c r="Z27" s="271" t="e">
        <v>#VALUE!</v>
      </c>
      <c r="AA27" s="162"/>
      <c r="AB27" s="170" t="str">
        <f t="shared" si="3"/>
        <v>HKD3L6L19Y_Quote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 t="str">
        <f t="shared" si="4"/>
        <v>19Y</v>
      </c>
      <c r="AK27" s="276" t="e">
        <f>((#REF!-Swap3M!U27)*100-AC27)/10000</f>
        <v>#REF!</v>
      </c>
      <c r="AL27" s="190"/>
    </row>
    <row r="28" spans="1:38" x14ac:dyDescent="0.2">
      <c r="A28" s="28"/>
      <c r="B28" s="27" t="s">
        <v>27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HKD3L6L20Y_Quote#0000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3L</v>
      </c>
      <c r="Q28" s="202" t="str">
        <v>6L</v>
      </c>
      <c r="R28" s="200" t="str">
        <f t="shared" si="1"/>
        <v>HKD3L6L20Y</v>
      </c>
      <c r="S28" s="165" t="str">
        <v>HKD3L6L20Y=ICAP</v>
      </c>
      <c r="T28" s="273" t="s">
        <v>187</v>
      </c>
      <c r="U28" s="273" t="s">
        <v>187</v>
      </c>
      <c r="V28" s="273" t="e">
        <f>_xll.qlMidEquivalent(T28,U28)</f>
        <v>#NUM!</v>
      </c>
      <c r="W28" s="169" t="b">
        <f t="shared" si="2"/>
        <v>0</v>
      </c>
      <c r="X28" s="279" t="e">
        <v>#VALUE!</v>
      </c>
      <c r="Y28" s="162"/>
      <c r="Z28" s="271" t="e">
        <v>#VALUE!</v>
      </c>
      <c r="AA28" s="162"/>
      <c r="AB28" s="170" t="str">
        <f t="shared" si="3"/>
        <v>HKD3L6L20Y_Quote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 t="str">
        <f t="shared" si="4"/>
        <v>20Y</v>
      </c>
      <c r="AK28" s="276" t="e">
        <f>((#REF!-Swap3M!U28)*100-AC28)/10000</f>
        <v>#REF!</v>
      </c>
      <c r="AL28" s="190"/>
    </row>
    <row r="29" spans="1:38" x14ac:dyDescent="0.2">
      <c r="A29" s="28"/>
      <c r="B29" s="27" t="s">
        <v>26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HKD3L6L21Y_Quote#0000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3L</v>
      </c>
      <c r="Q29" s="202" t="str">
        <v>6L</v>
      </c>
      <c r="R29" s="200" t="str">
        <f t="shared" si="1"/>
        <v>HKD3L6L21Y</v>
      </c>
      <c r="S29" s="165" t="str">
        <v>HKD3L6L21Y=ICAP</v>
      </c>
      <c r="T29" s="273" t="s">
        <v>187</v>
      </c>
      <c r="U29" s="273" t="s">
        <v>187</v>
      </c>
      <c r="V29" s="273" t="e">
        <f>_xll.qlMidEquivalent(T29,U29)</f>
        <v>#NUM!</v>
      </c>
      <c r="W29" s="169" t="b">
        <f t="shared" si="2"/>
        <v>0</v>
      </c>
      <c r="X29" s="279" t="e">
        <v>#VALUE!</v>
      </c>
      <c r="Y29" s="162"/>
      <c r="Z29" s="271" t="e">
        <v>#VALUE!</v>
      </c>
      <c r="AA29" s="162"/>
      <c r="AB29" s="170" t="str">
        <f t="shared" si="3"/>
        <v>HKD3L6L21Y_Quote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 t="str">
        <f t="shared" si="4"/>
        <v>21Y</v>
      </c>
      <c r="AK29" s="276" t="e">
        <f>((#REF!-Swap3M!U29)*100-AC29)/10000</f>
        <v>#REF!</v>
      </c>
      <c r="AL29" s="190"/>
    </row>
    <row r="30" spans="1:38" x14ac:dyDescent="0.2">
      <c r="A30" s="28"/>
      <c r="B30" s="27" t="s">
        <v>25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HKD3L6L22Y_Quote#0000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3L</v>
      </c>
      <c r="Q30" s="202" t="str">
        <v>6L</v>
      </c>
      <c r="R30" s="200" t="str">
        <f t="shared" si="1"/>
        <v>HKD3L6L22Y</v>
      </c>
      <c r="S30" s="165" t="str">
        <v>HKD3L6L22Y=ICAP</v>
      </c>
      <c r="T30" s="273" t="s">
        <v>187</v>
      </c>
      <c r="U30" s="273" t="s">
        <v>187</v>
      </c>
      <c r="V30" s="273" t="e">
        <f>_xll.qlMidEquivalent(T30,U30)</f>
        <v>#NUM!</v>
      </c>
      <c r="W30" s="169" t="b">
        <f t="shared" si="2"/>
        <v>0</v>
      </c>
      <c r="X30" s="279" t="e">
        <v>#VALUE!</v>
      </c>
      <c r="Y30" s="162"/>
      <c r="Z30" s="271" t="e">
        <v>#VALUE!</v>
      </c>
      <c r="AA30" s="162"/>
      <c r="AB30" s="170" t="str">
        <f t="shared" si="3"/>
        <v>HKD3L6L22Y_Quote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 t="str">
        <f t="shared" si="4"/>
        <v>22Y</v>
      </c>
      <c r="AK30" s="276" t="e">
        <f>((#REF!-Swap3M!U30)*100-AC30)/10000</f>
        <v>#REF!</v>
      </c>
      <c r="AL30" s="190"/>
    </row>
    <row r="31" spans="1:38" x14ac:dyDescent="0.2">
      <c r="A31" s="28"/>
      <c r="B31" s="27" t="s">
        <v>24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HKD3L6L23Y_Quote#0000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3L</v>
      </c>
      <c r="Q31" s="202" t="str">
        <v>6L</v>
      </c>
      <c r="R31" s="200" t="str">
        <f t="shared" si="1"/>
        <v>HKD3L6L23Y</v>
      </c>
      <c r="S31" s="165" t="str">
        <v>HKD3L6L23Y=ICAP</v>
      </c>
      <c r="T31" s="273" t="s">
        <v>187</v>
      </c>
      <c r="U31" s="273" t="s">
        <v>187</v>
      </c>
      <c r="V31" s="273" t="e">
        <f>_xll.qlMidEquivalent(T31,U31)</f>
        <v>#NUM!</v>
      </c>
      <c r="W31" s="169" t="b">
        <f t="shared" si="2"/>
        <v>0</v>
      </c>
      <c r="X31" s="279" t="e">
        <v>#VALUE!</v>
      </c>
      <c r="Y31" s="162"/>
      <c r="Z31" s="271" t="e">
        <v>#VALUE!</v>
      </c>
      <c r="AA31" s="162"/>
      <c r="AB31" s="170" t="str">
        <f t="shared" si="3"/>
        <v>HKD3L6L23Y_Quote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 t="str">
        <f t="shared" si="4"/>
        <v>23Y</v>
      </c>
      <c r="AK31" s="276" t="e">
        <f>((#REF!-Swap3M!U31)*100-AC31)/10000</f>
        <v>#REF!</v>
      </c>
      <c r="AL31" s="190"/>
    </row>
    <row r="32" spans="1:38" x14ac:dyDescent="0.2">
      <c r="A32" s="28"/>
      <c r="B32" s="27" t="s">
        <v>23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HKD3L6L24Y_Quote#0000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3L</v>
      </c>
      <c r="Q32" s="202" t="str">
        <v>6L</v>
      </c>
      <c r="R32" s="200" t="str">
        <f t="shared" si="1"/>
        <v>HKD3L6L24Y</v>
      </c>
      <c r="S32" s="165" t="str">
        <v>HKD3L6L24Y=ICAP</v>
      </c>
      <c r="T32" s="273" t="s">
        <v>187</v>
      </c>
      <c r="U32" s="273" t="s">
        <v>187</v>
      </c>
      <c r="V32" s="273" t="e">
        <f>_xll.qlMidEquivalent(T32,U32)</f>
        <v>#NUM!</v>
      </c>
      <c r="W32" s="169" t="b">
        <f t="shared" si="2"/>
        <v>0</v>
      </c>
      <c r="X32" s="279" t="e">
        <v>#VALUE!</v>
      </c>
      <c r="Y32" s="162"/>
      <c r="Z32" s="271" t="e">
        <v>#VALUE!</v>
      </c>
      <c r="AA32" s="162"/>
      <c r="AB32" s="170" t="str">
        <f t="shared" si="3"/>
        <v>HKD3L6L24Y_Quote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 t="str">
        <f t="shared" si="4"/>
        <v>24Y</v>
      </c>
      <c r="AK32" s="276" t="e">
        <f>((#REF!-Swap3M!U32)*100-AC32)/10000</f>
        <v>#REF!</v>
      </c>
      <c r="AL32" s="190"/>
    </row>
    <row r="33" spans="1:38" x14ac:dyDescent="0.2">
      <c r="A33" s="28"/>
      <c r="B33" s="27" t="s">
        <v>22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HKD3L6L25Y_Quote#0000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3L</v>
      </c>
      <c r="Q33" s="202" t="str">
        <v>6L</v>
      </c>
      <c r="R33" s="200" t="str">
        <f t="shared" si="1"/>
        <v>HKD3L6L25Y</v>
      </c>
      <c r="S33" s="165" t="str">
        <v>HKD3L6L25Y=ICAP</v>
      </c>
      <c r="T33" s="273" t="s">
        <v>187</v>
      </c>
      <c r="U33" s="273" t="s">
        <v>187</v>
      </c>
      <c r="V33" s="273" t="e">
        <f>_xll.qlMidEquivalent(T33,U33)</f>
        <v>#NUM!</v>
      </c>
      <c r="W33" s="169" t="b">
        <f t="shared" si="2"/>
        <v>0</v>
      </c>
      <c r="X33" s="279" t="e">
        <v>#VALUE!</v>
      </c>
      <c r="Y33" s="162"/>
      <c r="Z33" s="271" t="e">
        <v>#VALUE!</v>
      </c>
      <c r="AA33" s="162"/>
      <c r="AB33" s="170" t="str">
        <f t="shared" si="3"/>
        <v>HKD3L6L25Y_Quote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 t="str">
        <f t="shared" si="4"/>
        <v>25Y</v>
      </c>
      <c r="AK33" s="276" t="e">
        <f>((#REF!-Swap3M!#REF!)*100-AC33)/10000</f>
        <v>#REF!</v>
      </c>
      <c r="AL33" s="190"/>
    </row>
    <row r="34" spans="1:38" x14ac:dyDescent="0.2">
      <c r="A34" s="28"/>
      <c r="B34" s="27" t="s">
        <v>21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HKD3L6L26Y_Quote#0000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3L</v>
      </c>
      <c r="Q34" s="202" t="str">
        <v>6L</v>
      </c>
      <c r="R34" s="200" t="str">
        <f t="shared" si="1"/>
        <v>HKD3L6L26Y</v>
      </c>
      <c r="S34" s="165" t="str">
        <v>HKD3L6L26Y=ICAP</v>
      </c>
      <c r="T34" s="273" t="s">
        <v>187</v>
      </c>
      <c r="U34" s="273" t="s">
        <v>187</v>
      </c>
      <c r="V34" s="273" t="e">
        <f>_xll.qlMidEquivalent(T34,U34)</f>
        <v>#NUM!</v>
      </c>
      <c r="W34" s="169" t="b">
        <f t="shared" si="2"/>
        <v>0</v>
      </c>
      <c r="X34" s="279" t="e">
        <v>#VALUE!</v>
      </c>
      <c r="Y34" s="162"/>
      <c r="Z34" s="271" t="e">
        <v>#VALUE!</v>
      </c>
      <c r="AA34" s="162"/>
      <c r="AB34" s="170" t="str">
        <f t="shared" si="3"/>
        <v>HKD3L6L26Y_Quote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 t="str">
        <f t="shared" si="4"/>
        <v>26Y</v>
      </c>
      <c r="AK34" s="276" t="e">
        <f>((#REF!-Swap3M!#REF!)*100-AC34)/10000</f>
        <v>#REF!</v>
      </c>
      <c r="AL34" s="190"/>
    </row>
    <row r="35" spans="1:38" x14ac:dyDescent="0.2">
      <c r="A35" s="28"/>
      <c r="B35" s="27" t="s">
        <v>20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HKD3L6L27Y_Quote#0000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3L</v>
      </c>
      <c r="Q35" s="202" t="str">
        <v>6L</v>
      </c>
      <c r="R35" s="200" t="str">
        <f t="shared" si="1"/>
        <v>HKD3L6L27Y</v>
      </c>
      <c r="S35" s="165" t="str">
        <v>HKD3L6L27Y=ICAP</v>
      </c>
      <c r="T35" s="273" t="s">
        <v>187</v>
      </c>
      <c r="U35" s="273" t="s">
        <v>187</v>
      </c>
      <c r="V35" s="273" t="e">
        <f>_xll.qlMidEquivalent(T35,U35)</f>
        <v>#NUM!</v>
      </c>
      <c r="W35" s="169" t="b">
        <f t="shared" si="2"/>
        <v>0</v>
      </c>
      <c r="X35" s="279" t="e">
        <v>#VALUE!</v>
      </c>
      <c r="Y35" s="162"/>
      <c r="Z35" s="271" t="e">
        <v>#VALUE!</v>
      </c>
      <c r="AA35" s="162"/>
      <c r="AB35" s="170" t="str">
        <f t="shared" si="3"/>
        <v>HKD3L6L27Y_Quote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 t="str">
        <f t="shared" si="4"/>
        <v>27Y</v>
      </c>
      <c r="AK35" s="276" t="e">
        <f>((#REF!-Swap3M!#REF!)*100-AC35)/10000</f>
        <v>#REF!</v>
      </c>
      <c r="AL35" s="190"/>
    </row>
    <row r="36" spans="1:38" x14ac:dyDescent="0.2">
      <c r="A36" s="28"/>
      <c r="B36" s="27" t="s">
        <v>19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HKD3L6L28Y_Quote#0000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3L</v>
      </c>
      <c r="Q36" s="202" t="str">
        <v>6L</v>
      </c>
      <c r="R36" s="200" t="str">
        <f t="shared" si="1"/>
        <v>HKD3L6L28Y</v>
      </c>
      <c r="S36" s="165" t="str">
        <v>HKD3L6L28Y=ICAP</v>
      </c>
      <c r="T36" s="273" t="s">
        <v>187</v>
      </c>
      <c r="U36" s="273" t="s">
        <v>187</v>
      </c>
      <c r="V36" s="273" t="e">
        <f>_xll.qlMidEquivalent(T36,U36)</f>
        <v>#NUM!</v>
      </c>
      <c r="W36" s="169" t="b">
        <f t="shared" si="2"/>
        <v>0</v>
      </c>
      <c r="X36" s="279" t="e">
        <v>#VALUE!</v>
      </c>
      <c r="Y36" s="162"/>
      <c r="Z36" s="271" t="e">
        <v>#VALUE!</v>
      </c>
      <c r="AA36" s="162"/>
      <c r="AB36" s="170" t="str">
        <f t="shared" si="3"/>
        <v>HKD3L6L28Y_Quote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 t="str">
        <f t="shared" si="4"/>
        <v>28Y</v>
      </c>
      <c r="AK36" s="276" t="e">
        <f>((#REF!-Swap3M!#REF!)*100-AC36)/10000</f>
        <v>#REF!</v>
      </c>
      <c r="AL36" s="190"/>
    </row>
    <row r="37" spans="1:38" x14ac:dyDescent="0.2">
      <c r="A37" s="28"/>
      <c r="B37" s="27" t="s">
        <v>18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HKD3L6L29Y_Quote#0000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3L</v>
      </c>
      <c r="Q37" s="202" t="str">
        <v>6L</v>
      </c>
      <c r="R37" s="200" t="str">
        <f t="shared" si="1"/>
        <v>HKD3L6L29Y</v>
      </c>
      <c r="S37" s="165" t="str">
        <v>HKD3L6L29Y=ICAP</v>
      </c>
      <c r="T37" s="273" t="s">
        <v>187</v>
      </c>
      <c r="U37" s="273" t="s">
        <v>187</v>
      </c>
      <c r="V37" s="273" t="e">
        <f>_xll.qlMidEquivalent(T37,U37)</f>
        <v>#NUM!</v>
      </c>
      <c r="W37" s="169" t="b">
        <f t="shared" si="2"/>
        <v>0</v>
      </c>
      <c r="X37" s="279" t="e">
        <v>#VALUE!</v>
      </c>
      <c r="Y37" s="162"/>
      <c r="Z37" s="271" t="e">
        <v>#VALUE!</v>
      </c>
      <c r="AA37" s="162"/>
      <c r="AB37" s="170" t="str">
        <f t="shared" si="3"/>
        <v>HKD3L6L29Y_Quote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 t="str">
        <f t="shared" si="4"/>
        <v>29Y</v>
      </c>
      <c r="AK37" s="276" t="e">
        <f>((#REF!-Swap3M!#REF!)*100-AC37)/10000</f>
        <v>#REF!</v>
      </c>
      <c r="AL37" s="190"/>
    </row>
    <row r="38" spans="1:38" x14ac:dyDescent="0.2">
      <c r="A38" s="28"/>
      <c r="B38" s="27" t="s">
        <v>17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HKD3L6L30Y_Quote#0000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3L</v>
      </c>
      <c r="Q38" s="202" t="str">
        <v>6L</v>
      </c>
      <c r="R38" s="200" t="str">
        <f t="shared" si="1"/>
        <v>HKD3L6L30Y</v>
      </c>
      <c r="S38" s="165" t="str">
        <v>HKD3L6L30Y=ICAP</v>
      </c>
      <c r="T38" s="273" t="s">
        <v>187</v>
      </c>
      <c r="U38" s="273" t="s">
        <v>187</v>
      </c>
      <c r="V38" s="273" t="e">
        <f>_xll.qlMidEquivalent(T38,U38)</f>
        <v>#NUM!</v>
      </c>
      <c r="W38" s="169" t="b">
        <f t="shared" si="2"/>
        <v>0</v>
      </c>
      <c r="X38" s="279" t="e">
        <v>#VALUE!</v>
      </c>
      <c r="Y38" s="162"/>
      <c r="Z38" s="271" t="e">
        <v>#VALUE!</v>
      </c>
      <c r="AA38" s="162"/>
      <c r="AB38" s="170" t="str">
        <f t="shared" si="3"/>
        <v>HKD3L6L30Y_Quote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 t="str">
        <f t="shared" si="4"/>
        <v>30Y</v>
      </c>
      <c r="AK38" s="276" t="e">
        <f>((#REF!-Swap3M!#REF!)*100-AC38)/10000</f>
        <v>#REF!</v>
      </c>
      <c r="AL38" s="190"/>
    </row>
    <row r="39" spans="1:38" x14ac:dyDescent="0.2">
      <c r="A39" s="28"/>
      <c r="B39" s="27" t="s">
        <v>16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HKD3L6L35Y_Quote#0000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3L</v>
      </c>
      <c r="Q39" s="202" t="str">
        <v>6L</v>
      </c>
      <c r="R39" s="200" t="str">
        <f t="shared" si="1"/>
        <v>HKD3L6L35Y</v>
      </c>
      <c r="S39" s="165" t="str">
        <v>HKD3L6L35Y=ICAP</v>
      </c>
      <c r="T39" s="273" t="s">
        <v>187</v>
      </c>
      <c r="U39" s="273" t="s">
        <v>187</v>
      </c>
      <c r="V39" s="273" t="e">
        <f>_xll.qlMidEquivalent(T39,U39)</f>
        <v>#NUM!</v>
      </c>
      <c r="W39" s="169" t="b">
        <f t="shared" si="2"/>
        <v>0</v>
      </c>
      <c r="X39" s="279" t="e">
        <v>#VALUE!</v>
      </c>
      <c r="Y39" s="162"/>
      <c r="Z39" s="271" t="e">
        <v>#VALUE!</v>
      </c>
      <c r="AA39" s="162"/>
      <c r="AB39" s="170" t="str">
        <f t="shared" si="3"/>
        <v>HKD3L6L35Y_Quote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 t="str">
        <f t="shared" si="4"/>
        <v>35Y</v>
      </c>
      <c r="AK39" s="276" t="e">
        <f>((#REF!-Swap3M!#REF!)*100-AC39)/10000</f>
        <v>#REF!</v>
      </c>
      <c r="AL39" s="190"/>
    </row>
    <row r="40" spans="1:38" x14ac:dyDescent="0.2">
      <c r="A40" s="28"/>
      <c r="B40" s="27" t="s">
        <v>15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HKD3L6L40Y_Quote#0000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3L</v>
      </c>
      <c r="Q40" s="202" t="str">
        <v>6L</v>
      </c>
      <c r="R40" s="200" t="str">
        <f t="shared" si="1"/>
        <v>HKD3L6L40Y</v>
      </c>
      <c r="S40" s="165" t="str">
        <v>HKD3L6L40Y=ICAP</v>
      </c>
      <c r="T40" s="273" t="s">
        <v>187</v>
      </c>
      <c r="U40" s="273" t="s">
        <v>187</v>
      </c>
      <c r="V40" s="273" t="e">
        <f>_xll.qlMidEquivalent(T40,U40)</f>
        <v>#NUM!</v>
      </c>
      <c r="W40" s="169" t="b">
        <f t="shared" si="2"/>
        <v>0</v>
      </c>
      <c r="X40" s="279" t="e">
        <v>#VALUE!</v>
      </c>
      <c r="Y40" s="277" t="e">
        <f>X38-X40</f>
        <v>#VALUE!</v>
      </c>
      <c r="Z40" s="271" t="e">
        <v>#VALUE!</v>
      </c>
      <c r="AA40" s="162"/>
      <c r="AB40" s="170" t="str">
        <f t="shared" si="3"/>
        <v>HKD3L6L40Y_Quote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 t="str">
        <f t="shared" si="4"/>
        <v>40Y</v>
      </c>
      <c r="AK40" s="276" t="e">
        <f>((#REF!-Swap3M!#REF!)*100-AC40)/10000</f>
        <v>#REF!</v>
      </c>
      <c r="AL40" s="190"/>
    </row>
    <row r="41" spans="1:38" x14ac:dyDescent="0.2">
      <c r="A41" s="28"/>
      <c r="B41" s="27" t="s">
        <v>14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HKD3L6L50Y_Quote#0000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3L</v>
      </c>
      <c r="Q41" s="202" t="str">
        <v>6L</v>
      </c>
      <c r="R41" s="200" t="str">
        <f t="shared" si="1"/>
        <v>HKD3L6L50Y</v>
      </c>
      <c r="S41" s="165" t="str">
        <v>HKD3L6L50Y=ICAP</v>
      </c>
      <c r="T41" s="273" t="s">
        <v>187</v>
      </c>
      <c r="U41" s="273" t="s">
        <v>187</v>
      </c>
      <c r="V41" s="273" t="e">
        <f>_xll.qlMidEquivalent(T41,U41)</f>
        <v>#NUM!</v>
      </c>
      <c r="W41" s="169" t="b">
        <f t="shared" si="2"/>
        <v>0</v>
      </c>
      <c r="X41" s="279" t="e">
        <v>#VALUE!</v>
      </c>
      <c r="Y41" s="277" t="e">
        <f>X40-X41</f>
        <v>#VALUE!</v>
      </c>
      <c r="Z41" s="271" t="e">
        <v>#VALUE!</v>
      </c>
      <c r="AA41" s="162"/>
      <c r="AB41" s="170" t="str">
        <f t="shared" si="3"/>
        <v>HKD3L6L50Y_Quote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 t="str">
        <f t="shared" si="4"/>
        <v>50Y</v>
      </c>
      <c r="AK41" s="276" t="e">
        <f>((#REF!-Swap3M!#REF!)*100-AC41)/10000</f>
        <v>#REF!</v>
      </c>
      <c r="AL41" s="190"/>
    </row>
    <row r="42" spans="1:38" x14ac:dyDescent="0.2">
      <c r="A42" s="28"/>
      <c r="B42" s="27" t="s">
        <v>13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HKD3L6L60Y_Quote#0000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3L</v>
      </c>
      <c r="Q42" s="202" t="str">
        <v>6L</v>
      </c>
      <c r="R42" s="200" t="str">
        <f t="shared" si="1"/>
        <v>HKD3L6L60Y</v>
      </c>
      <c r="S42" s="165" t="str">
        <v>HKD3L6L60Y=ICAP</v>
      </c>
      <c r="T42" s="273" t="s">
        <v>187</v>
      </c>
      <c r="U42" s="273" t="s">
        <v>187</v>
      </c>
      <c r="V42" s="273" t="e">
        <f>_xll.qlMidEquivalent(T42,U42)</f>
        <v>#NUM!</v>
      </c>
      <c r="W42" s="169" t="b">
        <f t="shared" si="2"/>
        <v>0</v>
      </c>
      <c r="X42" s="278" t="e">
        <f>X41-Y42</f>
        <v>#VALUE!</v>
      </c>
      <c r="Y42" s="277" t="e">
        <f>Y41/Y40*Y41</f>
        <v>#VALUE!</v>
      </c>
      <c r="Z42" s="271" t="e">
        <v>#VALUE!</v>
      </c>
      <c r="AA42" s="162"/>
      <c r="AB42" s="170" t="str">
        <f t="shared" si="3"/>
        <v>HKD3L6L60Y_Quote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 t="str">
        <f t="shared" si="4"/>
        <v>60Y</v>
      </c>
      <c r="AK42" s="276" t="e">
        <f>((#REF!-Swap3M!#REF!)*100-AC42)/10000</f>
        <v>#REF!</v>
      </c>
      <c r="AL42" s="190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  <c r="AK43" s="190"/>
      <c r="AL43" s="190"/>
    </row>
    <row r="44" spans="1:38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  <c r="AK44" s="190"/>
      <c r="AL44" s="190"/>
    </row>
    <row r="45" spans="1:38" ht="15" x14ac:dyDescent="0.25"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190"/>
      <c r="AE45" s="190"/>
      <c r="AF45" s="190"/>
      <c r="AG45"/>
      <c r="AH45" s="190"/>
      <c r="AI45" s="190"/>
      <c r="AJ45" s="190"/>
      <c r="AK45" s="190"/>
      <c r="AL45" s="190"/>
    </row>
    <row r="46" spans="1:38" x14ac:dyDescent="0.2"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59</vt:i4>
      </vt:variant>
    </vt:vector>
  </HeadingPairs>
  <TitlesOfParts>
    <vt:vector size="69" baseType="lpstr">
      <vt:lpstr>General Settings</vt:lpstr>
      <vt:lpstr>Hibor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2013-11-22T16:55:51Z</dcterms:modified>
</cp:coreProperties>
</file>
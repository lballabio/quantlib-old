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/>
  </bookViews>
  <sheets>
    <sheet name="General Settings" sheetId="40" r:id="rId1"/>
    <sheet name="Hibor" sheetId="36" r:id="rId2"/>
    <sheet name="Hibor Time Series" sheetId="41" r:id="rId3"/>
    <sheet name="OIS" sheetId="16" r:id="rId4"/>
    <sheet name="Deposits" sheetId="9" r:id="rId5"/>
    <sheet name="FRA" sheetId="10" r:id="rId6"/>
    <sheet name="Futures3M" sheetId="12" r:id="rId7"/>
    <sheet name="Swaps1M" sheetId="17" r:id="rId8"/>
    <sheet name="Swap3M" sheetId="19" r:id="rId9"/>
    <sheet name="BasisSwap1M3M" sheetId="5" r:id="rId10"/>
    <sheet name="BasisSwap3M6M" sheetId="6" r:id="rId11"/>
  </sheets>
  <definedNames>
    <definedName name="Contributor" localSheetId="9">BasisSwap1M3M!$S$2</definedName>
    <definedName name="Contributor" localSheetId="10">BasisSwap3M6M!$S$2</definedName>
    <definedName name="Contributor" localSheetId="5">FRA!$M$2</definedName>
    <definedName name="Contributor" localSheetId="3">OIS!$L$2</definedName>
    <definedName name="Contributor" localSheetId="8">Swap3M!$L$2</definedName>
    <definedName name="Contributor" localSheetId="7">Swaps1M!$L$2</definedName>
    <definedName name="Contributors">'General Settings'!$C$26:$C$33</definedName>
    <definedName name="ContributorTable">'General Settings'!$C$26:$D$33</definedName>
    <definedName name="Conventions" localSheetId="9">BasisSwap1M3M!$AG$5:$AI$9</definedName>
    <definedName name="Conventions" localSheetId="10">BasisSwap3M6M!$AG$5:$AI$9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6">Futures3M!$M$4:$M$39</definedName>
    <definedName name="FuturesDates" localSheetId="6">Futures3M!$N$4:$N$39</definedName>
    <definedName name="Instruments" localSheetId="9">BasisSwap1M3M!$R$5:$R$42</definedName>
    <definedName name="Instruments" localSheetId="10">BasisSwap3M6M!$R$5:$R$42</definedName>
    <definedName name="Instruments" localSheetId="5">FRA!$L$7:$L$38</definedName>
    <definedName name="Instruments" localSheetId="8">Swap3M!$K$5:$K$32</definedName>
    <definedName name="Instruments" localSheetId="7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9">BasisSwap1M3M!$AC$5:$AC$42</definedName>
    <definedName name="Quote" localSheetId="10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3">OIS!$U$5:$U$23</definedName>
    <definedName name="Quote" localSheetId="8">Swap3M!$U$5:$U$32</definedName>
    <definedName name="Quote" localSheetId="7">Swaps1M!$U$5:$U$15</definedName>
    <definedName name="QuoteLive" localSheetId="9">BasisSwap1M3M!$X$5:$X$42</definedName>
    <definedName name="QuoteLive" localSheetId="10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3">OIS!$Q$5:$Q$23</definedName>
    <definedName name="QuoteLive" localSheetId="8">Swap3M!$Q$5:$Q$32</definedName>
    <definedName name="QuoteLive" localSheetId="7">Swaps1M!$Q$5:$Q$15</definedName>
    <definedName name="QuoteStatic" localSheetId="9">BasisSwap1M3M!$Z$5:$Z$42</definedName>
    <definedName name="QuoteStatic" localSheetId="10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3">OIS!$S$5:$S$23</definedName>
    <definedName name="QuoteStatic" localSheetId="8">Swap3M!$S$5:$S$32</definedName>
    <definedName name="QuoteStatic" localSheetId="7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AC5" i="6" l="1" a="1"/>
  <c r="AC9" i="6" s="1"/>
  <c r="AC5" i="6"/>
  <c r="AC6" i="6"/>
  <c r="AC7" i="6"/>
  <c r="AC8" i="6"/>
  <c r="AC12" i="6"/>
  <c r="AC13" i="6"/>
  <c r="AC14" i="6"/>
  <c r="AC15" i="6"/>
  <c r="AC16" i="6"/>
  <c r="AC20" i="6"/>
  <c r="AC21" i="6"/>
  <c r="AC22" i="6"/>
  <c r="AC23" i="6"/>
  <c r="AC24" i="6"/>
  <c r="AC28" i="6"/>
  <c r="AC29" i="6"/>
  <c r="AC30" i="6"/>
  <c r="AC31" i="6"/>
  <c r="AC32" i="6"/>
  <c r="AC36" i="6"/>
  <c r="AC37" i="6"/>
  <c r="AC38" i="6"/>
  <c r="AC39" i="6"/>
  <c r="AC40" i="6"/>
  <c r="AC5" i="5" a="1"/>
  <c r="AC10" i="5" s="1"/>
  <c r="AC5" i="5"/>
  <c r="AC6" i="5"/>
  <c r="AC7" i="5"/>
  <c r="AC8" i="5"/>
  <c r="AC9" i="5"/>
  <c r="AC12" i="5"/>
  <c r="AC13" i="5"/>
  <c r="AC14" i="5"/>
  <c r="AC15" i="5"/>
  <c r="AC16" i="5"/>
  <c r="AC17" i="5"/>
  <c r="AC20" i="5"/>
  <c r="AC21" i="5"/>
  <c r="AC22" i="5"/>
  <c r="AC23" i="5"/>
  <c r="AC24" i="5"/>
  <c r="AC25" i="5"/>
  <c r="AC28" i="5"/>
  <c r="AC29" i="5"/>
  <c r="AC30" i="5"/>
  <c r="AC31" i="5"/>
  <c r="AC32" i="5"/>
  <c r="AC33" i="5"/>
  <c r="AC36" i="5"/>
  <c r="AC37" i="5"/>
  <c r="AC38" i="5"/>
  <c r="AC39" i="5"/>
  <c r="AC40" i="5"/>
  <c r="AC41" i="5"/>
  <c r="U5" i="19" a="1"/>
  <c r="U11" i="19" s="1"/>
  <c r="U5" i="19"/>
  <c r="U6" i="19"/>
  <c r="U7" i="19"/>
  <c r="U8" i="19"/>
  <c r="U9" i="19"/>
  <c r="U10" i="19"/>
  <c r="U12" i="19"/>
  <c r="U13" i="19"/>
  <c r="U14" i="19"/>
  <c r="U15" i="19"/>
  <c r="U16" i="19"/>
  <c r="U17" i="19"/>
  <c r="U18" i="19"/>
  <c r="U20" i="19"/>
  <c r="U21" i="19"/>
  <c r="U22" i="19"/>
  <c r="U23" i="19"/>
  <c r="U24" i="19"/>
  <c r="U25" i="19"/>
  <c r="U26" i="19"/>
  <c r="U28" i="19"/>
  <c r="U29" i="19"/>
  <c r="U30" i="19"/>
  <c r="U31" i="19"/>
  <c r="U32" i="19"/>
  <c r="U5" i="17" a="1"/>
  <c r="U12" i="17" s="1"/>
  <c r="U5" i="17"/>
  <c r="U13" i="17"/>
  <c r="Y4" i="12" a="1"/>
  <c r="Y9" i="12" s="1"/>
  <c r="Y4" i="12"/>
  <c r="Y5" i="12"/>
  <c r="Y6" i="12"/>
  <c r="Y7" i="12"/>
  <c r="Y8" i="12"/>
  <c r="Y11" i="12"/>
  <c r="Y12" i="12"/>
  <c r="Y13" i="12"/>
  <c r="Y14" i="12"/>
  <c r="Y15" i="12"/>
  <c r="Y16" i="12"/>
  <c r="Y19" i="12"/>
  <c r="Y20" i="12"/>
  <c r="Y21" i="12"/>
  <c r="Y22" i="12"/>
  <c r="Y23" i="12"/>
  <c r="Y24" i="12"/>
  <c r="Y27" i="12"/>
  <c r="Y28" i="12"/>
  <c r="Y29" i="12"/>
  <c r="Y30" i="12"/>
  <c r="Y31" i="12"/>
  <c r="Y32" i="12"/>
  <c r="Y35" i="12"/>
  <c r="Y36" i="12"/>
  <c r="Y37" i="12"/>
  <c r="Y38" i="12"/>
  <c r="Y39" i="12"/>
  <c r="V7" i="10" a="1"/>
  <c r="V21" i="10" s="1"/>
  <c r="N4" i="9" a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U5" i="16" a="1"/>
  <c r="U9" i="16" s="1"/>
  <c r="U5" i="16"/>
  <c r="U6" i="16"/>
  <c r="U7" i="16"/>
  <c r="U8" i="16"/>
  <c r="U12" i="16"/>
  <c r="U13" i="16"/>
  <c r="U14" i="16"/>
  <c r="U15" i="16"/>
  <c r="U16" i="16"/>
  <c r="U20" i="16"/>
  <c r="U21" i="16"/>
  <c r="U22" i="16"/>
  <c r="U23" i="16"/>
  <c r="V30" i="10" l="1"/>
  <c r="V36" i="10"/>
  <c r="V28" i="10"/>
  <c r="V20" i="10"/>
  <c r="V12" i="10"/>
  <c r="U11" i="17"/>
  <c r="V35" i="10"/>
  <c r="V19" i="10"/>
  <c r="V11" i="10"/>
  <c r="U10" i="17"/>
  <c r="V34" i="10"/>
  <c r="V26" i="10"/>
  <c r="V18" i="10"/>
  <c r="V10" i="10"/>
  <c r="U9" i="17"/>
  <c r="U19" i="16"/>
  <c r="U11" i="16"/>
  <c r="V33" i="10"/>
  <c r="V25" i="10"/>
  <c r="V17" i="10"/>
  <c r="V9" i="10"/>
  <c r="U8" i="17"/>
  <c r="AC35" i="6"/>
  <c r="AC27" i="6"/>
  <c r="AC19" i="6"/>
  <c r="AC11" i="6"/>
  <c r="U18" i="16"/>
  <c r="U10" i="16"/>
  <c r="V32" i="10"/>
  <c r="V24" i="10"/>
  <c r="V16" i="10"/>
  <c r="V8" i="10"/>
  <c r="Y34" i="12"/>
  <c r="Y26" i="12"/>
  <c r="Y18" i="12"/>
  <c r="Y10" i="12"/>
  <c r="U15" i="17"/>
  <c r="U7" i="17"/>
  <c r="AC35" i="5"/>
  <c r="AC27" i="5"/>
  <c r="AC19" i="5"/>
  <c r="AC11" i="5"/>
  <c r="AC42" i="6"/>
  <c r="AC34" i="6"/>
  <c r="AC26" i="6"/>
  <c r="AC18" i="6"/>
  <c r="AC10" i="6"/>
  <c r="U17" i="16"/>
  <c r="V31" i="10"/>
  <c r="V23" i="10"/>
  <c r="V15" i="10"/>
  <c r="V7" i="10"/>
  <c r="Y33" i="12"/>
  <c r="Y25" i="12"/>
  <c r="Y17" i="12"/>
  <c r="U14" i="17"/>
  <c r="U6" i="17"/>
  <c r="U27" i="19"/>
  <c r="U19" i="19"/>
  <c r="AC42" i="5"/>
  <c r="AC34" i="5"/>
  <c r="AC26" i="5"/>
  <c r="AC18" i="5"/>
  <c r="AC41" i="6"/>
  <c r="AC33" i="6"/>
  <c r="AC25" i="6"/>
  <c r="AC17" i="6"/>
  <c r="V22" i="10"/>
  <c r="V37" i="10"/>
  <c r="V29" i="10"/>
  <c r="V13" i="10"/>
  <c r="V27" i="10"/>
  <c r="V38" i="10"/>
  <c r="V14" i="10"/>
  <c r="J14" i="41"/>
  <c r="K14" i="41"/>
  <c r="L14" i="41"/>
  <c r="J15" i="41"/>
  <c r="K15" i="41"/>
  <c r="L15" i="41"/>
  <c r="J16" i="41"/>
  <c r="K16" i="41"/>
  <c r="L16" i="41"/>
  <c r="K6" i="41"/>
  <c r="J10" i="41"/>
  <c r="L8" i="41"/>
  <c r="L7" i="41"/>
  <c r="J9" i="41"/>
  <c r="J8" i="41"/>
  <c r="J11" i="41"/>
  <c r="K11" i="41"/>
  <c r="K12" i="41"/>
  <c r="L9" i="41"/>
  <c r="L11" i="41"/>
  <c r="K5" i="41"/>
  <c r="K7" i="41"/>
  <c r="J7" i="41"/>
  <c r="L10" i="41"/>
  <c r="J13" i="41"/>
  <c r="J5" i="41"/>
  <c r="J6" i="41"/>
  <c r="K8" i="41"/>
  <c r="K13" i="41"/>
  <c r="K10" i="41"/>
  <c r="K9" i="41"/>
  <c r="L12" i="41"/>
  <c r="L13" i="41"/>
  <c r="L5" i="41"/>
  <c r="J12" i="41"/>
  <c r="L6" i="41"/>
  <c r="C2" i="41" l="1"/>
  <c r="B2" i="41"/>
  <c r="C5" i="41"/>
  <c r="C4" i="41" l="1"/>
  <c r="C3" i="41" s="1"/>
  <c r="E2" i="41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7" i="36"/>
  <c r="K13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7" i="36"/>
  <c r="L13" i="36"/>
  <c r="L10" i="36"/>
  <c r="S13" i="36" l="1"/>
  <c r="S10" i="36"/>
  <c r="S7" i="36"/>
  <c r="D9" i="10"/>
  <c r="D11" i="36"/>
  <c r="W11" i="36"/>
  <c r="M13" i="36"/>
  <c r="N13" i="36"/>
  <c r="M7" i="36"/>
  <c r="X13" i="36"/>
  <c r="K11" i="36"/>
  <c r="N10" i="36"/>
  <c r="M10" i="36"/>
  <c r="X10" i="36"/>
  <c r="E9" i="10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L11" i="36"/>
  <c r="Y13" i="36"/>
  <c r="N4" i="12" a="1"/>
  <c r="Y10" i="36"/>
  <c r="S11" i="36" l="1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N11" i="36"/>
  <c r="M11" i="36"/>
  <c r="X11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6" i="16"/>
  <c r="F9" i="17"/>
  <c r="F8" i="16"/>
  <c r="F12" i="17"/>
  <c r="F15" i="17"/>
  <c r="F9" i="16"/>
  <c r="X7" i="36"/>
  <c r="F19" i="16"/>
  <c r="F11" i="16"/>
  <c r="F13" i="16"/>
  <c r="F14" i="17"/>
  <c r="F14" i="16"/>
  <c r="F6" i="17"/>
  <c r="F8" i="17"/>
  <c r="F10" i="17"/>
  <c r="F7" i="17"/>
  <c r="F17" i="16"/>
  <c r="F7" i="16"/>
  <c r="F13" i="17"/>
  <c r="F5" i="17"/>
  <c r="F12" i="16"/>
  <c r="F5" i="16"/>
  <c r="F11" i="17"/>
  <c r="F10" i="16"/>
  <c r="F16" i="16"/>
  <c r="F18" i="16"/>
  <c r="F15" i="16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6" i="6"/>
  <c r="V17" i="6"/>
  <c r="V25" i="6"/>
  <c r="V9" i="6"/>
  <c r="V41" i="6"/>
  <c r="V23" i="6"/>
  <c r="V21" i="6"/>
  <c r="V33" i="6"/>
  <c r="V38" i="6"/>
  <c r="V30" i="6"/>
  <c r="V16" i="6"/>
  <c r="V34" i="6"/>
  <c r="V20" i="6"/>
  <c r="V6" i="6"/>
  <c r="V13" i="6"/>
  <c r="V8" i="6"/>
  <c r="V22" i="6"/>
  <c r="V10" i="6"/>
  <c r="V19" i="6"/>
  <c r="V12" i="6"/>
  <c r="V36" i="6"/>
  <c r="V31" i="6"/>
  <c r="V39" i="6"/>
  <c r="V37" i="6"/>
  <c r="V24" i="6"/>
  <c r="V40" i="6"/>
  <c r="V28" i="6"/>
  <c r="V27" i="6"/>
  <c r="V14" i="6"/>
  <c r="V29" i="6"/>
  <c r="V18" i="6"/>
  <c r="V42" i="6"/>
  <c r="V11" i="6"/>
  <c r="V15" i="6"/>
  <c r="V35" i="6"/>
  <c r="V32" i="6"/>
  <c r="V5" i="6"/>
  <c r="V7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4" i="19"/>
  <c r="Q27" i="19"/>
  <c r="Q28" i="19"/>
  <c r="V20" i="5"/>
  <c r="Q11" i="17"/>
  <c r="Q7" i="19"/>
  <c r="Q22" i="19"/>
  <c r="Q13" i="17"/>
  <c r="Q12" i="17"/>
  <c r="V31" i="5"/>
  <c r="V22" i="5"/>
  <c r="Q10" i="17"/>
  <c r="Q14" i="19"/>
  <c r="Q19" i="19"/>
  <c r="V18" i="5"/>
  <c r="V25" i="5"/>
  <c r="Q8" i="17"/>
  <c r="V21" i="5"/>
  <c r="V8" i="5"/>
  <c r="V28" i="5"/>
  <c r="Q5" i="17"/>
  <c r="V5" i="5"/>
  <c r="V10" i="5"/>
  <c r="V34" i="5"/>
  <c r="Q7" i="17"/>
  <c r="V16" i="5"/>
  <c r="V17" i="5"/>
  <c r="Q6" i="17"/>
  <c r="V13" i="5"/>
  <c r="V39" i="5"/>
  <c r="Q15" i="17"/>
  <c r="Q10" i="19"/>
  <c r="Q12" i="19"/>
  <c r="Q18" i="19"/>
  <c r="V24" i="5"/>
  <c r="V41" i="5"/>
  <c r="Q16" i="19"/>
  <c r="Q17" i="19"/>
  <c r="V9" i="5"/>
  <c r="V36" i="5"/>
  <c r="V7" i="5"/>
  <c r="Q9" i="19"/>
  <c r="Q14" i="17"/>
  <c r="Q9" i="17"/>
  <c r="Q26" i="19"/>
  <c r="V30" i="5"/>
  <c r="V35" i="5"/>
  <c r="V38" i="5"/>
  <c r="V11" i="5"/>
  <c r="V27" i="5"/>
  <c r="V40" i="5"/>
  <c r="V14" i="5"/>
  <c r="Q6" i="19"/>
  <c r="V15" i="5"/>
  <c r="Q20" i="19"/>
  <c r="Q15" i="19"/>
  <c r="Q5" i="19"/>
  <c r="V23" i="5"/>
  <c r="V32" i="5"/>
  <c r="V33" i="5"/>
  <c r="V37" i="5"/>
  <c r="Q25" i="19"/>
  <c r="Q13" i="19"/>
  <c r="Q23" i="19"/>
  <c r="V12" i="5"/>
  <c r="V19" i="5"/>
  <c r="V29" i="5"/>
  <c r="Q11" i="19"/>
  <c r="Q21" i="19"/>
  <c r="V42" i="5"/>
  <c r="V6" i="5"/>
  <c r="Q8" i="19"/>
  <c r="V26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35" i="12"/>
  <c r="U23" i="12"/>
  <c r="U26" i="12"/>
  <c r="U29" i="12"/>
  <c r="U11" i="12"/>
  <c r="U36" i="12"/>
  <c r="U37" i="12"/>
  <c r="U30" i="12"/>
  <c r="U22" i="12"/>
  <c r="U6" i="12"/>
  <c r="U31" i="12"/>
  <c r="U9" i="12"/>
  <c r="U14" i="12"/>
  <c r="U15" i="12"/>
  <c r="U7" i="12"/>
  <c r="U27" i="12"/>
  <c r="U34" i="12"/>
  <c r="U10" i="12"/>
  <c r="U25" i="12"/>
  <c r="U5" i="12"/>
  <c r="U21" i="12"/>
  <c r="U20" i="12"/>
  <c r="U8" i="12"/>
  <c r="U32" i="12"/>
  <c r="U4" i="12"/>
  <c r="U17" i="12"/>
  <c r="U18" i="12"/>
  <c r="U33" i="12"/>
  <c r="U19" i="12"/>
  <c r="U28" i="12"/>
  <c r="U12" i="12"/>
  <c r="U16" i="12"/>
  <c r="U24" i="12"/>
  <c r="U13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9" i="10"/>
  <c r="R34" i="10"/>
  <c r="R24" i="10"/>
  <c r="R33" i="10"/>
  <c r="R22" i="10"/>
  <c r="U39" i="12"/>
  <c r="R21" i="10"/>
  <c r="R27" i="10"/>
  <c r="R38" i="10"/>
  <c r="R11" i="10"/>
  <c r="R9" i="10"/>
  <c r="U38" i="12"/>
  <c r="R23" i="10"/>
  <c r="R32" i="10"/>
  <c r="R35" i="10"/>
  <c r="R13" i="10"/>
  <c r="R15" i="10"/>
  <c r="R10" i="10"/>
  <c r="R16" i="10"/>
  <c r="R29" i="10"/>
  <c r="R14" i="10"/>
  <c r="R25" i="10"/>
  <c r="R36" i="10"/>
  <c r="R37" i="10"/>
  <c r="R30" i="10"/>
  <c r="R26" i="10"/>
  <c r="R17" i="10"/>
  <c r="R28" i="10"/>
  <c r="R18" i="10"/>
  <c r="R20" i="10"/>
  <c r="R31" i="10"/>
  <c r="R12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8" i="36"/>
  <c r="K9" i="36"/>
  <c r="K6" i="36"/>
  <c r="D12" i="36" l="1"/>
  <c r="D14" i="36"/>
  <c r="L6" i="36"/>
  <c r="L8" i="36"/>
  <c r="K14" i="36"/>
  <c r="K12" i="36"/>
  <c r="L9" i="36"/>
  <c r="N7" i="36"/>
  <c r="S6" i="36" l="1"/>
  <c r="S9" i="36"/>
  <c r="S8" i="36"/>
  <c r="E4" i="19"/>
  <c r="F6" i="19"/>
  <c r="F9" i="19"/>
  <c r="F22" i="19"/>
  <c r="F12" i="19"/>
  <c r="X6" i="36"/>
  <c r="F24" i="19"/>
  <c r="N9" i="36"/>
  <c r="X8" i="36"/>
  <c r="F19" i="19"/>
  <c r="F5" i="19"/>
  <c r="F20" i="19"/>
  <c r="F27" i="19"/>
  <c r="F14" i="19"/>
  <c r="M9" i="36"/>
  <c r="F17" i="19"/>
  <c r="F10" i="19"/>
  <c r="L14" i="36"/>
  <c r="N8" i="36"/>
  <c r="F26" i="19"/>
  <c r="F16" i="19"/>
  <c r="L12" i="36"/>
  <c r="F28" i="19"/>
  <c r="F18" i="19"/>
  <c r="F23" i="19"/>
  <c r="F25" i="19"/>
  <c r="F11" i="19"/>
  <c r="N6" i="36"/>
  <c r="F15" i="19"/>
  <c r="F13" i="19"/>
  <c r="F8" i="19"/>
  <c r="F21" i="19"/>
  <c r="F7" i="19"/>
  <c r="X9" i="36"/>
  <c r="M6" i="36"/>
  <c r="M8" i="36"/>
  <c r="V23" i="19"/>
  <c r="V26" i="19"/>
  <c r="V8" i="19"/>
  <c r="V11" i="19"/>
  <c r="V24" i="19"/>
  <c r="V25" i="19"/>
  <c r="V10" i="19"/>
  <c r="V19" i="19"/>
  <c r="V22" i="19"/>
  <c r="V16" i="19"/>
  <c r="V17" i="19"/>
  <c r="V14" i="19"/>
  <c r="V12" i="19"/>
  <c r="V20" i="19"/>
  <c r="V13" i="19"/>
  <c r="V18" i="19"/>
  <c r="V9" i="19"/>
  <c r="V7" i="19"/>
  <c r="V6" i="19"/>
  <c r="V21" i="19"/>
  <c r="V27" i="19"/>
  <c r="V5" i="19"/>
  <c r="V15" i="19"/>
  <c r="V28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5" i="16"/>
  <c r="X12" i="36"/>
  <c r="N12" i="36"/>
  <c r="G28" i="19"/>
  <c r="G19" i="19"/>
  <c r="G12" i="17"/>
  <c r="F22" i="16"/>
  <c r="G14" i="17"/>
  <c r="F20" i="16"/>
  <c r="G10" i="19"/>
  <c r="G19" i="16"/>
  <c r="G6" i="19"/>
  <c r="G26" i="19"/>
  <c r="G9" i="16"/>
  <c r="G6" i="16"/>
  <c r="G7" i="17"/>
  <c r="G13" i="17"/>
  <c r="G20" i="19"/>
  <c r="N14" i="36"/>
  <c r="G24" i="19"/>
  <c r="G13" i="16"/>
  <c r="G11" i="16"/>
  <c r="G10" i="16"/>
  <c r="G17" i="19"/>
  <c r="G17" i="16"/>
  <c r="G27" i="19"/>
  <c r="G10" i="17"/>
  <c r="G7" i="19"/>
  <c r="G14" i="19"/>
  <c r="G18" i="16"/>
  <c r="F23" i="16"/>
  <c r="G8" i="17"/>
  <c r="G9" i="17"/>
  <c r="G21" i="19"/>
  <c r="Y9" i="36"/>
  <c r="G22" i="19"/>
  <c r="G12" i="19"/>
  <c r="G6" i="17"/>
  <c r="G15" i="16"/>
  <c r="G23" i="19"/>
  <c r="G8" i="16"/>
  <c r="G16" i="19"/>
  <c r="G16" i="16"/>
  <c r="G12" i="16"/>
  <c r="G5" i="19"/>
  <c r="G15" i="17"/>
  <c r="G13" i="19"/>
  <c r="G9" i="19"/>
  <c r="X14" i="36"/>
  <c r="G25" i="19"/>
  <c r="M12" i="36"/>
  <c r="Y8" i="36"/>
  <c r="M14" i="36"/>
  <c r="F21" i="16"/>
  <c r="Y6" i="36"/>
  <c r="G7" i="16"/>
  <c r="G14" i="16"/>
  <c r="G18" i="19"/>
  <c r="G11" i="17"/>
  <c r="G15" i="19"/>
  <c r="G8" i="19"/>
  <c r="G11" i="19"/>
  <c r="G5" i="17"/>
  <c r="V11" i="17"/>
  <c r="V17" i="16"/>
  <c r="V5" i="16"/>
  <c r="V22" i="16"/>
  <c r="V6" i="17"/>
  <c r="V9" i="16"/>
  <c r="V13" i="16"/>
  <c r="V23" i="16"/>
  <c r="V18" i="16"/>
  <c r="V5" i="17"/>
  <c r="V7" i="17"/>
  <c r="V10" i="17"/>
  <c r="V10" i="16"/>
  <c r="V16" i="16"/>
  <c r="V12" i="16"/>
  <c r="V7" i="16"/>
  <c r="V14" i="16"/>
  <c r="V6" i="16"/>
  <c r="V19" i="16"/>
  <c r="V8" i="17"/>
  <c r="V15" i="17"/>
  <c r="V11" i="16"/>
  <c r="V14" i="17"/>
  <c r="V13" i="17"/>
  <c r="V8" i="16"/>
  <c r="V12" i="17"/>
  <c r="V15" i="16"/>
  <c r="V9" i="17"/>
  <c r="V20" i="16"/>
  <c r="V21" i="16"/>
  <c r="F4" i="17"/>
  <c r="L3" i="36"/>
  <c r="F4" i="19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16" i="10"/>
  <c r="E15" i="10"/>
  <c r="E14" i="10"/>
  <c r="D10" i="9"/>
  <c r="D15" i="9"/>
  <c r="D8" i="9"/>
  <c r="E27" i="10"/>
  <c r="E13" i="10"/>
  <c r="Y14" i="36"/>
  <c r="E25" i="10"/>
  <c r="E28" i="10"/>
  <c r="D20" i="9"/>
  <c r="E7" i="10"/>
  <c r="D17" i="9"/>
  <c r="E22" i="10"/>
  <c r="E34" i="10"/>
  <c r="E36" i="10"/>
  <c r="E18" i="10"/>
  <c r="E32" i="10"/>
  <c r="G20" i="16"/>
  <c r="E8" i="10"/>
  <c r="D9" i="9"/>
  <c r="E29" i="10"/>
  <c r="E26" i="10"/>
  <c r="E19" i="10"/>
  <c r="E40" i="10"/>
  <c r="D5" i="9"/>
  <c r="E37" i="10"/>
  <c r="E38" i="10"/>
  <c r="E11" i="10"/>
  <c r="D18" i="9"/>
  <c r="G21" i="16"/>
  <c r="G22" i="16"/>
  <c r="D21" i="9"/>
  <c r="E24" i="10"/>
  <c r="D16" i="9"/>
  <c r="E21" i="10"/>
  <c r="E23" i="10"/>
  <c r="E17" i="10"/>
  <c r="D6" i="9"/>
  <c r="D19" i="9"/>
  <c r="D11" i="9"/>
  <c r="E33" i="10"/>
  <c r="E30" i="10"/>
  <c r="E10" i="10"/>
  <c r="E20" i="10"/>
  <c r="D12" i="9"/>
  <c r="E12" i="10"/>
  <c r="D7" i="9"/>
  <c r="D13" i="9"/>
  <c r="E39" i="10"/>
  <c r="E31" i="10"/>
  <c r="G23" i="16"/>
  <c r="E6" i="10"/>
  <c r="Y12" i="36"/>
  <c r="D4" i="9"/>
  <c r="E5" i="10"/>
  <c r="D14" i="9"/>
  <c r="E35" i="10"/>
  <c r="W21" i="10"/>
  <c r="W11" i="10"/>
  <c r="W10" i="10"/>
  <c r="W38" i="10"/>
  <c r="O18" i="9"/>
  <c r="O19" i="9"/>
  <c r="O4" i="9"/>
  <c r="O13" i="9"/>
  <c r="W23" i="10"/>
  <c r="O14" i="9"/>
  <c r="W7" i="10"/>
  <c r="W17" i="10"/>
  <c r="W16" i="10"/>
  <c r="W35" i="10"/>
  <c r="W34" i="10"/>
  <c r="O21" i="9"/>
  <c r="O8" i="9"/>
  <c r="W12" i="10"/>
  <c r="W32" i="10"/>
  <c r="O20" i="9"/>
  <c r="O17" i="9"/>
  <c r="W19" i="10"/>
  <c r="W26" i="10"/>
  <c r="W8" i="10"/>
  <c r="W22" i="10"/>
  <c r="O7" i="9"/>
  <c r="O6" i="9"/>
  <c r="O12" i="9"/>
  <c r="W33" i="10"/>
  <c r="W36" i="10"/>
  <c r="W25" i="10"/>
  <c r="O9" i="9"/>
  <c r="W37" i="10"/>
  <c r="W18" i="10"/>
  <c r="W20" i="10"/>
  <c r="W28" i="10"/>
  <c r="O10" i="9"/>
  <c r="W14" i="10"/>
  <c r="W27" i="10"/>
  <c r="W24" i="10"/>
  <c r="W29" i="10"/>
  <c r="O11" i="9"/>
  <c r="O5" i="9"/>
  <c r="W30" i="10"/>
  <c r="W15" i="10"/>
  <c r="W31" i="10"/>
  <c r="O16" i="9"/>
  <c r="W13" i="10"/>
  <c r="O15" i="9"/>
  <c r="N3" i="36"/>
  <c r="G4" i="19"/>
  <c r="G4" i="17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10" i="10"/>
  <c r="F36" i="12"/>
  <c r="E5" i="9"/>
  <c r="F28" i="12"/>
  <c r="F8" i="12"/>
  <c r="F37" i="10"/>
  <c r="E6" i="9"/>
  <c r="F13" i="12"/>
  <c r="F33" i="10"/>
  <c r="F12" i="12"/>
  <c r="F30" i="12"/>
  <c r="F25" i="12"/>
  <c r="E7" i="9"/>
  <c r="F15" i="12"/>
  <c r="F15" i="10"/>
  <c r="F13" i="10"/>
  <c r="F20" i="12"/>
  <c r="F26" i="12"/>
  <c r="F17" i="12"/>
  <c r="F29" i="12"/>
  <c r="F25" i="10"/>
  <c r="E9" i="9"/>
  <c r="F28" i="10"/>
  <c r="F10" i="12"/>
  <c r="F11" i="10"/>
  <c r="F7" i="10"/>
  <c r="F18" i="12"/>
  <c r="F34" i="10"/>
  <c r="F29" i="10"/>
  <c r="F17" i="10"/>
  <c r="F4" i="12"/>
  <c r="F39" i="12"/>
  <c r="F23" i="10"/>
  <c r="E13" i="9"/>
  <c r="F26" i="10"/>
  <c r="E21" i="9"/>
  <c r="E17" i="9"/>
  <c r="F21" i="12"/>
  <c r="F8" i="10"/>
  <c r="F12" i="10"/>
  <c r="F6" i="12"/>
  <c r="F9" i="12"/>
  <c r="F16" i="10"/>
  <c r="E19" i="9"/>
  <c r="F18" i="10"/>
  <c r="F37" i="12"/>
  <c r="E11" i="9"/>
  <c r="F11" i="12"/>
  <c r="F27" i="12"/>
  <c r="F38" i="10"/>
  <c r="F40" i="10"/>
  <c r="F14" i="12"/>
  <c r="F32" i="12"/>
  <c r="F5" i="12"/>
  <c r="F16" i="12"/>
  <c r="E15" i="9"/>
  <c r="F9" i="10"/>
  <c r="F22" i="10"/>
  <c r="F6" i="10"/>
  <c r="F36" i="10"/>
  <c r="F39" i="10"/>
  <c r="F27" i="10"/>
  <c r="F31" i="10"/>
  <c r="F31" i="12"/>
  <c r="F35" i="12"/>
  <c r="F5" i="10"/>
  <c r="F21" i="10"/>
  <c r="F32" i="10"/>
  <c r="E10" i="9"/>
  <c r="F24" i="12"/>
  <c r="F14" i="10"/>
  <c r="E16" i="9"/>
  <c r="F19" i="12"/>
  <c r="E12" i="9"/>
  <c r="E14" i="9"/>
  <c r="F35" i="10"/>
  <c r="F7" i="12"/>
  <c r="E4" i="9"/>
  <c r="F19" i="10"/>
  <c r="E8" i="9"/>
  <c r="F24" i="10"/>
  <c r="F38" i="12"/>
  <c r="F33" i="12"/>
  <c r="E20" i="9"/>
  <c r="F30" i="10"/>
  <c r="E18" i="9"/>
  <c r="F23" i="12"/>
  <c r="F20" i="10"/>
  <c r="F34" i="12"/>
  <c r="F22" i="12"/>
  <c r="Z30" i="12"/>
  <c r="Z29" i="12"/>
  <c r="Z9" i="12"/>
  <c r="Z10" i="12"/>
  <c r="Z35" i="12"/>
  <c r="Z22" i="12"/>
  <c r="Z6" i="12"/>
  <c r="Z23" i="12"/>
  <c r="Z14" i="12"/>
  <c r="Z5" i="12"/>
  <c r="Z7" i="12"/>
  <c r="Z26" i="12"/>
  <c r="Z19" i="12"/>
  <c r="Z31" i="12"/>
  <c r="Z8" i="12"/>
  <c r="Z12" i="12"/>
  <c r="Z37" i="12"/>
  <c r="Z39" i="12"/>
  <c r="Z34" i="12"/>
  <c r="Z28" i="12"/>
  <c r="Z27" i="12"/>
  <c r="Z15" i="12"/>
  <c r="Z4" i="12"/>
  <c r="Z36" i="12"/>
  <c r="Z25" i="12"/>
  <c r="Z20" i="12"/>
  <c r="Z33" i="12"/>
  <c r="Z24" i="12"/>
  <c r="Z32" i="12"/>
  <c r="Z38" i="12"/>
  <c r="Z13" i="12"/>
  <c r="Z11" i="12"/>
  <c r="Z21" i="12"/>
  <c r="Z16" i="12"/>
  <c r="Z18" i="12"/>
  <c r="Z17" i="12"/>
  <c r="E4" i="10"/>
  <c r="D3" i="9"/>
  <c r="F4" i="16"/>
  <c r="C5" i="6" l="1"/>
  <c r="D5" i="6"/>
  <c r="G24" i="12"/>
  <c r="G15" i="12"/>
  <c r="G36" i="12"/>
  <c r="G35" i="12"/>
  <c r="G19" i="12"/>
  <c r="G34" i="12"/>
  <c r="G8" i="12"/>
  <c r="G38" i="12"/>
  <c r="G25" i="12"/>
  <c r="G30" i="12"/>
  <c r="G20" i="12"/>
  <c r="G11" i="12"/>
  <c r="G5" i="12"/>
  <c r="G16" i="12"/>
  <c r="G39" i="12"/>
  <c r="G27" i="12"/>
  <c r="G10" i="12"/>
  <c r="G26" i="12"/>
  <c r="G18" i="12"/>
  <c r="G29" i="12"/>
  <c r="G17" i="12"/>
  <c r="G37" i="12"/>
  <c r="G31" i="12"/>
  <c r="G12" i="12"/>
  <c r="G14" i="12"/>
  <c r="G28" i="12"/>
  <c r="G13" i="12"/>
  <c r="G6" i="12"/>
  <c r="G9" i="12"/>
  <c r="G33" i="12"/>
  <c r="G7" i="12"/>
  <c r="G22" i="12"/>
  <c r="G21" i="12"/>
  <c r="G23" i="12"/>
  <c r="G4" i="12"/>
  <c r="G32" i="12"/>
  <c r="F4" i="10"/>
  <c r="G4" i="16"/>
  <c r="E3" i="9"/>
  <c r="E5" i="6" l="1"/>
  <c r="C6" i="6"/>
  <c r="D6" i="6"/>
  <c r="F5" i="6"/>
  <c r="E6" i="6" l="1"/>
  <c r="E4" i="6"/>
  <c r="C7" i="6"/>
  <c r="D7" i="6"/>
  <c r="G5" i="6"/>
  <c r="F6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G28" i="6"/>
  <c r="F29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G23" i="5"/>
  <c r="F24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F41" i="5"/>
  <c r="E42" i="5" l="1"/>
  <c r="S3" i="6"/>
  <c r="X5" i="6" a="1"/>
  <c r="S3" i="5"/>
  <c r="F42" i="5"/>
  <c r="G41" i="5"/>
  <c r="W3" i="10"/>
  <c r="V3" i="19"/>
  <c r="O2" i="9"/>
  <c r="V3" i="16"/>
  <c r="V3" i="17"/>
  <c r="M4" i="10"/>
  <c r="F4" i="5"/>
  <c r="F3" i="12"/>
  <c r="S4" i="5"/>
  <c r="F4" i="6"/>
  <c r="S4" i="6"/>
  <c r="L4" i="16"/>
  <c r="I3" i="9"/>
  <c r="L4" i="19"/>
  <c r="L4" i="17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5"/>
  <c r="G4" i="6"/>
  <c r="G3" i="12"/>
  <c r="Y41" i="6" l="1"/>
  <c r="X31" i="5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Z2" i="12"/>
  <c r="O3" i="12"/>
  <c r="T5" i="36"/>
  <c r="Y42" i="6" l="1"/>
  <c r="X42" i="6" s="1"/>
  <c r="AD33" i="5"/>
  <c r="AD7" i="5"/>
  <c r="AD27" i="5"/>
  <c r="AD20" i="5"/>
  <c r="AD42" i="5"/>
  <c r="AD26" i="5"/>
  <c r="AD9" i="5"/>
  <c r="AD41" i="5"/>
  <c r="AD32" i="5"/>
  <c r="AD37" i="5"/>
  <c r="AD11" i="5"/>
  <c r="AD23" i="5"/>
  <c r="AD35" i="5"/>
  <c r="AD31" i="5"/>
  <c r="AD12" i="5"/>
  <c r="AD28" i="5"/>
  <c r="AD6" i="5"/>
  <c r="AD10" i="5"/>
  <c r="AD25" i="5"/>
  <c r="AD30" i="5"/>
  <c r="AD39" i="5"/>
  <c r="AD13" i="5"/>
  <c r="AD8" i="5"/>
  <c r="AD14" i="5"/>
  <c r="AD19" i="5"/>
  <c r="AD34" i="5"/>
  <c r="AD29" i="5"/>
  <c r="AD40" i="5"/>
  <c r="AD24" i="5"/>
  <c r="AD16" i="5"/>
  <c r="AD38" i="5"/>
  <c r="AD18" i="5"/>
  <c r="AD21" i="5"/>
  <c r="AD5" i="5"/>
  <c r="AD17" i="5"/>
  <c r="AD36" i="5"/>
  <c r="AD15" i="5"/>
  <c r="AD22" i="5"/>
  <c r="AK15" i="6" l="1"/>
  <c r="AK10" i="6"/>
  <c r="AK17" i="6"/>
  <c r="AK18" i="6"/>
  <c r="AK34" i="6"/>
  <c r="AK21" i="6"/>
  <c r="AK28" i="6"/>
  <c r="AK39" i="6"/>
  <c r="AK40" i="6"/>
  <c r="AK13" i="6"/>
  <c r="AK37" i="6"/>
  <c r="AK38" i="6"/>
  <c r="AK20" i="6"/>
  <c r="AK19" i="6"/>
  <c r="AK14" i="6"/>
  <c r="AK42" i="6"/>
  <c r="AK41" i="6"/>
  <c r="AK9" i="6"/>
  <c r="AK6" i="6"/>
  <c r="AK26" i="6"/>
  <c r="AK11" i="6"/>
  <c r="AK33" i="6"/>
  <c r="AK35" i="6"/>
  <c r="AK24" i="6"/>
  <c r="AK31" i="6"/>
  <c r="AK22" i="6"/>
  <c r="AK12" i="6"/>
  <c r="AK30" i="6"/>
  <c r="AK23" i="6"/>
  <c r="AK36" i="6"/>
  <c r="AK25" i="6"/>
  <c r="AK8" i="6"/>
  <c r="AK16" i="6"/>
  <c r="AK5" i="6"/>
  <c r="AK29" i="6"/>
  <c r="AK7" i="6"/>
  <c r="AK32" i="6"/>
  <c r="AK27" i="6"/>
  <c r="AD3" i="5"/>
  <c r="AD33" i="6"/>
  <c r="AD37" i="6"/>
  <c r="AD8" i="6"/>
  <c r="AD18" i="6"/>
  <c r="AD12" i="6"/>
  <c r="AD21" i="6"/>
  <c r="AD36" i="6"/>
  <c r="AD5" i="6"/>
  <c r="AD31" i="6"/>
  <c r="AD29" i="6"/>
  <c r="AD19" i="6"/>
  <c r="AD10" i="6"/>
  <c r="AD38" i="6"/>
  <c r="AD11" i="6"/>
  <c r="AD15" i="6"/>
  <c r="AD34" i="6"/>
  <c r="AD24" i="6"/>
  <c r="AD20" i="6"/>
  <c r="AD25" i="6"/>
  <c r="AD32" i="6"/>
  <c r="AD17" i="6"/>
  <c r="AD13" i="6"/>
  <c r="AD16" i="6"/>
  <c r="AD39" i="6"/>
  <c r="AD42" i="6"/>
  <c r="AD6" i="6"/>
  <c r="AD28" i="6"/>
  <c r="AD30" i="6"/>
  <c r="AD14" i="6"/>
  <c r="AD9" i="6"/>
  <c r="AD7" i="6"/>
  <c r="AD40" i="6"/>
  <c r="AD27" i="6"/>
  <c r="AD23" i="6"/>
  <c r="AD41" i="6"/>
  <c r="AD26" i="6"/>
  <c r="AD35" i="6"/>
  <c r="AD22" i="6"/>
  <c r="AD3" i="6" s="1"/>
  <c r="D22" i="40"/>
</calcChain>
</file>

<file path=xl/sharedStrings.xml><?xml version="1.0" encoding="utf-8"?>
<sst xmlns="http://schemas.openxmlformats.org/spreadsheetml/2006/main" count="1159" uniqueCount="205">
  <si>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</si>
  <si>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</si>
  <si>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</si>
  <si>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</si>
  <si>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</si>
  <si>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</si>
  <si>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</si>
  <si>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</si>
  <si>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</si>
  <si>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</si>
  <si>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</si>
  <si>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</si>
  <si>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</si>
  <si>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</si>
  <si>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</si>
  <si>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</si>
  <si>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</si>
  <si>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</si>
  <si>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</si>
  <si>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</si>
  <si>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</si>
  <si>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</si>
  <si>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</si>
  <si>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</si>
  <si>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</si>
  <si>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</si>
  <si>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</si>
  <si>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</si>
  <si>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</si>
  <si>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</si>
  <si>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</si>
  <si>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</si>
  <si>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</si>
  <si>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</si>
  <si>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</si>
  <si>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</si>
  <si>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</si>
  <si>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</si>
  <si>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</si>
  <si>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</si>
  <si>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</si>
  <si>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</si>
  <si>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</si>
  <si>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</si>
  <si>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</si>
  <si>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</si>
  <si>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</si>
  <si>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</si>
  <si>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</si>
  <si>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</si>
  <si>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</si>
  <si>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</si>
  <si>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</si>
  <si>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</si>
  <si>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</si>
  <si>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</si>
  <si>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</si>
  <si>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</si>
  <si>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</si>
  <si>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</si>
  <si>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</si>
  <si>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</si>
  <si>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</si>
  <si>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</si>
  <si>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</si>
  <si>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</si>
  <si>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</si>
  <si>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</si>
  <si>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</si>
  <si>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</si>
  <si>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</si>
  <si>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</si>
  <si>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</si>
  <si>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</si>
  <si>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</si>
  <si>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</si>
  <si>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</si>
  <si>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</si>
  <si>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</si>
  <si>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</si>
  <si>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</si>
  <si>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</si>
  <si>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</si>
  <si>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</si>
  <si>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</si>
  <si>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</si>
  <si>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</si>
  <si>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</si>
  <si>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</si>
  <si>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</si>
  <si>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</si>
  <si>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</si>
  <si>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</si>
  <si>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</si>
  <si>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</si>
  <si>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</si>
  <si>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</si>
  <si>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</si>
  <si>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</si>
  <si>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</si>
  <si>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</si>
  <si>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</si>
  <si>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</si>
  <si>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</si>
  <si>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</si>
  <si>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</si>
  <si>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</si>
  <si>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</si>
  <si>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</si>
  <si>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</si>
  <si>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</si>
  <si>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</si>
  <si>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</si>
  <si>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</si>
  <si>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</si>
  <si>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</si>
  <si>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</si>
  <si>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</si>
  <si>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</si>
  <si>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</si>
  <si>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</si>
  <si>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</si>
  <si>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</si>
  <si>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</si>
  <si>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</si>
  <si>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</si>
  <si>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</si>
  <si>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</si>
  <si>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</si>
  <si>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</si>
  <si>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</si>
  <si>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</si>
  <si>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</si>
  <si>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</si>
  <si>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</si>
  <si>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</si>
  <si>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</si>
  <si>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</si>
  <si>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</si>
  <si>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</si>
  <si>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</si>
  <si>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</si>
  <si>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</si>
  <si>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</si>
  <si>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</si>
  <si>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</si>
  <si>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</si>
  <si>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</si>
  <si>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</si>
  <si>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</si>
  <si>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</si>
  <si>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</si>
  <si>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</si>
  <si>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</si>
  <si>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</si>
  <si>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</si>
  <si>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</si>
  <si>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</si>
  <si>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</si>
  <si>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</si>
  <si>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</si>
  <si>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</si>
  <si>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</si>
  <si>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</si>
  <si>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</si>
  <si>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</si>
  <si>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</si>
  <si>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</si>
  <si>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</si>
  <si>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</si>
  <si>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</si>
  <si>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</si>
  <si>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</si>
  <si>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</si>
  <si>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</si>
  <si>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</si>
  <si>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</si>
  <si>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</si>
  <si>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</si>
  <si>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</si>
  <si>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</si>
  <si>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</si>
  <si>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</si>
  <si>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</si>
  <si>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</si>
  <si>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</si>
  <si>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</si>
  <si>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Index</t>
  </si>
  <si>
    <t>Last Fixing</t>
  </si>
  <si>
    <t>The record could not be found</t>
  </si>
  <si>
    <t>Condition:</t>
  </si>
  <si>
    <t>Start:</t>
  </si>
  <si>
    <t>Timestamp</t>
  </si>
  <si>
    <t>Last Quote Close</t>
  </si>
  <si>
    <t>End:</t>
  </si>
  <si>
    <t>Order by:</t>
  </si>
  <si>
    <t>DESC</t>
  </si>
  <si>
    <t>LAST_QUOTE.TIMESTAMP</t>
  </si>
  <si>
    <t>LAST_QUOTE.CLOSE</t>
  </si>
  <si>
    <t>HIHKD3MD=</t>
  </si>
  <si>
    <t>HIHKD1MD=</t>
  </si>
  <si>
    <t>HIHKD6MD=</t>
  </si>
  <si>
    <t>HkdHibor1M</t>
  </si>
  <si>
    <t>HkdHibor3M</t>
  </si>
  <si>
    <t>HkdHibor6M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</si>
</sst>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sz val="8"/>
      <color indexed="10"/>
      <name val="Courier New"/>
      <family val="3"/>
    </font>
    <font>
      <sz val="8"/>
      <color indexed="55"/>
      <name val="Courier New"/>
      <family val="3"/>
    </font>
    <font>
      <b/>
      <sz val="10"/>
      <name val="Courier New"/>
      <family val="3"/>
    </font>
    <font>
      <b/>
      <sz val="8"/>
      <color indexed="12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499984740745262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382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8" xfId="2" applyFont="1" applyFill="1" applyBorder="1"/>
    <xf numFmtId="0" fontId="1" fillId="3" borderId="9" xfId="2" applyFont="1" applyFill="1" applyBorder="1" applyAlignment="1">
      <alignment horizontal="left"/>
    </xf>
    <xf numFmtId="0" fontId="1" fillId="3" borderId="9" xfId="2" applyFont="1" applyFill="1" applyBorder="1"/>
    <xf numFmtId="0" fontId="1" fillId="3" borderId="10" xfId="2" applyFont="1" applyFill="1" applyBorder="1"/>
    <xf numFmtId="0" fontId="1" fillId="3" borderId="11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2" xfId="2" applyNumberFormat="1" applyFont="1" applyFill="1" applyBorder="1" applyAlignment="1">
      <alignment horizontal="left"/>
    </xf>
    <xf numFmtId="0" fontId="1" fillId="3" borderId="12" xfId="2" applyNumberFormat="1" applyFont="1" applyFill="1" applyBorder="1" applyAlignment="1">
      <alignment horizontal="center"/>
    </xf>
    <xf numFmtId="0" fontId="1" fillId="3" borderId="8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4" xfId="2" applyFont="1" applyBorder="1" applyAlignment="1">
      <alignment horizontal="center"/>
    </xf>
    <xf numFmtId="0" fontId="1" fillId="0" borderId="15" xfId="2" applyFont="1" applyBorder="1" applyAlignment="1">
      <alignment horizontal="center"/>
    </xf>
    <xf numFmtId="0" fontId="1" fillId="0" borderId="16" xfId="2" applyFont="1" applyBorder="1" applyAlignment="1">
      <alignment horizontal="center"/>
    </xf>
    <xf numFmtId="0" fontId="2" fillId="0" borderId="0" xfId="2"/>
    <xf numFmtId="49" fontId="1" fillId="0" borderId="12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1" fillId="0" borderId="18" xfId="2" applyFont="1" applyBorder="1"/>
    <xf numFmtId="0" fontId="1" fillId="0" borderId="18" xfId="2" applyFont="1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1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19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2" xfId="2" applyNumberFormat="1" applyFont="1" applyFill="1" applyBorder="1" applyAlignment="1" applyProtection="1"/>
    <xf numFmtId="0" fontId="1" fillId="3" borderId="12" xfId="2" applyNumberFormat="1" applyFont="1" applyFill="1" applyBorder="1" applyAlignment="1"/>
    <xf numFmtId="0" fontId="1" fillId="3" borderId="10" xfId="2" applyNumberFormat="1" applyFont="1" applyFill="1" applyBorder="1" applyAlignment="1"/>
    <xf numFmtId="0" fontId="1" fillId="3" borderId="20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9" xfId="2" applyNumberFormat="1" applyFont="1" applyFill="1" applyBorder="1" applyAlignment="1"/>
    <xf numFmtId="0" fontId="11" fillId="4" borderId="22" xfId="2" applyNumberFormat="1" applyFont="1" applyFill="1" applyBorder="1" applyAlignment="1" applyProtection="1"/>
    <xf numFmtId="0" fontId="1" fillId="3" borderId="22" xfId="2" applyNumberFormat="1" applyFont="1" applyFill="1" applyBorder="1" applyAlignment="1"/>
    <xf numFmtId="0" fontId="1" fillId="3" borderId="19" xfId="2" applyNumberFormat="1" applyFont="1" applyFill="1" applyBorder="1" applyAlignment="1"/>
    <xf numFmtId="0" fontId="1" fillId="3" borderId="18" xfId="2" applyNumberFormat="1" applyFont="1" applyFill="1" applyBorder="1" applyAlignment="1"/>
    <xf numFmtId="0" fontId="11" fillId="4" borderId="23" xfId="2" applyNumberFormat="1" applyFont="1" applyFill="1" applyBorder="1" applyAlignment="1" applyProtection="1"/>
    <xf numFmtId="0" fontId="1" fillId="3" borderId="23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2" xfId="2" applyNumberFormat="1" applyFont="1" applyFill="1" applyBorder="1" applyAlignment="1" applyProtection="1">
      <alignment vertical="center"/>
    </xf>
    <xf numFmtId="0" fontId="3" fillId="4" borderId="22" xfId="2" applyNumberFormat="1" applyFont="1" applyFill="1" applyBorder="1" applyAlignment="1" applyProtection="1">
      <alignment horizontal="center" vertical="center"/>
    </xf>
    <xf numFmtId="0" fontId="9" fillId="3" borderId="19" xfId="2" applyFont="1" applyFill="1" applyBorder="1" applyAlignment="1">
      <alignment vertical="center"/>
    </xf>
    <xf numFmtId="0" fontId="10" fillId="3" borderId="18" xfId="2" applyFont="1" applyFill="1" applyBorder="1" applyAlignment="1">
      <alignment horizontal="center" vertical="center" wrapText="1"/>
    </xf>
    <xf numFmtId="0" fontId="10" fillId="3" borderId="19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1" xfId="9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0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2" xfId="2" applyNumberFormat="1" applyFont="1" applyFill="1" applyBorder="1" applyAlignment="1" applyProtection="1">
      <alignment horizontal="left"/>
    </xf>
    <xf numFmtId="171" fontId="1" fillId="3" borderId="10" xfId="9" applyNumberFormat="1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9" xfId="2" applyFont="1" applyFill="1" applyBorder="1" applyAlignment="1">
      <alignment horizontal="center"/>
    </xf>
    <xf numFmtId="0" fontId="10" fillId="3" borderId="12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4" xfId="2" applyFont="1" applyFill="1" applyBorder="1"/>
    <xf numFmtId="0" fontId="1" fillId="0" borderId="15" xfId="2" applyFont="1" applyBorder="1"/>
    <xf numFmtId="0" fontId="13" fillId="3" borderId="15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4" xfId="2" applyFont="1" applyFill="1" applyBorder="1"/>
    <xf numFmtId="0" fontId="14" fillId="0" borderId="15" xfId="2" applyFont="1" applyBorder="1"/>
    <xf numFmtId="0" fontId="14" fillId="0" borderId="15" xfId="2" applyFont="1" applyBorder="1" applyAlignment="1">
      <alignment horizontal="left"/>
    </xf>
    <xf numFmtId="0" fontId="15" fillId="3" borderId="15" xfId="2" applyFont="1" applyFill="1" applyBorder="1"/>
    <xf numFmtId="0" fontId="15" fillId="3" borderId="16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2" xfId="2" applyNumberFormat="1" applyFont="1" applyFill="1" applyBorder="1" applyAlignment="1" applyProtection="1"/>
    <xf numFmtId="165" fontId="1" fillId="0" borderId="12" xfId="9" applyNumberFormat="1" applyFont="1" applyFill="1" applyBorder="1" applyAlignment="1">
      <alignment horizontal="center"/>
    </xf>
    <xf numFmtId="0" fontId="10" fillId="3" borderId="20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4" xfId="2" applyFont="1" applyFill="1" applyBorder="1"/>
    <xf numFmtId="0" fontId="2" fillId="0" borderId="15" xfId="2" applyBorder="1"/>
    <xf numFmtId="0" fontId="2" fillId="0" borderId="15" xfId="2" applyBorder="1" applyAlignment="1">
      <alignment horizontal="left"/>
    </xf>
    <xf numFmtId="0" fontId="1" fillId="3" borderId="15" xfId="2" applyFont="1" applyFill="1" applyBorder="1"/>
    <xf numFmtId="0" fontId="1" fillId="3" borderId="16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8" xfId="2" applyNumberFormat="1" applyFont="1" applyFill="1" applyBorder="1" applyAlignment="1" applyProtection="1"/>
    <xf numFmtId="0" fontId="3" fillId="2" borderId="21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0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4" xfId="1" applyFill="1" applyBorder="1"/>
    <xf numFmtId="0" fontId="1" fillId="3" borderId="15" xfId="1" applyFill="1" applyBorder="1"/>
    <xf numFmtId="0" fontId="18" fillId="3" borderId="15" xfId="1" applyFont="1" applyFill="1" applyBorder="1"/>
    <xf numFmtId="0" fontId="18" fillId="3" borderId="16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4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8" xfId="9" applyNumberFormat="1" applyFont="1" applyFill="1" applyBorder="1" applyAlignment="1">
      <alignment horizontal="center"/>
    </xf>
    <xf numFmtId="164" fontId="1" fillId="0" borderId="9" xfId="9" applyNumberFormat="1" applyFont="1" applyFill="1" applyBorder="1" applyAlignment="1">
      <alignment horizontal="center"/>
    </xf>
    <xf numFmtId="165" fontId="1" fillId="0" borderId="10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2" xfId="9" applyNumberFormat="1" applyFont="1" applyBorder="1"/>
    <xf numFmtId="164" fontId="1" fillId="0" borderId="11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3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164" fontId="1" fillId="0" borderId="23" xfId="9" applyNumberFormat="1" applyFont="1" applyBorder="1"/>
    <xf numFmtId="165" fontId="1" fillId="0" borderId="17" xfId="9" applyNumberFormat="1" applyFont="1" applyFill="1" applyBorder="1" applyAlignment="1">
      <alignment horizontal="center"/>
    </xf>
    <xf numFmtId="164" fontId="1" fillId="0" borderId="18" xfId="9" applyNumberFormat="1" applyFont="1" applyFill="1" applyBorder="1" applyAlignment="1">
      <alignment horizontal="center"/>
    </xf>
    <xf numFmtId="164" fontId="1" fillId="0" borderId="22" xfId="9" applyNumberFormat="1" applyFont="1" applyBorder="1"/>
    <xf numFmtId="164" fontId="1" fillId="0" borderId="17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1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4" xfId="0" applyFont="1" applyFill="1" applyBorder="1"/>
    <xf numFmtId="0" fontId="1" fillId="3" borderId="15" xfId="0" applyFont="1" applyFill="1" applyBorder="1"/>
    <xf numFmtId="0" fontId="1" fillId="3" borderId="16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0" xfId="9" applyNumberFormat="1" applyFont="1" applyFill="1" applyBorder="1" applyAlignment="1"/>
    <xf numFmtId="164" fontId="1" fillId="0" borderId="20" xfId="9" applyNumberFormat="1" applyFont="1" applyFill="1" applyBorder="1" applyAlignment="1"/>
    <xf numFmtId="0" fontId="1" fillId="0" borderId="20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4" fontId="1" fillId="0" borderId="8" xfId="9" applyNumberFormat="1" applyFont="1" applyFill="1" applyBorder="1" applyAlignment="1">
      <alignment horizontal="center"/>
    </xf>
    <xf numFmtId="0" fontId="1" fillId="0" borderId="9" xfId="9" applyNumberFormat="1" applyFont="1" applyFill="1" applyBorder="1" applyAlignment="1"/>
    <xf numFmtId="164" fontId="1" fillId="0" borderId="9" xfId="9" applyNumberFormat="1" applyFont="1" applyFill="1" applyBorder="1" applyAlignment="1"/>
    <xf numFmtId="0" fontId="1" fillId="0" borderId="9" xfId="9" applyNumberFormat="1" applyFont="1" applyFill="1" applyBorder="1" applyAlignment="1">
      <alignment horizontal="center"/>
    </xf>
    <xf numFmtId="0" fontId="1" fillId="0" borderId="10" xfId="9" applyNumberFormat="1" applyFont="1" applyFill="1" applyBorder="1" applyAlignment="1">
      <alignment horizontal="center"/>
    </xf>
    <xf numFmtId="164" fontId="1" fillId="0" borderId="22" xfId="9" applyNumberFormat="1" applyFont="1" applyFill="1" applyBorder="1" applyAlignment="1">
      <alignment horizontal="center"/>
    </xf>
    <xf numFmtId="0" fontId="1" fillId="0" borderId="18" xfId="9" applyNumberFormat="1" applyFont="1" applyFill="1" applyBorder="1" applyAlignment="1"/>
    <xf numFmtId="164" fontId="1" fillId="0" borderId="18" xfId="9" applyNumberFormat="1" applyFont="1" applyFill="1" applyBorder="1" applyAlignment="1"/>
    <xf numFmtId="0" fontId="1" fillId="0" borderId="18" xfId="9" applyNumberFormat="1" applyFont="1" applyFill="1" applyBorder="1" applyAlignment="1">
      <alignment horizontal="center"/>
    </xf>
    <xf numFmtId="0" fontId="1" fillId="0" borderId="19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0" xfId="9" applyNumberFormat="1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6" xfId="0" applyFont="1" applyFill="1" applyBorder="1"/>
    <xf numFmtId="0" fontId="12" fillId="3" borderId="3" xfId="0" applyFont="1" applyFill="1" applyBorder="1"/>
    <xf numFmtId="164" fontId="1" fillId="0" borderId="10" xfId="9" applyNumberFormat="1" applyFont="1" applyFill="1" applyBorder="1" applyAlignment="1">
      <alignment horizontal="center"/>
    </xf>
    <xf numFmtId="164" fontId="1" fillId="0" borderId="12" xfId="0" applyNumberFormat="1" applyFont="1" applyBorder="1"/>
    <xf numFmtId="170" fontId="1" fillId="0" borderId="9" xfId="9" applyNumberFormat="1" applyFont="1" applyFill="1" applyBorder="1" applyAlignment="1">
      <alignment horizontal="center"/>
    </xf>
    <xf numFmtId="172" fontId="1" fillId="0" borderId="9" xfId="9" applyNumberFormat="1" applyFont="1" applyFill="1" applyBorder="1" applyAlignment="1">
      <alignment horizontal="center"/>
    </xf>
    <xf numFmtId="1" fontId="1" fillId="0" borderId="9" xfId="9" applyNumberFormat="1" applyFont="1" applyFill="1" applyBorder="1" applyAlignment="1">
      <alignment horizontal="center"/>
    </xf>
    <xf numFmtId="1" fontId="1" fillId="0" borderId="10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23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3" xfId="0" applyNumberFormat="1" applyFont="1" applyFill="1" applyBorder="1"/>
    <xf numFmtId="164" fontId="1" fillId="0" borderId="19" xfId="9" applyNumberFormat="1" applyFont="1" applyFill="1" applyBorder="1" applyAlignment="1">
      <alignment horizontal="center"/>
    </xf>
    <xf numFmtId="164" fontId="1" fillId="0" borderId="22" xfId="0" applyNumberFormat="1" applyFont="1" applyFill="1" applyBorder="1"/>
    <xf numFmtId="170" fontId="1" fillId="0" borderId="18" xfId="9" applyNumberFormat="1" applyFont="1" applyFill="1" applyBorder="1" applyAlignment="1">
      <alignment horizontal="center"/>
    </xf>
    <xf numFmtId="172" fontId="1" fillId="0" borderId="18" xfId="9" applyNumberFormat="1" applyFont="1" applyFill="1" applyBorder="1" applyAlignment="1">
      <alignment horizontal="center"/>
    </xf>
    <xf numFmtId="1" fontId="1" fillId="0" borderId="18" xfId="9" applyNumberFormat="1" applyFont="1" applyFill="1" applyBorder="1" applyAlignment="1">
      <alignment horizontal="center"/>
    </xf>
    <xf numFmtId="1" fontId="1" fillId="0" borderId="19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4" xfId="0" applyFont="1" applyFill="1" applyBorder="1"/>
    <xf numFmtId="0" fontId="1" fillId="3" borderId="15" xfId="0" applyFont="1" applyFill="1" applyBorder="1" applyAlignment="1">
      <alignment horizontal="center"/>
    </xf>
    <xf numFmtId="164" fontId="10" fillId="0" borderId="17" xfId="9" applyNumberFormat="1" applyFont="1" applyFill="1" applyBorder="1" applyAlignment="1">
      <alignment horizontal="center" vertical="center" wrapText="1"/>
    </xf>
    <xf numFmtId="164" fontId="10" fillId="0" borderId="18" xfId="9" applyNumberFormat="1" applyFont="1" applyFill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165" fontId="10" fillId="0" borderId="17" xfId="9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164" fontId="10" fillId="0" borderId="19" xfId="9" applyNumberFormat="1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8" xfId="9" applyNumberFormat="1" applyFont="1" applyFill="1" applyBorder="1" applyAlignment="1"/>
    <xf numFmtId="165" fontId="1" fillId="0" borderId="9" xfId="9" applyNumberFormat="1" applyFont="1" applyFill="1" applyBorder="1" applyAlignment="1"/>
    <xf numFmtId="164" fontId="1" fillId="0" borderId="11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0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3" xfId="9" applyNumberFormat="1" applyFont="1" applyBorder="1"/>
    <xf numFmtId="173" fontId="1" fillId="0" borderId="11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1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1" xfId="9" applyNumberFormat="1" applyFont="1" applyFill="1" applyBorder="1" applyAlignment="1">
      <alignment horizontal="center"/>
    </xf>
    <xf numFmtId="2" fontId="1" fillId="0" borderId="11" xfId="9" applyNumberFormat="1" applyFont="1" applyFill="1" applyBorder="1" applyAlignment="1">
      <alignment horizontal="center"/>
    </xf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3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9" fillId="2" borderId="12" xfId="2" applyFont="1" applyFill="1" applyBorder="1"/>
    <xf numFmtId="1" fontId="19" fillId="3" borderId="8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3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12" xfId="2" applyFont="1" applyFill="1" applyBorder="1" applyAlignment="1">
      <alignment horizontal="center"/>
    </xf>
    <xf numFmtId="0" fontId="19" fillId="3" borderId="8" xfId="2" applyFont="1" applyFill="1" applyBorder="1" applyAlignment="1">
      <alignment horizontal="center"/>
    </xf>
    <xf numFmtId="0" fontId="2" fillId="3" borderId="3" xfId="2" applyFill="1" applyBorder="1"/>
    <xf numFmtId="165" fontId="1" fillId="0" borderId="9" xfId="10" applyNumberFormat="1" applyFont="1" applyFill="1" applyBorder="1" applyAlignment="1"/>
    <xf numFmtId="0" fontId="0" fillId="0" borderId="8" xfId="0" applyBorder="1" applyAlignment="1"/>
    <xf numFmtId="164" fontId="1" fillId="0" borderId="9" xfId="10" applyNumberFormat="1" applyFont="1" applyFill="1" applyBorder="1" applyAlignment="1"/>
    <xf numFmtId="175" fontId="1" fillId="0" borderId="9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1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18" xfId="10" applyNumberFormat="1" applyFont="1" applyFill="1" applyBorder="1" applyAlignment="1"/>
    <xf numFmtId="0" fontId="0" fillId="0" borderId="17" xfId="0" applyBorder="1" applyAlignment="1"/>
    <xf numFmtId="164" fontId="1" fillId="0" borderId="18" xfId="10" applyNumberFormat="1" applyFont="1" applyFill="1" applyBorder="1" applyAlignment="1"/>
    <xf numFmtId="175" fontId="1" fillId="0" borderId="18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0" xfId="10" applyNumberFormat="1" applyFont="1" applyFill="1" applyBorder="1" applyAlignment="1">
      <alignment horizontal="center" vertical="center" wrapText="1"/>
    </xf>
    <xf numFmtId="165" fontId="10" fillId="0" borderId="21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1" xfId="0" applyFont="1" applyBorder="1" applyAlignment="1">
      <alignment horizontal="center" vertical="center" wrapText="1"/>
    </xf>
    <xf numFmtId="0" fontId="19" fillId="2" borderId="22" xfId="2" applyFont="1" applyFill="1" applyBorder="1"/>
    <xf numFmtId="0" fontId="19" fillId="3" borderId="17" xfId="2" quotePrefix="1" applyNumberFormat="1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4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1" xfId="2" quotePrefix="1" applyFont="1" applyFill="1" applyBorder="1"/>
    <xf numFmtId="0" fontId="1" fillId="3" borderId="11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1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19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10" fillId="0" borderId="10" xfId="10" applyNumberFormat="1" applyFont="1" applyFill="1" applyBorder="1" applyAlignment="1"/>
    <xf numFmtId="0" fontId="3" fillId="2" borderId="10" xfId="2" applyFont="1" applyFill="1" applyBorder="1" applyAlignment="1">
      <alignment horizontal="center"/>
    </xf>
    <xf numFmtId="176" fontId="1" fillId="0" borderId="18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9" xfId="10" applyNumberFormat="1" applyFont="1" applyFill="1" applyBorder="1" applyAlignment="1"/>
    <xf numFmtId="177" fontId="1" fillId="0" borderId="17" xfId="10" applyNumberFormat="1" applyFont="1" applyFill="1" applyBorder="1" applyAlignment="1"/>
    <xf numFmtId="177" fontId="1" fillId="0" borderId="11" xfId="10" applyNumberFormat="1" applyFont="1" applyFill="1" applyBorder="1" applyAlignment="1"/>
    <xf numFmtId="177" fontId="1" fillId="0" borderId="8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15" fillId="0" borderId="0" xfId="11" applyFont="1"/>
    <xf numFmtId="0" fontId="15" fillId="3" borderId="9" xfId="11" applyFont="1" applyFill="1" applyBorder="1"/>
    <xf numFmtId="175" fontId="15" fillId="0" borderId="0" xfId="11" applyNumberFormat="1" applyFont="1" applyAlignment="1">
      <alignment horizontal="center" vertical="center"/>
    </xf>
    <xf numFmtId="0" fontId="15" fillId="0" borderId="0" xfId="11" applyFont="1" applyBorder="1"/>
    <xf numFmtId="0" fontId="21" fillId="3" borderId="0" xfId="11" applyFont="1" applyFill="1" applyAlignment="1">
      <alignment vertical="center" wrapText="1"/>
    </xf>
    <xf numFmtId="0" fontId="22" fillId="3" borderId="0" xfId="11" applyFont="1" applyFill="1" applyBorder="1" applyAlignment="1">
      <alignment vertical="center"/>
    </xf>
    <xf numFmtId="0" fontId="15" fillId="3" borderId="0" xfId="11" applyFont="1" applyFill="1" applyBorder="1" applyAlignment="1">
      <alignment vertical="center"/>
    </xf>
    <xf numFmtId="0" fontId="17" fillId="2" borderId="25" xfId="11" applyFont="1" applyFill="1" applyBorder="1" applyAlignment="1">
      <alignment horizontal="left" vertical="center"/>
    </xf>
    <xf numFmtId="0" fontId="22" fillId="0" borderId="26" xfId="11" applyFont="1" applyBorder="1" applyAlignment="1">
      <alignment wrapText="1"/>
    </xf>
    <xf numFmtId="0" fontId="15" fillId="0" borderId="0" xfId="11" quotePrefix="1" applyFont="1" applyBorder="1"/>
    <xf numFmtId="0" fontId="15" fillId="0" borderId="0" xfId="11" applyFont="1" applyFill="1" applyBorder="1"/>
    <xf numFmtId="0" fontId="17" fillId="2" borderId="27" xfId="11" applyFont="1" applyFill="1" applyBorder="1"/>
    <xf numFmtId="172" fontId="22" fillId="0" borderId="28" xfId="11" quotePrefix="1" applyNumberFormat="1" applyFont="1" applyBorder="1"/>
    <xf numFmtId="175" fontId="15" fillId="0" borderId="29" xfId="11" applyNumberFormat="1" applyFont="1" applyFill="1" applyBorder="1" applyAlignment="1">
      <alignment horizontal="left"/>
    </xf>
    <xf numFmtId="173" fontId="15" fillId="0" borderId="29" xfId="11" applyNumberFormat="1" applyFont="1" applyFill="1" applyBorder="1" applyAlignment="1">
      <alignment horizontal="left"/>
    </xf>
    <xf numFmtId="0" fontId="15" fillId="0" borderId="0" xfId="11" quotePrefix="1" applyFont="1"/>
    <xf numFmtId="0" fontId="22" fillId="0" borderId="28" xfId="11" applyFont="1" applyBorder="1"/>
    <xf numFmtId="0" fontId="1" fillId="0" borderId="0" xfId="11"/>
    <xf numFmtId="14" fontId="1" fillId="0" borderId="0" xfId="11" applyNumberFormat="1"/>
    <xf numFmtId="173" fontId="15" fillId="0" borderId="0" xfId="11" applyNumberFormat="1" applyFont="1" applyFill="1" applyBorder="1" applyAlignment="1">
      <alignment horizontal="left"/>
    </xf>
    <xf numFmtId="0" fontId="15" fillId="3" borderId="16" xfId="11" quotePrefix="1" applyFont="1" applyFill="1" applyBorder="1" applyAlignment="1">
      <alignment vertical="center"/>
    </xf>
    <xf numFmtId="173" fontId="15" fillId="0" borderId="30" xfId="11" applyNumberFormat="1" applyFont="1" applyFill="1" applyBorder="1" applyAlignment="1">
      <alignment horizontal="left"/>
    </xf>
    <xf numFmtId="175" fontId="15" fillId="0" borderId="31" xfId="11" applyNumberFormat="1" applyFont="1" applyFill="1" applyBorder="1" applyAlignment="1">
      <alignment horizontal="left"/>
    </xf>
    <xf numFmtId="173" fontId="15" fillId="0" borderId="31" xfId="11" applyNumberFormat="1" applyFont="1" applyFill="1" applyBorder="1" applyAlignment="1">
      <alignment horizontal="left"/>
    </xf>
    <xf numFmtId="173" fontId="15" fillId="0" borderId="32" xfId="11" applyNumberFormat="1" applyFont="1" applyFill="1" applyBorder="1" applyAlignment="1">
      <alignment horizontal="left"/>
    </xf>
    <xf numFmtId="0" fontId="17" fillId="0" borderId="33" xfId="11" quotePrefix="1" applyFont="1" applyBorder="1" applyAlignment="1">
      <alignment vertical="center"/>
    </xf>
    <xf numFmtId="0" fontId="23" fillId="0" borderId="33" xfId="11" applyFont="1" applyBorder="1" applyAlignment="1">
      <alignment vertical="center"/>
    </xf>
    <xf numFmtId="0" fontId="24" fillId="3" borderId="32" xfId="11" applyFont="1" applyFill="1" applyBorder="1" applyAlignment="1">
      <alignment horizontal="left"/>
    </xf>
    <xf numFmtId="0" fontId="15" fillId="0" borderId="33" xfId="11" applyFont="1" applyFill="1" applyBorder="1"/>
    <xf numFmtId="0" fontId="2" fillId="9" borderId="0" xfId="2" applyFill="1"/>
    <xf numFmtId="0" fontId="4" fillId="5" borderId="34" xfId="2" applyFont="1" applyFill="1" applyBorder="1" applyAlignment="1">
      <alignment horizontal="center"/>
    </xf>
    <xf numFmtId="0" fontId="4" fillId="5" borderId="35" xfId="2" applyFont="1" applyFill="1" applyBorder="1" applyAlignment="1">
      <alignment horizontal="center"/>
    </xf>
    <xf numFmtId="0" fontId="4" fillId="5" borderId="36" xfId="2" applyFont="1" applyFill="1" applyBorder="1" applyAlignment="1">
      <alignment horizontal="center"/>
    </xf>
    <xf numFmtId="0" fontId="2" fillId="0" borderId="0" xfId="2" applyBorder="1"/>
  </cellXfs>
  <cellStyles count="12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B1:E34"/>
  <sheetViews>
    <sheetView tabSelected="1" workbookViewId="0"/>
  </sheetViews>
  <sheetFormatPr defaultRowHeight="12.75" x14ac:dyDescent="0.2"/>
  <cols>
    <col min="1" max="2" width="2.7109375" style="377" customWidth="1"/>
    <col min="3" max="3" width="12.140625" style="377" bestFit="1" customWidth="1"/>
    <col min="4" max="4" width="53.7109375" style="377" bestFit="1" customWidth="1"/>
    <col min="5" max="5" width="2.7109375" style="377" customWidth="1"/>
    <col min="6" max="16384" width="9.140625" style="377"/>
  </cols>
  <sheetData>
    <row r="1" spans="2:5" ht="13.5" thickBot="1" x14ac:dyDescent="0.25">
      <c r="B1" s="377" t="str">
        <f>_xll.qlxlVersion(TRUE,Trigger)</f>
        <v>QuantLibXL 1.4.0 - MS VC++ 9.0 - Multithreaded Dynamic Runtime library - Release Configuration - Feb  7 2014 15:33:58</v>
      </c>
    </row>
    <row r="2" spans="2:5" ht="16.5" thickBot="1" x14ac:dyDescent="0.3">
      <c r="B2" s="378" t="s">
        <v>12</v>
      </c>
      <c r="C2" s="379"/>
      <c r="D2" s="379"/>
      <c r="E2" s="380"/>
    </row>
    <row r="3" spans="2:5" x14ac:dyDescent="0.2">
      <c r="B3" s="8"/>
      <c r="C3" s="13"/>
      <c r="D3" s="13"/>
      <c r="E3" s="12"/>
    </row>
    <row r="4" spans="2:5" x14ac:dyDescent="0.2">
      <c r="B4" s="8"/>
      <c r="C4" s="7" t="s">
        <v>11</v>
      </c>
      <c r="D4" s="11">
        <v>41684.564895833333</v>
      </c>
      <c r="E4" s="5"/>
    </row>
    <row r="5" spans="2:5" x14ac:dyDescent="0.2">
      <c r="B5" s="8"/>
      <c r="C5" s="13"/>
      <c r="D5" s="13"/>
      <c r="E5" s="5"/>
    </row>
    <row r="6" spans="2:5" x14ac:dyDescent="0.2">
      <c r="B6" s="8"/>
      <c r="C6" s="343" t="s">
        <v>174</v>
      </c>
      <c r="D6" s="344">
        <v>41606.766168981485</v>
      </c>
      <c r="E6" s="5"/>
    </row>
    <row r="7" spans="2:5" x14ac:dyDescent="0.2">
      <c r="B7" s="8"/>
      <c r="C7" s="343" t="s">
        <v>175</v>
      </c>
      <c r="D7" s="345" t="b">
        <v>0</v>
      </c>
      <c r="E7" s="5"/>
    </row>
    <row r="8" spans="2:5" x14ac:dyDescent="0.2">
      <c r="B8" s="8"/>
      <c r="C8" s="346"/>
      <c r="D8" s="347"/>
      <c r="E8" s="5"/>
    </row>
    <row r="9" spans="2:5" x14ac:dyDescent="0.2">
      <c r="B9" s="8"/>
      <c r="C9" s="7" t="s">
        <v>10</v>
      </c>
      <c r="D9" s="11" t="b">
        <v>1</v>
      </c>
      <c r="E9" s="5"/>
    </row>
    <row r="10" spans="2:5" x14ac:dyDescent="0.2">
      <c r="B10" s="8"/>
      <c r="C10" s="7" t="s">
        <v>9</v>
      </c>
      <c r="D10" s="11" t="b">
        <v>0</v>
      </c>
      <c r="E10" s="5"/>
    </row>
    <row r="11" spans="2:5" x14ac:dyDescent="0.2">
      <c r="B11" s="8"/>
      <c r="C11" s="13"/>
      <c r="D11" s="381"/>
      <c r="E11" s="12"/>
    </row>
    <row r="12" spans="2:5" x14ac:dyDescent="0.2">
      <c r="B12" s="8"/>
      <c r="C12" s="7" t="s">
        <v>8</v>
      </c>
      <c r="D12" s="11" t="b">
        <v>1</v>
      </c>
      <c r="E12" s="5"/>
    </row>
    <row r="13" spans="2:5" x14ac:dyDescent="0.2">
      <c r="B13" s="8"/>
      <c r="C13" s="7" t="s">
        <v>7</v>
      </c>
      <c r="D13" s="15" t="str">
        <f ca="1">SUBSTITUTE(LEFT(CELL("filename",A1),FIND("[",CELL("filename",A1),1)-1),"\XLS\","\XML\")</f>
        <v>C:\Users\erik\Documents\repos\quantlib\QuantLibXL\Data2\XML\</v>
      </c>
      <c r="E13" s="5"/>
    </row>
    <row r="14" spans="2:5" x14ac:dyDescent="0.2">
      <c r="B14" s="8"/>
      <c r="C14" s="7" t="s">
        <v>6</v>
      </c>
      <c r="D14" s="10" t="b">
        <v>1</v>
      </c>
      <c r="E14" s="5"/>
    </row>
    <row r="15" spans="2:5" x14ac:dyDescent="0.2">
      <c r="B15" s="8"/>
      <c r="C15" s="13"/>
      <c r="D15" s="13"/>
      <c r="E15" s="12"/>
    </row>
    <row r="16" spans="2:5" x14ac:dyDescent="0.2">
      <c r="B16" s="8"/>
      <c r="C16" s="7" t="s">
        <v>5</v>
      </c>
      <c r="D16" s="11" t="s">
        <v>4</v>
      </c>
      <c r="E16" s="5"/>
    </row>
    <row r="17" spans="2:5" x14ac:dyDescent="0.2">
      <c r="B17" s="8"/>
      <c r="C17" s="7" t="s">
        <v>3</v>
      </c>
      <c r="D17" s="10" t="s">
        <v>2</v>
      </c>
      <c r="E17" s="5"/>
    </row>
    <row r="18" spans="2:5" x14ac:dyDescent="0.2">
      <c r="B18" s="8"/>
      <c r="C18" s="7" t="s">
        <v>1</v>
      </c>
      <c r="D18" s="9">
        <v>1E-4</v>
      </c>
      <c r="E18" s="5"/>
    </row>
    <row r="19" spans="2:5" x14ac:dyDescent="0.2">
      <c r="B19" s="8"/>
      <c r="C19" s="7" t="s">
        <v>0</v>
      </c>
      <c r="D19" s="6">
        <v>-0.01</v>
      </c>
      <c r="E19" s="5"/>
    </row>
    <row r="20" spans="2:5" x14ac:dyDescent="0.2">
      <c r="B20" s="280"/>
      <c r="C20" s="281"/>
      <c r="D20" s="281"/>
      <c r="E20" s="282"/>
    </row>
    <row r="21" spans="2:5" x14ac:dyDescent="0.2">
      <c r="B21" s="280"/>
      <c r="C21" s="314" t="s">
        <v>167</v>
      </c>
      <c r="D21" s="315" t="s">
        <v>168</v>
      </c>
      <c r="E21" s="284"/>
    </row>
    <row r="22" spans="2:5" x14ac:dyDescent="0.2">
      <c r="B22" s="280"/>
      <c r="C22" s="285" t="s">
        <v>169</v>
      </c>
      <c r="D22" s="286">
        <f>_xll.ohTrigger(ISERROR(OIS!V3),ISERROR(Deposits!O2),ISERROR(FRA!W3),ISERROR(Futures3M!Z2),ISERROR(Swaps1M!V3),ISERROR(Swap3M!V3),ISERROR(BasisSwap1M3M!AD3),ISERROR(BasisSwap3M6M!AD3),ISERROR('Hibor Time Series'!J5:L13))</f>
        <v>3</v>
      </c>
      <c r="E22" s="284"/>
    </row>
    <row r="23" spans="2:5" x14ac:dyDescent="0.2">
      <c r="B23" s="280"/>
      <c r="C23" s="287" t="s">
        <v>170</v>
      </c>
      <c r="D23" s="288" t="s">
        <v>171</v>
      </c>
      <c r="E23" s="284"/>
    </row>
    <row r="24" spans="2:5" x14ac:dyDescent="0.2">
      <c r="B24" s="280"/>
      <c r="C24" s="283"/>
      <c r="D24" s="289"/>
      <c r="E24" s="284"/>
    </row>
    <row r="25" spans="2:5" x14ac:dyDescent="0.2">
      <c r="B25" s="280"/>
      <c r="C25" s="290" t="s">
        <v>142</v>
      </c>
      <c r="D25" s="291" t="s">
        <v>172</v>
      </c>
      <c r="E25" s="284"/>
    </row>
    <row r="26" spans="2:5" x14ac:dyDescent="0.2">
      <c r="B26" s="280"/>
      <c r="C26" s="292" t="s">
        <v>146</v>
      </c>
      <c r="D26" s="293" t="str">
        <f>""</f>
        <v/>
      </c>
      <c r="E26" s="284"/>
    </row>
    <row r="27" spans="2:5" ht="11.25" customHeight="1" x14ac:dyDescent="0.2">
      <c r="B27" s="280"/>
      <c r="C27" s="292" t="s">
        <v>147</v>
      </c>
      <c r="D27" s="293" t="s">
        <v>148</v>
      </c>
      <c r="E27" s="284"/>
    </row>
    <row r="28" spans="2:5" x14ac:dyDescent="0.2">
      <c r="B28" s="280"/>
      <c r="C28" s="292" t="s">
        <v>149</v>
      </c>
      <c r="D28" s="293" t="s">
        <v>149</v>
      </c>
      <c r="E28" s="284"/>
    </row>
    <row r="29" spans="2:5" x14ac:dyDescent="0.2">
      <c r="B29" s="280"/>
      <c r="C29" s="292" t="s">
        <v>166</v>
      </c>
      <c r="D29" s="293" t="s">
        <v>166</v>
      </c>
      <c r="E29" s="284"/>
    </row>
    <row r="30" spans="2:5" x14ac:dyDescent="0.2">
      <c r="B30" s="280"/>
      <c r="C30" s="292" t="s">
        <v>150</v>
      </c>
      <c r="D30" s="293" t="s">
        <v>151</v>
      </c>
      <c r="E30" s="284"/>
    </row>
    <row r="31" spans="2:5" x14ac:dyDescent="0.2">
      <c r="B31" s="280"/>
      <c r="C31" s="292" t="s">
        <v>152</v>
      </c>
      <c r="D31" s="293" t="s">
        <v>153</v>
      </c>
      <c r="E31" s="284"/>
    </row>
    <row r="32" spans="2:5" x14ac:dyDescent="0.2">
      <c r="B32" s="280"/>
      <c r="C32" s="292" t="s">
        <v>154</v>
      </c>
      <c r="D32" s="293" t="s">
        <v>173</v>
      </c>
      <c r="E32" s="284"/>
    </row>
    <row r="33" spans="2:5" x14ac:dyDescent="0.2">
      <c r="B33" s="280"/>
      <c r="C33" s="294" t="s">
        <v>155</v>
      </c>
      <c r="D33" s="295" t="s">
        <v>156</v>
      </c>
      <c r="E33" s="284"/>
    </row>
    <row r="34" spans="2:5" ht="13.5" thickBot="1" x14ac:dyDescent="0.25">
      <c r="B34" s="296"/>
      <c r="C34" s="63"/>
      <c r="D34" s="63"/>
      <c r="E34" s="61"/>
    </row>
  </sheetData>
  <mergeCells count="1">
    <mergeCell ref="B2:E2"/>
  </mergeCells>
  <conditionalFormatting sqref="D7:D8">
    <cfRule type="cellIs" dxfId="1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workbookViewId="0">
      <selection activeCell="E4" sqref="E4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2.2851562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0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>
        <f ca="1">IF(Serialize,_xll.ohObjectSave(K6:M14,SerializationPath&amp;FileName,FileOverwrite,,Serialize),"---")</f>
        <v>27</v>
      </c>
      <c r="M3" s="147" t="str">
        <f>PROPER(Currency)&amp;FamilyName&amp;".xml"</f>
        <v>HkdHibor.xml</v>
      </c>
      <c r="N3" s="140" t="str">
        <f ca="1">_xll.ohRangeRetrieveError(L3)</f>
        <v/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1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1"/>
    </row>
    <row r="5" spans="2:26" s="1" customFormat="1" ht="22.5" x14ac:dyDescent="0.2">
      <c r="B5" s="145"/>
      <c r="C5" s="331" t="s">
        <v>135</v>
      </c>
      <c r="D5" s="331"/>
      <c r="E5" s="331" t="s">
        <v>134</v>
      </c>
      <c r="F5" s="331" t="s">
        <v>133</v>
      </c>
      <c r="G5" s="331" t="s">
        <v>132</v>
      </c>
      <c r="H5" s="331" t="s">
        <v>131</v>
      </c>
      <c r="I5" s="331" t="s">
        <v>130</v>
      </c>
      <c r="J5" s="331" t="s">
        <v>184</v>
      </c>
      <c r="K5" s="332" t="s">
        <v>183</v>
      </c>
      <c r="L5" s="332" t="s">
        <v>184</v>
      </c>
      <c r="M5" s="332" t="s">
        <v>185</v>
      </c>
      <c r="N5" s="332"/>
      <c r="O5" s="329" t="s">
        <v>182</v>
      </c>
      <c r="Q5" s="145"/>
      <c r="R5" s="311" t="s">
        <v>135</v>
      </c>
      <c r="S5" s="310" t="s">
        <v>187</v>
      </c>
      <c r="T5" s="310" t="e">
        <f ca="1">_xll.RData(T6:T14,U5:V5,"RTFEED:IDN",,,U6)</f>
        <v>#NAME?</v>
      </c>
      <c r="U5" s="310" t="s">
        <v>178</v>
      </c>
      <c r="V5" s="310" t="s">
        <v>144</v>
      </c>
      <c r="W5" s="310" t="s">
        <v>177</v>
      </c>
      <c r="X5" s="309" t="s">
        <v>176</v>
      </c>
      <c r="Y5" s="309" t="s">
        <v>188</v>
      </c>
      <c r="Z5" s="321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6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HKDON#0002</v>
      </c>
      <c r="L6" s="131" t="str">
        <f>_xll.qlOvernightIndex(J6,FamilyName,E6,Currency,F6,I6,K6,Permanent,Trigger,FileOverwrite)</f>
        <v>HkdHiborON#0002</v>
      </c>
      <c r="M6" s="143" t="str">
        <f>_xll.qlLastFixingQuote(PROPER(Currency)&amp;FamilyName&amp;$C6&amp;"LastFixing_Quote",L6,Permanent,Trigger,ObjectOverwrite)</f>
        <v>HkdHiborONLastFixing_Quote#0002</v>
      </c>
      <c r="N6" s="140" t="str">
        <f>_xll.ohRangeRetrieveError(L6)</f>
        <v/>
      </c>
      <c r="O6" s="330" t="s">
        <v>182</v>
      </c>
      <c r="Q6" s="145"/>
      <c r="R6" s="333" t="str">
        <f>C6</f>
        <v>ON</v>
      </c>
      <c r="S6" s="305" t="str">
        <f>IFERROR(L6,J6)</f>
        <v>HkdHiborON#0002</v>
      </c>
      <c r="T6" s="305" t="str">
        <f t="shared" ref="T6:T14" si="1">"HI"&amp;Currency&amp;$R6&amp;$T$4&amp;"="</f>
        <v>HIHKDOND=</v>
      </c>
      <c r="U6" s="308">
        <v>41607</v>
      </c>
      <c r="V6" s="337">
        <v>6.8570000000000006E-2</v>
      </c>
      <c r="W6" s="307" t="b">
        <f t="shared" ref="W6:W14" si="2">IF(AND(ISNUMBER($V6),$V6&lt;&gt;0%),TRUE,FALSE)</f>
        <v>1</v>
      </c>
      <c r="X6" s="306" t="b">
        <f>IF(W6,_xll.qlIndexAddFixings(S6,U6,V6/100,TRUE),NA())</f>
        <v>1</v>
      </c>
      <c r="Y6" s="340">
        <f>_xll.qlQuoteValue(M6,X6)</f>
        <v>6.8570000000000002E-4</v>
      </c>
      <c r="Z6" s="321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36" t="str">
        <f t="shared" si="0"/>
        <v>HkdHiborSW</v>
      </c>
      <c r="K7" s="131" t="str">
        <f>_xll.qlRelinkableHandleYieldTermStructure(Currency&amp;D7,,Permanent,Trigger,ObjectOverwrite)</f>
        <v>HKD1W#0002</v>
      </c>
      <c r="L7" s="131" t="str">
        <f>_xll.qlIborIndex(J7,FamilyName,D7,E7,Currency,F7,G7,H7,I7,K7,Permanent,Trigger,ObjectOverwrite)</f>
        <v>HkdHiborSW#0002</v>
      </c>
      <c r="M7" s="143" t="str">
        <f>_xll.qlLastFixingQuote(PROPER(Currency)&amp;FamilyName&amp;$C7&amp;"LastFixing_Quote",L7,Permanent,Trigger,ObjectOverwrite)</f>
        <v>HkdHiborSWLastFixing_Quote#0002</v>
      </c>
      <c r="N7" s="140" t="str">
        <f>_xll.ohRangeRetrieveError(L7)</f>
        <v/>
      </c>
      <c r="O7" s="330" t="s">
        <v>182</v>
      </c>
      <c r="Q7" s="145"/>
      <c r="R7" s="334" t="s">
        <v>129</v>
      </c>
      <c r="S7" s="301" t="str">
        <f t="shared" ref="S7:S14" si="3">IFERROR(L7,J7)</f>
        <v>HkdHiborSW#0002</v>
      </c>
      <c r="T7" s="301" t="str">
        <f t="shared" si="1"/>
        <v>HIHKD1WD=</v>
      </c>
      <c r="U7" s="304">
        <v>41607</v>
      </c>
      <c r="V7" s="338">
        <v>0.13331000000000001</v>
      </c>
      <c r="W7" s="303" t="b">
        <f t="shared" si="2"/>
        <v>1</v>
      </c>
      <c r="X7" s="302" t="b">
        <f>IF(W7,_xll.qlIndexAddFixings(S7,U7,V7/100,TRUE),NA())</f>
        <v>1</v>
      </c>
      <c r="Y7" s="341">
        <f>_xll.qlQuoteValue(M7,X7)</f>
        <v>1.3331E-3</v>
      </c>
      <c r="Z7" s="321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36" t="str">
        <f t="shared" si="0"/>
        <v>HkdHibor2W</v>
      </c>
      <c r="K8" s="131" t="str">
        <f>_xll.qlRelinkableHandleYieldTermStructure(Currency&amp;D8,,Permanent,Trigger,ObjectOverwrite)</f>
        <v>HKD2W#0002</v>
      </c>
      <c r="L8" s="131" t="str">
        <f>_xll.qlIborIndex(J8,FamilyName,D8,E8,Currency,F8,G8,H8,I8,K8,Permanent,Trigger,ObjectOverwrite)</f>
        <v>HkdHibor2W#0002</v>
      </c>
      <c r="M8" s="143" t="str">
        <f>_xll.qlLastFixingQuote(PROPER(Currency)&amp;FamilyName&amp;$C8&amp;"LastFixing_Quote",L8,Permanent,Trigger,ObjectOverwrite)</f>
        <v>HkdHibor2WLastFixing_Quote#0002</v>
      </c>
      <c r="N8" s="140" t="str">
        <f>_xll.ohRangeRetrieveError(L8)</f>
        <v/>
      </c>
      <c r="O8" s="330" t="s">
        <v>182</v>
      </c>
      <c r="Q8" s="145"/>
      <c r="R8" s="334" t="str">
        <f t="shared" ref="R8:R14" si="5">C8</f>
        <v>2W</v>
      </c>
      <c r="S8" s="301" t="str">
        <f t="shared" si="3"/>
        <v>HkdHibor2W#0002</v>
      </c>
      <c r="T8" s="301" t="str">
        <f t="shared" si="1"/>
        <v>HIHKD2WD=</v>
      </c>
      <c r="U8" s="304">
        <v>41607</v>
      </c>
      <c r="V8" s="338">
        <v>0.15434999999999999</v>
      </c>
      <c r="W8" s="303" t="b">
        <f t="shared" si="2"/>
        <v>1</v>
      </c>
      <c r="X8" s="302" t="b">
        <f>IF(W8,_xll.qlIndexAddFixings(S8,U8,V8/100,TRUE),NA())</f>
        <v>1</v>
      </c>
      <c r="Y8" s="341">
        <f>_xll.qlQuoteValue(M8,X8)</f>
        <v>1.5435E-3</v>
      </c>
      <c r="Z8" s="321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36" t="str">
        <f t="shared" si="0"/>
        <v>HkdHibor1M</v>
      </c>
      <c r="K9" s="131" t="str">
        <f>_xll.qlRelinkableHandleYieldTermStructure(Currency&amp;D9,,Permanent,Trigger,ObjectOverwrite)</f>
        <v>HKD1M#0002</v>
      </c>
      <c r="L9" s="131" t="str">
        <f>_xll.qlIborIndex(J9,FamilyName,D9,E9,Currency,F9,G9,H9,I9,K9,Permanent,Trigger,ObjectOverwrite)</f>
        <v>HkdHibor1M#0002</v>
      </c>
      <c r="M9" s="143" t="str">
        <f>_xll.qlLastFixingQuote(PROPER(Currency)&amp;FamilyName&amp;$C9&amp;"LastFixing_Quote",L9,Permanent,Trigger,ObjectOverwrite)</f>
        <v>HkdHibor1MLastFixing_Quote#0002</v>
      </c>
      <c r="N9" s="140" t="str">
        <f>_xll.ohRangeRetrieveError(L9)</f>
        <v/>
      </c>
      <c r="O9" s="330" t="s">
        <v>182</v>
      </c>
      <c r="Q9" s="145"/>
      <c r="R9" s="334" t="str">
        <f t="shared" si="5"/>
        <v>1M</v>
      </c>
      <c r="S9" s="301" t="str">
        <f t="shared" si="3"/>
        <v>HkdHibor1M#0002</v>
      </c>
      <c r="T9" s="301" t="str">
        <f t="shared" si="1"/>
        <v>HIHKD1MD=</v>
      </c>
      <c r="U9" s="304">
        <v>41607</v>
      </c>
      <c r="V9" s="338">
        <v>0.21143000000000001</v>
      </c>
      <c r="W9" s="303" t="b">
        <f t="shared" si="2"/>
        <v>1</v>
      </c>
      <c r="X9" s="302" t="b">
        <f>IF(W9,_xll.qlIndexAddFixings(S9,U9,V9/100,TRUE),NA())</f>
        <v>1</v>
      </c>
      <c r="Y9" s="341">
        <f>_xll.qlQuoteValue(M9,X9)</f>
        <v>2.1142999999999999E-3</v>
      </c>
      <c r="Z9" s="321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6" t="str">
        <f t="shared" si="0"/>
        <v>HkdHibor2M</v>
      </c>
      <c r="K10" s="131" t="str">
        <f>_xll.qlRelinkableHandleYieldTermStructure(Currency&amp;D10,,Permanent,Trigger,ObjectOverwrite)</f>
        <v>HKD2M#0002</v>
      </c>
      <c r="L10" s="131" t="str">
        <f>_xll.qlIborIndex(J10,FamilyName,D10,E10,Currency,F10,G10,H10,I10,K10,Permanent,Trigger,ObjectOverwrite)</f>
        <v>HkdHibor2M#0002</v>
      </c>
      <c r="M10" s="143" t="str">
        <f>_xll.qlLastFixingQuote(PROPER(Currency)&amp;FamilyName&amp;$C10&amp;"LastFixing_Quote",L10,Permanent,Trigger,ObjectOverwrite)</f>
        <v>HkdHibor2MLastFixing_Quote#0002</v>
      </c>
      <c r="N10" s="140" t="str">
        <f>_xll.ohRangeRetrieveError(L10)</f>
        <v/>
      </c>
      <c r="O10" s="330" t="s">
        <v>182</v>
      </c>
      <c r="Q10" s="145"/>
      <c r="R10" s="334" t="str">
        <f t="shared" si="5"/>
        <v>2M</v>
      </c>
      <c r="S10" s="301" t="str">
        <f t="shared" si="3"/>
        <v>HkdHibor2M#0002</v>
      </c>
      <c r="T10" s="301" t="str">
        <f t="shared" si="1"/>
        <v>HIHKD2MD=</v>
      </c>
      <c r="U10" s="304">
        <v>41607</v>
      </c>
      <c r="V10" s="338">
        <v>0.31286000000000003</v>
      </c>
      <c r="W10" s="303" t="b">
        <f t="shared" si="2"/>
        <v>1</v>
      </c>
      <c r="X10" s="302" t="b">
        <f>IF(W10,_xll.qlIndexAddFixings(S10,U10,V10/100,TRUE),NA())</f>
        <v>1</v>
      </c>
      <c r="Y10" s="341">
        <f>_xll.qlQuoteValue(M10,X10)</f>
        <v>3.1286000000000005E-3</v>
      </c>
      <c r="Z10" s="321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6" t="str">
        <f t="shared" si="0"/>
        <v>HkdHibor3M</v>
      </c>
      <c r="K11" s="131" t="str">
        <f>_xll.qlRelinkableHandleYieldTermStructure(Currency&amp;D11,,Permanent,Trigger,ObjectOverwrite)</f>
        <v>HKD3M#0002</v>
      </c>
      <c r="L11" s="131" t="str">
        <f>_xll.qlIborIndex(J11,FamilyName,D11,E11,Currency,F11,G11,H11,I11,K11,Permanent,Trigger,ObjectOverwrite)</f>
        <v>HkdHibor3M#0002</v>
      </c>
      <c r="M11" s="143" t="str">
        <f>_xll.qlLastFixingQuote(PROPER(Currency)&amp;FamilyName&amp;$C11&amp;"LastFixing_Quote",L11,Permanent,Trigger,ObjectOverwrite)</f>
        <v>HkdHibor3MLastFixing_Quote#0002</v>
      </c>
      <c r="N11" s="140" t="str">
        <f>_xll.ohRangeRetrieveError(L11)</f>
        <v/>
      </c>
      <c r="O11" s="330" t="s">
        <v>182</v>
      </c>
      <c r="Q11" s="145"/>
      <c r="R11" s="334" t="str">
        <f t="shared" si="5"/>
        <v>3M</v>
      </c>
      <c r="S11" s="301" t="str">
        <f t="shared" si="3"/>
        <v>HkdHibor3M#0002</v>
      </c>
      <c r="T11" s="301" t="str">
        <f t="shared" si="1"/>
        <v>HIHKD3MD=</v>
      </c>
      <c r="U11" s="304">
        <v>41607</v>
      </c>
      <c r="V11" s="338">
        <v>0.37929000000000002</v>
      </c>
      <c r="W11" s="303" t="b">
        <f t="shared" si="2"/>
        <v>1</v>
      </c>
      <c r="X11" s="302" t="b">
        <f>IF(W11,_xll.qlIndexAddFixings(S11,U11,V11/100,TRUE),NA())</f>
        <v>1</v>
      </c>
      <c r="Y11" s="341">
        <f>_xll.qlQuoteValue(M11,X11)</f>
        <v>3.7929000000000001E-3</v>
      </c>
      <c r="Z11" s="321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6" t="str">
        <f t="shared" si="0"/>
        <v>HkdHibor6M</v>
      </c>
      <c r="K12" s="131" t="str">
        <f>_xll.qlRelinkableHandleYieldTermStructure(Currency&amp;D12,,Permanent,Trigger,ObjectOverwrite)</f>
        <v>HKD6M#0002</v>
      </c>
      <c r="L12" s="131" t="str">
        <f>_xll.qlIborIndex(J12,FamilyName,D12,E12,Currency,F12,G12,H12,I12,K12,Permanent,Trigger,ObjectOverwrite)</f>
        <v>HkdHibor6M#0002</v>
      </c>
      <c r="M12" s="143" t="str">
        <f>_xll.qlLastFixingQuote(PROPER(Currency)&amp;FamilyName&amp;$C12&amp;"LastFixing_Quote",L12,Permanent,Trigger,ObjectOverwrite)</f>
        <v>HkdHibor6MLastFixing_Quote#0002</v>
      </c>
      <c r="N12" s="140" t="str">
        <f>_xll.ohRangeRetrieveError(L12)</f>
        <v/>
      </c>
      <c r="O12" s="330" t="s">
        <v>182</v>
      </c>
      <c r="Q12" s="145"/>
      <c r="R12" s="334" t="str">
        <f t="shared" si="5"/>
        <v>6M</v>
      </c>
      <c r="S12" s="301" t="str">
        <f t="shared" si="3"/>
        <v>HkdHibor6M#0002</v>
      </c>
      <c r="T12" s="301" t="str">
        <f t="shared" si="1"/>
        <v>HIHKD6MD=</v>
      </c>
      <c r="U12" s="304">
        <v>41607</v>
      </c>
      <c r="V12" s="338">
        <v>0.54857</v>
      </c>
      <c r="W12" s="303" t="b">
        <f t="shared" si="2"/>
        <v>1</v>
      </c>
      <c r="X12" s="302" t="b">
        <f>IF(W12,_xll.qlIndexAddFixings(S12,U12,V12/100,TRUE),NA())</f>
        <v>1</v>
      </c>
      <c r="Y12" s="341">
        <f>_xll.qlQuoteValue(M12,X12)</f>
        <v>5.4856999999999996E-3</v>
      </c>
      <c r="Z12" s="321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6" t="str">
        <f t="shared" si="0"/>
        <v>HkdHibor9M</v>
      </c>
      <c r="K13" s="131" t="str">
        <f>_xll.qlRelinkableHandleYieldTermStructure(Currency&amp;D13,,Permanent,Trigger,ObjectOverwrite)</f>
        <v>HKD9M#0002</v>
      </c>
      <c r="L13" s="131" t="str">
        <f>_xll.qlIborIndex(J13,FamilyName,D13,E13,Currency,F13,G13,H13,I13,K13,Permanent,Trigger,ObjectOverwrite)</f>
        <v>HkdHibor9M#0002</v>
      </c>
      <c r="M13" s="143" t="str">
        <f>_xll.qlLastFixingQuote(PROPER(Currency)&amp;FamilyName&amp;$C13&amp;"LastFixing_Quote",L13,Permanent,Trigger,ObjectOverwrite)</f>
        <v>HkdHibor9MLastFixing_Quote#0002</v>
      </c>
      <c r="N13" s="140" t="str">
        <f>_xll.ohRangeRetrieveError(L13)</f>
        <v/>
      </c>
      <c r="O13" s="330" t="s">
        <v>182</v>
      </c>
      <c r="Q13" s="145"/>
      <c r="R13" s="334" t="str">
        <f t="shared" si="5"/>
        <v>9M</v>
      </c>
      <c r="S13" s="301" t="str">
        <f t="shared" si="3"/>
        <v>HkdHibor9M#0002</v>
      </c>
      <c r="T13" s="301" t="str">
        <f t="shared" si="1"/>
        <v>HIHKD9MD=</v>
      </c>
      <c r="U13" s="304">
        <v>41607</v>
      </c>
      <c r="V13" s="338">
        <v>0.63914000000000004</v>
      </c>
      <c r="W13" s="303" t="b">
        <f t="shared" si="2"/>
        <v>1</v>
      </c>
      <c r="X13" s="302" t="b">
        <f>IF(W13,_xll.qlIndexAddFixings(S13,U13,V13/100,TRUE),NA())</f>
        <v>1</v>
      </c>
      <c r="Y13" s="341">
        <f>_xll.qlQuoteValue(M13,X13)</f>
        <v>6.3914000000000002E-3</v>
      </c>
      <c r="Z13" s="321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6" t="str">
        <f t="shared" si="0"/>
        <v>HkdHibor1Y</v>
      </c>
      <c r="K14" s="131" t="str">
        <f>_xll.qlRelinkableHandleYieldTermStructure(Currency&amp;D14,,Permanent,Trigger,ObjectOverwrite)</f>
        <v>HKD1Y#0002</v>
      </c>
      <c r="L14" s="131" t="str">
        <f>_xll.qlIborIndex(J14,FamilyName,D14,E14,Currency,F14,G14,H14,I14,K14,Permanent,Trigger,ObjectOverwrite)</f>
        <v>HkdHibor1Y#0002</v>
      </c>
      <c r="M14" s="143" t="str">
        <f>_xll.qlLastFixingQuote(PROPER(Currency)&amp;FamilyName&amp;$C14&amp;"LastFixing_Quote",L14,Permanent,Trigger,ObjectOverwrite)</f>
        <v>HkdHibor1YLastFixing_Quote#0002</v>
      </c>
      <c r="N14" s="140" t="str">
        <f>_xll.ohRangeRetrieveError(L14)</f>
        <v/>
      </c>
      <c r="O14" s="330" t="s">
        <v>182</v>
      </c>
      <c r="Q14" s="145"/>
      <c r="R14" s="335" t="str">
        <f t="shared" si="5"/>
        <v>1Y</v>
      </c>
      <c r="S14" s="297" t="str">
        <f t="shared" si="3"/>
        <v>HkdHibor1Y#0002</v>
      </c>
      <c r="T14" s="297" t="str">
        <f t="shared" si="1"/>
        <v>HIHKD1YD=</v>
      </c>
      <c r="U14" s="300">
        <v>41607</v>
      </c>
      <c r="V14" s="339">
        <v>0.86356999999999995</v>
      </c>
      <c r="W14" s="299" t="b">
        <f t="shared" si="2"/>
        <v>1</v>
      </c>
      <c r="X14" s="298" t="b">
        <f>IF(W14,_xll.qlIndexAddFixings(S14,U14,V14/100,TRUE),NA())</f>
        <v>1</v>
      </c>
      <c r="Y14" s="342">
        <f>_xll.qlQuoteValue(M14,X14)</f>
        <v>8.6356999999999996E-3</v>
      </c>
      <c r="Z14" s="321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6"/>
      <c r="K15" s="131" t="str">
        <f>_xll.qlRelinkableHandleYieldTermStructure(Currency&amp;D15,,Permanent,Trigger,ObjectOverwrite)</f>
        <v>HKDSTD#0002</v>
      </c>
      <c r="L15" s="131"/>
      <c r="M15" s="143"/>
      <c r="N15" s="140"/>
      <c r="O15" s="330"/>
      <c r="Q15" s="322"/>
      <c r="R15" s="323"/>
      <c r="S15" s="323"/>
      <c r="T15" s="323"/>
      <c r="U15" s="323"/>
      <c r="V15" s="323"/>
      <c r="W15" s="323"/>
      <c r="X15" s="323"/>
      <c r="Y15" s="323"/>
      <c r="Z15" s="324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H342"/>
  <sheetViews>
    <sheetView workbookViewId="0">
      <selection activeCell="J1" sqref="J1"/>
    </sheetView>
  </sheetViews>
  <sheetFormatPr defaultRowHeight="11.25" x14ac:dyDescent="0.2"/>
  <cols>
    <col min="1" max="1" width="2.7109375" style="365" customWidth="1"/>
    <col min="2" max="2" width="21.42578125" style="365" bestFit="1" customWidth="1"/>
    <col min="3" max="3" width="22.5703125" style="365" bestFit="1" customWidth="1"/>
    <col min="4" max="4" width="3.140625" style="365" customWidth="1"/>
    <col min="5" max="5" width="20.42578125" style="365" bestFit="1" customWidth="1"/>
    <col min="6" max="6" width="17.28515625" style="365" bestFit="1" customWidth="1"/>
    <col min="7" max="7" width="17.28515625" style="365" customWidth="1"/>
    <col min="8" max="8" width="17.28515625" style="365" bestFit="1" customWidth="1"/>
    <col min="9" max="9" width="2.7109375" style="365" customWidth="1"/>
    <col min="10" max="12" width="11" style="365" bestFit="1" customWidth="1"/>
    <col min="13" max="16384" width="9.140625" style="365"/>
  </cols>
  <sheetData>
    <row r="1" spans="1:190" s="349" customFormat="1" ht="12" thickBot="1" x14ac:dyDescent="0.25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</row>
    <row r="2" spans="1:190" s="348" customFormat="1" ht="12" thickBot="1" x14ac:dyDescent="0.25">
      <c r="B2" s="350">
        <f>MIN(E5:E271)</f>
        <v>41596</v>
      </c>
      <c r="C2" s="350">
        <f>MAX(E5:E271)</f>
        <v>41606</v>
      </c>
      <c r="D2" s="351"/>
      <c r="E2" s="368" t="e">
        <f ca="1">_xll.RHistory(F2:H2,B8:C8,C3,,"CH:In;Fd TSREPEAT:N SORT:"&amp;C7,E3)</f>
        <v>#NAME?</v>
      </c>
      <c r="F2" s="373" t="s">
        <v>200</v>
      </c>
      <c r="G2" s="373" t="s">
        <v>199</v>
      </c>
      <c r="H2" s="373" t="s">
        <v>201</v>
      </c>
      <c r="P2" s="352"/>
      <c r="Q2" s="353"/>
      <c r="R2" s="354"/>
      <c r="S2" s="352"/>
      <c r="T2" s="353"/>
      <c r="U2" s="354"/>
      <c r="V2" s="352"/>
      <c r="W2" s="353"/>
      <c r="X2" s="354"/>
      <c r="Y2" s="352"/>
      <c r="Z2" s="353"/>
      <c r="AA2" s="354"/>
      <c r="AB2" s="352"/>
      <c r="AC2" s="353"/>
      <c r="AD2" s="354"/>
      <c r="AE2" s="352"/>
      <c r="AF2" s="353"/>
      <c r="AG2" s="354"/>
      <c r="AH2" s="352"/>
      <c r="AI2" s="353"/>
      <c r="AJ2" s="354"/>
      <c r="AK2" s="352"/>
      <c r="AL2" s="353"/>
      <c r="AM2" s="354"/>
      <c r="AN2" s="352"/>
      <c r="AO2" s="353"/>
      <c r="AP2" s="354"/>
      <c r="AQ2" s="352"/>
      <c r="AR2" s="353"/>
      <c r="AS2" s="354"/>
      <c r="AT2" s="352"/>
      <c r="AU2" s="353"/>
      <c r="AV2" s="354"/>
      <c r="AW2" s="352"/>
      <c r="AX2" s="353"/>
      <c r="AY2" s="354"/>
      <c r="AZ2" s="352"/>
      <c r="BA2" s="353"/>
      <c r="BB2" s="354"/>
      <c r="BC2" s="352"/>
      <c r="BD2" s="353"/>
      <c r="BE2" s="354"/>
      <c r="BF2" s="352"/>
      <c r="BG2" s="353"/>
      <c r="BH2" s="354"/>
      <c r="BI2" s="352"/>
      <c r="BJ2" s="353"/>
      <c r="BK2" s="354"/>
      <c r="BL2" s="352"/>
      <c r="BM2" s="353"/>
      <c r="BN2" s="354"/>
      <c r="BO2" s="352"/>
      <c r="BP2" s="353"/>
      <c r="BQ2" s="354"/>
      <c r="BR2" s="352"/>
      <c r="BS2" s="353"/>
      <c r="BT2" s="354"/>
      <c r="BU2" s="352"/>
      <c r="BV2" s="353"/>
      <c r="BW2" s="354"/>
      <c r="BX2" s="352"/>
      <c r="BY2" s="353"/>
      <c r="BZ2" s="354"/>
      <c r="CA2" s="352"/>
      <c r="CB2" s="353"/>
      <c r="CC2" s="354"/>
      <c r="CD2" s="352"/>
      <c r="CE2" s="353"/>
      <c r="CF2" s="354"/>
      <c r="CG2" s="352"/>
      <c r="CH2" s="353"/>
      <c r="CI2" s="354"/>
      <c r="CJ2" s="352"/>
      <c r="CK2" s="353"/>
      <c r="CL2" s="354"/>
      <c r="CM2" s="352"/>
      <c r="CN2" s="353"/>
      <c r="CO2" s="354"/>
      <c r="CP2" s="352"/>
      <c r="CQ2" s="353"/>
      <c r="CR2" s="354"/>
      <c r="CS2" s="352"/>
      <c r="CT2" s="353"/>
      <c r="CU2" s="354"/>
      <c r="CV2" s="352"/>
      <c r="CW2" s="353"/>
      <c r="CX2" s="354"/>
      <c r="CY2" s="352"/>
      <c r="CZ2" s="353"/>
      <c r="DA2" s="354"/>
      <c r="DB2" s="352"/>
      <c r="DC2" s="353"/>
      <c r="DD2" s="354"/>
      <c r="DE2" s="352"/>
      <c r="DF2" s="353"/>
      <c r="DG2" s="354"/>
      <c r="DH2" s="352"/>
      <c r="DI2" s="353"/>
      <c r="DJ2" s="354"/>
      <c r="DK2" s="352"/>
      <c r="DL2" s="353"/>
      <c r="DM2" s="354"/>
      <c r="DN2" s="352"/>
      <c r="DO2" s="353"/>
      <c r="DP2" s="354"/>
      <c r="DQ2" s="352"/>
      <c r="DR2" s="353"/>
      <c r="DS2" s="354"/>
      <c r="DT2" s="352"/>
      <c r="DU2" s="353"/>
      <c r="DV2" s="354"/>
      <c r="DW2" s="352"/>
      <c r="DX2" s="353"/>
      <c r="DY2" s="354"/>
      <c r="DZ2" s="352"/>
      <c r="EA2" s="353"/>
      <c r="EB2" s="354"/>
      <c r="EC2" s="352"/>
      <c r="ED2" s="353"/>
      <c r="EE2" s="354"/>
      <c r="EF2" s="352"/>
      <c r="EG2" s="353"/>
      <c r="EH2" s="354"/>
      <c r="EI2" s="352"/>
      <c r="EJ2" s="353"/>
      <c r="EK2" s="354"/>
      <c r="EL2" s="352"/>
      <c r="EM2" s="353"/>
      <c r="EN2" s="354"/>
      <c r="EO2" s="352"/>
      <c r="EP2" s="353"/>
      <c r="EQ2" s="354"/>
      <c r="ER2" s="352"/>
      <c r="ES2" s="353"/>
      <c r="ET2" s="354"/>
      <c r="EU2" s="352"/>
      <c r="EV2" s="353"/>
      <c r="EW2" s="354"/>
      <c r="EX2" s="352"/>
      <c r="EY2" s="353"/>
      <c r="EZ2" s="354"/>
      <c r="FA2" s="352"/>
      <c r="FB2" s="353"/>
      <c r="FC2" s="354"/>
      <c r="FD2" s="352"/>
      <c r="FE2" s="353"/>
      <c r="FF2" s="354"/>
      <c r="FG2" s="352"/>
      <c r="FH2" s="353"/>
      <c r="FI2" s="354"/>
      <c r="FJ2" s="352"/>
      <c r="FK2" s="353"/>
      <c r="FL2" s="354"/>
      <c r="FM2" s="352"/>
      <c r="FN2" s="353"/>
      <c r="FO2" s="354"/>
      <c r="FP2" s="352"/>
      <c r="FQ2" s="353"/>
      <c r="FR2" s="354"/>
      <c r="FS2" s="352"/>
      <c r="FT2" s="353"/>
      <c r="FU2" s="354"/>
      <c r="FV2" s="352"/>
      <c r="FW2" s="353"/>
      <c r="FX2" s="354"/>
      <c r="FY2" s="352"/>
      <c r="FZ2" s="353"/>
      <c r="GA2" s="354"/>
      <c r="GB2" s="352"/>
      <c r="GC2" s="353"/>
      <c r="GD2" s="354"/>
      <c r="GE2" s="352"/>
      <c r="GF2" s="353"/>
      <c r="GG2" s="354"/>
      <c r="GH2" s="352"/>
    </row>
    <row r="3" spans="1:190" s="348" customFormat="1" ht="22.5" x14ac:dyDescent="0.2">
      <c r="B3" s="355" t="s">
        <v>190</v>
      </c>
      <c r="C3" s="356" t="str">
        <f>"START:"&amp;C4&amp; " END:"&amp;C5&amp;" INTERVAL:1D"</f>
        <v>START:41674 END:41684 INTERVAL:1D</v>
      </c>
      <c r="D3" s="357"/>
      <c r="E3" s="374"/>
      <c r="F3" s="376" t="s">
        <v>200</v>
      </c>
      <c r="G3" s="376" t="s">
        <v>199</v>
      </c>
      <c r="H3" s="376" t="s">
        <v>201</v>
      </c>
      <c r="J3" s="348" t="s">
        <v>202</v>
      </c>
      <c r="K3" s="348" t="s">
        <v>203</v>
      </c>
      <c r="L3" s="348" t="s">
        <v>204</v>
      </c>
    </row>
    <row r="4" spans="1:190" s="348" customFormat="1" ht="12" thickBot="1" x14ac:dyDescent="0.25">
      <c r="B4" s="359" t="s">
        <v>191</v>
      </c>
      <c r="C4" s="360">
        <f>C5-10</f>
        <v>41674</v>
      </c>
      <c r="D4" s="357"/>
      <c r="E4" s="375" t="s">
        <v>192</v>
      </c>
      <c r="F4" s="375" t="s">
        <v>193</v>
      </c>
      <c r="G4" s="375" t="s">
        <v>193</v>
      </c>
      <c r="H4" s="375" t="s">
        <v>193</v>
      </c>
    </row>
    <row r="5" spans="1:190" s="348" customFormat="1" x14ac:dyDescent="0.2">
      <c r="B5" s="359" t="s">
        <v>194</v>
      </c>
      <c r="C5" s="360">
        <f>_xll.qlSettingsEvaluationDate(Trigger)</f>
        <v>41684</v>
      </c>
      <c r="D5" s="357"/>
      <c r="E5" s="361">
        <v>41606</v>
      </c>
      <c r="F5" s="362">
        <v>0.21357000000000001</v>
      </c>
      <c r="G5" s="362">
        <v>0.37857000000000002</v>
      </c>
      <c r="H5" s="369">
        <v>0.54857</v>
      </c>
      <c r="J5" s="348" t="b">
        <f>IF(AND(ISNUMBER($E5),ISNUMBER(F5),Trigger),_xll.qlIndexAddFixings(J$3,$E5,F5/100,TRUE),NA())</f>
        <v>1</v>
      </c>
      <c r="K5" s="348" t="b">
        <f>IF(AND(ISNUMBER($E5),ISNUMBER(G5),Trigger),_xll.qlIndexAddFixings(K$3,$E5,G5/100,TRUE),NA())</f>
        <v>1</v>
      </c>
      <c r="L5" s="348" t="b">
        <f>IF(AND(ISNUMBER($E5),ISNUMBER(H5),Trigger),_xll.qlIndexAddFixings(L$3,$E5,H5/100,TRUE),NA())</f>
        <v>1</v>
      </c>
    </row>
    <row r="6" spans="1:190" s="348" customFormat="1" x14ac:dyDescent="0.2">
      <c r="D6" s="363"/>
      <c r="E6" s="361">
        <v>41605</v>
      </c>
      <c r="F6" s="362">
        <v>0.21285999999999999</v>
      </c>
      <c r="G6" s="362">
        <v>0.37785999999999997</v>
      </c>
      <c r="H6" s="369">
        <v>0.54857</v>
      </c>
      <c r="J6" s="348" t="b">
        <f>IF(AND(ISNUMBER($E6),ISNUMBER(F6),Trigger),_xll.qlIndexAddFixings(J$3,$E6,F6/100,TRUE),NA())</f>
        <v>1</v>
      </c>
      <c r="K6" s="348" t="b">
        <f>IF(AND(ISNUMBER($E6),ISNUMBER(G6),Trigger),_xll.qlIndexAddFixings(K$3,$E6,G6/100,TRUE),NA())</f>
        <v>1</v>
      </c>
      <c r="L6" s="348" t="b">
        <f>IF(AND(ISNUMBER($E6),ISNUMBER(H6),Trigger),_xll.qlIndexAddFixings(L$3,$E6,H6/100,TRUE),NA())</f>
        <v>1</v>
      </c>
    </row>
    <row r="7" spans="1:190" s="348" customFormat="1" x14ac:dyDescent="0.2">
      <c r="B7" s="359" t="s">
        <v>195</v>
      </c>
      <c r="C7" s="364" t="s">
        <v>196</v>
      </c>
      <c r="E7" s="361">
        <v>41604</v>
      </c>
      <c r="F7" s="362">
        <v>0.21071000000000001</v>
      </c>
      <c r="G7" s="362">
        <v>0.37642999999999999</v>
      </c>
      <c r="H7" s="369">
        <v>0.54571000000000003</v>
      </c>
      <c r="J7" s="348" t="b">
        <f>IF(AND(ISNUMBER($E7),ISNUMBER(F7),Trigger),_xll.qlIndexAddFixings(J$3,$E7,F7/100,TRUE),NA())</f>
        <v>1</v>
      </c>
      <c r="K7" s="348" t="b">
        <f>IF(AND(ISNUMBER($E7),ISNUMBER(G7),Trigger),_xll.qlIndexAddFixings(K$3,$E7,G7/100,TRUE),NA())</f>
        <v>1</v>
      </c>
      <c r="L7" s="348" t="b">
        <f>IF(AND(ISNUMBER($E7),ISNUMBER(H7),Trigger),_xll.qlIndexAddFixings(L$3,$E7,H7/100,TRUE),NA())</f>
        <v>1</v>
      </c>
    </row>
    <row r="8" spans="1:190" s="348" customFormat="1" x14ac:dyDescent="0.2">
      <c r="B8" s="352" t="s">
        <v>197</v>
      </c>
      <c r="C8" s="353" t="s">
        <v>198</v>
      </c>
      <c r="E8" s="361">
        <v>41603</v>
      </c>
      <c r="F8" s="362">
        <v>0.21429000000000001</v>
      </c>
      <c r="G8" s="362">
        <v>0.37929000000000002</v>
      </c>
      <c r="H8" s="369">
        <v>0.54857</v>
      </c>
      <c r="J8" s="348" t="b">
        <f>IF(AND(ISNUMBER($E8),ISNUMBER(F8),Trigger),_xll.qlIndexAddFixings(J$3,$E8,F8/100,TRUE),NA())</f>
        <v>1</v>
      </c>
      <c r="K8" s="348" t="b">
        <f>IF(AND(ISNUMBER($E8),ISNUMBER(G8),Trigger),_xll.qlIndexAddFixings(K$3,$E8,G8/100,TRUE),NA())</f>
        <v>1</v>
      </c>
      <c r="L8" s="348" t="b">
        <f>IF(AND(ISNUMBER($E8),ISNUMBER(H8),Trigger),_xll.qlIndexAddFixings(L$3,$E8,H8/100,TRUE),NA())</f>
        <v>1</v>
      </c>
    </row>
    <row r="9" spans="1:190" s="348" customFormat="1" x14ac:dyDescent="0.2">
      <c r="B9" s="358"/>
      <c r="C9" s="358"/>
      <c r="E9" s="361">
        <v>41600</v>
      </c>
      <c r="F9" s="362">
        <v>0.21643000000000001</v>
      </c>
      <c r="G9" s="362">
        <v>0.38213999999999998</v>
      </c>
      <c r="H9" s="369">
        <v>0.54857</v>
      </c>
      <c r="J9" s="348" t="b">
        <f>IF(AND(ISNUMBER($E9),ISNUMBER(F9),Trigger),_xll.qlIndexAddFixings(J$3,$E9,F9/100,TRUE),NA())</f>
        <v>1</v>
      </c>
      <c r="K9" s="348" t="b">
        <f>IF(AND(ISNUMBER($E9),ISNUMBER(G9),Trigger),_xll.qlIndexAddFixings(K$3,$E9,G9/100,TRUE),NA())</f>
        <v>1</v>
      </c>
      <c r="L9" s="348" t="b">
        <f>IF(AND(ISNUMBER($E9),ISNUMBER(H9),Trigger),_xll.qlIndexAddFixings(L$3,$E9,H9/100,TRUE),NA())</f>
        <v>1</v>
      </c>
    </row>
    <row r="10" spans="1:190" s="348" customFormat="1" x14ac:dyDescent="0.2">
      <c r="E10" s="361">
        <v>41599</v>
      </c>
      <c r="F10" s="362">
        <v>0.21786</v>
      </c>
      <c r="G10" s="362">
        <v>0.38142999999999999</v>
      </c>
      <c r="H10" s="369">
        <v>0.55071000000000003</v>
      </c>
      <c r="J10" s="348" t="b">
        <f>IF(AND(ISNUMBER($E10),ISNUMBER(F10),Trigger),_xll.qlIndexAddFixings(J$3,$E10,F10/100,TRUE),NA())</f>
        <v>1</v>
      </c>
      <c r="K10" s="348" t="b">
        <f>IF(AND(ISNUMBER($E10),ISNUMBER(G10),Trigger),_xll.qlIndexAddFixings(K$3,$E10,G10/100,TRUE),NA())</f>
        <v>1</v>
      </c>
      <c r="L10" s="348" t="b">
        <f>IF(AND(ISNUMBER($E10),ISNUMBER(H10),Trigger),_xll.qlIndexAddFixings(L$3,$E10,H10/100,TRUE),NA())</f>
        <v>1</v>
      </c>
    </row>
    <row r="11" spans="1:190" s="348" customFormat="1" x14ac:dyDescent="0.2">
      <c r="E11" s="361">
        <v>41598</v>
      </c>
      <c r="F11" s="362">
        <v>0.215</v>
      </c>
      <c r="G11" s="362">
        <v>0.37929000000000002</v>
      </c>
      <c r="H11" s="369">
        <v>0.54857</v>
      </c>
      <c r="J11" s="348" t="b">
        <f>IF(AND(ISNUMBER($E11),ISNUMBER(F11),Trigger),_xll.qlIndexAddFixings(J$3,$E11,F11/100,TRUE),NA())</f>
        <v>1</v>
      </c>
      <c r="K11" s="348" t="b">
        <f>IF(AND(ISNUMBER($E11),ISNUMBER(G11),Trigger),_xll.qlIndexAddFixings(K$3,$E11,G11/100,TRUE),NA())</f>
        <v>1</v>
      </c>
      <c r="L11" s="348" t="b">
        <f>IF(AND(ISNUMBER($E11),ISNUMBER(H11),Trigger),_xll.qlIndexAddFixings(L$3,$E11,H11/100,TRUE),NA())</f>
        <v>1</v>
      </c>
    </row>
    <row r="12" spans="1:190" s="348" customFormat="1" x14ac:dyDescent="0.2">
      <c r="E12" s="361">
        <v>41597</v>
      </c>
      <c r="F12" s="362">
        <v>0.21357000000000001</v>
      </c>
      <c r="G12" s="362">
        <v>0.37785999999999997</v>
      </c>
      <c r="H12" s="369">
        <v>0.54786000000000001</v>
      </c>
      <c r="J12" s="348" t="b">
        <f>IF(AND(ISNUMBER($E12),ISNUMBER(F12),Trigger),_xll.qlIndexAddFixings(J$3,$E12,F12/100,TRUE),NA())</f>
        <v>1</v>
      </c>
      <c r="K12" s="348" t="b">
        <f>IF(AND(ISNUMBER($E12),ISNUMBER(G12),Trigger),_xll.qlIndexAddFixings(K$3,$E12,G12/100,TRUE),NA())</f>
        <v>1</v>
      </c>
      <c r="L12" s="348" t="b">
        <f>IF(AND(ISNUMBER($E12),ISNUMBER(H12),Trigger),_xll.qlIndexAddFixings(L$3,$E12,H12/100,TRUE),NA())</f>
        <v>1</v>
      </c>
    </row>
    <row r="13" spans="1:190" s="348" customFormat="1" ht="11.25" customHeight="1" x14ac:dyDescent="0.2">
      <c r="E13" s="361">
        <v>41596</v>
      </c>
      <c r="F13" s="362">
        <v>0.21143000000000001</v>
      </c>
      <c r="G13" s="362">
        <v>0.37929000000000002</v>
      </c>
      <c r="H13" s="369">
        <v>0.54903999999999997</v>
      </c>
      <c r="J13" s="348" t="b">
        <f>IF(AND(ISNUMBER($E13),ISNUMBER(F13),Trigger),_xll.qlIndexAddFixings(J$3,$E13,F13/100,TRUE),NA())</f>
        <v>1</v>
      </c>
      <c r="K13" s="348" t="b">
        <f>IF(AND(ISNUMBER($E13),ISNUMBER(G13),Trigger),_xll.qlIndexAddFixings(K$3,$E13,G13/100,TRUE),NA())</f>
        <v>1</v>
      </c>
      <c r="L13" s="348" t="b">
        <f>IF(AND(ISNUMBER($E13),ISNUMBER(H13),Trigger),_xll.qlIndexAddFixings(L$3,$E13,H13/100,TRUE),NA())</f>
        <v>1</v>
      </c>
    </row>
    <row r="14" spans="1:190" s="348" customFormat="1" x14ac:dyDescent="0.2">
      <c r="E14" s="361"/>
      <c r="F14" s="362"/>
      <c r="G14" s="362"/>
      <c r="H14" s="369"/>
      <c r="J14" s="348" t="e">
        <f>IF(AND(ISNUMBER($E14),ISNUMBER(F14),Trigger),_xll.qlIndexAddFixings(J$3,$E14,F14/100,TRUE),NA())</f>
        <v>#N/A</v>
      </c>
      <c r="K14" s="348" t="e">
        <f>IF(AND(ISNUMBER($E14),ISNUMBER(G14),Trigger),_xll.qlIndexAddFixings(K$3,$E14,G14/100,TRUE),NA())</f>
        <v>#N/A</v>
      </c>
      <c r="L14" s="348" t="e">
        <f>IF(AND(ISNUMBER($E14),ISNUMBER(H14),Trigger),_xll.qlIndexAddFixings(L$3,$E14,H14/100,TRUE),NA())</f>
        <v>#N/A</v>
      </c>
    </row>
    <row r="15" spans="1:190" s="348" customFormat="1" x14ac:dyDescent="0.2">
      <c r="E15" s="361"/>
      <c r="F15" s="362"/>
      <c r="G15" s="362"/>
      <c r="H15" s="369"/>
      <c r="I15" s="367"/>
      <c r="J15" s="348" t="e">
        <f>IF(AND(ISNUMBER($E15),ISNUMBER(F15),Trigger),_xll.qlIndexAddFixings(J$3,$E15,F15/100,TRUE),NA())</f>
        <v>#N/A</v>
      </c>
      <c r="K15" s="348" t="e">
        <f>IF(AND(ISNUMBER($E15),ISNUMBER(G15),Trigger),_xll.qlIndexAddFixings(K$3,$E15,G15/100,TRUE),NA())</f>
        <v>#N/A</v>
      </c>
      <c r="L15" s="348" t="e">
        <f>IF(AND(ISNUMBER($E15),ISNUMBER(H15),Trigger),_xll.qlIndexAddFixings(L$3,$E15,H15/100,TRUE),NA())</f>
        <v>#N/A</v>
      </c>
    </row>
    <row r="16" spans="1:190" s="348" customFormat="1" x14ac:dyDescent="0.2">
      <c r="E16" s="361"/>
      <c r="F16" s="362"/>
      <c r="G16" s="362"/>
      <c r="H16" s="369"/>
      <c r="I16" s="367"/>
      <c r="J16" s="348" t="e">
        <f>IF(AND(ISNUMBER($E16),ISNUMBER(F16),Trigger),_xll.qlIndexAddFixings(J$3,$E16,F16/100,TRUE),NA())</f>
        <v>#N/A</v>
      </c>
      <c r="K16" s="348" t="e">
        <f>IF(AND(ISNUMBER($E16),ISNUMBER(G16),Trigger),_xll.qlIndexAddFixings(K$3,$E16,G16/100,TRUE),NA())</f>
        <v>#N/A</v>
      </c>
      <c r="L16" s="348" t="e">
        <f>IF(AND(ISNUMBER($E16),ISNUMBER(H16),Trigger),_xll.qlIndexAddFixings(L$3,$E16,H16/100,TRUE),NA())</f>
        <v>#N/A</v>
      </c>
    </row>
    <row r="17" spans="5:9" s="348" customFormat="1" x14ac:dyDescent="0.2">
      <c r="E17" s="361"/>
      <c r="F17" s="362"/>
      <c r="G17" s="362"/>
      <c r="H17" s="369"/>
      <c r="I17" s="367"/>
    </row>
    <row r="18" spans="5:9" s="348" customFormat="1" x14ac:dyDescent="0.2">
      <c r="E18" s="361"/>
      <c r="F18" s="362"/>
      <c r="G18" s="362"/>
      <c r="H18" s="369"/>
      <c r="I18" s="367"/>
    </row>
    <row r="19" spans="5:9" s="348" customFormat="1" x14ac:dyDescent="0.2">
      <c r="E19" s="361"/>
      <c r="F19" s="362"/>
      <c r="G19" s="362"/>
      <c r="H19" s="369"/>
      <c r="I19" s="367"/>
    </row>
    <row r="20" spans="5:9" s="348" customFormat="1" x14ac:dyDescent="0.2">
      <c r="E20" s="361"/>
      <c r="F20" s="362"/>
      <c r="G20" s="362"/>
      <c r="H20" s="369"/>
      <c r="I20" s="367"/>
    </row>
    <row r="21" spans="5:9" s="348" customFormat="1" x14ac:dyDescent="0.2">
      <c r="E21" s="361"/>
      <c r="F21" s="362"/>
      <c r="G21" s="362"/>
      <c r="H21" s="369"/>
      <c r="I21" s="367"/>
    </row>
    <row r="22" spans="5:9" s="348" customFormat="1" x14ac:dyDescent="0.2">
      <c r="E22" s="361"/>
      <c r="F22" s="362"/>
      <c r="G22" s="362"/>
      <c r="H22" s="369"/>
      <c r="I22" s="367"/>
    </row>
    <row r="23" spans="5:9" s="348" customFormat="1" x14ac:dyDescent="0.2">
      <c r="E23" s="361"/>
      <c r="F23" s="362"/>
      <c r="G23" s="362"/>
      <c r="H23" s="369"/>
      <c r="I23" s="367"/>
    </row>
    <row r="24" spans="5:9" s="348" customFormat="1" x14ac:dyDescent="0.2">
      <c r="E24" s="361"/>
      <c r="F24" s="362"/>
      <c r="G24" s="362"/>
      <c r="H24" s="369"/>
      <c r="I24" s="367"/>
    </row>
    <row r="25" spans="5:9" s="348" customFormat="1" x14ac:dyDescent="0.2">
      <c r="E25" s="361"/>
      <c r="F25" s="362"/>
      <c r="G25" s="362"/>
      <c r="H25" s="369"/>
      <c r="I25" s="367"/>
    </row>
    <row r="26" spans="5:9" s="348" customFormat="1" x14ac:dyDescent="0.2">
      <c r="E26" s="361"/>
      <c r="F26" s="362"/>
      <c r="G26" s="362"/>
      <c r="H26" s="369"/>
      <c r="I26" s="367"/>
    </row>
    <row r="27" spans="5:9" s="348" customFormat="1" x14ac:dyDescent="0.2">
      <c r="E27" s="361"/>
      <c r="F27" s="362"/>
      <c r="G27" s="362"/>
      <c r="H27" s="369"/>
      <c r="I27" s="367"/>
    </row>
    <row r="28" spans="5:9" s="348" customFormat="1" x14ac:dyDescent="0.2">
      <c r="E28" s="361"/>
      <c r="F28" s="362"/>
      <c r="G28" s="362"/>
      <c r="H28" s="369"/>
      <c r="I28" s="367"/>
    </row>
    <row r="29" spans="5:9" s="348" customFormat="1" x14ac:dyDescent="0.2">
      <c r="E29" s="361"/>
      <c r="F29" s="362"/>
      <c r="G29" s="362"/>
      <c r="H29" s="369"/>
      <c r="I29" s="367"/>
    </row>
    <row r="30" spans="5:9" s="348" customFormat="1" x14ac:dyDescent="0.2">
      <c r="E30" s="361"/>
      <c r="F30" s="362"/>
      <c r="G30" s="362"/>
      <c r="H30" s="369"/>
      <c r="I30" s="367"/>
    </row>
    <row r="31" spans="5:9" s="348" customFormat="1" x14ac:dyDescent="0.2">
      <c r="E31" s="361"/>
      <c r="F31" s="362"/>
      <c r="G31" s="362"/>
      <c r="H31" s="369"/>
      <c r="I31" s="367"/>
    </row>
    <row r="32" spans="5:9" s="348" customFormat="1" x14ac:dyDescent="0.2">
      <c r="E32" s="361"/>
      <c r="F32" s="362"/>
      <c r="G32" s="362"/>
      <c r="H32" s="369"/>
      <c r="I32" s="367"/>
    </row>
    <row r="33" spans="5:9" s="348" customFormat="1" x14ac:dyDescent="0.2">
      <c r="E33" s="361"/>
      <c r="F33" s="362"/>
      <c r="G33" s="362"/>
      <c r="H33" s="369"/>
      <c r="I33" s="367"/>
    </row>
    <row r="34" spans="5:9" s="348" customFormat="1" x14ac:dyDescent="0.2">
      <c r="E34" s="361"/>
      <c r="F34" s="362"/>
      <c r="G34" s="362"/>
      <c r="H34" s="369"/>
      <c r="I34" s="367"/>
    </row>
    <row r="35" spans="5:9" s="348" customFormat="1" x14ac:dyDescent="0.2">
      <c r="E35" s="361"/>
      <c r="F35" s="362"/>
      <c r="G35" s="362"/>
      <c r="H35" s="369"/>
      <c r="I35" s="367"/>
    </row>
    <row r="36" spans="5:9" s="348" customFormat="1" x14ac:dyDescent="0.2">
      <c r="E36" s="361"/>
      <c r="F36" s="362"/>
      <c r="G36" s="362"/>
      <c r="H36" s="369"/>
      <c r="I36" s="367"/>
    </row>
    <row r="37" spans="5:9" s="348" customFormat="1" x14ac:dyDescent="0.2">
      <c r="E37" s="361"/>
      <c r="F37" s="362"/>
      <c r="G37" s="362"/>
      <c r="H37" s="369"/>
      <c r="I37" s="367"/>
    </row>
    <row r="38" spans="5:9" s="348" customFormat="1" x14ac:dyDescent="0.2">
      <c r="E38" s="361"/>
      <c r="F38" s="362"/>
      <c r="G38" s="362"/>
      <c r="H38" s="369"/>
      <c r="I38" s="367"/>
    </row>
    <row r="39" spans="5:9" s="348" customFormat="1" x14ac:dyDescent="0.2">
      <c r="E39" s="361"/>
      <c r="F39" s="362"/>
      <c r="G39" s="362"/>
      <c r="H39" s="369"/>
      <c r="I39" s="367"/>
    </row>
    <row r="40" spans="5:9" s="348" customFormat="1" x14ac:dyDescent="0.2">
      <c r="E40" s="361"/>
      <c r="F40" s="362"/>
      <c r="G40" s="362"/>
      <c r="H40" s="369"/>
      <c r="I40" s="367"/>
    </row>
    <row r="41" spans="5:9" s="348" customFormat="1" x14ac:dyDescent="0.2">
      <c r="E41" s="361"/>
      <c r="F41" s="362"/>
      <c r="G41" s="362"/>
      <c r="H41" s="369"/>
      <c r="I41" s="367"/>
    </row>
    <row r="42" spans="5:9" s="348" customFormat="1" x14ac:dyDescent="0.2">
      <c r="E42" s="361"/>
      <c r="F42" s="362"/>
      <c r="G42" s="362"/>
      <c r="H42" s="369"/>
      <c r="I42" s="367"/>
    </row>
    <row r="43" spans="5:9" s="348" customFormat="1" x14ac:dyDescent="0.2">
      <c r="E43" s="361"/>
      <c r="F43" s="362"/>
      <c r="G43" s="362"/>
      <c r="H43" s="369"/>
      <c r="I43" s="367"/>
    </row>
    <row r="44" spans="5:9" s="348" customFormat="1" x14ac:dyDescent="0.2">
      <c r="E44" s="361"/>
      <c r="F44" s="362"/>
      <c r="G44" s="362"/>
      <c r="H44" s="369"/>
      <c r="I44" s="367"/>
    </row>
    <row r="45" spans="5:9" s="348" customFormat="1" x14ac:dyDescent="0.2">
      <c r="E45" s="361"/>
      <c r="F45" s="362"/>
      <c r="G45" s="362"/>
      <c r="H45" s="369"/>
      <c r="I45" s="367"/>
    </row>
    <row r="46" spans="5:9" s="348" customFormat="1" x14ac:dyDescent="0.2">
      <c r="E46" s="361"/>
      <c r="F46" s="362"/>
      <c r="G46" s="362"/>
      <c r="H46" s="369"/>
      <c r="I46" s="367"/>
    </row>
    <row r="47" spans="5:9" s="348" customFormat="1" x14ac:dyDescent="0.2">
      <c r="E47" s="361"/>
      <c r="F47" s="362"/>
      <c r="G47" s="362"/>
      <c r="H47" s="369"/>
      <c r="I47" s="367"/>
    </row>
    <row r="48" spans="5:9" s="348" customFormat="1" x14ac:dyDescent="0.2">
      <c r="E48" s="361"/>
      <c r="F48" s="362"/>
      <c r="G48" s="362"/>
      <c r="H48" s="369"/>
      <c r="I48" s="367"/>
    </row>
    <row r="49" spans="2:9" s="348" customFormat="1" x14ac:dyDescent="0.2">
      <c r="B49" s="351"/>
      <c r="C49" s="351"/>
      <c r="E49" s="361"/>
      <c r="F49" s="362"/>
      <c r="G49" s="362"/>
      <c r="H49" s="369"/>
      <c r="I49" s="367"/>
    </row>
    <row r="50" spans="2:9" s="348" customFormat="1" x14ac:dyDescent="0.2">
      <c r="B50" s="358"/>
      <c r="C50" s="358"/>
      <c r="E50" s="361"/>
      <c r="F50" s="362"/>
      <c r="G50" s="362"/>
      <c r="H50" s="369"/>
      <c r="I50" s="367"/>
    </row>
    <row r="51" spans="2:9" s="348" customFormat="1" x14ac:dyDescent="0.2">
      <c r="B51" s="358"/>
      <c r="C51" s="358"/>
      <c r="E51" s="361"/>
      <c r="F51" s="362"/>
      <c r="G51" s="362"/>
      <c r="H51" s="369"/>
      <c r="I51" s="367"/>
    </row>
    <row r="52" spans="2:9" s="348" customFormat="1" x14ac:dyDescent="0.2">
      <c r="B52" s="358"/>
      <c r="C52" s="358"/>
      <c r="E52" s="361"/>
      <c r="F52" s="362"/>
      <c r="G52" s="362"/>
      <c r="H52" s="369"/>
      <c r="I52" s="367"/>
    </row>
    <row r="53" spans="2:9" s="348" customFormat="1" x14ac:dyDescent="0.2">
      <c r="B53" s="358"/>
      <c r="C53" s="358"/>
      <c r="E53" s="361"/>
      <c r="F53" s="362"/>
      <c r="G53" s="362"/>
      <c r="H53" s="369"/>
      <c r="I53" s="367"/>
    </row>
    <row r="54" spans="2:9" s="348" customFormat="1" x14ac:dyDescent="0.2">
      <c r="B54" s="358"/>
      <c r="C54" s="358"/>
      <c r="E54" s="361"/>
      <c r="F54" s="362"/>
      <c r="G54" s="362"/>
      <c r="H54" s="369"/>
      <c r="I54" s="367"/>
    </row>
    <row r="55" spans="2:9" s="348" customFormat="1" x14ac:dyDescent="0.2">
      <c r="B55" s="358"/>
      <c r="C55" s="358"/>
      <c r="E55" s="361"/>
      <c r="F55" s="362"/>
      <c r="G55" s="362"/>
      <c r="H55" s="369"/>
      <c r="I55" s="367"/>
    </row>
    <row r="56" spans="2:9" s="348" customFormat="1" x14ac:dyDescent="0.2">
      <c r="B56" s="358"/>
      <c r="C56" s="358"/>
      <c r="E56" s="361"/>
      <c r="F56" s="362"/>
      <c r="G56" s="362"/>
      <c r="H56" s="369"/>
      <c r="I56" s="367"/>
    </row>
    <row r="57" spans="2:9" s="351" customFormat="1" x14ac:dyDescent="0.2">
      <c r="B57" s="358"/>
      <c r="C57" s="358"/>
      <c r="E57" s="361"/>
      <c r="F57" s="362"/>
      <c r="G57" s="362"/>
      <c r="H57" s="369"/>
      <c r="I57" s="367"/>
    </row>
    <row r="58" spans="2:9" s="358" customFormat="1" x14ac:dyDescent="0.2">
      <c r="E58" s="361"/>
      <c r="F58" s="362"/>
      <c r="G58" s="362"/>
      <c r="H58" s="369"/>
      <c r="I58" s="367"/>
    </row>
    <row r="59" spans="2:9" s="358" customFormat="1" x14ac:dyDescent="0.2">
      <c r="E59" s="361"/>
      <c r="F59" s="362"/>
      <c r="G59" s="362"/>
      <c r="H59" s="369"/>
      <c r="I59" s="367"/>
    </row>
    <row r="60" spans="2:9" s="358" customFormat="1" x14ac:dyDescent="0.2">
      <c r="E60" s="361"/>
      <c r="F60" s="362"/>
      <c r="G60" s="362"/>
      <c r="H60" s="369"/>
      <c r="I60" s="367"/>
    </row>
    <row r="61" spans="2:9" s="358" customFormat="1" x14ac:dyDescent="0.2">
      <c r="E61" s="361"/>
      <c r="F61" s="362"/>
      <c r="G61" s="362"/>
      <c r="H61" s="369"/>
      <c r="I61" s="367"/>
    </row>
    <row r="62" spans="2:9" s="358" customFormat="1" x14ac:dyDescent="0.2">
      <c r="E62" s="361"/>
      <c r="F62" s="362"/>
      <c r="G62" s="362"/>
      <c r="H62" s="369"/>
      <c r="I62" s="367"/>
    </row>
    <row r="63" spans="2:9" s="358" customFormat="1" x14ac:dyDescent="0.2">
      <c r="E63" s="361"/>
      <c r="F63" s="362"/>
      <c r="G63" s="362"/>
      <c r="H63" s="369"/>
      <c r="I63" s="367"/>
    </row>
    <row r="64" spans="2:9" s="358" customFormat="1" x14ac:dyDescent="0.2">
      <c r="E64" s="361"/>
      <c r="F64" s="362"/>
      <c r="G64" s="362"/>
      <c r="H64" s="369"/>
      <c r="I64" s="367"/>
    </row>
    <row r="65" spans="5:9" s="358" customFormat="1" x14ac:dyDescent="0.2">
      <c r="E65" s="361"/>
      <c r="F65" s="362"/>
      <c r="G65" s="362"/>
      <c r="H65" s="369"/>
      <c r="I65" s="367"/>
    </row>
    <row r="66" spans="5:9" s="358" customFormat="1" x14ac:dyDescent="0.2">
      <c r="E66" s="361"/>
      <c r="F66" s="362"/>
      <c r="G66" s="362"/>
      <c r="H66" s="369"/>
      <c r="I66" s="367"/>
    </row>
    <row r="67" spans="5:9" s="358" customFormat="1" x14ac:dyDescent="0.2">
      <c r="E67" s="361"/>
      <c r="F67" s="362"/>
      <c r="G67" s="362"/>
      <c r="H67" s="369"/>
      <c r="I67" s="367"/>
    </row>
    <row r="68" spans="5:9" s="358" customFormat="1" x14ac:dyDescent="0.2">
      <c r="E68" s="361"/>
      <c r="F68" s="362"/>
      <c r="G68" s="362"/>
      <c r="H68" s="369"/>
      <c r="I68" s="367"/>
    </row>
    <row r="69" spans="5:9" s="358" customFormat="1" x14ac:dyDescent="0.2">
      <c r="E69" s="361"/>
      <c r="F69" s="362"/>
      <c r="G69" s="362"/>
      <c r="H69" s="369"/>
      <c r="I69" s="367"/>
    </row>
    <row r="70" spans="5:9" s="358" customFormat="1" x14ac:dyDescent="0.2">
      <c r="E70" s="361"/>
      <c r="F70" s="362"/>
      <c r="G70" s="362"/>
      <c r="H70" s="369"/>
      <c r="I70" s="367"/>
    </row>
    <row r="71" spans="5:9" s="358" customFormat="1" x14ac:dyDescent="0.2">
      <c r="E71" s="361"/>
      <c r="F71" s="362"/>
      <c r="G71" s="362"/>
      <c r="H71" s="369"/>
      <c r="I71" s="367"/>
    </row>
    <row r="72" spans="5:9" s="358" customFormat="1" x14ac:dyDescent="0.2">
      <c r="E72" s="361"/>
      <c r="F72" s="362"/>
      <c r="G72" s="362"/>
      <c r="H72" s="369"/>
      <c r="I72" s="367"/>
    </row>
    <row r="73" spans="5:9" s="358" customFormat="1" x14ac:dyDescent="0.2">
      <c r="E73" s="361"/>
      <c r="F73" s="362"/>
      <c r="G73" s="362"/>
      <c r="H73" s="369"/>
      <c r="I73" s="367"/>
    </row>
    <row r="74" spans="5:9" s="358" customFormat="1" x14ac:dyDescent="0.2">
      <c r="E74" s="361"/>
      <c r="F74" s="362"/>
      <c r="G74" s="362"/>
      <c r="H74" s="369"/>
      <c r="I74" s="367"/>
    </row>
    <row r="75" spans="5:9" s="358" customFormat="1" x14ac:dyDescent="0.2">
      <c r="E75" s="361"/>
      <c r="F75" s="362"/>
      <c r="G75" s="362"/>
      <c r="H75" s="369"/>
      <c r="I75" s="367"/>
    </row>
    <row r="76" spans="5:9" s="358" customFormat="1" x14ac:dyDescent="0.2">
      <c r="E76" s="361"/>
      <c r="F76" s="362"/>
      <c r="G76" s="362"/>
      <c r="H76" s="369"/>
      <c r="I76" s="367"/>
    </row>
    <row r="77" spans="5:9" s="358" customFormat="1" x14ac:dyDescent="0.2">
      <c r="E77" s="361"/>
      <c r="F77" s="362"/>
      <c r="G77" s="362"/>
      <c r="H77" s="369"/>
      <c r="I77" s="367"/>
    </row>
    <row r="78" spans="5:9" s="358" customFormat="1" x14ac:dyDescent="0.2">
      <c r="E78" s="361"/>
      <c r="F78" s="362"/>
      <c r="G78" s="362"/>
      <c r="H78" s="369"/>
      <c r="I78" s="367"/>
    </row>
    <row r="79" spans="5:9" s="358" customFormat="1" x14ac:dyDescent="0.2">
      <c r="E79" s="361"/>
      <c r="F79" s="362"/>
      <c r="G79" s="362"/>
      <c r="H79" s="369"/>
      <c r="I79" s="367"/>
    </row>
    <row r="80" spans="5:9" s="358" customFormat="1" x14ac:dyDescent="0.2">
      <c r="E80" s="361"/>
      <c r="F80" s="362"/>
      <c r="G80" s="362"/>
      <c r="H80" s="369"/>
      <c r="I80" s="367"/>
    </row>
    <row r="81" spans="5:9" s="358" customFormat="1" x14ac:dyDescent="0.2">
      <c r="E81" s="361"/>
      <c r="F81" s="362"/>
      <c r="G81" s="362"/>
      <c r="H81" s="369"/>
      <c r="I81" s="367"/>
    </row>
    <row r="82" spans="5:9" s="358" customFormat="1" x14ac:dyDescent="0.2">
      <c r="E82" s="361"/>
      <c r="F82" s="362"/>
      <c r="G82" s="362"/>
      <c r="H82" s="369"/>
      <c r="I82" s="367"/>
    </row>
    <row r="83" spans="5:9" s="358" customFormat="1" x14ac:dyDescent="0.2">
      <c r="E83" s="361"/>
      <c r="F83" s="362"/>
      <c r="G83" s="362"/>
      <c r="H83" s="369"/>
      <c r="I83" s="367"/>
    </row>
    <row r="84" spans="5:9" s="358" customFormat="1" x14ac:dyDescent="0.2">
      <c r="E84" s="361"/>
      <c r="F84" s="362"/>
      <c r="G84" s="362"/>
      <c r="H84" s="369"/>
      <c r="I84" s="367"/>
    </row>
    <row r="85" spans="5:9" s="358" customFormat="1" x14ac:dyDescent="0.2">
      <c r="E85" s="361"/>
      <c r="F85" s="362"/>
      <c r="G85" s="362"/>
      <c r="H85" s="369"/>
      <c r="I85" s="367"/>
    </row>
    <row r="86" spans="5:9" s="358" customFormat="1" x14ac:dyDescent="0.2">
      <c r="E86" s="361"/>
      <c r="F86" s="362"/>
      <c r="G86" s="362"/>
      <c r="H86" s="369"/>
      <c r="I86" s="367"/>
    </row>
    <row r="87" spans="5:9" s="358" customFormat="1" x14ac:dyDescent="0.2">
      <c r="E87" s="361"/>
      <c r="F87" s="362"/>
      <c r="G87" s="362"/>
      <c r="H87" s="369"/>
      <c r="I87" s="367"/>
    </row>
    <row r="88" spans="5:9" s="358" customFormat="1" x14ac:dyDescent="0.2">
      <c r="E88" s="361"/>
      <c r="F88" s="362"/>
      <c r="G88" s="362"/>
      <c r="H88" s="369"/>
      <c r="I88" s="367"/>
    </row>
    <row r="89" spans="5:9" s="358" customFormat="1" x14ac:dyDescent="0.2">
      <c r="E89" s="361"/>
      <c r="F89" s="362"/>
      <c r="G89" s="362"/>
      <c r="H89" s="369"/>
      <c r="I89" s="367"/>
    </row>
    <row r="90" spans="5:9" s="358" customFormat="1" x14ac:dyDescent="0.2">
      <c r="E90" s="361"/>
      <c r="F90" s="362"/>
      <c r="G90" s="362"/>
      <c r="H90" s="369"/>
      <c r="I90" s="367"/>
    </row>
    <row r="91" spans="5:9" s="358" customFormat="1" x14ac:dyDescent="0.2">
      <c r="E91" s="361"/>
      <c r="F91" s="362"/>
      <c r="G91" s="362"/>
      <c r="H91" s="369"/>
      <c r="I91" s="367"/>
    </row>
    <row r="92" spans="5:9" s="358" customFormat="1" x14ac:dyDescent="0.2">
      <c r="E92" s="361"/>
      <c r="F92" s="362"/>
      <c r="G92" s="362"/>
      <c r="H92" s="369"/>
      <c r="I92" s="367"/>
    </row>
    <row r="93" spans="5:9" s="358" customFormat="1" x14ac:dyDescent="0.2">
      <c r="E93" s="361"/>
      <c r="F93" s="362"/>
      <c r="G93" s="362"/>
      <c r="H93" s="369"/>
      <c r="I93" s="367"/>
    </row>
    <row r="94" spans="5:9" s="358" customFormat="1" x14ac:dyDescent="0.2">
      <c r="E94" s="361"/>
      <c r="F94" s="362"/>
      <c r="G94" s="362"/>
      <c r="H94" s="369"/>
      <c r="I94" s="367"/>
    </row>
    <row r="95" spans="5:9" s="358" customFormat="1" x14ac:dyDescent="0.2">
      <c r="E95" s="361"/>
      <c r="F95" s="362"/>
      <c r="G95" s="362"/>
      <c r="H95" s="369"/>
      <c r="I95" s="367"/>
    </row>
    <row r="96" spans="5:9" s="358" customFormat="1" x14ac:dyDescent="0.2">
      <c r="E96" s="361"/>
      <c r="F96" s="362"/>
      <c r="G96" s="362"/>
      <c r="H96" s="369"/>
      <c r="I96" s="367"/>
    </row>
    <row r="97" spans="5:9" s="358" customFormat="1" x14ac:dyDescent="0.2">
      <c r="E97" s="361"/>
      <c r="F97" s="362"/>
      <c r="G97" s="362"/>
      <c r="H97" s="369"/>
      <c r="I97" s="367"/>
    </row>
    <row r="98" spans="5:9" s="358" customFormat="1" x14ac:dyDescent="0.2">
      <c r="E98" s="361"/>
      <c r="F98" s="362"/>
      <c r="G98" s="362"/>
      <c r="H98" s="369"/>
      <c r="I98" s="367"/>
    </row>
    <row r="99" spans="5:9" s="358" customFormat="1" x14ac:dyDescent="0.2">
      <c r="E99" s="361"/>
      <c r="F99" s="362"/>
      <c r="G99" s="362"/>
      <c r="H99" s="369"/>
      <c r="I99" s="367"/>
    </row>
    <row r="100" spans="5:9" s="358" customFormat="1" x14ac:dyDescent="0.2">
      <c r="E100" s="361"/>
      <c r="F100" s="362"/>
      <c r="G100" s="362"/>
      <c r="H100" s="369"/>
      <c r="I100" s="367"/>
    </row>
    <row r="101" spans="5:9" s="358" customFormat="1" x14ac:dyDescent="0.2">
      <c r="E101" s="361"/>
      <c r="F101" s="362"/>
      <c r="G101" s="362"/>
      <c r="H101" s="369"/>
      <c r="I101" s="367"/>
    </row>
    <row r="102" spans="5:9" s="358" customFormat="1" x14ac:dyDescent="0.2">
      <c r="E102" s="361"/>
      <c r="F102" s="362"/>
      <c r="G102" s="362"/>
      <c r="H102" s="369"/>
      <c r="I102" s="367"/>
    </row>
    <row r="103" spans="5:9" s="358" customFormat="1" x14ac:dyDescent="0.2">
      <c r="E103" s="361"/>
      <c r="F103" s="362"/>
      <c r="G103" s="362"/>
      <c r="H103" s="369"/>
      <c r="I103" s="367"/>
    </row>
    <row r="104" spans="5:9" s="358" customFormat="1" x14ac:dyDescent="0.2">
      <c r="E104" s="361"/>
      <c r="F104" s="362"/>
      <c r="G104" s="362"/>
      <c r="H104" s="369"/>
      <c r="I104" s="367"/>
    </row>
    <row r="105" spans="5:9" s="358" customFormat="1" x14ac:dyDescent="0.2">
      <c r="E105" s="361"/>
      <c r="F105" s="362"/>
      <c r="G105" s="362"/>
      <c r="H105" s="369"/>
      <c r="I105" s="367"/>
    </row>
    <row r="106" spans="5:9" s="358" customFormat="1" x14ac:dyDescent="0.2">
      <c r="E106" s="361"/>
      <c r="F106" s="362"/>
      <c r="G106" s="362"/>
      <c r="H106" s="369"/>
      <c r="I106" s="367"/>
    </row>
    <row r="107" spans="5:9" s="358" customFormat="1" x14ac:dyDescent="0.2">
      <c r="E107" s="361"/>
      <c r="F107" s="362"/>
      <c r="G107" s="362"/>
      <c r="H107" s="369"/>
      <c r="I107" s="367"/>
    </row>
    <row r="108" spans="5:9" s="358" customFormat="1" x14ac:dyDescent="0.2">
      <c r="E108" s="361"/>
      <c r="F108" s="362"/>
      <c r="G108" s="362"/>
      <c r="H108" s="369"/>
      <c r="I108" s="367"/>
    </row>
    <row r="109" spans="5:9" s="358" customFormat="1" x14ac:dyDescent="0.2">
      <c r="E109" s="361"/>
      <c r="F109" s="362"/>
      <c r="G109" s="362"/>
      <c r="H109" s="369"/>
      <c r="I109" s="367"/>
    </row>
    <row r="110" spans="5:9" s="358" customFormat="1" x14ac:dyDescent="0.2">
      <c r="E110" s="361"/>
      <c r="F110" s="362"/>
      <c r="G110" s="362"/>
      <c r="H110" s="369"/>
      <c r="I110" s="367"/>
    </row>
    <row r="111" spans="5:9" s="358" customFormat="1" x14ac:dyDescent="0.2">
      <c r="E111" s="361"/>
      <c r="F111" s="362"/>
      <c r="G111" s="362"/>
      <c r="H111" s="369"/>
      <c r="I111" s="367"/>
    </row>
    <row r="112" spans="5:9" s="358" customFormat="1" x14ac:dyDescent="0.2">
      <c r="E112" s="361"/>
      <c r="F112" s="362"/>
      <c r="G112" s="362"/>
      <c r="H112" s="369"/>
      <c r="I112" s="367"/>
    </row>
    <row r="113" spans="5:9" s="358" customFormat="1" x14ac:dyDescent="0.2">
      <c r="E113" s="361"/>
      <c r="F113" s="362"/>
      <c r="G113" s="362"/>
      <c r="H113" s="369"/>
      <c r="I113" s="367"/>
    </row>
    <row r="114" spans="5:9" s="358" customFormat="1" x14ac:dyDescent="0.2">
      <c r="E114" s="361"/>
      <c r="F114" s="362"/>
      <c r="G114" s="362"/>
      <c r="H114" s="369"/>
      <c r="I114" s="367"/>
    </row>
    <row r="115" spans="5:9" s="358" customFormat="1" x14ac:dyDescent="0.2">
      <c r="E115" s="361"/>
      <c r="F115" s="362"/>
      <c r="G115" s="362"/>
      <c r="H115" s="369"/>
      <c r="I115" s="367"/>
    </row>
    <row r="116" spans="5:9" s="358" customFormat="1" x14ac:dyDescent="0.2">
      <c r="E116" s="361"/>
      <c r="F116" s="362"/>
      <c r="G116" s="362"/>
      <c r="H116" s="369"/>
      <c r="I116" s="367"/>
    </row>
    <row r="117" spans="5:9" s="358" customFormat="1" x14ac:dyDescent="0.2">
      <c r="E117" s="361"/>
      <c r="F117" s="362"/>
      <c r="G117" s="362"/>
      <c r="H117" s="369"/>
      <c r="I117" s="367"/>
    </row>
    <row r="118" spans="5:9" s="358" customFormat="1" x14ac:dyDescent="0.2">
      <c r="E118" s="361"/>
      <c r="F118" s="362"/>
      <c r="G118" s="362"/>
      <c r="H118" s="369"/>
      <c r="I118" s="367"/>
    </row>
    <row r="119" spans="5:9" s="358" customFormat="1" x14ac:dyDescent="0.2">
      <c r="E119" s="361"/>
      <c r="F119" s="362"/>
      <c r="G119" s="362"/>
      <c r="H119" s="369"/>
      <c r="I119" s="367"/>
    </row>
    <row r="120" spans="5:9" s="358" customFormat="1" x14ac:dyDescent="0.2">
      <c r="E120" s="361"/>
      <c r="F120" s="362"/>
      <c r="G120" s="362"/>
      <c r="H120" s="369"/>
      <c r="I120" s="367"/>
    </row>
    <row r="121" spans="5:9" s="358" customFormat="1" x14ac:dyDescent="0.2">
      <c r="E121" s="361"/>
      <c r="F121" s="362"/>
      <c r="G121" s="362"/>
      <c r="H121" s="369"/>
      <c r="I121" s="367"/>
    </row>
    <row r="122" spans="5:9" s="358" customFormat="1" x14ac:dyDescent="0.2">
      <c r="E122" s="361"/>
      <c r="F122" s="362"/>
      <c r="G122" s="362"/>
      <c r="H122" s="369"/>
      <c r="I122" s="367"/>
    </row>
    <row r="123" spans="5:9" s="358" customFormat="1" x14ac:dyDescent="0.2">
      <c r="E123" s="361"/>
      <c r="F123" s="362"/>
      <c r="G123" s="362"/>
      <c r="H123" s="369"/>
      <c r="I123" s="367"/>
    </row>
    <row r="124" spans="5:9" s="358" customFormat="1" x14ac:dyDescent="0.2">
      <c r="E124" s="361"/>
      <c r="F124" s="362"/>
      <c r="G124" s="362"/>
      <c r="H124" s="369"/>
      <c r="I124" s="367"/>
    </row>
    <row r="125" spans="5:9" s="358" customFormat="1" x14ac:dyDescent="0.2">
      <c r="E125" s="361"/>
      <c r="F125" s="362"/>
      <c r="G125" s="362"/>
      <c r="H125" s="369"/>
      <c r="I125" s="367"/>
    </row>
    <row r="126" spans="5:9" s="358" customFormat="1" x14ac:dyDescent="0.2">
      <c r="E126" s="361"/>
      <c r="F126" s="362"/>
      <c r="G126" s="362"/>
      <c r="H126" s="369"/>
      <c r="I126" s="367"/>
    </row>
    <row r="127" spans="5:9" s="358" customFormat="1" x14ac:dyDescent="0.2">
      <c r="E127" s="361"/>
      <c r="F127" s="362"/>
      <c r="G127" s="362"/>
      <c r="H127" s="369"/>
      <c r="I127" s="367"/>
    </row>
    <row r="128" spans="5:9" s="358" customFormat="1" x14ac:dyDescent="0.2">
      <c r="E128" s="361"/>
      <c r="F128" s="362"/>
      <c r="G128" s="362"/>
      <c r="H128" s="369"/>
      <c r="I128" s="367"/>
    </row>
    <row r="129" spans="5:9" s="358" customFormat="1" x14ac:dyDescent="0.2">
      <c r="E129" s="361"/>
      <c r="F129" s="362"/>
      <c r="G129" s="362"/>
      <c r="H129" s="369"/>
      <c r="I129" s="367"/>
    </row>
    <row r="130" spans="5:9" s="358" customFormat="1" x14ac:dyDescent="0.2">
      <c r="E130" s="361"/>
      <c r="F130" s="362"/>
      <c r="G130" s="362"/>
      <c r="H130" s="369"/>
      <c r="I130" s="367"/>
    </row>
    <row r="131" spans="5:9" s="358" customFormat="1" x14ac:dyDescent="0.2">
      <c r="E131" s="361"/>
      <c r="F131" s="362"/>
      <c r="G131" s="362"/>
      <c r="H131" s="369"/>
      <c r="I131" s="367"/>
    </row>
    <row r="132" spans="5:9" s="358" customFormat="1" x14ac:dyDescent="0.2">
      <c r="E132" s="361"/>
      <c r="F132" s="362"/>
      <c r="G132" s="362"/>
      <c r="H132" s="369"/>
      <c r="I132" s="367"/>
    </row>
    <row r="133" spans="5:9" s="358" customFormat="1" x14ac:dyDescent="0.2">
      <c r="E133" s="361"/>
      <c r="F133" s="362"/>
      <c r="G133" s="362"/>
      <c r="H133" s="369"/>
      <c r="I133" s="367"/>
    </row>
    <row r="134" spans="5:9" s="358" customFormat="1" x14ac:dyDescent="0.2">
      <c r="E134" s="361"/>
      <c r="F134" s="362"/>
      <c r="G134" s="362"/>
      <c r="H134" s="369"/>
      <c r="I134" s="367"/>
    </row>
    <row r="135" spans="5:9" s="358" customFormat="1" x14ac:dyDescent="0.2">
      <c r="E135" s="361"/>
      <c r="F135" s="362"/>
      <c r="G135" s="362"/>
      <c r="H135" s="369"/>
      <c r="I135" s="367"/>
    </row>
    <row r="136" spans="5:9" s="358" customFormat="1" x14ac:dyDescent="0.2">
      <c r="E136" s="361"/>
      <c r="F136" s="362"/>
      <c r="G136" s="362"/>
      <c r="H136" s="369"/>
      <c r="I136" s="367"/>
    </row>
    <row r="137" spans="5:9" s="358" customFormat="1" x14ac:dyDescent="0.2">
      <c r="E137" s="361"/>
      <c r="F137" s="362"/>
      <c r="G137" s="362"/>
      <c r="H137" s="369"/>
      <c r="I137" s="367"/>
    </row>
    <row r="138" spans="5:9" s="358" customFormat="1" x14ac:dyDescent="0.2">
      <c r="E138" s="361"/>
      <c r="F138" s="362"/>
      <c r="G138" s="362"/>
      <c r="H138" s="369"/>
      <c r="I138" s="367"/>
    </row>
    <row r="139" spans="5:9" s="358" customFormat="1" x14ac:dyDescent="0.2">
      <c r="E139" s="361"/>
      <c r="F139" s="362"/>
      <c r="G139" s="362"/>
      <c r="H139" s="369"/>
      <c r="I139" s="367"/>
    </row>
    <row r="140" spans="5:9" s="358" customFormat="1" x14ac:dyDescent="0.2">
      <c r="E140" s="361"/>
      <c r="F140" s="362"/>
      <c r="G140" s="362"/>
      <c r="H140" s="369"/>
      <c r="I140" s="367"/>
    </row>
    <row r="141" spans="5:9" s="358" customFormat="1" x14ac:dyDescent="0.2">
      <c r="E141" s="361"/>
      <c r="F141" s="362"/>
      <c r="G141" s="362"/>
      <c r="H141" s="369"/>
      <c r="I141" s="367"/>
    </row>
    <row r="142" spans="5:9" s="358" customFormat="1" x14ac:dyDescent="0.2">
      <c r="E142" s="361"/>
      <c r="F142" s="362"/>
      <c r="G142" s="362"/>
      <c r="H142" s="369"/>
      <c r="I142" s="367"/>
    </row>
    <row r="143" spans="5:9" s="358" customFormat="1" x14ac:dyDescent="0.2">
      <c r="E143" s="361"/>
      <c r="F143" s="362"/>
      <c r="G143" s="362"/>
      <c r="H143" s="369"/>
      <c r="I143" s="367"/>
    </row>
    <row r="144" spans="5:9" s="358" customFormat="1" x14ac:dyDescent="0.2">
      <c r="E144" s="361"/>
      <c r="F144" s="362"/>
      <c r="G144" s="362"/>
      <c r="H144" s="369"/>
      <c r="I144" s="367"/>
    </row>
    <row r="145" spans="5:9" s="358" customFormat="1" x14ac:dyDescent="0.2">
      <c r="E145" s="361"/>
      <c r="F145" s="362"/>
      <c r="G145" s="362"/>
      <c r="H145" s="369"/>
      <c r="I145" s="367"/>
    </row>
    <row r="146" spans="5:9" s="358" customFormat="1" x14ac:dyDescent="0.2">
      <c r="E146" s="361"/>
      <c r="F146" s="362"/>
      <c r="G146" s="362"/>
      <c r="H146" s="369"/>
      <c r="I146" s="367"/>
    </row>
    <row r="147" spans="5:9" s="358" customFormat="1" x14ac:dyDescent="0.2">
      <c r="E147" s="361"/>
      <c r="F147" s="362"/>
      <c r="G147" s="362"/>
      <c r="H147" s="369"/>
      <c r="I147" s="367"/>
    </row>
    <row r="148" spans="5:9" s="358" customFormat="1" x14ac:dyDescent="0.2">
      <c r="E148" s="361"/>
      <c r="F148" s="362"/>
      <c r="G148" s="362"/>
      <c r="H148" s="369"/>
      <c r="I148" s="367"/>
    </row>
    <row r="149" spans="5:9" s="358" customFormat="1" x14ac:dyDescent="0.2">
      <c r="E149" s="361"/>
      <c r="F149" s="362"/>
      <c r="G149" s="362"/>
      <c r="H149" s="369"/>
      <c r="I149" s="367"/>
    </row>
    <row r="150" spans="5:9" s="358" customFormat="1" x14ac:dyDescent="0.2">
      <c r="E150" s="361"/>
      <c r="F150" s="362"/>
      <c r="G150" s="362"/>
      <c r="H150" s="369"/>
      <c r="I150" s="367"/>
    </row>
    <row r="151" spans="5:9" s="358" customFormat="1" x14ac:dyDescent="0.2">
      <c r="E151" s="361"/>
      <c r="F151" s="362"/>
      <c r="G151" s="362"/>
      <c r="H151" s="369"/>
      <c r="I151" s="367"/>
    </row>
    <row r="152" spans="5:9" s="358" customFormat="1" x14ac:dyDescent="0.2">
      <c r="E152" s="361"/>
      <c r="F152" s="362"/>
      <c r="G152" s="362"/>
      <c r="H152" s="369"/>
      <c r="I152" s="367"/>
    </row>
    <row r="153" spans="5:9" s="358" customFormat="1" x14ac:dyDescent="0.2">
      <c r="E153" s="361"/>
      <c r="F153" s="362"/>
      <c r="G153" s="362"/>
      <c r="H153" s="369"/>
      <c r="I153" s="367"/>
    </row>
    <row r="154" spans="5:9" s="358" customFormat="1" x14ac:dyDescent="0.2">
      <c r="E154" s="361"/>
      <c r="F154" s="362"/>
      <c r="G154" s="362"/>
      <c r="H154" s="369"/>
      <c r="I154" s="367"/>
    </row>
    <row r="155" spans="5:9" s="358" customFormat="1" x14ac:dyDescent="0.2">
      <c r="E155" s="361"/>
      <c r="F155" s="362"/>
      <c r="G155" s="362"/>
      <c r="H155" s="369"/>
      <c r="I155" s="367"/>
    </row>
    <row r="156" spans="5:9" s="358" customFormat="1" x14ac:dyDescent="0.2">
      <c r="E156" s="361"/>
      <c r="F156" s="362"/>
      <c r="G156" s="362"/>
      <c r="H156" s="369"/>
      <c r="I156" s="367"/>
    </row>
    <row r="157" spans="5:9" s="358" customFormat="1" x14ac:dyDescent="0.2">
      <c r="E157" s="361"/>
      <c r="F157" s="362"/>
      <c r="G157" s="362"/>
      <c r="H157" s="369"/>
      <c r="I157" s="367"/>
    </row>
    <row r="158" spans="5:9" s="358" customFormat="1" x14ac:dyDescent="0.2">
      <c r="E158" s="361"/>
      <c r="F158" s="362"/>
      <c r="G158" s="362"/>
      <c r="H158" s="369"/>
      <c r="I158" s="367"/>
    </row>
    <row r="159" spans="5:9" s="358" customFormat="1" x14ac:dyDescent="0.2">
      <c r="E159" s="361"/>
      <c r="F159" s="362"/>
      <c r="G159" s="362"/>
      <c r="H159" s="369"/>
      <c r="I159" s="367"/>
    </row>
    <row r="160" spans="5:9" s="358" customFormat="1" x14ac:dyDescent="0.2">
      <c r="E160" s="361"/>
      <c r="F160" s="362"/>
      <c r="G160" s="362"/>
      <c r="H160" s="369"/>
      <c r="I160" s="367"/>
    </row>
    <row r="161" spans="5:9" s="358" customFormat="1" x14ac:dyDescent="0.2">
      <c r="E161" s="361"/>
      <c r="F161" s="362"/>
      <c r="G161" s="362"/>
      <c r="H161" s="369"/>
      <c r="I161" s="367"/>
    </row>
    <row r="162" spans="5:9" s="358" customFormat="1" x14ac:dyDescent="0.2">
      <c r="E162" s="361"/>
      <c r="F162" s="362"/>
      <c r="G162" s="362"/>
      <c r="H162" s="369"/>
      <c r="I162" s="367"/>
    </row>
    <row r="163" spans="5:9" s="358" customFormat="1" x14ac:dyDescent="0.2">
      <c r="E163" s="361"/>
      <c r="F163" s="362"/>
      <c r="G163" s="362"/>
      <c r="H163" s="369"/>
      <c r="I163" s="367"/>
    </row>
    <row r="164" spans="5:9" s="358" customFormat="1" x14ac:dyDescent="0.2">
      <c r="E164" s="361"/>
      <c r="F164" s="362"/>
      <c r="G164" s="362"/>
      <c r="H164" s="369"/>
      <c r="I164" s="367"/>
    </row>
    <row r="165" spans="5:9" s="358" customFormat="1" x14ac:dyDescent="0.2">
      <c r="E165" s="361"/>
      <c r="F165" s="362"/>
      <c r="G165" s="362"/>
      <c r="H165" s="369"/>
      <c r="I165" s="367"/>
    </row>
    <row r="166" spans="5:9" s="358" customFormat="1" x14ac:dyDescent="0.2">
      <c r="E166" s="361"/>
      <c r="F166" s="362"/>
      <c r="G166" s="362"/>
      <c r="H166" s="369"/>
      <c r="I166" s="367"/>
    </row>
    <row r="167" spans="5:9" s="358" customFormat="1" x14ac:dyDescent="0.2">
      <c r="E167" s="361"/>
      <c r="F167" s="362"/>
      <c r="G167" s="362"/>
      <c r="H167" s="369"/>
      <c r="I167" s="367"/>
    </row>
    <row r="168" spans="5:9" s="358" customFormat="1" x14ac:dyDescent="0.2">
      <c r="E168" s="361"/>
      <c r="F168" s="362"/>
      <c r="G168" s="362"/>
      <c r="H168" s="369"/>
      <c r="I168" s="367"/>
    </row>
    <row r="169" spans="5:9" s="358" customFormat="1" x14ac:dyDescent="0.2">
      <c r="E169" s="361"/>
      <c r="F169" s="362"/>
      <c r="G169" s="362"/>
      <c r="H169" s="369"/>
      <c r="I169" s="367"/>
    </row>
    <row r="170" spans="5:9" s="358" customFormat="1" x14ac:dyDescent="0.2">
      <c r="E170" s="361"/>
      <c r="F170" s="362"/>
      <c r="G170" s="362"/>
      <c r="H170" s="369"/>
      <c r="I170" s="367"/>
    </row>
    <row r="171" spans="5:9" s="358" customFormat="1" x14ac:dyDescent="0.2">
      <c r="E171" s="361"/>
      <c r="F171" s="362"/>
      <c r="G171" s="362"/>
      <c r="H171" s="369"/>
      <c r="I171" s="367"/>
    </row>
    <row r="172" spans="5:9" s="358" customFormat="1" x14ac:dyDescent="0.2">
      <c r="E172" s="361"/>
      <c r="F172" s="362"/>
      <c r="G172" s="362"/>
      <c r="H172" s="369"/>
      <c r="I172" s="367"/>
    </row>
    <row r="173" spans="5:9" s="358" customFormat="1" x14ac:dyDescent="0.2">
      <c r="E173" s="361"/>
      <c r="F173" s="362"/>
      <c r="G173" s="362"/>
      <c r="H173" s="369"/>
      <c r="I173" s="367"/>
    </row>
    <row r="174" spans="5:9" s="358" customFormat="1" x14ac:dyDescent="0.2">
      <c r="E174" s="361"/>
      <c r="F174" s="362"/>
      <c r="G174" s="362"/>
      <c r="H174" s="369"/>
      <c r="I174" s="367"/>
    </row>
    <row r="175" spans="5:9" s="358" customFormat="1" x14ac:dyDescent="0.2">
      <c r="E175" s="361"/>
      <c r="F175" s="362"/>
      <c r="G175" s="362"/>
      <c r="H175" s="369"/>
      <c r="I175" s="367"/>
    </row>
    <row r="176" spans="5:9" s="358" customFormat="1" x14ac:dyDescent="0.2">
      <c r="E176" s="361"/>
      <c r="F176" s="362"/>
      <c r="G176" s="362"/>
      <c r="H176" s="369"/>
      <c r="I176" s="367"/>
    </row>
    <row r="177" spans="5:9" s="358" customFormat="1" x14ac:dyDescent="0.2">
      <c r="E177" s="361"/>
      <c r="F177" s="362"/>
      <c r="G177" s="362"/>
      <c r="H177" s="369"/>
      <c r="I177" s="367"/>
    </row>
    <row r="178" spans="5:9" s="358" customFormat="1" x14ac:dyDescent="0.2">
      <c r="E178" s="361"/>
      <c r="F178" s="362"/>
      <c r="G178" s="362"/>
      <c r="H178" s="369"/>
      <c r="I178" s="367"/>
    </row>
    <row r="179" spans="5:9" s="358" customFormat="1" x14ac:dyDescent="0.2">
      <c r="E179" s="361"/>
      <c r="F179" s="362"/>
      <c r="G179" s="362"/>
      <c r="H179" s="369"/>
      <c r="I179" s="367"/>
    </row>
    <row r="180" spans="5:9" s="358" customFormat="1" x14ac:dyDescent="0.2">
      <c r="E180" s="361"/>
      <c r="F180" s="362"/>
      <c r="G180" s="362"/>
      <c r="H180" s="369"/>
      <c r="I180" s="367"/>
    </row>
    <row r="181" spans="5:9" s="358" customFormat="1" x14ac:dyDescent="0.2">
      <c r="E181" s="361"/>
      <c r="F181" s="362"/>
      <c r="G181" s="362"/>
      <c r="H181" s="369"/>
      <c r="I181" s="367"/>
    </row>
    <row r="182" spans="5:9" s="358" customFormat="1" x14ac:dyDescent="0.2">
      <c r="E182" s="361"/>
      <c r="F182" s="362"/>
      <c r="G182" s="362"/>
      <c r="H182" s="369"/>
      <c r="I182" s="367"/>
    </row>
    <row r="183" spans="5:9" s="358" customFormat="1" x14ac:dyDescent="0.2">
      <c r="E183" s="361"/>
      <c r="F183" s="362"/>
      <c r="G183" s="362"/>
      <c r="H183" s="369"/>
      <c r="I183" s="367"/>
    </row>
    <row r="184" spans="5:9" s="358" customFormat="1" x14ac:dyDescent="0.2">
      <c r="E184" s="361"/>
      <c r="F184" s="362"/>
      <c r="G184" s="362"/>
      <c r="H184" s="369"/>
      <c r="I184" s="367"/>
    </row>
    <row r="185" spans="5:9" s="358" customFormat="1" x14ac:dyDescent="0.2">
      <c r="E185" s="361"/>
      <c r="F185" s="362"/>
      <c r="G185" s="362"/>
      <c r="H185" s="369"/>
      <c r="I185" s="367"/>
    </row>
    <row r="186" spans="5:9" s="358" customFormat="1" x14ac:dyDescent="0.2">
      <c r="E186" s="361"/>
      <c r="F186" s="362"/>
      <c r="G186" s="362"/>
      <c r="H186" s="369"/>
      <c r="I186" s="367"/>
    </row>
    <row r="187" spans="5:9" s="358" customFormat="1" x14ac:dyDescent="0.2">
      <c r="E187" s="361"/>
      <c r="F187" s="362"/>
      <c r="G187" s="362"/>
      <c r="H187" s="369"/>
      <c r="I187" s="367"/>
    </row>
    <row r="188" spans="5:9" s="358" customFormat="1" x14ac:dyDescent="0.2">
      <c r="E188" s="361"/>
      <c r="F188" s="362"/>
      <c r="G188" s="362"/>
      <c r="H188" s="369"/>
      <c r="I188" s="367"/>
    </row>
    <row r="189" spans="5:9" s="358" customFormat="1" x14ac:dyDescent="0.2">
      <c r="E189" s="361"/>
      <c r="F189" s="362"/>
      <c r="G189" s="362"/>
      <c r="H189" s="369"/>
      <c r="I189" s="367"/>
    </row>
    <row r="190" spans="5:9" s="358" customFormat="1" x14ac:dyDescent="0.2">
      <c r="E190" s="361"/>
      <c r="F190" s="362"/>
      <c r="G190" s="362"/>
      <c r="H190" s="369"/>
      <c r="I190" s="367"/>
    </row>
    <row r="191" spans="5:9" s="358" customFormat="1" x14ac:dyDescent="0.2">
      <c r="E191" s="361"/>
      <c r="F191" s="362"/>
      <c r="G191" s="362"/>
      <c r="H191" s="369"/>
      <c r="I191" s="367"/>
    </row>
    <row r="192" spans="5:9" s="358" customFormat="1" x14ac:dyDescent="0.2">
      <c r="E192" s="361"/>
      <c r="F192" s="362"/>
      <c r="G192" s="362"/>
      <c r="H192" s="369"/>
      <c r="I192" s="367"/>
    </row>
    <row r="193" spans="5:9" s="358" customFormat="1" x14ac:dyDescent="0.2">
      <c r="E193" s="361"/>
      <c r="F193" s="362"/>
      <c r="G193" s="362"/>
      <c r="H193" s="369"/>
      <c r="I193" s="367"/>
    </row>
    <row r="194" spans="5:9" s="358" customFormat="1" x14ac:dyDescent="0.2">
      <c r="E194" s="361"/>
      <c r="F194" s="362"/>
      <c r="G194" s="362"/>
      <c r="H194" s="369"/>
      <c r="I194" s="367"/>
    </row>
    <row r="195" spans="5:9" s="358" customFormat="1" x14ac:dyDescent="0.2">
      <c r="E195" s="361"/>
      <c r="F195" s="362"/>
      <c r="G195" s="362"/>
      <c r="H195" s="369"/>
      <c r="I195" s="367"/>
    </row>
    <row r="196" spans="5:9" s="358" customFormat="1" x14ac:dyDescent="0.2">
      <c r="E196" s="361"/>
      <c r="F196" s="362"/>
      <c r="G196" s="362"/>
      <c r="H196" s="369"/>
      <c r="I196" s="367"/>
    </row>
    <row r="197" spans="5:9" s="358" customFormat="1" x14ac:dyDescent="0.2">
      <c r="E197" s="361"/>
      <c r="F197" s="362"/>
      <c r="G197" s="362"/>
      <c r="H197" s="369"/>
      <c r="I197" s="367"/>
    </row>
    <row r="198" spans="5:9" s="358" customFormat="1" x14ac:dyDescent="0.2">
      <c r="E198" s="361"/>
      <c r="F198" s="362"/>
      <c r="G198" s="362"/>
      <c r="H198" s="369"/>
      <c r="I198" s="367"/>
    </row>
    <row r="199" spans="5:9" s="358" customFormat="1" x14ac:dyDescent="0.2">
      <c r="E199" s="361"/>
      <c r="F199" s="362"/>
      <c r="G199" s="362"/>
      <c r="H199" s="369"/>
      <c r="I199" s="367"/>
    </row>
    <row r="200" spans="5:9" s="358" customFormat="1" x14ac:dyDescent="0.2">
      <c r="E200" s="361"/>
      <c r="F200" s="362"/>
      <c r="G200" s="362"/>
      <c r="H200" s="369"/>
      <c r="I200" s="367"/>
    </row>
    <row r="201" spans="5:9" s="358" customFormat="1" x14ac:dyDescent="0.2">
      <c r="E201" s="361"/>
      <c r="F201" s="362"/>
      <c r="G201" s="362"/>
      <c r="H201" s="369"/>
      <c r="I201" s="367"/>
    </row>
    <row r="202" spans="5:9" s="358" customFormat="1" x14ac:dyDescent="0.2">
      <c r="E202" s="361"/>
      <c r="F202" s="362"/>
      <c r="G202" s="362"/>
      <c r="H202" s="369"/>
      <c r="I202" s="367"/>
    </row>
    <row r="203" spans="5:9" s="358" customFormat="1" x14ac:dyDescent="0.2">
      <c r="E203" s="361"/>
      <c r="F203" s="362"/>
      <c r="G203" s="362"/>
      <c r="H203" s="369"/>
      <c r="I203" s="367"/>
    </row>
    <row r="204" spans="5:9" s="358" customFormat="1" x14ac:dyDescent="0.2">
      <c r="E204" s="361"/>
      <c r="F204" s="362"/>
      <c r="G204" s="362"/>
      <c r="H204" s="369"/>
      <c r="I204" s="367"/>
    </row>
    <row r="205" spans="5:9" s="358" customFormat="1" x14ac:dyDescent="0.2">
      <c r="E205" s="361"/>
      <c r="F205" s="362"/>
      <c r="G205" s="362"/>
      <c r="H205" s="369"/>
      <c r="I205" s="367"/>
    </row>
    <row r="206" spans="5:9" s="358" customFormat="1" x14ac:dyDescent="0.2">
      <c r="E206" s="361"/>
      <c r="F206" s="362"/>
      <c r="G206" s="362"/>
      <c r="H206" s="369"/>
      <c r="I206" s="367"/>
    </row>
    <row r="207" spans="5:9" s="358" customFormat="1" x14ac:dyDescent="0.2">
      <c r="E207" s="361"/>
      <c r="F207" s="362"/>
      <c r="G207" s="362"/>
      <c r="H207" s="369"/>
      <c r="I207" s="367"/>
    </row>
    <row r="208" spans="5:9" s="358" customFormat="1" x14ac:dyDescent="0.2">
      <c r="E208" s="361"/>
      <c r="F208" s="362"/>
      <c r="G208" s="362"/>
      <c r="H208" s="369"/>
      <c r="I208" s="367"/>
    </row>
    <row r="209" spans="5:9" s="358" customFormat="1" x14ac:dyDescent="0.2">
      <c r="E209" s="361"/>
      <c r="F209" s="362"/>
      <c r="G209" s="362"/>
      <c r="H209" s="369"/>
      <c r="I209" s="367"/>
    </row>
    <row r="210" spans="5:9" s="358" customFormat="1" x14ac:dyDescent="0.2">
      <c r="E210" s="361"/>
      <c r="F210" s="362"/>
      <c r="G210" s="362"/>
      <c r="H210" s="369"/>
      <c r="I210" s="367"/>
    </row>
    <row r="211" spans="5:9" s="358" customFormat="1" x14ac:dyDescent="0.2">
      <c r="E211" s="361"/>
      <c r="F211" s="362"/>
      <c r="G211" s="362"/>
      <c r="H211" s="369"/>
      <c r="I211" s="367"/>
    </row>
    <row r="212" spans="5:9" s="358" customFormat="1" x14ac:dyDescent="0.2">
      <c r="E212" s="361"/>
      <c r="F212" s="362"/>
      <c r="G212" s="362"/>
      <c r="H212" s="369"/>
      <c r="I212" s="367"/>
    </row>
    <row r="213" spans="5:9" s="358" customFormat="1" x14ac:dyDescent="0.2">
      <c r="E213" s="361"/>
      <c r="F213" s="362"/>
      <c r="G213" s="362"/>
      <c r="H213" s="369"/>
      <c r="I213" s="367"/>
    </row>
    <row r="214" spans="5:9" s="358" customFormat="1" x14ac:dyDescent="0.2">
      <c r="E214" s="361"/>
      <c r="F214" s="362"/>
      <c r="G214" s="362"/>
      <c r="H214" s="369"/>
      <c r="I214" s="367"/>
    </row>
    <row r="215" spans="5:9" s="358" customFormat="1" x14ac:dyDescent="0.2">
      <c r="E215" s="361"/>
      <c r="F215" s="362"/>
      <c r="G215" s="362"/>
      <c r="H215" s="369"/>
      <c r="I215" s="367"/>
    </row>
    <row r="216" spans="5:9" s="358" customFormat="1" x14ac:dyDescent="0.2">
      <c r="E216" s="361"/>
      <c r="F216" s="362"/>
      <c r="G216" s="362"/>
      <c r="H216" s="369"/>
      <c r="I216" s="367"/>
    </row>
    <row r="217" spans="5:9" s="358" customFormat="1" x14ac:dyDescent="0.2">
      <c r="E217" s="361"/>
      <c r="F217" s="362"/>
      <c r="G217" s="362"/>
      <c r="H217" s="369"/>
      <c r="I217" s="367"/>
    </row>
    <row r="218" spans="5:9" s="358" customFormat="1" x14ac:dyDescent="0.2">
      <c r="E218" s="361"/>
      <c r="F218" s="362"/>
      <c r="G218" s="362"/>
      <c r="H218" s="369"/>
      <c r="I218" s="367"/>
    </row>
    <row r="219" spans="5:9" s="358" customFormat="1" x14ac:dyDescent="0.2">
      <c r="E219" s="361"/>
      <c r="F219" s="362"/>
      <c r="G219" s="362"/>
      <c r="H219" s="369"/>
      <c r="I219" s="367"/>
    </row>
    <row r="220" spans="5:9" s="358" customFormat="1" x14ac:dyDescent="0.2">
      <c r="E220" s="361"/>
      <c r="F220" s="362"/>
      <c r="G220" s="362"/>
      <c r="H220" s="369"/>
      <c r="I220" s="367"/>
    </row>
    <row r="221" spans="5:9" s="358" customFormat="1" x14ac:dyDescent="0.2">
      <c r="E221" s="361"/>
      <c r="F221" s="362"/>
      <c r="G221" s="362"/>
      <c r="H221" s="369"/>
      <c r="I221" s="367"/>
    </row>
    <row r="222" spans="5:9" s="358" customFormat="1" x14ac:dyDescent="0.2">
      <c r="E222" s="361"/>
      <c r="F222" s="362"/>
      <c r="G222" s="362"/>
      <c r="H222" s="369"/>
      <c r="I222" s="367"/>
    </row>
    <row r="223" spans="5:9" s="358" customFormat="1" x14ac:dyDescent="0.2">
      <c r="E223" s="361"/>
      <c r="F223" s="362"/>
      <c r="G223" s="362"/>
      <c r="H223" s="369"/>
      <c r="I223" s="367"/>
    </row>
    <row r="224" spans="5:9" s="358" customFormat="1" x14ac:dyDescent="0.2">
      <c r="E224" s="361"/>
      <c r="F224" s="362"/>
      <c r="G224" s="362"/>
      <c r="H224" s="369"/>
      <c r="I224" s="367"/>
    </row>
    <row r="225" spans="5:9" s="358" customFormat="1" x14ac:dyDescent="0.2">
      <c r="E225" s="361"/>
      <c r="F225" s="362"/>
      <c r="G225" s="362"/>
      <c r="H225" s="369"/>
      <c r="I225" s="367"/>
    </row>
    <row r="226" spans="5:9" s="358" customFormat="1" x14ac:dyDescent="0.2">
      <c r="E226" s="361"/>
      <c r="F226" s="362"/>
      <c r="G226" s="362"/>
      <c r="H226" s="369"/>
      <c r="I226" s="367"/>
    </row>
    <row r="227" spans="5:9" s="358" customFormat="1" x14ac:dyDescent="0.2">
      <c r="E227" s="361"/>
      <c r="F227" s="362"/>
      <c r="G227" s="362"/>
      <c r="H227" s="369"/>
      <c r="I227" s="367"/>
    </row>
    <row r="228" spans="5:9" s="358" customFormat="1" x14ac:dyDescent="0.2">
      <c r="E228" s="361"/>
      <c r="F228" s="362"/>
      <c r="G228" s="362"/>
      <c r="H228" s="369"/>
      <c r="I228" s="367"/>
    </row>
    <row r="229" spans="5:9" s="358" customFormat="1" x14ac:dyDescent="0.2">
      <c r="E229" s="361"/>
      <c r="F229" s="362"/>
      <c r="G229" s="362"/>
      <c r="H229" s="369"/>
      <c r="I229" s="367"/>
    </row>
    <row r="230" spans="5:9" s="358" customFormat="1" x14ac:dyDescent="0.2">
      <c r="E230" s="361"/>
      <c r="F230" s="362"/>
      <c r="G230" s="362"/>
      <c r="H230" s="369"/>
      <c r="I230" s="367"/>
    </row>
    <row r="231" spans="5:9" s="358" customFormat="1" x14ac:dyDescent="0.2">
      <c r="E231" s="361"/>
      <c r="F231" s="362"/>
      <c r="G231" s="362"/>
      <c r="H231" s="369"/>
      <c r="I231" s="367"/>
    </row>
    <row r="232" spans="5:9" s="358" customFormat="1" x14ac:dyDescent="0.2">
      <c r="E232" s="361"/>
      <c r="F232" s="362"/>
      <c r="G232" s="362"/>
      <c r="H232" s="369"/>
      <c r="I232" s="367"/>
    </row>
    <row r="233" spans="5:9" s="358" customFormat="1" x14ac:dyDescent="0.2">
      <c r="E233" s="361"/>
      <c r="F233" s="362"/>
      <c r="G233" s="362"/>
      <c r="H233" s="369"/>
      <c r="I233" s="367"/>
    </row>
    <row r="234" spans="5:9" s="358" customFormat="1" x14ac:dyDescent="0.2">
      <c r="E234" s="361"/>
      <c r="F234" s="362"/>
      <c r="G234" s="362"/>
      <c r="H234" s="369"/>
      <c r="I234" s="367"/>
    </row>
    <row r="235" spans="5:9" s="358" customFormat="1" x14ac:dyDescent="0.2">
      <c r="E235" s="361"/>
      <c r="F235" s="362"/>
      <c r="G235" s="362"/>
      <c r="H235" s="369"/>
      <c r="I235" s="367"/>
    </row>
    <row r="236" spans="5:9" s="358" customFormat="1" x14ac:dyDescent="0.2">
      <c r="E236" s="361"/>
      <c r="F236" s="362"/>
      <c r="G236" s="362"/>
      <c r="H236" s="369"/>
      <c r="I236" s="367"/>
    </row>
    <row r="237" spans="5:9" s="358" customFormat="1" x14ac:dyDescent="0.2">
      <c r="E237" s="361"/>
      <c r="F237" s="362"/>
      <c r="G237" s="362"/>
      <c r="H237" s="369"/>
      <c r="I237" s="367"/>
    </row>
    <row r="238" spans="5:9" s="358" customFormat="1" x14ac:dyDescent="0.2">
      <c r="E238" s="361"/>
      <c r="F238" s="362"/>
      <c r="G238" s="362"/>
      <c r="H238" s="369"/>
      <c r="I238" s="367"/>
    </row>
    <row r="239" spans="5:9" s="358" customFormat="1" x14ac:dyDescent="0.2">
      <c r="E239" s="361"/>
      <c r="F239" s="362"/>
      <c r="G239" s="362"/>
      <c r="H239" s="369"/>
      <c r="I239" s="367"/>
    </row>
    <row r="240" spans="5:9" s="358" customFormat="1" x14ac:dyDescent="0.2">
      <c r="E240" s="361"/>
      <c r="F240" s="362"/>
      <c r="G240" s="362"/>
      <c r="H240" s="369"/>
      <c r="I240" s="367"/>
    </row>
    <row r="241" spans="5:9" s="358" customFormat="1" x14ac:dyDescent="0.2">
      <c r="E241" s="361"/>
      <c r="F241" s="362"/>
      <c r="G241" s="362"/>
      <c r="H241" s="369"/>
      <c r="I241" s="367"/>
    </row>
    <row r="242" spans="5:9" s="358" customFormat="1" x14ac:dyDescent="0.2">
      <c r="E242" s="361"/>
      <c r="F242" s="362"/>
      <c r="G242" s="362"/>
      <c r="H242" s="369"/>
      <c r="I242" s="367"/>
    </row>
    <row r="243" spans="5:9" s="358" customFormat="1" x14ac:dyDescent="0.2">
      <c r="E243" s="361"/>
      <c r="F243" s="362"/>
      <c r="G243" s="362"/>
      <c r="H243" s="369"/>
      <c r="I243" s="367"/>
    </row>
    <row r="244" spans="5:9" s="358" customFormat="1" x14ac:dyDescent="0.2">
      <c r="E244" s="361"/>
      <c r="F244" s="362"/>
      <c r="G244" s="362"/>
      <c r="H244" s="369"/>
      <c r="I244" s="367"/>
    </row>
    <row r="245" spans="5:9" s="358" customFormat="1" x14ac:dyDescent="0.2">
      <c r="E245" s="361"/>
      <c r="F245" s="362"/>
      <c r="G245" s="362"/>
      <c r="H245" s="369"/>
      <c r="I245" s="367"/>
    </row>
    <row r="246" spans="5:9" s="358" customFormat="1" x14ac:dyDescent="0.2">
      <c r="E246" s="361"/>
      <c r="F246" s="362"/>
      <c r="G246" s="362"/>
      <c r="H246" s="369"/>
      <c r="I246" s="367"/>
    </row>
    <row r="247" spans="5:9" s="358" customFormat="1" x14ac:dyDescent="0.2">
      <c r="E247" s="361"/>
      <c r="F247" s="362"/>
      <c r="G247" s="362"/>
      <c r="H247" s="369"/>
      <c r="I247" s="367"/>
    </row>
    <row r="248" spans="5:9" s="358" customFormat="1" x14ac:dyDescent="0.2">
      <c r="E248" s="361"/>
      <c r="F248" s="362"/>
      <c r="G248" s="362"/>
      <c r="H248" s="369"/>
      <c r="I248" s="367"/>
    </row>
    <row r="249" spans="5:9" s="358" customFormat="1" x14ac:dyDescent="0.2">
      <c r="E249" s="361"/>
      <c r="F249" s="362"/>
      <c r="G249" s="362"/>
      <c r="H249" s="369"/>
      <c r="I249" s="367"/>
    </row>
    <row r="250" spans="5:9" s="358" customFormat="1" x14ac:dyDescent="0.2">
      <c r="E250" s="361"/>
      <c r="F250" s="362"/>
      <c r="G250" s="362"/>
      <c r="H250" s="369"/>
      <c r="I250" s="367"/>
    </row>
    <row r="251" spans="5:9" s="358" customFormat="1" x14ac:dyDescent="0.2">
      <c r="E251" s="361"/>
      <c r="F251" s="362"/>
      <c r="G251" s="362"/>
      <c r="H251" s="369"/>
      <c r="I251" s="367"/>
    </row>
    <row r="252" spans="5:9" s="358" customFormat="1" x14ac:dyDescent="0.2">
      <c r="E252" s="361"/>
      <c r="F252" s="362"/>
      <c r="G252" s="362"/>
      <c r="H252" s="369"/>
      <c r="I252" s="367"/>
    </row>
    <row r="253" spans="5:9" s="358" customFormat="1" x14ac:dyDescent="0.2">
      <c r="E253" s="361"/>
      <c r="F253" s="362"/>
      <c r="G253" s="362"/>
      <c r="H253" s="369"/>
      <c r="I253" s="367"/>
    </row>
    <row r="254" spans="5:9" s="358" customFormat="1" x14ac:dyDescent="0.2">
      <c r="E254" s="361"/>
      <c r="F254" s="362"/>
      <c r="G254" s="362"/>
      <c r="H254" s="369"/>
      <c r="I254" s="367"/>
    </row>
    <row r="255" spans="5:9" s="358" customFormat="1" x14ac:dyDescent="0.2">
      <c r="E255" s="361"/>
      <c r="F255" s="362"/>
      <c r="G255" s="362"/>
      <c r="H255" s="369"/>
      <c r="I255" s="367"/>
    </row>
    <row r="256" spans="5:9" s="358" customFormat="1" x14ac:dyDescent="0.2">
      <c r="E256" s="361"/>
      <c r="F256" s="362"/>
      <c r="G256" s="362"/>
      <c r="H256" s="369"/>
      <c r="I256" s="367"/>
    </row>
    <row r="257" spans="2:9" s="358" customFormat="1" x14ac:dyDescent="0.2">
      <c r="E257" s="361"/>
      <c r="F257" s="362"/>
      <c r="G257" s="362"/>
      <c r="H257" s="369"/>
      <c r="I257" s="367"/>
    </row>
    <row r="258" spans="2:9" s="358" customFormat="1" x14ac:dyDescent="0.2">
      <c r="E258" s="361"/>
      <c r="F258" s="362"/>
      <c r="G258" s="362"/>
      <c r="H258" s="369"/>
      <c r="I258" s="367"/>
    </row>
    <row r="259" spans="2:9" s="358" customFormat="1" x14ac:dyDescent="0.2">
      <c r="E259" s="361"/>
      <c r="F259" s="362"/>
      <c r="G259" s="362"/>
      <c r="H259" s="369"/>
      <c r="I259" s="367"/>
    </row>
    <row r="260" spans="2:9" s="358" customFormat="1" x14ac:dyDescent="0.2">
      <c r="E260" s="361"/>
      <c r="F260" s="362"/>
      <c r="G260" s="362"/>
      <c r="H260" s="369"/>
      <c r="I260" s="367"/>
    </row>
    <row r="261" spans="2:9" s="358" customFormat="1" x14ac:dyDescent="0.2">
      <c r="E261" s="361"/>
      <c r="F261" s="362"/>
      <c r="G261" s="362"/>
      <c r="H261" s="369"/>
      <c r="I261" s="367"/>
    </row>
    <row r="262" spans="2:9" s="358" customFormat="1" x14ac:dyDescent="0.2">
      <c r="E262" s="361"/>
      <c r="F262" s="362"/>
      <c r="G262" s="362"/>
      <c r="H262" s="369"/>
      <c r="I262" s="367"/>
    </row>
    <row r="263" spans="2:9" s="358" customFormat="1" x14ac:dyDescent="0.2">
      <c r="E263" s="361"/>
      <c r="F263" s="362"/>
      <c r="G263" s="362"/>
      <c r="H263" s="369"/>
      <c r="I263" s="367"/>
    </row>
    <row r="264" spans="2:9" s="358" customFormat="1" x14ac:dyDescent="0.2">
      <c r="E264" s="361"/>
      <c r="F264" s="362"/>
      <c r="G264" s="362"/>
      <c r="H264" s="369"/>
      <c r="I264" s="367"/>
    </row>
    <row r="265" spans="2:9" s="358" customFormat="1" x14ac:dyDescent="0.2">
      <c r="E265" s="361"/>
      <c r="F265" s="362"/>
      <c r="G265" s="362"/>
      <c r="H265" s="369"/>
      <c r="I265" s="367"/>
    </row>
    <row r="266" spans="2:9" s="358" customFormat="1" x14ac:dyDescent="0.2">
      <c r="E266" s="361"/>
      <c r="F266" s="362"/>
      <c r="G266" s="362"/>
      <c r="H266" s="369"/>
      <c r="I266" s="367"/>
    </row>
    <row r="267" spans="2:9" s="358" customFormat="1" x14ac:dyDescent="0.2">
      <c r="B267" s="365"/>
      <c r="C267" s="365"/>
      <c r="E267" s="361"/>
      <c r="F267" s="362"/>
      <c r="G267" s="362"/>
      <c r="H267" s="369"/>
      <c r="I267" s="367"/>
    </row>
    <row r="268" spans="2:9" s="358" customFormat="1" x14ac:dyDescent="0.2">
      <c r="B268" s="365"/>
      <c r="C268" s="365"/>
      <c r="E268" s="361"/>
      <c r="F268" s="362"/>
      <c r="G268" s="362"/>
      <c r="H268" s="369"/>
      <c r="I268" s="367"/>
    </row>
    <row r="269" spans="2:9" s="358" customFormat="1" x14ac:dyDescent="0.2">
      <c r="B269" s="365"/>
      <c r="C269" s="365"/>
      <c r="E269" s="361"/>
      <c r="F269" s="362"/>
      <c r="G269" s="362"/>
      <c r="H269" s="369"/>
      <c r="I269" s="367"/>
    </row>
    <row r="270" spans="2:9" s="358" customFormat="1" x14ac:dyDescent="0.2">
      <c r="B270" s="365"/>
      <c r="C270" s="365"/>
      <c r="E270" s="361"/>
      <c r="F270" s="362"/>
      <c r="G270" s="362"/>
      <c r="H270" s="369"/>
      <c r="I270" s="367"/>
    </row>
    <row r="271" spans="2:9" s="358" customFormat="1" ht="12" thickBot="1" x14ac:dyDescent="0.25">
      <c r="B271" s="365"/>
      <c r="C271" s="365"/>
      <c r="E271" s="370"/>
      <c r="F271" s="371"/>
      <c r="G271" s="371"/>
      <c r="H271" s="372"/>
      <c r="I271" s="367"/>
    </row>
    <row r="272" spans="2:9" x14ac:dyDescent="0.2">
      <c r="E272" s="366"/>
    </row>
    <row r="273" spans="5:5" x14ac:dyDescent="0.2">
      <c r="E273" s="366"/>
    </row>
    <row r="274" spans="5:5" x14ac:dyDescent="0.2">
      <c r="E274" s="366"/>
    </row>
    <row r="275" spans="5:5" x14ac:dyDescent="0.2">
      <c r="E275" s="366"/>
    </row>
    <row r="276" spans="5:5" x14ac:dyDescent="0.2">
      <c r="E276" s="366"/>
    </row>
    <row r="277" spans="5:5" x14ac:dyDescent="0.2">
      <c r="E277" s="366"/>
    </row>
    <row r="278" spans="5:5" x14ac:dyDescent="0.2">
      <c r="E278" s="366"/>
    </row>
    <row r="279" spans="5:5" x14ac:dyDescent="0.2">
      <c r="E279" s="366"/>
    </row>
    <row r="280" spans="5:5" x14ac:dyDescent="0.2">
      <c r="E280" s="366"/>
    </row>
    <row r="281" spans="5:5" x14ac:dyDescent="0.2">
      <c r="E281" s="366"/>
    </row>
    <row r="282" spans="5:5" x14ac:dyDescent="0.2">
      <c r="E282" s="366"/>
    </row>
    <row r="283" spans="5:5" x14ac:dyDescent="0.2">
      <c r="E283" s="366"/>
    </row>
    <row r="284" spans="5:5" x14ac:dyDescent="0.2">
      <c r="E284" s="366"/>
    </row>
    <row r="285" spans="5:5" x14ac:dyDescent="0.2">
      <c r="E285" s="366"/>
    </row>
    <row r="286" spans="5:5" x14ac:dyDescent="0.2">
      <c r="E286" s="366"/>
    </row>
    <row r="287" spans="5:5" x14ac:dyDescent="0.2">
      <c r="E287" s="366"/>
    </row>
    <row r="288" spans="5:5" x14ac:dyDescent="0.2">
      <c r="E288" s="366"/>
    </row>
    <row r="289" spans="5:5" x14ac:dyDescent="0.2">
      <c r="E289" s="366"/>
    </row>
    <row r="290" spans="5:5" x14ac:dyDescent="0.2">
      <c r="E290" s="366"/>
    </row>
    <row r="291" spans="5:5" x14ac:dyDescent="0.2">
      <c r="E291" s="366"/>
    </row>
    <row r="292" spans="5:5" x14ac:dyDescent="0.2">
      <c r="E292" s="366"/>
    </row>
    <row r="293" spans="5:5" x14ac:dyDescent="0.2">
      <c r="E293" s="366"/>
    </row>
    <row r="294" spans="5:5" x14ac:dyDescent="0.2">
      <c r="E294" s="366"/>
    </row>
    <row r="295" spans="5:5" x14ac:dyDescent="0.2">
      <c r="E295" s="366"/>
    </row>
    <row r="296" spans="5:5" x14ac:dyDescent="0.2">
      <c r="E296" s="366"/>
    </row>
    <row r="297" spans="5:5" x14ac:dyDescent="0.2">
      <c r="E297" s="366"/>
    </row>
    <row r="298" spans="5:5" x14ac:dyDescent="0.2">
      <c r="E298" s="366"/>
    </row>
    <row r="299" spans="5:5" x14ac:dyDescent="0.2">
      <c r="E299" s="366"/>
    </row>
    <row r="300" spans="5:5" x14ac:dyDescent="0.2">
      <c r="E300" s="366"/>
    </row>
    <row r="301" spans="5:5" x14ac:dyDescent="0.2">
      <c r="E301" s="366"/>
    </row>
    <row r="302" spans="5:5" x14ac:dyDescent="0.2">
      <c r="E302" s="366"/>
    </row>
    <row r="303" spans="5:5" x14ac:dyDescent="0.2">
      <c r="E303" s="366"/>
    </row>
    <row r="304" spans="5:5" x14ac:dyDescent="0.2">
      <c r="E304" s="366"/>
    </row>
    <row r="305" spans="5:5" x14ac:dyDescent="0.2">
      <c r="E305" s="366"/>
    </row>
    <row r="306" spans="5:5" x14ac:dyDescent="0.2">
      <c r="E306" s="366"/>
    </row>
    <row r="307" spans="5:5" x14ac:dyDescent="0.2">
      <c r="E307" s="366"/>
    </row>
    <row r="308" spans="5:5" x14ac:dyDescent="0.2">
      <c r="E308" s="366"/>
    </row>
    <row r="309" spans="5:5" x14ac:dyDescent="0.2">
      <c r="E309" s="366"/>
    </row>
    <row r="310" spans="5:5" x14ac:dyDescent="0.2">
      <c r="E310" s="366"/>
    </row>
    <row r="311" spans="5:5" x14ac:dyDescent="0.2">
      <c r="E311" s="366"/>
    </row>
    <row r="312" spans="5:5" x14ac:dyDescent="0.2">
      <c r="E312" s="366"/>
    </row>
    <row r="313" spans="5:5" x14ac:dyDescent="0.2">
      <c r="E313" s="366"/>
    </row>
    <row r="314" spans="5:5" x14ac:dyDescent="0.2">
      <c r="E314" s="366"/>
    </row>
    <row r="315" spans="5:5" x14ac:dyDescent="0.2">
      <c r="E315" s="366"/>
    </row>
    <row r="316" spans="5:5" x14ac:dyDescent="0.2">
      <c r="E316" s="366"/>
    </row>
    <row r="317" spans="5:5" x14ac:dyDescent="0.2">
      <c r="E317" s="366"/>
    </row>
    <row r="318" spans="5:5" x14ac:dyDescent="0.2">
      <c r="E318" s="366"/>
    </row>
    <row r="319" spans="5:5" x14ac:dyDescent="0.2">
      <c r="E319" s="366"/>
    </row>
    <row r="320" spans="5:5" x14ac:dyDescent="0.2">
      <c r="E320" s="366"/>
    </row>
    <row r="321" spans="5:5" x14ac:dyDescent="0.2">
      <c r="E321" s="366"/>
    </row>
    <row r="322" spans="5:5" x14ac:dyDescent="0.2">
      <c r="E322" s="366"/>
    </row>
    <row r="323" spans="5:5" x14ac:dyDescent="0.2">
      <c r="E323" s="366"/>
    </row>
    <row r="324" spans="5:5" x14ac:dyDescent="0.2">
      <c r="E324" s="366"/>
    </row>
    <row r="325" spans="5:5" x14ac:dyDescent="0.2">
      <c r="E325" s="366"/>
    </row>
    <row r="326" spans="5:5" x14ac:dyDescent="0.2">
      <c r="E326" s="366"/>
    </row>
    <row r="327" spans="5:5" x14ac:dyDescent="0.2">
      <c r="E327" s="366"/>
    </row>
    <row r="328" spans="5:5" x14ac:dyDescent="0.2">
      <c r="E328" s="366"/>
    </row>
    <row r="329" spans="5:5" x14ac:dyDescent="0.2">
      <c r="E329" s="366"/>
    </row>
    <row r="330" spans="5:5" x14ac:dyDescent="0.2">
      <c r="E330" s="366"/>
    </row>
    <row r="331" spans="5:5" x14ac:dyDescent="0.2">
      <c r="E331" s="366"/>
    </row>
    <row r="332" spans="5:5" x14ac:dyDescent="0.2">
      <c r="E332" s="366"/>
    </row>
    <row r="333" spans="5:5" x14ac:dyDescent="0.2">
      <c r="E333" s="366"/>
    </row>
    <row r="334" spans="5:5" x14ac:dyDescent="0.2">
      <c r="E334" s="366"/>
    </row>
    <row r="335" spans="5:5" x14ac:dyDescent="0.2">
      <c r="E335" s="366"/>
    </row>
    <row r="336" spans="5:5" x14ac:dyDescent="0.2">
      <c r="E336" s="366"/>
    </row>
    <row r="337" spans="5:5" x14ac:dyDescent="0.2">
      <c r="E337" s="366"/>
    </row>
    <row r="338" spans="5:5" x14ac:dyDescent="0.2">
      <c r="E338" s="366"/>
    </row>
    <row r="339" spans="5:5" x14ac:dyDescent="0.2">
      <c r="E339" s="366"/>
    </row>
    <row r="340" spans="5:5" x14ac:dyDescent="0.2">
      <c r="E340" s="366"/>
    </row>
    <row r="341" spans="5:5" x14ac:dyDescent="0.2">
      <c r="E341" s="366"/>
    </row>
    <row r="342" spans="5:5" x14ac:dyDescent="0.2">
      <c r="E342" s="366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topLeftCell="J1" workbookViewId="0">
      <selection activeCell="A2" sqref="A2"/>
    </sheetView>
  </sheetViews>
  <sheetFormatPr defaultRowHeight="13.5" outlineLevelCol="1" x14ac:dyDescent="0.25"/>
  <cols>
    <col min="1" max="2" width="2.7109375" style="105" hidden="1" customWidth="1" outlineLevel="1"/>
    <col min="3" max="4" width="4" style="105" hidden="1" customWidth="1" outlineLevel="1"/>
    <col min="5" max="5" width="16.7109375" style="105" hidden="1" customWidth="1" outlineLevel="1"/>
    <col min="6" max="6" width="21.42578125" style="106" hidden="1" customWidth="1" outlineLevel="1"/>
    <col min="7" max="7" width="85.5703125" style="105" hidden="1" customWidth="1" outlineLevel="1"/>
    <col min="8" max="8" width="2.7109375" style="105" hidden="1" customWidth="1" outlineLevel="1" collapsed="1"/>
    <col min="9" max="9" width="2.7109375" style="105" hidden="1" customWidth="1" outlineLevel="1"/>
    <col min="10" max="10" width="2.7109375" style="105" customWidth="1" collapsed="1"/>
    <col min="11" max="11" width="9.28515625" style="105" bestFit="1" customWidth="1"/>
    <col min="12" max="12" width="13.5703125" style="105" bestFit="1" customWidth="1"/>
    <col min="13" max="15" width="6" style="105" customWidth="1"/>
    <col min="16" max="16" width="10.140625" style="105" customWidth="1"/>
    <col min="17" max="17" width="7.7109375" style="105" bestFit="1" customWidth="1"/>
    <col min="18" max="18" width="2.7109375" style="105" customWidth="1"/>
    <col min="19" max="19" width="5.85546875" style="105" bestFit="1" customWidth="1"/>
    <col min="20" max="20" width="2.7109375" style="105" customWidth="1"/>
    <col min="21" max="21" width="7.7109375" style="105" bestFit="1" customWidth="1"/>
    <col min="22" max="22" width="7" style="105" bestFit="1" customWidth="1"/>
    <col min="23" max="23" width="2.7109375" style="105" customWidth="1"/>
    <col min="24" max="16384" width="9.140625" style="105"/>
  </cols>
  <sheetData>
    <row r="1" spans="1:24" ht="15" x14ac:dyDescent="0.25"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3</v>
      </c>
      <c r="W3" s="158"/>
      <c r="X3"/>
    </row>
    <row r="4" spans="1:24" ht="22.5" x14ac:dyDescent="0.25">
      <c r="A4" s="115"/>
      <c r="B4" s="121"/>
      <c r="C4" s="121"/>
      <c r="D4" s="120"/>
      <c r="E4" s="119" t="str">
        <f>Currency&amp;"_010_"&amp;"OIS.xml"</f>
        <v>HKD_010_OIS.xml</v>
      </c>
      <c r="F4" s="118">
        <f ca="1">IF(Serialize,_xll.ohObjectSave(_xll.ohPack(F5:F23),SerializationPath&amp;E4,FileOverwrite,,Serialize),"---")</f>
        <v>19</v>
      </c>
      <c r="G4" s="117" t="str">
        <f ca="1">_xll.ohRangeRetrieveError(F4)</f>
        <v/>
      </c>
      <c r="H4" s="328" t="s">
        <v>182</v>
      </c>
      <c r="J4" s="167"/>
      <c r="K4" s="219"/>
      <c r="L4" s="180" t="e">
        <f ca="1">_xll.RData(L5:L23,M4:P4,,ReutersRtMode,,M5)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6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HKDOISSW_Quote#0002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189</v>
      </c>
      <c r="N5" s="169" t="s">
        <v>189</v>
      </c>
      <c r="O5" s="169" t="s">
        <v>189</v>
      </c>
      <c r="P5" s="169" t="s">
        <v>189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QuoteStatic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HKDOIS2W_Quote#0002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189</v>
      </c>
      <c r="N6" s="169" t="s">
        <v>189</v>
      </c>
      <c r="O6" s="169" t="s">
        <v>189</v>
      </c>
      <c r="P6" s="169" t="s">
        <v>189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HKDOIS3W_Quote#0002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189</v>
      </c>
      <c r="N7" s="169" t="s">
        <v>189</v>
      </c>
      <c r="O7" s="169" t="s">
        <v>189</v>
      </c>
      <c r="P7" s="169" t="s">
        <v>189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HKDOIS1M_Quote#0002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 t="e">
        <f>_xll.qlSimpleQuoteSetValue(E8,$U8/100,ISERROR(F8))</f>
        <v>#N/A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HKDOIS2M_Quote#0002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 t="e">
        <f>_xll.qlSimpleQuoteSetValue(E9,$U9/100,ISERROR(F9))</f>
        <v>#N/A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HKDOIS3M_Quote#0002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 t="e">
        <f>_xll.qlSimpleQuoteSetValue(E10,$U10/100,ISERROR(F10))</f>
        <v>#N/A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HKDOIS4M_Quote#0002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 t="e">
        <f>_xll.qlSimpleQuoteSetValue(E11,$U11/100,ISERROR(F11))</f>
        <v>#N/A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HKDOIS5M_Quote#0002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 t="e">
        <f>_xll.qlSimpleQuoteSetValue(E12,$U12/100,ISERROR(F12))</f>
        <v>#N/A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HKDOIS6M_Quote#0002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 t="e">
        <f>_xll.qlSimpleQuoteSetValue(E13,$U13/100,ISERROR(F13))</f>
        <v>#N/A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HKDOIS7M_Quote#0002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189</v>
      </c>
      <c r="N14" s="169" t="s">
        <v>189</v>
      </c>
      <c r="O14" s="169" t="s">
        <v>189</v>
      </c>
      <c r="P14" s="169" t="s">
        <v>189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HKDOIS8M_Quote#0002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189</v>
      </c>
      <c r="N15" s="169" t="s">
        <v>189</v>
      </c>
      <c r="O15" s="169" t="s">
        <v>189</v>
      </c>
      <c r="P15" s="169" t="s">
        <v>189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HKDOIS9M_Quote#0002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 t="e">
        <f>_xll.qlSimpleQuoteSetValue(E16,$U16/100,ISERROR(F16))</f>
        <v>#N/A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HKDOIS10M_Quote#0002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189</v>
      </c>
      <c r="N17" s="169" t="s">
        <v>189</v>
      </c>
      <c r="O17" s="169" t="s">
        <v>189</v>
      </c>
      <c r="P17" s="169" t="s">
        <v>189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HKDOIS11M_Quote#0002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189</v>
      </c>
      <c r="N18" s="169" t="s">
        <v>189</v>
      </c>
      <c r="O18" s="169" t="s">
        <v>189</v>
      </c>
      <c r="P18" s="169" t="s">
        <v>189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HKDOIS1Y_Quote#0002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 t="e">
        <f>_xll.qlSimpleQuoteSetValue(E19,$U19/100,ISERROR(F19))</f>
        <v>#N/A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HKDOIS15M_Quote#0002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189</v>
      </c>
      <c r="N20" s="169" t="s">
        <v>189</v>
      </c>
      <c r="O20" s="169" t="s">
        <v>189</v>
      </c>
      <c r="P20" s="169" t="s">
        <v>189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HKDOIS18M_Quote#0002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189</v>
      </c>
      <c r="N21" s="169" t="s">
        <v>189</v>
      </c>
      <c r="O21" s="169" t="s">
        <v>189</v>
      </c>
      <c r="P21" s="169" t="s">
        <v>189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HKDOIS21M_Quote#0002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189</v>
      </c>
      <c r="N22" s="169" t="s">
        <v>189</v>
      </c>
      <c r="O22" s="169" t="s">
        <v>189</v>
      </c>
      <c r="P22" s="169" t="s">
        <v>189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HKDOIS2Y_Quote#0002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189</v>
      </c>
      <c r="N23" s="160" t="s">
        <v>189</v>
      </c>
      <c r="O23" s="160" t="s">
        <v>189</v>
      </c>
      <c r="P23" s="160" t="s">
        <v>189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3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27" t="s">
        <v>182</v>
      </c>
      <c r="H3" s="167"/>
      <c r="I3" s="313" t="e">
        <f ca="1">_xll.RData(I4:I21,J3:J3,,ReutersRtMode,,J4)</f>
        <v>#NAME?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HKDOND_Quote#0002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6.8570000000000006E-2</v>
      </c>
      <c r="K4" s="162" t="s">
        <v>182</v>
      </c>
      <c r="L4" s="174">
        <v>7.4289999999999995E-2</v>
      </c>
      <c r="M4" s="162" t="s">
        <v>182</v>
      </c>
      <c r="N4" s="241">
        <f t="array" ref="N4:N21">QuoteStatic</f>
        <v>7.4289999999999995E-2</v>
      </c>
      <c r="O4" s="172" t="e">
        <f>_xll.qlSimpleQuoteSetValue(C4,N4/100,ISERROR(D4))</f>
        <v>#N/A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HKDTND_Quote#0002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189</v>
      </c>
      <c r="K5" s="317" t="s">
        <v>182</v>
      </c>
      <c r="L5" s="171" t="s">
        <v>189</v>
      </c>
      <c r="M5" s="317" t="s">
        <v>182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HKDSND_Quote#0002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189</v>
      </c>
      <c r="K6" s="162" t="s">
        <v>182</v>
      </c>
      <c r="L6" s="171" t="s">
        <v>189</v>
      </c>
      <c r="M6" s="162" t="s">
        <v>182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HKDSWD_Quote#0002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189</v>
      </c>
      <c r="K7" s="162" t="s">
        <v>182</v>
      </c>
      <c r="L7" s="171" t="s">
        <v>189</v>
      </c>
      <c r="M7" s="162" t="s">
        <v>182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HKD2WD_Quote#0002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0.15434999999999999</v>
      </c>
      <c r="K8" s="162" t="s">
        <v>182</v>
      </c>
      <c r="L8" s="171">
        <v>0.15928999999999999</v>
      </c>
      <c r="M8" s="162" t="s">
        <v>182</v>
      </c>
      <c r="N8" s="230">
        <v>0.15928999999999999</v>
      </c>
      <c r="O8" s="168" t="e">
        <f>_xll.qlSimpleQuoteSetValue(C8,N8/100,ISERROR(D8))</f>
        <v>#N/A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HKD3WD_Quote#0002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189</v>
      </c>
      <c r="K9" s="162" t="s">
        <v>182</v>
      </c>
      <c r="L9" s="171" t="s">
        <v>189</v>
      </c>
      <c r="M9" s="162" t="s">
        <v>182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HKD1MD_Quote#0002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0.21143000000000001</v>
      </c>
      <c r="K10" s="162" t="s">
        <v>182</v>
      </c>
      <c r="L10" s="171">
        <v>0.21357000000000001</v>
      </c>
      <c r="M10" s="162" t="s">
        <v>182</v>
      </c>
      <c r="N10" s="230">
        <v>0.21357000000000001</v>
      </c>
      <c r="O10" s="168" t="e">
        <f>_xll.qlSimpleQuoteSetValue(C10,N10/100,ISERROR(D10))</f>
        <v>#N/A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HKD2MD_Quote#0002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0.31286000000000003</v>
      </c>
      <c r="K11" s="162" t="s">
        <v>182</v>
      </c>
      <c r="L11" s="171">
        <v>0.31429000000000001</v>
      </c>
      <c r="M11" s="162" t="s">
        <v>182</v>
      </c>
      <c r="N11" s="230">
        <v>0.31429000000000001</v>
      </c>
      <c r="O11" s="168" t="e">
        <f>_xll.qlSimpleQuoteSetValue(C11,N11/100,ISERROR(D11))</f>
        <v>#N/A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HKD3MD_Quote#0002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0.37929000000000002</v>
      </c>
      <c r="K12" s="162" t="s">
        <v>182</v>
      </c>
      <c r="L12" s="171">
        <v>0.37857000000000002</v>
      </c>
      <c r="M12" s="162" t="s">
        <v>182</v>
      </c>
      <c r="N12" s="230">
        <v>0.37857000000000002</v>
      </c>
      <c r="O12" s="168" t="e">
        <f>_xll.qlSimpleQuoteSetValue(C12,N12/100,ISERROR(D12))</f>
        <v>#N/A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HKD4MD_Quote#0002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0.41266999999999998</v>
      </c>
      <c r="K13" s="162" t="s">
        <v>182</v>
      </c>
      <c r="L13" s="171">
        <v>0.41293000000000002</v>
      </c>
      <c r="M13" s="162" t="s">
        <v>182</v>
      </c>
      <c r="N13" s="230">
        <v>0.41293000000000002</v>
      </c>
      <c r="O13" s="168" t="e">
        <f>_xll.qlSimpleQuoteSetValue(C13,N13/100,ISERROR(D13))</f>
        <v>#N/A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HKD5MD_Quote#0002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0.46143000000000001</v>
      </c>
      <c r="K14" s="162" t="s">
        <v>182</v>
      </c>
      <c r="L14" s="171">
        <v>0.46126</v>
      </c>
      <c r="M14" s="162" t="s">
        <v>182</v>
      </c>
      <c r="N14" s="230">
        <v>0.46126</v>
      </c>
      <c r="O14" s="168" t="e">
        <f>_xll.qlSimpleQuoteSetValue(C14,N14/100,ISERROR(D14))</f>
        <v>#N/A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HKD6MD_Quote#0002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 t="e">
        <f>_xll.qlSimpleQuoteSetValue(C15,N15/100,ISERROR(D15))</f>
        <v>#N/A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HKD7MD_Quote#0002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0.57643</v>
      </c>
      <c r="K16" s="162" t="s">
        <v>182</v>
      </c>
      <c r="L16" s="171">
        <v>0.57643</v>
      </c>
      <c r="M16" s="162" t="s">
        <v>182</v>
      </c>
      <c r="N16" s="230">
        <v>0.57643</v>
      </c>
      <c r="O16" s="168" t="e">
        <f>_xll.qlSimpleQuoteSetValue(C16,N16/100,ISERROR(D16))</f>
        <v>#N/A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HKD8MD_Quote#0002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0.61024</v>
      </c>
      <c r="K17" s="162" t="s">
        <v>182</v>
      </c>
      <c r="L17" s="171">
        <v>0.60958000000000001</v>
      </c>
      <c r="M17" s="162" t="s">
        <v>182</v>
      </c>
      <c r="N17" s="230">
        <v>0.60958000000000001</v>
      </c>
      <c r="O17" s="168" t="e">
        <f>_xll.qlSimpleQuoteSetValue(C17,N17/100,ISERROR(D17))</f>
        <v>#N/A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HKD9MD_Quote#0002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0.63914000000000004</v>
      </c>
      <c r="K18" s="162" t="s">
        <v>182</v>
      </c>
      <c r="L18" s="171">
        <v>0.63846999999999998</v>
      </c>
      <c r="M18" s="162" t="s">
        <v>182</v>
      </c>
      <c r="N18" s="230">
        <v>0.63846999999999998</v>
      </c>
      <c r="O18" s="168" t="e">
        <f>_xll.qlSimpleQuoteSetValue(C18,N18/100,ISERROR(D18))</f>
        <v>#N/A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HKD10MD_Quote#0002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0.71260999999999997</v>
      </c>
      <c r="K19" s="162" t="s">
        <v>182</v>
      </c>
      <c r="L19" s="171">
        <v>0.71267999999999998</v>
      </c>
      <c r="M19" s="162" t="s">
        <v>182</v>
      </c>
      <c r="N19" s="230">
        <v>0.71267999999999998</v>
      </c>
      <c r="O19" s="168" t="e">
        <f>_xll.qlSimpleQuoteSetValue(C19,N19/100,ISERROR(D19))</f>
        <v>#N/A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HKD11MD_Quote#0002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0.78929000000000005</v>
      </c>
      <c r="K20" s="162" t="s">
        <v>182</v>
      </c>
      <c r="L20" s="171">
        <v>0.79</v>
      </c>
      <c r="M20" s="162" t="s">
        <v>182</v>
      </c>
      <c r="N20" s="230">
        <v>0.79</v>
      </c>
      <c r="O20" s="168" t="e">
        <f>_xll.qlSimpleQuoteSetValue(C20,N20/100,ISERROR(D20))</f>
        <v>#N/A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HKD1YD_Quote#0002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0.86356999999999995</v>
      </c>
      <c r="K21" s="162" t="s">
        <v>182</v>
      </c>
      <c r="L21" s="163">
        <v>0.86570999999999998</v>
      </c>
      <c r="M21" s="162" t="s">
        <v>182</v>
      </c>
      <c r="N21" s="223">
        <v>0.86570999999999998</v>
      </c>
      <c r="O21" s="159" t="e">
        <f>_xll.qlSimpleQuoteSetValue(C21,N21/100,ISERROR(D21))</f>
        <v>#N/A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2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2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2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3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25" t="s">
        <v>182</v>
      </c>
      <c r="I4" s="185"/>
      <c r="J4" s="219"/>
      <c r="K4" s="218"/>
      <c r="L4" s="217"/>
      <c r="M4" s="180" t="e">
        <f ca="1">_xll.RData(M7:M38,N4:Q4,,ReutersRtMode,,N7)</f>
        <v>#NAME?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6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HKDT1F1_Quote#0002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HKDTOM1F1_Quote#0002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19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HKDT3F1_Quote#0002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189</v>
      </c>
      <c r="O7" s="212" t="s">
        <v>189</v>
      </c>
      <c r="P7" s="211" t="s">
        <v>189</v>
      </c>
      <c r="Q7" s="211" t="s">
        <v>189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QuoteStatic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HKDTOM3F1_Quote#0002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189</v>
      </c>
      <c r="O8" s="207" t="s">
        <v>189</v>
      </c>
      <c r="P8" s="206" t="s">
        <v>189</v>
      </c>
      <c r="Q8" s="206" t="s">
        <v>189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HKD1x4F_Quote#0002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 t="e">
        <f>_xll.qlSimpleQuoteSetValue(D9,V9/100,ISERROR(E9))</f>
        <v>#N/A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HKD2x5F_Quote#0002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 t="e">
        <f>_xll.qlSimpleQuoteSetValue(D10,V10/100,ISERROR(E10))</f>
        <v>#N/A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HKD3x6F_Quote#0002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 t="e">
        <f>_xll.qlSimpleQuoteSetValue(D11,V11/100,ISERROR(E11))</f>
        <v>#N/A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HKD4x7F_Quote#0002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 t="e">
        <f>_xll.qlSimpleQuoteSetValue(D12,V12/100,ISERROR(E12))</f>
        <v>#N/A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HKD5x8F_Quote#0002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 t="e">
        <f>_xll.qlSimpleQuoteSetValue(D13,V13/100,ISERROR(E13))</f>
        <v>#N/A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HKD6x9F_Quote#0002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 t="e">
        <f>_xll.qlSimpleQuoteSetValue(D14,V14/100,ISERROR(E14))</f>
        <v>#N/A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HKD7x10F_Quote#0002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 t="e">
        <f>_xll.qlSimpleQuoteSetValue(D15,V15/100,ISERROR(E15))</f>
        <v>#N/A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HKD8x11F_Quote#0002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 t="e">
        <f>_xll.qlSimpleQuoteSetValue(D16,V16/100,ISERROR(E16))</f>
        <v>#N/A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HKD9x12F_Quote#0002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 t="e">
        <f>_xll.qlSimpleQuoteSetValue(D17,V17/100,ISERROR(E17))</f>
        <v>#N/A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HKDT6F1_Quote#0002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189</v>
      </c>
      <c r="O18" s="212" t="s">
        <v>189</v>
      </c>
      <c r="P18" s="211" t="s">
        <v>189</v>
      </c>
      <c r="Q18" s="211" t="s">
        <v>189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HKDTOM6F1_Quote#0002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189</v>
      </c>
      <c r="O19" s="207" t="s">
        <v>189</v>
      </c>
      <c r="P19" s="206" t="s">
        <v>189</v>
      </c>
      <c r="Q19" s="206" t="s">
        <v>189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HKD1x7F_Quote#0002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 t="e">
        <f>_xll.qlSimpleQuoteSetValue(D20,V20/100,ISERROR(E20))</f>
        <v>#N/A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HKD2x8F_Quote#0002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 t="e">
        <f>_xll.qlSimpleQuoteSetValue(D21,V21/100,ISERROR(E21))</f>
        <v>#N/A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HKD3x9F_Quote#0002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 t="e">
        <f>_xll.qlSimpleQuoteSetValue(D22,V22/100,ISERROR(E22))</f>
        <v>#N/A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HKD4x10F_Quote#0002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 t="e">
        <f>_xll.qlSimpleQuoteSetValue(D23,V23/100,ISERROR(E23))</f>
        <v>#N/A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HKD5x11F_Quote#0002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 t="e">
        <f>_xll.qlSimpleQuoteSetValue(D24,V24/100,ISERROR(E24))</f>
        <v>#N/A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HKD6x12F_Quote#0002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 t="e">
        <f>_xll.qlSimpleQuoteSetValue(D25,V25/100,ISERROR(E25))</f>
        <v>#N/A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HKD7x13F_Quote#0002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189</v>
      </c>
      <c r="O26" s="201" t="s">
        <v>189</v>
      </c>
      <c r="P26" s="200" t="s">
        <v>189</v>
      </c>
      <c r="Q26" s="200" t="s">
        <v>189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HKD8x14F_Quote#0002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189</v>
      </c>
      <c r="O27" s="201" t="s">
        <v>189</v>
      </c>
      <c r="P27" s="200" t="s">
        <v>189</v>
      </c>
      <c r="Q27" s="200" t="s">
        <v>189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HKD9x15F_Quote#0002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189</v>
      </c>
      <c r="O28" s="201" t="s">
        <v>189</v>
      </c>
      <c r="P28" s="200" t="s">
        <v>189</v>
      </c>
      <c r="Q28" s="200" t="s">
        <v>189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HKD10x16F_Quote#0002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189</v>
      </c>
      <c r="O29" s="201" t="s">
        <v>189</v>
      </c>
      <c r="P29" s="200" t="s">
        <v>189</v>
      </c>
      <c r="Q29" s="200" t="s">
        <v>189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HKD11x17F_Quote#0002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189</v>
      </c>
      <c r="O30" s="201" t="s">
        <v>189</v>
      </c>
      <c r="P30" s="200" t="s">
        <v>189</v>
      </c>
      <c r="Q30" s="200" t="s">
        <v>189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HKD12x18F_Quote#0002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0.56999999999999995</v>
      </c>
      <c r="O31" s="201">
        <v>0.67</v>
      </c>
      <c r="P31" s="200">
        <v>0</v>
      </c>
      <c r="Q31" s="200">
        <v>0</v>
      </c>
      <c r="R31" s="164">
        <f>_xll.qlMidSafe($N31,$O31)</f>
        <v>0.62</v>
      </c>
      <c r="S31" s="162"/>
      <c r="T31" s="199">
        <v>0.6100000000000001</v>
      </c>
      <c r="U31" s="162"/>
      <c r="V31" s="230">
        <v>0.6100000000000001</v>
      </c>
      <c r="W31" s="168" t="e">
        <f>_xll.qlSimpleQuoteSetValue(D31,V31/100,ISERROR(E31))</f>
        <v>#N/A</v>
      </c>
      <c r="X31" s="158"/>
      <c r="Y31" s="190"/>
      <c r="Z31" s="191">
        <f t="shared" si="3"/>
        <v>1.0000000000000009E-3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HKD13x19F_Quote#0002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189</v>
      </c>
      <c r="O32" s="201" t="s">
        <v>189</v>
      </c>
      <c r="P32" s="200" t="s">
        <v>189</v>
      </c>
      <c r="Q32" s="200" t="s">
        <v>189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HKD14x20F_Quote#0002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189</v>
      </c>
      <c r="O33" s="201" t="s">
        <v>189</v>
      </c>
      <c r="P33" s="200" t="s">
        <v>189</v>
      </c>
      <c r="Q33" s="200" t="s">
        <v>189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HKD15x21F_Quote#0002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189</v>
      </c>
      <c r="O34" s="201" t="s">
        <v>189</v>
      </c>
      <c r="P34" s="200" t="s">
        <v>189</v>
      </c>
      <c r="Q34" s="200" t="s">
        <v>189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HKD16x22F_Quote#0002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189</v>
      </c>
      <c r="O35" s="201" t="s">
        <v>189</v>
      </c>
      <c r="P35" s="200" t="s">
        <v>189</v>
      </c>
      <c r="Q35" s="200" t="s">
        <v>189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HKD17x23F_Quote#0002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189</v>
      </c>
      <c r="O36" s="201" t="s">
        <v>189</v>
      </c>
      <c r="P36" s="200" t="s">
        <v>189</v>
      </c>
      <c r="Q36" s="200" t="s">
        <v>189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HKD18x24F_Quote#0002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0.77</v>
      </c>
      <c r="U37" s="162"/>
      <c r="V37" s="230">
        <v>0.77</v>
      </c>
      <c r="W37" s="168" t="e">
        <f>_xll.qlSimpleQuoteSetValue(D37,V37/100,ISERROR(E37))</f>
        <v>#N/A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HKDT12F1_Quote#0002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189</v>
      </c>
      <c r="O38" s="196" t="s">
        <v>189</v>
      </c>
      <c r="P38" s="195" t="s">
        <v>189</v>
      </c>
      <c r="Q38" s="195" t="s">
        <v>189</v>
      </c>
      <c r="R38" s="194" t="e">
        <f>_xll.qlMidSafe($N38,$O38)</f>
        <v>#NUM!</v>
      </c>
      <c r="S38" s="162"/>
      <c r="T38" s="193" t="e">
        <v>#NUM!</v>
      </c>
      <c r="U38" s="162"/>
      <c r="V38" s="318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HKDTOM12F1_Quote#0002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HKD12x24F_Quote#0002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workbookViewId="0">
      <selection activeCell="O7" sqref="O7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3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25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e">
        <f ca="1">_xll.RData(O4:O39,P3:T3,,ReutersRtMode,,P4)</f>
        <v>#NAME?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G4</v>
      </c>
      <c r="E4" s="89" t="str">
        <f t="shared" ref="E4:E35" si="0">Currency&amp;$D$2&amp;$E$2&amp;$D4&amp;QuoteSuffix</f>
        <v>HKDFUT3MG4_Quote</v>
      </c>
      <c r="F4" s="95" t="str">
        <f>_xll.qlSimpleQuote(E4,,PriceTickValue,Permanent,Trigger,ObjectOverwrite)</f>
        <v>HKDFUT3MG4_Quote#0002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G4</v>
      </c>
      <c r="N4" s="244">
        <f t="array" ref="N4:N39">_xll.qlIMMNextDates(_xll.qlSettingsEvaluationDate(Trigger)-1,$L4:$L39)</f>
        <v>41689</v>
      </c>
      <c r="O4" s="173" t="str">
        <f>"HIR"&amp;M4</f>
        <v>HIRG4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99.59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QuoteStatic</f>
        <v>99.59</v>
      </c>
      <c r="Z4" s="175" t="e">
        <f>_xll.qlSimpleQuoteSetValue(E4,$Y4,ISERROR(F4))</f>
        <v>#N/A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H4</v>
      </c>
      <c r="E5" s="89" t="str">
        <f t="shared" si="0"/>
        <v>HKDFUT3MH4_Quote</v>
      </c>
      <c r="F5" s="95" t="str">
        <f>_xll.qlSimpleQuote(E5,,PriceTickValue,Permanent,Trigger,ObjectOverwrite)</f>
        <v>HKDFUT3MH4_Quote#0002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H4</v>
      </c>
      <c r="N5" s="233">
        <v>41717</v>
      </c>
      <c r="O5" s="169" t="str">
        <f t="shared" ref="O5:O39" si="2">"HIR"&amp;M5</f>
        <v>HIRH4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99.59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 t="e">
        <f>_xll.qlSimpleQuoteSetValue(E5,$Y5,ISERROR(F5))</f>
        <v>#N/A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J4</v>
      </c>
      <c r="E6" s="89" t="str">
        <f t="shared" si="0"/>
        <v>HKDFUT3MJ4_Quote</v>
      </c>
      <c r="F6" s="95" t="str">
        <f>_xll.qlSimpleQuote(E6,,PriceTickValue,Permanent,Trigger,ObjectOverwrite)</f>
        <v>HKDFUT3MJ4_Quote#0002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J4</v>
      </c>
      <c r="N6" s="233">
        <v>41745</v>
      </c>
      <c r="O6" s="169" t="str">
        <f t="shared" si="2"/>
        <v>HIRJ4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99.59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 t="e">
        <f>_xll.qlSimpleQuoteSetValue(E6,$Y6,ISERROR(F6))</f>
        <v>#N/A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K4</v>
      </c>
      <c r="E7" s="89" t="str">
        <f t="shared" si="0"/>
        <v>HKDFUT3MK4_Quote</v>
      </c>
      <c r="F7" s="95" t="str">
        <f>_xll.qlSimpleQuote(E7,,PriceTickValue,Permanent,Trigger,ObjectOverwrite)</f>
        <v>HKDFUT3MK4_Quote#0002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K4</v>
      </c>
      <c r="N7" s="233">
        <v>41780</v>
      </c>
      <c r="O7" s="169" t="str">
        <f t="shared" si="2"/>
        <v>HIRK4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99.58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 t="e">
        <f>_xll.qlSimpleQuoteSetValue(E7,$Y7,ISERROR(F7))</f>
        <v>#N/A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M4</v>
      </c>
      <c r="E8" s="89" t="str">
        <f t="shared" si="0"/>
        <v>HKDFUT3MM4_Quote</v>
      </c>
      <c r="F8" s="95" t="str">
        <f>_xll.qlSimpleQuote(E8,,PriceTickValue,Permanent,Trigger,ObjectOverwrite)</f>
        <v>HKDFUT3MM4_Quote#0002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M4</v>
      </c>
      <c r="N8" s="233">
        <v>41808</v>
      </c>
      <c r="O8" s="169" t="str">
        <f t="shared" si="2"/>
        <v>HIRM4</v>
      </c>
      <c r="P8" s="232" t="s">
        <v>189</v>
      </c>
      <c r="Q8" s="169" t="s">
        <v>189</v>
      </c>
      <c r="R8" s="169" t="s">
        <v>189</v>
      </c>
      <c r="S8" s="169" t="s">
        <v>189</v>
      </c>
      <c r="T8" s="169" t="s">
        <v>189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N4</v>
      </c>
      <c r="E9" s="89" t="str">
        <f t="shared" si="0"/>
        <v>HKDFUT3MN4_Quote</v>
      </c>
      <c r="F9" s="95" t="str">
        <f>_xll.qlSimpleQuote(E9,,PriceTickValue,Permanent,Trigger,ObjectOverwrite)</f>
        <v>HKDFUT3MN4_Quote#0002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N4</v>
      </c>
      <c r="N9" s="233">
        <v>41836</v>
      </c>
      <c r="O9" s="169" t="str">
        <f t="shared" si="2"/>
        <v>HIRN4</v>
      </c>
      <c r="P9" s="232" t="s">
        <v>189</v>
      </c>
      <c r="Q9" s="169" t="s">
        <v>189</v>
      </c>
      <c r="R9" s="169" t="s">
        <v>189</v>
      </c>
      <c r="S9" s="169" t="s">
        <v>189</v>
      </c>
      <c r="T9" s="169" t="s">
        <v>189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Q4</v>
      </c>
      <c r="E10" s="89" t="str">
        <f t="shared" si="0"/>
        <v>HKDFUT3MQ4_Quote</v>
      </c>
      <c r="F10" s="95" t="str">
        <f>_xll.qlSimpleQuote(E10,,PriceTickValue,Permanent,Trigger,ObjectOverwrite)</f>
        <v>HKDFUT3MQ4_Quote#0002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Q4</v>
      </c>
      <c r="N10" s="233">
        <v>41871</v>
      </c>
      <c r="O10" s="169" t="str">
        <f t="shared" si="2"/>
        <v>HIRQ4</v>
      </c>
      <c r="P10" s="232">
        <v>41806</v>
      </c>
      <c r="Q10" s="169">
        <v>99.49</v>
      </c>
      <c r="R10" s="169">
        <v>99.58</v>
      </c>
      <c r="S10" s="169">
        <v>0</v>
      </c>
      <c r="T10" s="169">
        <v>99.54</v>
      </c>
      <c r="U10" s="164">
        <f>_xll.qlMidSafe($Q10,$R10)</f>
        <v>99.534999999999997</v>
      </c>
      <c r="V10" s="162"/>
      <c r="W10" s="231">
        <v>99.539999999999992</v>
      </c>
      <c r="X10" s="162"/>
      <c r="Y10" s="230">
        <v>99.539999999999992</v>
      </c>
      <c r="Z10" s="164" t="e">
        <f>_xll.qlSimpleQuoteSetValue(E10,$Y10,ISERROR(F10))</f>
        <v>#N/A</v>
      </c>
      <c r="AA10" s="183"/>
      <c r="AB10" s="190"/>
      <c r="AC10" s="191">
        <f t="shared" si="1"/>
        <v>9.0000000000003413E-4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U4</v>
      </c>
      <c r="E11" s="89" t="str">
        <f t="shared" si="0"/>
        <v>HKDFUT3MU4_Quote</v>
      </c>
      <c r="F11" s="95" t="str">
        <f>_xll.qlSimpleQuote(E11,,PriceTickValue,Permanent,Trigger,ObjectOverwrite)</f>
        <v>HKDFUT3MU4_Quote#0002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U4</v>
      </c>
      <c r="N11" s="233">
        <v>41899</v>
      </c>
      <c r="O11" s="169" t="str">
        <f t="shared" si="2"/>
        <v>HIRU4</v>
      </c>
      <c r="P11" s="232" t="s">
        <v>189</v>
      </c>
      <c r="Q11" s="169" t="s">
        <v>189</v>
      </c>
      <c r="R11" s="169" t="s">
        <v>189</v>
      </c>
      <c r="S11" s="169" t="s">
        <v>189</v>
      </c>
      <c r="T11" s="169" t="s">
        <v>189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V4</v>
      </c>
      <c r="E12" s="89" t="str">
        <f t="shared" si="0"/>
        <v>HKDFUT3MV4_Quote</v>
      </c>
      <c r="F12" s="95" t="str">
        <f>_xll.qlSimpleQuote(E12,,PriceTickValue,Permanent,Trigger,ObjectOverwrite)</f>
        <v>HKDFUT3MV4_Quote#0002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V4</v>
      </c>
      <c r="N12" s="233">
        <v>41927</v>
      </c>
      <c r="O12" s="169" t="str">
        <f t="shared" si="2"/>
        <v>HIRV4</v>
      </c>
      <c r="P12" s="232" t="s">
        <v>189</v>
      </c>
      <c r="Q12" s="169" t="s">
        <v>189</v>
      </c>
      <c r="R12" s="169" t="s">
        <v>189</v>
      </c>
      <c r="S12" s="169" t="s">
        <v>189</v>
      </c>
      <c r="T12" s="169" t="s">
        <v>189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X4</v>
      </c>
      <c r="E13" s="89" t="str">
        <f t="shared" si="0"/>
        <v>HKDFUT3MX4_Quote</v>
      </c>
      <c r="F13" s="95" t="str">
        <f>_xll.qlSimpleQuote(E13,,PriceTickValue,Permanent,Trigger,ObjectOverwrite)</f>
        <v>HKDFUT3MX4_Quote#0002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X4</v>
      </c>
      <c r="N13" s="233">
        <v>41962</v>
      </c>
      <c r="O13" s="169" t="str">
        <f t="shared" si="2"/>
        <v>HIRX4</v>
      </c>
      <c r="P13" s="232">
        <v>41897</v>
      </c>
      <c r="Q13" s="169">
        <v>99.49</v>
      </c>
      <c r="R13" s="169">
        <v>99.53</v>
      </c>
      <c r="S13" s="169">
        <v>0</v>
      </c>
      <c r="T13" s="169">
        <v>99.51</v>
      </c>
      <c r="U13" s="164">
        <f>_xll.qlMidSafe($Q13,$R13)</f>
        <v>99.509999999999991</v>
      </c>
      <c r="V13" s="162"/>
      <c r="W13" s="231">
        <v>99.509999999999991</v>
      </c>
      <c r="X13" s="162"/>
      <c r="Y13" s="230">
        <v>99.509999999999991</v>
      </c>
      <c r="Z13" s="164" t="e">
        <f>_xll.qlSimpleQuoteSetValue(E13,$Y13,ISERROR(F13))</f>
        <v>#N/A</v>
      </c>
      <c r="AA13" s="183"/>
      <c r="AB13" s="190"/>
      <c r="AC13" s="191">
        <f t="shared" si="1"/>
        <v>4.0000000000020466E-4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Z4</v>
      </c>
      <c r="E14" s="89" t="str">
        <f t="shared" si="0"/>
        <v>HKDFUT3MZ4_Quote</v>
      </c>
      <c r="F14" s="95" t="str">
        <f>_xll.qlSimpleQuote(E14,,PriceTickValue,Permanent,Trigger,ObjectOverwrite)</f>
        <v>HKDFUT3MZ4_Quote#0002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Z4</v>
      </c>
      <c r="N14" s="233">
        <v>41990</v>
      </c>
      <c r="O14" s="169" t="str">
        <f t="shared" si="2"/>
        <v>HIRZ4</v>
      </c>
      <c r="P14" s="232" t="s">
        <v>189</v>
      </c>
      <c r="Q14" s="169" t="s">
        <v>189</v>
      </c>
      <c r="R14" s="169" t="s">
        <v>189</v>
      </c>
      <c r="S14" s="169" t="s">
        <v>189</v>
      </c>
      <c r="T14" s="169" t="s">
        <v>189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F5</v>
      </c>
      <c r="E15" s="89" t="str">
        <f t="shared" si="0"/>
        <v>HKDFUT3MF5_Quote</v>
      </c>
      <c r="F15" s="88" t="str">
        <f>_xll.qlSimpleQuote(E15,,PriceTickValue,Permanent,Trigger,ObjectOverwrite)</f>
        <v>HKDFUT3MF5_Quote#0002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F5</v>
      </c>
      <c r="N15" s="233">
        <v>42025</v>
      </c>
      <c r="O15" s="169" t="str">
        <f t="shared" si="2"/>
        <v>HIRF5</v>
      </c>
      <c r="P15" s="232" t="s">
        <v>189</v>
      </c>
      <c r="Q15" s="169" t="s">
        <v>189</v>
      </c>
      <c r="R15" s="169" t="s">
        <v>189</v>
      </c>
      <c r="S15" s="169" t="s">
        <v>189</v>
      </c>
      <c r="T15" s="169" t="s">
        <v>189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G5</v>
      </c>
      <c r="E16" s="89" t="str">
        <f t="shared" si="0"/>
        <v>HKDFUT3MG5_Quote</v>
      </c>
      <c r="F16" s="88" t="str">
        <f>_xll.qlSimpleQuote(E16,,PriceTickValue,Permanent,Trigger,ObjectOverwrite)</f>
        <v>HKDFUT3MG5_Quote#0002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G5</v>
      </c>
      <c r="N16" s="233">
        <v>42053</v>
      </c>
      <c r="O16" s="169" t="str">
        <f t="shared" si="2"/>
        <v>HIRG5</v>
      </c>
      <c r="P16" s="232">
        <v>41988</v>
      </c>
      <c r="Q16" s="169">
        <v>0</v>
      </c>
      <c r="R16" s="169">
        <v>0</v>
      </c>
      <c r="S16" s="169">
        <v>0</v>
      </c>
      <c r="T16" s="169">
        <v>99.51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H5</v>
      </c>
      <c r="E17" s="89" t="str">
        <f t="shared" si="0"/>
        <v>HKDFUT3MH5_Quote</v>
      </c>
      <c r="F17" s="88" t="str">
        <f>_xll.qlSimpleQuote(E17,,PriceTickValue,Permanent,Trigger,ObjectOverwrite)</f>
        <v>HKDFUT3MH5_Quote#0002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H5</v>
      </c>
      <c r="N17" s="233">
        <v>42081</v>
      </c>
      <c r="O17" s="169" t="str">
        <f t="shared" si="2"/>
        <v>HIRH5</v>
      </c>
      <c r="P17" s="232" t="s">
        <v>189</v>
      </c>
      <c r="Q17" s="169" t="s">
        <v>189</v>
      </c>
      <c r="R17" s="169" t="s">
        <v>189</v>
      </c>
      <c r="S17" s="169" t="s">
        <v>189</v>
      </c>
      <c r="T17" s="169" t="s">
        <v>189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J5</v>
      </c>
      <c r="E18" s="89" t="str">
        <f t="shared" si="0"/>
        <v>HKDFUT3MJ5_Quote</v>
      </c>
      <c r="F18" s="88" t="str">
        <f>_xll.qlSimpleQuote(E18,,PriceTickValue,Permanent,Trigger,ObjectOverwrite)</f>
        <v>HKDFUT3MJ5_Quote#0002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J5</v>
      </c>
      <c r="N18" s="233">
        <v>42109</v>
      </c>
      <c r="O18" s="169" t="str">
        <f t="shared" si="2"/>
        <v>HIRJ5</v>
      </c>
      <c r="P18" s="232" t="s">
        <v>189</v>
      </c>
      <c r="Q18" s="169" t="s">
        <v>189</v>
      </c>
      <c r="R18" s="169" t="s">
        <v>189</v>
      </c>
      <c r="S18" s="169" t="s">
        <v>189</v>
      </c>
      <c r="T18" s="169" t="s">
        <v>189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K5</v>
      </c>
      <c r="E19" s="89" t="str">
        <f t="shared" si="0"/>
        <v>HKDFUT3MK5_Quote</v>
      </c>
      <c r="F19" s="88" t="str">
        <f>_xll.qlSimpleQuote(E19,,PriceTickValue,Permanent,Trigger,ObjectOverwrite)</f>
        <v>HKDFUT3MK5_Quote#0002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K5</v>
      </c>
      <c r="N19" s="233">
        <v>42144</v>
      </c>
      <c r="O19" s="169" t="str">
        <f t="shared" si="2"/>
        <v>HIRK5</v>
      </c>
      <c r="P19" s="232">
        <v>42079</v>
      </c>
      <c r="Q19" s="169">
        <v>0</v>
      </c>
      <c r="R19" s="169">
        <v>0</v>
      </c>
      <c r="S19" s="169">
        <v>0</v>
      </c>
      <c r="T19" s="169">
        <v>99.51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M5</v>
      </c>
      <c r="E20" s="89" t="str">
        <f t="shared" si="0"/>
        <v>HKDFUT3MM5_Quote</v>
      </c>
      <c r="F20" s="88" t="str">
        <f>_xll.qlSimpleQuote(E20,,PriceTickValue,Permanent,Trigger,ObjectOverwrite)</f>
        <v>HKDFUT3MM5_Quote#0002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M5</v>
      </c>
      <c r="N20" s="233">
        <v>42172</v>
      </c>
      <c r="O20" s="169" t="str">
        <f t="shared" si="2"/>
        <v>HIRM5</v>
      </c>
      <c r="P20" s="232" t="s">
        <v>189</v>
      </c>
      <c r="Q20" s="169" t="s">
        <v>189</v>
      </c>
      <c r="R20" s="169" t="s">
        <v>189</v>
      </c>
      <c r="S20" s="169" t="s">
        <v>189</v>
      </c>
      <c r="T20" s="169" t="s">
        <v>189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N5</v>
      </c>
      <c r="E21" s="89" t="str">
        <f t="shared" si="0"/>
        <v>HKDFUT3MN5_Quote</v>
      </c>
      <c r="F21" s="88" t="str">
        <f>_xll.qlSimpleQuote(E21,,PriceTickValue,Permanent,Trigger,ObjectOverwrite)</f>
        <v>HKDFUT3MN5_Quote#0002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N5</v>
      </c>
      <c r="N21" s="233">
        <v>42200</v>
      </c>
      <c r="O21" s="169" t="str">
        <f t="shared" si="2"/>
        <v>HIRN5</v>
      </c>
      <c r="P21" s="232" t="s">
        <v>189</v>
      </c>
      <c r="Q21" s="169" t="s">
        <v>189</v>
      </c>
      <c r="R21" s="169" t="s">
        <v>189</v>
      </c>
      <c r="S21" s="169" t="s">
        <v>189</v>
      </c>
      <c r="T21" s="169" t="s">
        <v>189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Q5</v>
      </c>
      <c r="E22" s="89" t="str">
        <f t="shared" si="0"/>
        <v>HKDFUT3MQ5_Quote</v>
      </c>
      <c r="F22" s="88" t="str">
        <f>_xll.qlSimpleQuote(E22,,PriceTickValue,Permanent,Trigger,ObjectOverwrite)</f>
        <v>HKDFUT3MQ5_Quote#0002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Q5</v>
      </c>
      <c r="N22" s="233">
        <v>42235</v>
      </c>
      <c r="O22" s="169" t="str">
        <f t="shared" si="2"/>
        <v>HIRQ5</v>
      </c>
      <c r="P22" s="232">
        <v>42170</v>
      </c>
      <c r="Q22" s="169">
        <v>0</v>
      </c>
      <c r="R22" s="169">
        <v>0</v>
      </c>
      <c r="S22" s="169">
        <v>0</v>
      </c>
      <c r="T22" s="169">
        <v>99.51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U5</v>
      </c>
      <c r="E23" s="89" t="str">
        <f t="shared" si="0"/>
        <v>HKDFUT3MU5_Quote</v>
      </c>
      <c r="F23" s="88" t="str">
        <f>_xll.qlSimpleQuote(E23,,PriceTickValue,Permanent,Trigger,ObjectOverwrite)</f>
        <v>HKDFUT3MU5_Quote#0002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U5</v>
      </c>
      <c r="N23" s="233">
        <v>42263</v>
      </c>
      <c r="O23" s="169" t="str">
        <f t="shared" si="2"/>
        <v>HIRU5</v>
      </c>
      <c r="P23" s="232" t="s">
        <v>189</v>
      </c>
      <c r="Q23" s="169" t="s">
        <v>189</v>
      </c>
      <c r="R23" s="169" t="s">
        <v>189</v>
      </c>
      <c r="S23" s="169" t="s">
        <v>189</v>
      </c>
      <c r="T23" s="169" t="s">
        <v>189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V5</v>
      </c>
      <c r="E24" s="89" t="str">
        <f t="shared" si="0"/>
        <v>HKDFUT3MV5_Quote</v>
      </c>
      <c r="F24" s="88" t="str">
        <f>_xll.qlSimpleQuote(E24,,PriceTickValue,Permanent,Trigger,ObjectOverwrite)</f>
        <v>HKDFUT3MV5_Quote#0002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V5</v>
      </c>
      <c r="N24" s="233">
        <v>42298</v>
      </c>
      <c r="O24" s="169" t="str">
        <f t="shared" si="2"/>
        <v>HIRV5</v>
      </c>
      <c r="P24" s="232" t="s">
        <v>189</v>
      </c>
      <c r="Q24" s="169" t="s">
        <v>189</v>
      </c>
      <c r="R24" s="169" t="s">
        <v>189</v>
      </c>
      <c r="S24" s="169" t="s">
        <v>189</v>
      </c>
      <c r="T24" s="169" t="s">
        <v>189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X5</v>
      </c>
      <c r="E25" s="89" t="str">
        <f t="shared" si="0"/>
        <v>HKDFUT3MX5_Quote</v>
      </c>
      <c r="F25" s="88" t="str">
        <f>_xll.qlSimpleQuote(E25,,PriceTickValue,Permanent,Trigger,ObjectOverwrite)</f>
        <v>HKDFUT3MX5_Quote#0002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X5</v>
      </c>
      <c r="N25" s="233">
        <v>42326</v>
      </c>
      <c r="O25" s="169" t="str">
        <f t="shared" si="2"/>
        <v>HIRX5</v>
      </c>
      <c r="P25" s="232">
        <v>42261</v>
      </c>
      <c r="Q25" s="169">
        <v>0</v>
      </c>
      <c r="R25" s="169">
        <v>0</v>
      </c>
      <c r="S25" s="169">
        <v>0</v>
      </c>
      <c r="T25" s="169">
        <v>99.51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Z5</v>
      </c>
      <c r="E26" s="89" t="str">
        <f t="shared" si="0"/>
        <v>HKDFUT3MZ5_Quote</v>
      </c>
      <c r="F26" s="88" t="str">
        <f>_xll.qlSimpleQuote(E26,,PriceTickValue,Permanent,Trigger,ObjectOverwrite)</f>
        <v>HKDFUT3MZ5_Quote#0002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Z5</v>
      </c>
      <c r="N26" s="233">
        <v>42354</v>
      </c>
      <c r="O26" s="169" t="str">
        <f t="shared" si="2"/>
        <v>HIRZ5</v>
      </c>
      <c r="P26" s="232" t="s">
        <v>189</v>
      </c>
      <c r="Q26" s="169" t="s">
        <v>189</v>
      </c>
      <c r="R26" s="169" t="s">
        <v>189</v>
      </c>
      <c r="S26" s="169" t="s">
        <v>189</v>
      </c>
      <c r="T26" s="169" t="s">
        <v>189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F6</v>
      </c>
      <c r="E27" s="89" t="str">
        <f t="shared" si="0"/>
        <v>HKDFUT3MF6_Quote</v>
      </c>
      <c r="F27" s="88" t="str">
        <f>_xll.qlSimpleQuote(E27,,PriceTickValue,Permanent,Trigger,ObjectOverwrite)</f>
        <v>HKDFUT3MF6_Quote#0002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F6</v>
      </c>
      <c r="N27" s="233">
        <v>42389</v>
      </c>
      <c r="O27" s="169" t="str">
        <f t="shared" si="2"/>
        <v>HIRF6</v>
      </c>
      <c r="P27" s="232" t="s">
        <v>189</v>
      </c>
      <c r="Q27" s="169" t="s">
        <v>189</v>
      </c>
      <c r="R27" s="169" t="s">
        <v>189</v>
      </c>
      <c r="S27" s="169" t="s">
        <v>189</v>
      </c>
      <c r="T27" s="169" t="s">
        <v>189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G6</v>
      </c>
      <c r="E28" s="89" t="str">
        <f t="shared" si="0"/>
        <v>HKDFUT3MG6_Quote</v>
      </c>
      <c r="F28" s="88" t="str">
        <f>_xll.qlSimpleQuote(E28,,PriceTickValue,Permanent,Trigger,ObjectOverwrite)</f>
        <v>HKDFUT3MG6_Quote#0002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G6</v>
      </c>
      <c r="N28" s="233">
        <v>42417</v>
      </c>
      <c r="O28" s="169" t="str">
        <f t="shared" si="2"/>
        <v>HIRG6</v>
      </c>
      <c r="P28" s="232" t="s">
        <v>189</v>
      </c>
      <c r="Q28" s="169" t="s">
        <v>189</v>
      </c>
      <c r="R28" s="169" t="s">
        <v>189</v>
      </c>
      <c r="S28" s="169" t="s">
        <v>189</v>
      </c>
      <c r="T28" s="169" t="s">
        <v>189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H6</v>
      </c>
      <c r="E29" s="89" t="str">
        <f t="shared" si="0"/>
        <v>HKDFUT3MH6_Quote</v>
      </c>
      <c r="F29" s="88" t="str">
        <f>_xll.qlSimpleQuote(E29,,PriceTickValue,Permanent,Trigger,ObjectOverwrite)</f>
        <v>HKDFUT3MH6_Quote#0002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H6</v>
      </c>
      <c r="N29" s="233">
        <v>42445</v>
      </c>
      <c r="O29" s="169" t="str">
        <f t="shared" si="2"/>
        <v>HIRH6</v>
      </c>
      <c r="P29" s="232" t="s">
        <v>189</v>
      </c>
      <c r="Q29" s="169" t="s">
        <v>189</v>
      </c>
      <c r="R29" s="169" t="s">
        <v>189</v>
      </c>
      <c r="S29" s="169" t="s">
        <v>189</v>
      </c>
      <c r="T29" s="169" t="s">
        <v>189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J6</v>
      </c>
      <c r="E30" s="89" t="str">
        <f t="shared" si="0"/>
        <v>HKDFUT3MJ6_Quote</v>
      </c>
      <c r="F30" s="88" t="str">
        <f>_xll.qlSimpleQuote(E30,,PriceTickValue,Permanent,Trigger,ObjectOverwrite)</f>
        <v>HKDFUT3MJ6_Quote#0002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J6</v>
      </c>
      <c r="N30" s="233">
        <v>42480</v>
      </c>
      <c r="O30" s="169" t="str">
        <f t="shared" si="2"/>
        <v>HIRJ6</v>
      </c>
      <c r="P30" s="232" t="s">
        <v>189</v>
      </c>
      <c r="Q30" s="169" t="s">
        <v>189</v>
      </c>
      <c r="R30" s="169" t="s">
        <v>189</v>
      </c>
      <c r="S30" s="169" t="s">
        <v>189</v>
      </c>
      <c r="T30" s="169" t="s">
        <v>189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K6</v>
      </c>
      <c r="E31" s="89" t="str">
        <f t="shared" si="0"/>
        <v>HKDFUT3MK6_Quote</v>
      </c>
      <c r="F31" s="88" t="str">
        <f>_xll.qlSimpleQuote(E31,,PriceTickValue,Permanent,Trigger,ObjectOverwrite)</f>
        <v>HKDFUT3MK6_Quote#0002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K6</v>
      </c>
      <c r="N31" s="233">
        <v>42508</v>
      </c>
      <c r="O31" s="169" t="str">
        <f t="shared" si="2"/>
        <v>HIRK6</v>
      </c>
      <c r="P31" s="232" t="s">
        <v>189</v>
      </c>
      <c r="Q31" s="169" t="s">
        <v>189</v>
      </c>
      <c r="R31" s="169" t="s">
        <v>189</v>
      </c>
      <c r="S31" s="169" t="s">
        <v>189</v>
      </c>
      <c r="T31" s="169" t="s">
        <v>189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M6</v>
      </c>
      <c r="E32" s="89" t="str">
        <f t="shared" si="0"/>
        <v>HKDFUT3MM6_Quote</v>
      </c>
      <c r="F32" s="88" t="str">
        <f>_xll.qlSimpleQuote(E32,,PriceTickValue,Permanent,Trigger,ObjectOverwrite)</f>
        <v>HKDFUT3MM6_Quote#0002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M6</v>
      </c>
      <c r="N32" s="233">
        <v>42536</v>
      </c>
      <c r="O32" s="169" t="str">
        <f t="shared" si="2"/>
        <v>HIRM6</v>
      </c>
      <c r="P32" s="232" t="s">
        <v>189</v>
      </c>
      <c r="Q32" s="169" t="s">
        <v>189</v>
      </c>
      <c r="R32" s="169" t="s">
        <v>189</v>
      </c>
      <c r="S32" s="169" t="s">
        <v>189</v>
      </c>
      <c r="T32" s="169" t="s">
        <v>189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N6</v>
      </c>
      <c r="E33" s="89" t="str">
        <f t="shared" si="0"/>
        <v>HKDFUT3MN6_Quote</v>
      </c>
      <c r="F33" s="88" t="str">
        <f>_xll.qlSimpleQuote(E33,,PriceTickValue,Permanent,Trigger,ObjectOverwrite)</f>
        <v>HKDFUT3MN6_Quote#0002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N6</v>
      </c>
      <c r="N33" s="233">
        <v>42571</v>
      </c>
      <c r="O33" s="169" t="str">
        <f t="shared" si="2"/>
        <v>HIRN6</v>
      </c>
      <c r="P33" s="232" t="s">
        <v>189</v>
      </c>
      <c r="Q33" s="169" t="s">
        <v>189</v>
      </c>
      <c r="R33" s="169" t="s">
        <v>189</v>
      </c>
      <c r="S33" s="169" t="s">
        <v>189</v>
      </c>
      <c r="T33" s="169" t="s">
        <v>189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Q6</v>
      </c>
      <c r="E34" s="89" t="str">
        <f t="shared" si="0"/>
        <v>HKDFUT3MQ6_Quote</v>
      </c>
      <c r="F34" s="88" t="str">
        <f>_xll.qlSimpleQuote(E34,,PriceTickValue,Permanent,Trigger,ObjectOverwrite)</f>
        <v>HKDFUT3MQ6_Quote#0002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Q6</v>
      </c>
      <c r="N34" s="233">
        <v>42599</v>
      </c>
      <c r="O34" s="169" t="str">
        <f t="shared" si="2"/>
        <v>HIRQ6</v>
      </c>
      <c r="P34" s="232" t="s">
        <v>189</v>
      </c>
      <c r="Q34" s="169" t="s">
        <v>189</v>
      </c>
      <c r="R34" s="169" t="s">
        <v>189</v>
      </c>
      <c r="S34" s="169" t="s">
        <v>189</v>
      </c>
      <c r="T34" s="169" t="s">
        <v>189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U6</v>
      </c>
      <c r="E35" s="89" t="str">
        <f t="shared" si="0"/>
        <v>HKDFUT3MU6_Quote</v>
      </c>
      <c r="F35" s="88" t="str">
        <f>_xll.qlSimpleQuote(E35,,PriceTickValue,Permanent,Trigger,ObjectOverwrite)</f>
        <v>HKDFUT3MU6_Quote#0002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U6</v>
      </c>
      <c r="N35" s="233">
        <v>42634</v>
      </c>
      <c r="O35" s="169" t="str">
        <f t="shared" si="2"/>
        <v>HIRU6</v>
      </c>
      <c r="P35" s="232" t="s">
        <v>189</v>
      </c>
      <c r="Q35" s="169" t="s">
        <v>189</v>
      </c>
      <c r="R35" s="169" t="s">
        <v>189</v>
      </c>
      <c r="S35" s="169" t="s">
        <v>189</v>
      </c>
      <c r="T35" s="169" t="s">
        <v>189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V6</v>
      </c>
      <c r="E36" s="89" t="str">
        <f t="shared" ref="E36:E39" si="3">Currency&amp;$D$2&amp;$E$2&amp;$D36&amp;QuoteSuffix</f>
        <v>HKDFUT3MV6_Quote</v>
      </c>
      <c r="F36" s="88" t="str">
        <f>_xll.qlSimpleQuote(E36,,PriceTickValue,Permanent,Trigger,ObjectOverwrite)</f>
        <v>HKDFUT3MV6_Quote#0002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V6</v>
      </c>
      <c r="N36" s="233">
        <v>42662</v>
      </c>
      <c r="O36" s="169" t="str">
        <f t="shared" si="2"/>
        <v>HIRV6</v>
      </c>
      <c r="P36" s="232" t="s">
        <v>189</v>
      </c>
      <c r="Q36" s="169" t="s">
        <v>189</v>
      </c>
      <c r="R36" s="169" t="s">
        <v>189</v>
      </c>
      <c r="S36" s="169" t="s">
        <v>189</v>
      </c>
      <c r="T36" s="169" t="s">
        <v>189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X6</v>
      </c>
      <c r="E37" s="89" t="str">
        <f t="shared" si="3"/>
        <v>HKDFUT3MX6_Quote</v>
      </c>
      <c r="F37" s="88" t="str">
        <f>_xll.qlSimpleQuote(E37,,PriceTickValue,Permanent,Trigger,ObjectOverwrite)</f>
        <v>HKDFUT3MX6_Quote#0002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X6</v>
      </c>
      <c r="N37" s="233">
        <v>42690</v>
      </c>
      <c r="O37" s="169" t="str">
        <f t="shared" si="2"/>
        <v>HIRX6</v>
      </c>
      <c r="P37" s="232" t="s">
        <v>189</v>
      </c>
      <c r="Q37" s="169" t="s">
        <v>189</v>
      </c>
      <c r="R37" s="169" t="s">
        <v>189</v>
      </c>
      <c r="S37" s="169" t="s">
        <v>189</v>
      </c>
      <c r="T37" s="169" t="s">
        <v>189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Z6</v>
      </c>
      <c r="E38" s="89" t="str">
        <f t="shared" si="3"/>
        <v>HKDFUT3MZ6_Quote</v>
      </c>
      <c r="F38" s="88" t="str">
        <f>_xll.qlSimpleQuote(E38,,PriceTickValue,Permanent,Trigger,ObjectOverwrite)</f>
        <v>HKDFUT3MZ6_Quote#0002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Z6</v>
      </c>
      <c r="N38" s="233">
        <v>42725</v>
      </c>
      <c r="O38" s="169" t="str">
        <f t="shared" si="2"/>
        <v>HIRZ6</v>
      </c>
      <c r="P38" s="232" t="s">
        <v>189</v>
      </c>
      <c r="Q38" s="169" t="s">
        <v>189</v>
      </c>
      <c r="R38" s="169" t="s">
        <v>189</v>
      </c>
      <c r="S38" s="169" t="s">
        <v>189</v>
      </c>
      <c r="T38" s="169" t="s">
        <v>189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F7</v>
      </c>
      <c r="E39" s="89" t="str">
        <f t="shared" si="3"/>
        <v>HKDFUT3MF7_Quote</v>
      </c>
      <c r="F39" s="88" t="str">
        <f>_xll.qlSimpleQuote(E39,,PriceTickValue,Permanent,Trigger,ObjectOverwrite)</f>
        <v>HKDFUT3MF7_Quote#0002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F7</v>
      </c>
      <c r="N39" s="226">
        <v>42753</v>
      </c>
      <c r="O39" s="160" t="str">
        <f t="shared" si="2"/>
        <v>HIRF7</v>
      </c>
      <c r="P39" s="225" t="s">
        <v>189</v>
      </c>
      <c r="Q39" s="160" t="s">
        <v>189</v>
      </c>
      <c r="R39" s="160" t="s">
        <v>189</v>
      </c>
      <c r="S39" s="160" t="s">
        <v>189</v>
      </c>
      <c r="T39" s="160" t="s">
        <v>189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workbookViewId="0">
      <selection activeCell="L9" sqref="L9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3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25" t="s">
        <v>182</v>
      </c>
      <c r="J4" s="167"/>
      <c r="K4" s="219"/>
      <c r="L4" s="180" t="e">
        <f ca="1">_xll.RData(L5:L15,M4:P4,,ReutersRtMode,,M5)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6" t="s">
        <v>137</v>
      </c>
      <c r="V4" s="261" t="s">
        <v>136</v>
      </c>
      <c r="W4" s="158"/>
      <c r="X4"/>
      <c r="Y4" s="319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HKDAM1H2M_Quote#0002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189</v>
      </c>
      <c r="N5" s="201" t="s">
        <v>189</v>
      </c>
      <c r="O5" s="201" t="s">
        <v>189</v>
      </c>
      <c r="P5" s="201" t="s">
        <v>189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QuoteStatic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HKDAM1H3M_Quote#0002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 t="e">
        <f>_xll.qlSimpleQuoteSetValue(E6,U6/100,ISERROR(F6))</f>
        <v>#N/A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HKDAM1H4M_Quote#0002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HKDAM1H5M_Quote#0002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189</v>
      </c>
      <c r="N8" s="201" t="s">
        <v>189</v>
      </c>
      <c r="O8" s="201" t="s">
        <v>189</v>
      </c>
      <c r="P8" s="201" t="s">
        <v>189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HKDAM1H6M_Quote#0002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 t="e">
        <f>_xll.qlSimpleQuoteSetValue(E9,U9/100,ISERROR(F9))</f>
        <v>#N/A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HKDAM1H7M_Quote#0002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189</v>
      </c>
      <c r="N10" s="201" t="s">
        <v>189</v>
      </c>
      <c r="O10" s="201" t="s">
        <v>189</v>
      </c>
      <c r="P10" s="201" t="s">
        <v>189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HKDAM1H8M_Quote#0002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189</v>
      </c>
      <c r="N11" s="201" t="s">
        <v>189</v>
      </c>
      <c r="O11" s="201" t="s">
        <v>189</v>
      </c>
      <c r="P11" s="201" t="s">
        <v>189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HKDAM1H9M_Quote#0002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 t="e">
        <f>_xll.qlSimpleQuoteSetValue(E12,U12/100,ISERROR(F12))</f>
        <v>#N/A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HKDAM1H10M_Quote#0002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189</v>
      </c>
      <c r="N13" s="201" t="s">
        <v>189</v>
      </c>
      <c r="O13" s="201" t="s">
        <v>189</v>
      </c>
      <c r="P13" s="201" t="s">
        <v>189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HKDAM1H11M_Quote#0002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HKDAM1H1Y_Quote#0002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 t="e">
        <f>_xll.qlSimpleQuoteSetValue(E15,U15/100,ISERROR(F15))</f>
        <v>#N/A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workbookViewId="0">
      <selection activeCell="V3" sqref="V3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3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24</v>
      </c>
      <c r="G4" s="23" t="str">
        <f ca="1">_xll.ohRangeRetrieveError(F4)</f>
        <v/>
      </c>
      <c r="H4" s="325" t="s">
        <v>182</v>
      </c>
      <c r="J4" s="167"/>
      <c r="K4" s="219"/>
      <c r="L4" s="180" t="e">
        <f ca="1">_xll.RData(L5:L32,M4:P4,,ReutersRtMode,,M5)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6" t="s">
        <v>137</v>
      </c>
      <c r="V4" s="261" t="s">
        <v>136</v>
      </c>
      <c r="W4" s="158"/>
      <c r="X4" s="190"/>
      <c r="Y4" s="319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HKDQM3H6M_Quote#0002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QuoteStatic</f>
        <v>0.39</v>
      </c>
      <c r="V5" s="168" t="e">
        <f>_xll.qlSimpleQuoteSetValue(E5,U5/100,ISERROR(F5))</f>
        <v>#N/A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HKDQM3H1Y_Quote#0002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 t="e">
        <f>_xll.qlSimpleQuoteSetValue(E6,U6/100,ISERROR(F6))</f>
        <v>#N/A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HKDQM3H15M_Quote#0002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HKDQM3H18M_Quote#0002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 t="e">
        <f>_xll.qlSimpleQuoteSetValue(E8,U8/100,ISERROR(F8))</f>
        <v>#N/A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HKDQM3H21M_Quote#0002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189</v>
      </c>
      <c r="N9" s="201" t="s">
        <v>189</v>
      </c>
      <c r="O9" s="201" t="s">
        <v>189</v>
      </c>
      <c r="P9" s="201" t="s">
        <v>189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HKDQM3H2Y_Quote#0002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0.48</v>
      </c>
      <c r="N10" s="201">
        <v>0.57999999999999996</v>
      </c>
      <c r="O10" s="201">
        <v>0</v>
      </c>
      <c r="P10" s="201">
        <v>0</v>
      </c>
      <c r="Q10" s="164">
        <f>_xll.qlMidSafe($M10,$N10)</f>
        <v>0.53</v>
      </c>
      <c r="R10" s="162"/>
      <c r="S10" s="171">
        <v>0.53</v>
      </c>
      <c r="T10" s="162"/>
      <c r="U10" s="230">
        <v>0.53</v>
      </c>
      <c r="V10" s="168" t="e">
        <f>_xll.qlSimpleQuoteSetValue(E10,U10/100,ISERROR(F10))</f>
        <v>#N/A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HKDQM3H3Y_Quote#0002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0.72</v>
      </c>
      <c r="N11" s="201">
        <v>0.82</v>
      </c>
      <c r="O11" s="201">
        <v>0</v>
      </c>
      <c r="P11" s="201">
        <v>0</v>
      </c>
      <c r="Q11" s="164">
        <f>_xll.qlMidSafe($M11,$N11)</f>
        <v>0.77</v>
      </c>
      <c r="R11" s="162"/>
      <c r="S11" s="171">
        <v>0.76</v>
      </c>
      <c r="T11" s="162"/>
      <c r="U11" s="230">
        <v>0.76</v>
      </c>
      <c r="V11" s="168" t="e">
        <f>_xll.qlSimpleQuoteSetValue(E11,U11/100,ISERROR(F11))</f>
        <v>#N/A</v>
      </c>
      <c r="W11" s="158"/>
      <c r="X11" s="190"/>
      <c r="Y11" s="191">
        <f t="shared" si="2"/>
        <v>9.9999999999999872E-4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HKDQM3H4Y_Quote#0002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1.08</v>
      </c>
      <c r="N12" s="201">
        <v>1.18</v>
      </c>
      <c r="O12" s="201">
        <v>0</v>
      </c>
      <c r="P12" s="201">
        <v>0</v>
      </c>
      <c r="Q12" s="164">
        <f>_xll.qlMidSafe($M12,$N12)</f>
        <v>1.1299999999999999</v>
      </c>
      <c r="R12" s="162"/>
      <c r="S12" s="171">
        <v>1.1200000000000001</v>
      </c>
      <c r="T12" s="162"/>
      <c r="U12" s="230">
        <v>1.1200000000000001</v>
      </c>
      <c r="V12" s="168" t="e">
        <f>_xll.qlSimpleQuoteSetValue(E12,U12/100,ISERROR(F12))</f>
        <v>#N/A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HKDQM3H5Y_Quote#0002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1.48</v>
      </c>
      <c r="N13" s="201">
        <v>1.58</v>
      </c>
      <c r="O13" s="201">
        <v>0</v>
      </c>
      <c r="P13" s="201">
        <v>0</v>
      </c>
      <c r="Q13" s="164">
        <f>_xll.qlMidSafe($M13,$N13)</f>
        <v>1.53</v>
      </c>
      <c r="R13" s="162"/>
      <c r="S13" s="171">
        <v>1.51</v>
      </c>
      <c r="T13" s="162"/>
      <c r="U13" s="230">
        <v>1.51</v>
      </c>
      <c r="V13" s="168" t="e">
        <f>_xll.qlSimpleQuoteSetValue(E13,U13/100,ISERROR(F13))</f>
        <v>#N/A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HKDQM3H6Y_Quote#0002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HKDQM3H7Y_Quote#0002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2.06</v>
      </c>
      <c r="N15" s="201">
        <v>2.16</v>
      </c>
      <c r="O15" s="201">
        <v>0</v>
      </c>
      <c r="P15" s="201">
        <v>0</v>
      </c>
      <c r="Q15" s="164">
        <f>_xll.qlMidSafe($M15,$N15)</f>
        <v>2.1100000000000003</v>
      </c>
      <c r="R15" s="162"/>
      <c r="S15" s="171">
        <v>2.0999999999999996</v>
      </c>
      <c r="T15" s="162"/>
      <c r="U15" s="230">
        <v>2.0999999999999996</v>
      </c>
      <c r="V15" s="168" t="e">
        <f>_xll.qlSimpleQuoteSetValue(E15,U15/100,ISERROR(F15))</f>
        <v>#N/A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HKDQM3H8Y_Quote#0002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189</v>
      </c>
      <c r="N16" s="201" t="s">
        <v>189</v>
      </c>
      <c r="O16" s="201" t="s">
        <v>189</v>
      </c>
      <c r="P16" s="201" t="s">
        <v>189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HKDQM3H9Y_Quote#0002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189</v>
      </c>
      <c r="N17" s="201" t="s">
        <v>189</v>
      </c>
      <c r="O17" s="201" t="s">
        <v>189</v>
      </c>
      <c r="P17" s="201" t="s">
        <v>189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HKDQM3H10Y_Quote#0002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2.59</v>
      </c>
      <c r="N18" s="201">
        <v>2.69</v>
      </c>
      <c r="O18" s="201">
        <v>0</v>
      </c>
      <c r="P18" s="201">
        <v>0</v>
      </c>
      <c r="Q18" s="164">
        <f>_xll.qlMidSafe($M18,$N18)</f>
        <v>2.6399999999999997</v>
      </c>
      <c r="R18" s="162"/>
      <c r="S18" s="171">
        <v>2.63</v>
      </c>
      <c r="T18" s="162"/>
      <c r="U18" s="230">
        <v>2.63</v>
      </c>
      <c r="V18" s="168" t="e">
        <f>_xll.qlSimpleQuoteSetValue(E18,U18/100,ISERROR(F18))</f>
        <v>#N/A</v>
      </c>
      <c r="W18" s="158"/>
      <c r="X18" s="190"/>
      <c r="Y18" s="191">
        <f t="shared" si="2"/>
        <v>1.0000000000000052E-3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HKDQM3H11Y_Quote#0002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189</v>
      </c>
      <c r="N19" s="201" t="s">
        <v>189</v>
      </c>
      <c r="O19" s="201" t="s">
        <v>189</v>
      </c>
      <c r="P19" s="201" t="s">
        <v>189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HKDQM3H12Y_Quote#0002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2.78</v>
      </c>
      <c r="N20" s="201">
        <v>2.88</v>
      </c>
      <c r="O20" s="201">
        <v>0</v>
      </c>
      <c r="P20" s="201">
        <v>0</v>
      </c>
      <c r="Q20" s="164">
        <f>_xll.qlMidSafe($M20,$N20)</f>
        <v>2.83</v>
      </c>
      <c r="R20" s="162"/>
      <c r="S20" s="171">
        <v>2.8200000000000003</v>
      </c>
      <c r="T20" s="162"/>
      <c r="U20" s="230">
        <v>2.8200000000000003</v>
      </c>
      <c r="V20" s="168" t="e">
        <f>_xll.qlSimpleQuoteSetValue(E20,U20/100,ISERROR(F20))</f>
        <v>#N/A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HKDQM3H13Y_Quote#0002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189</v>
      </c>
      <c r="N21" s="201" t="s">
        <v>189</v>
      </c>
      <c r="O21" s="201" t="s">
        <v>189</v>
      </c>
      <c r="P21" s="201" t="s">
        <v>189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HKDQM3H14Y_Quote#0002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189</v>
      </c>
      <c r="N22" s="201" t="s">
        <v>189</v>
      </c>
      <c r="O22" s="201" t="s">
        <v>189</v>
      </c>
      <c r="P22" s="201" t="s">
        <v>189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HKDQM3H15Y_Quote#0002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2.91</v>
      </c>
      <c r="N23" s="201">
        <v>3.01</v>
      </c>
      <c r="O23" s="201">
        <v>0</v>
      </c>
      <c r="P23" s="201">
        <v>0</v>
      </c>
      <c r="Q23" s="164">
        <f>_xll.qlMidSafe($M23,$N23)</f>
        <v>2.96</v>
      </c>
      <c r="R23" s="162"/>
      <c r="S23" s="171">
        <v>2.95</v>
      </c>
      <c r="T23" s="162"/>
      <c r="U23" s="230">
        <v>2.95</v>
      </c>
      <c r="V23" s="168" t="e">
        <f>_xll.qlSimpleQuoteSetValue(E23,U23/100,ISERROR(F23))</f>
        <v>#N/A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HKDQM3H16Y_Quote#0002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189</v>
      </c>
      <c r="N24" s="201" t="s">
        <v>189</v>
      </c>
      <c r="O24" s="201" t="s">
        <v>189</v>
      </c>
      <c r="P24" s="201" t="s">
        <v>189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HKDQM3H17Y_Quote#0002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189</v>
      </c>
      <c r="N25" s="201" t="s">
        <v>189</v>
      </c>
      <c r="O25" s="201" t="s">
        <v>189</v>
      </c>
      <c r="P25" s="201" t="s">
        <v>189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HKDQM3H18Y_Quote#0002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189</v>
      </c>
      <c r="N26" s="201" t="s">
        <v>189</v>
      </c>
      <c r="O26" s="201" t="s">
        <v>189</v>
      </c>
      <c r="P26" s="201" t="s">
        <v>189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HKDQM3H19Y_Quote#0002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189</v>
      </c>
      <c r="N27" s="201" t="s">
        <v>189</v>
      </c>
      <c r="O27" s="201" t="s">
        <v>189</v>
      </c>
      <c r="P27" s="201" t="s">
        <v>189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HKDQM3H20Y_Quote#0002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189</v>
      </c>
      <c r="N28" s="201" t="s">
        <v>189</v>
      </c>
      <c r="O28" s="201" t="s">
        <v>189</v>
      </c>
      <c r="P28" s="201" t="s">
        <v>189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189</v>
      </c>
      <c r="N29" s="201" t="s">
        <v>189</v>
      </c>
      <c r="O29" s="201" t="s">
        <v>189</v>
      </c>
      <c r="P29" s="201" t="s">
        <v>189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189</v>
      </c>
      <c r="N30" s="201" t="s">
        <v>189</v>
      </c>
      <c r="O30" s="201" t="s">
        <v>189</v>
      </c>
      <c r="P30" s="201" t="s">
        <v>189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189</v>
      </c>
      <c r="N31" s="201" t="s">
        <v>189</v>
      </c>
      <c r="O31" s="201" t="s">
        <v>189</v>
      </c>
      <c r="P31" s="201" t="s">
        <v>189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189</v>
      </c>
      <c r="N32" s="207" t="s">
        <v>189</v>
      </c>
      <c r="O32" s="207" t="s">
        <v>189</v>
      </c>
      <c r="P32" s="207" t="s">
        <v>189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3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26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HKD1L6L6M_Quote#0002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QuoteStatic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HKD1L6L1Y_Quote#0002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HKD1L6L15M_Quote#0002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HKD1L6L18M_Quote#0002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HKD1L6L21M_Quote#0002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HKD1L6L2Y_Quote#0002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HKD1L6L3Y_Quote#0002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HKD1L6L4Y_Quote#0002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HKD1L6L5Y_Quote#0002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HKD1L6L6Y_Quote#0002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HKD1L6L7Y_Quote#0002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HKD1L6L8Y_Quote#0002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HKD1L6L9Y_Quote#0002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HKD1L6L10Y_Quote#0002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HKD1L6L11Y_Quote#0002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HKD1L6L12Y_Quote#0002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HKD1L6L13Y_Quote#0002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HKD1L6L14Y_Quote#0002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HKD1L6L15Y_Quote#0002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HKD1L6L16Y_Quote#0002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HKD1L6L17Y_Quote#0002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HKD1L6L18Y_Quote#0002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HKD1L6L19Y_Quote#0002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HKD1L6L20Y_Quote#0002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HKD1L6L21Y_Quote#0002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HKD1L6L22Y_Quote#0002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HKD1L6L23Y_Quote#0002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HKD1L6L24Y_Quote#0002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HKD1L6L25Y_Quote#0002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HKD1L6L26Y_Quote#0002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HKD1L6L27Y_Quote#0002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HKD1L6L28Y_Quote#0002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HKD1L6L29Y_Quote#0002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HKD1L6L30Y_Quote#0002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HKD1L6L35Y_Quote#0002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HKD1L6L40Y_Quote#0002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HKD1L6L50Y_Quote#0002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HKD1L6L60Y_Quote#0002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3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26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HKD3L6L6M_Quote#0002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QuoteStatic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HKD3L6L1Y_Quote#0002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HKD3L6L15M_Quote#0002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HKD3L6L18M_Quote#0002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HKD3L6L21M_Quote#0002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HKD3L6L2Y_Quote#0002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HKD3L6L3Y_Quote#0002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HKD3L6L4Y_Quote#0002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HKD3L6L5Y_Quote#0002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HKD3L6L6Y_Quote#0002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HKD3L6L7Y_Quote#0002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HKD3L6L8Y_Quote#0002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HKD3L6L9Y_Quote#0002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HKD3L6L10Y_Quote#0002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HKD3L6L11Y_Quote#0002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HKD3L6L12Y_Quote#0002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HKD3L6L13Y_Quote#0002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HKD3L6L14Y_Quote#0002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HKD3L6L15Y_Quote#0002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HKD3L6L16Y_Quote#0002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HKD3L6L17Y_Quote#0002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HKD3L6L18Y_Quote#0002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HKD3L6L19Y_Quote#0002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HKD3L6L20Y_Quote#0002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HKD3L6L21Y_Quote#0002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HKD3L6L22Y_Quote#0002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HKD3L6L23Y_Quote#0002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HKD3L6L24Y_Quote#0002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HKD3L6L25Y_Quote#0002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HKD3L6L26Y_Quote#0002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HKD3L6L27Y_Quote#0002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HKD3L6L28Y_Quote#0002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HKD3L6L29Y_Quote#0002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HKD3L6L30Y_Quote#0002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HKD3L6L35Y_Quote#0002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HKD3L6L40Y_Quote#0002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HKD3L6L50Y_Quote#0002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HKD3L6L60Y_Quote#0002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General Settings</vt:lpstr>
      <vt:lpstr>Hibor</vt:lpstr>
      <vt:lpstr>Hibor Time Series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2013-11-19T00:34:40Z</dcterms:created>
  <dcterms:modified xsi:type="dcterms:W3CDTF">2014-02-14T12:44:46Z</dcterms:modified>
</cp:coreProperties>
</file>